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45883</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24219-2025</t>
        </is>
      </c>
      <c r="B3" s="1" t="n">
        <v>45797.36209490741</v>
      </c>
      <c r="C3" s="1" t="n">
        <v>45883</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34616-2022</t>
        </is>
      </c>
      <c r="B4" s="1" t="n">
        <v>44795</v>
      </c>
      <c r="C4" s="1" t="n">
        <v>45883</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25389-2025</t>
        </is>
      </c>
      <c r="B5" s="1" t="n">
        <v>45800.64586805556</v>
      </c>
      <c r="C5" s="1" t="n">
        <v>45883</v>
      </c>
      <c r="D5" t="inlineStr">
        <is>
          <t>GÄVLEBORGS LÄN</t>
        </is>
      </c>
      <c r="E5" t="inlineStr">
        <is>
          <t>LJUSDAL</t>
        </is>
      </c>
      <c r="F5" t="inlineStr">
        <is>
          <t>Allmännings- och besparingsskogar</t>
        </is>
      </c>
      <c r="G5" t="n">
        <v>41.1</v>
      </c>
      <c r="H5" t="n">
        <v>7</v>
      </c>
      <c r="I5" t="n">
        <v>5</v>
      </c>
      <c r="J5" t="n">
        <v>17</v>
      </c>
      <c r="K5" t="n">
        <v>1</v>
      </c>
      <c r="L5" t="n">
        <v>0</v>
      </c>
      <c r="M5" t="n">
        <v>0</v>
      </c>
      <c r="N5" t="n">
        <v>0</v>
      </c>
      <c r="O5" t="n">
        <v>18</v>
      </c>
      <c r="P5" t="n">
        <v>1</v>
      </c>
      <c r="Q5" t="n">
        <v>25</v>
      </c>
      <c r="R5"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5">
        <f>HYPERLINK("https://klasma.github.io/Logging_2161/artfynd/A 25389-2025 artfynd.xlsx", "A 25389-2025")</f>
        <v/>
      </c>
      <c r="T5">
        <f>HYPERLINK("https://klasma.github.io/Logging_2161/kartor/A 25389-2025 karta.png", "A 25389-2025")</f>
        <v/>
      </c>
      <c r="V5">
        <f>HYPERLINK("https://klasma.github.io/Logging_2161/klagomål/A 25389-2025 FSC-klagomål.docx", "A 25389-2025")</f>
        <v/>
      </c>
      <c r="W5">
        <f>HYPERLINK("https://klasma.github.io/Logging_2161/klagomålsmail/A 25389-2025 FSC-klagomål mail.docx", "A 25389-2025")</f>
        <v/>
      </c>
      <c r="X5">
        <f>HYPERLINK("https://klasma.github.io/Logging_2161/tillsyn/A 25389-2025 tillsynsbegäran.docx", "A 25389-2025")</f>
        <v/>
      </c>
      <c r="Y5">
        <f>HYPERLINK("https://klasma.github.io/Logging_2161/tillsynsmail/A 25389-2025 tillsynsbegäran mail.docx", "A 25389-2025")</f>
        <v/>
      </c>
      <c r="Z5">
        <f>HYPERLINK("https://klasma.github.io/Logging_2161/fåglar/A 25389-2025 prioriterade fågelarter.docx", "A 25389-2025")</f>
        <v/>
      </c>
    </row>
    <row r="6" ht="15" customHeight="1">
      <c r="A6" t="inlineStr">
        <is>
          <t>A 25384-2021</t>
        </is>
      </c>
      <c r="B6" s="1" t="n">
        <v>44342.60469907407</v>
      </c>
      <c r="C6" s="1" t="n">
        <v>45883</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45883</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45883</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23984-2022</t>
        </is>
      </c>
      <c r="B9" s="1" t="n">
        <v>44722</v>
      </c>
      <c r="C9" s="1" t="n">
        <v>45883</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13021-2022</t>
        </is>
      </c>
      <c r="B10" s="1" t="n">
        <v>44643</v>
      </c>
      <c r="C10" s="1" t="n">
        <v>45883</v>
      </c>
      <c r="D10" t="inlineStr">
        <is>
          <t>GÄVLEBORGS LÄN</t>
        </is>
      </c>
      <c r="E10" t="inlineStr">
        <is>
          <t>HUDIKSVALL</t>
        </is>
      </c>
      <c r="G10" t="n">
        <v>8.1</v>
      </c>
      <c r="H10" t="n">
        <v>5</v>
      </c>
      <c r="I10" t="n">
        <v>9</v>
      </c>
      <c r="J10" t="n">
        <v>6</v>
      </c>
      <c r="K10" t="n">
        <v>3</v>
      </c>
      <c r="L10" t="n">
        <v>0</v>
      </c>
      <c r="M10" t="n">
        <v>0</v>
      </c>
      <c r="N10" t="n">
        <v>0</v>
      </c>
      <c r="O10" t="n">
        <v>9</v>
      </c>
      <c r="P10" t="n">
        <v>3</v>
      </c>
      <c r="Q10" t="n">
        <v>19</v>
      </c>
      <c r="R10"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8590-2025</t>
        </is>
      </c>
      <c r="B11" s="1" t="n">
        <v>45709</v>
      </c>
      <c r="C11" s="1" t="n">
        <v>45883</v>
      </c>
      <c r="D11" t="inlineStr">
        <is>
          <t>GÄVLEBORGS LÄN</t>
        </is>
      </c>
      <c r="E11" t="inlineStr">
        <is>
          <t>LJUSDAL</t>
        </is>
      </c>
      <c r="G11" t="n">
        <v>64.09999999999999</v>
      </c>
      <c r="H11" t="n">
        <v>6</v>
      </c>
      <c r="I11" t="n">
        <v>6</v>
      </c>
      <c r="J11" t="n">
        <v>10</v>
      </c>
      <c r="K11" t="n">
        <v>1</v>
      </c>
      <c r="L11" t="n">
        <v>0</v>
      </c>
      <c r="M11" t="n">
        <v>0</v>
      </c>
      <c r="N11" t="n">
        <v>0</v>
      </c>
      <c r="O11" t="n">
        <v>11</v>
      </c>
      <c r="P11" t="n">
        <v>1</v>
      </c>
      <c r="Q11" t="n">
        <v>19</v>
      </c>
      <c r="R11" s="2" t="inlineStr">
        <is>
          <t>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19766-2025</t>
        </is>
      </c>
      <c r="B12" s="1" t="n">
        <v>45771</v>
      </c>
      <c r="C12" s="1" t="n">
        <v>45883</v>
      </c>
      <c r="D12" t="inlineStr">
        <is>
          <t>GÄVLEBORGS LÄN</t>
        </is>
      </c>
      <c r="E12" t="inlineStr">
        <is>
          <t>LJUSDAL</t>
        </is>
      </c>
      <c r="F12" t="inlineStr">
        <is>
          <t>Bergvik skog väst AB</t>
        </is>
      </c>
      <c r="G12" t="n">
        <v>14.4</v>
      </c>
      <c r="H12" t="n">
        <v>8</v>
      </c>
      <c r="I12" t="n">
        <v>2</v>
      </c>
      <c r="J12" t="n">
        <v>10</v>
      </c>
      <c r="K12" t="n">
        <v>2</v>
      </c>
      <c r="L12" t="n">
        <v>0</v>
      </c>
      <c r="M12" t="n">
        <v>0</v>
      </c>
      <c r="N12" t="n">
        <v>0</v>
      </c>
      <c r="O12" t="n">
        <v>12</v>
      </c>
      <c r="P12" t="n">
        <v>2</v>
      </c>
      <c r="Q12" t="n">
        <v>16</v>
      </c>
      <c r="R12" s="2" t="inlineStr">
        <is>
          <t>Blackticka
Knärot
Garnlav
Granticka
Järpe
Lunglav
Rosenticka
Skogshare
Spillkråka
Talltita
Tretåig hackspett
Ullticka
Spindelblomster
Stuplav
Kungsfågel
Revlummer</t>
        </is>
      </c>
      <c r="S12">
        <f>HYPERLINK("https://klasma.github.io/Logging_2161/artfynd/A 19766-2025 artfynd.xlsx", "A 19766-2025")</f>
        <v/>
      </c>
      <c r="T12">
        <f>HYPERLINK("https://klasma.github.io/Logging_2161/kartor/A 19766-2025 karta.png", "A 19766-2025")</f>
        <v/>
      </c>
      <c r="U12">
        <f>HYPERLINK("https://klasma.github.io/Logging_2161/knärot/A 19766-2025 karta knärot.png", "A 19766-2025")</f>
        <v/>
      </c>
      <c r="V12">
        <f>HYPERLINK("https://klasma.github.io/Logging_2161/klagomål/A 19766-2025 FSC-klagomål.docx", "A 19766-2025")</f>
        <v/>
      </c>
      <c r="W12">
        <f>HYPERLINK("https://klasma.github.io/Logging_2161/klagomålsmail/A 19766-2025 FSC-klagomål mail.docx", "A 19766-2025")</f>
        <v/>
      </c>
      <c r="X12">
        <f>HYPERLINK("https://klasma.github.io/Logging_2161/tillsyn/A 19766-2025 tillsynsbegäran.docx", "A 19766-2025")</f>
        <v/>
      </c>
      <c r="Y12">
        <f>HYPERLINK("https://klasma.github.io/Logging_2161/tillsynsmail/A 19766-2025 tillsynsbegäran mail.docx", "A 19766-2025")</f>
        <v/>
      </c>
      <c r="Z12">
        <f>HYPERLINK("https://klasma.github.io/Logging_2161/fåglar/A 19766-2025 prioriterade fågelarter.docx", "A 19766-2025")</f>
        <v/>
      </c>
    </row>
    <row r="13" ht="15" customHeight="1">
      <c r="A13" t="inlineStr">
        <is>
          <t>A 568-2025</t>
        </is>
      </c>
      <c r="B13" s="1" t="n">
        <v>45664</v>
      </c>
      <c r="C13" s="1" t="n">
        <v>45883</v>
      </c>
      <c r="D13" t="inlineStr">
        <is>
          <t>GÄVLEBORGS LÄN</t>
        </is>
      </c>
      <c r="E13" t="inlineStr">
        <is>
          <t>NORDANSTIG</t>
        </is>
      </c>
      <c r="F13" t="inlineStr">
        <is>
          <t>Holmen skog AB</t>
        </is>
      </c>
      <c r="G13" t="n">
        <v>13.3</v>
      </c>
      <c r="H13" t="n">
        <v>1</v>
      </c>
      <c r="I13" t="n">
        <v>5</v>
      </c>
      <c r="J13" t="n">
        <v>10</v>
      </c>
      <c r="K13" t="n">
        <v>1</v>
      </c>
      <c r="L13" t="n">
        <v>0</v>
      </c>
      <c r="M13" t="n">
        <v>0</v>
      </c>
      <c r="N13" t="n">
        <v>0</v>
      </c>
      <c r="O13" t="n">
        <v>11</v>
      </c>
      <c r="P13" t="n">
        <v>1</v>
      </c>
      <c r="Q13" t="n">
        <v>16</v>
      </c>
      <c r="R13" s="2" t="inlineStr">
        <is>
          <t>Knärot
Blanksvart spiklav
Doftskinn
Dvärgbägarlav
Garnlav
Grönhjon
Lunglav
Tallticka
Ullticka
Vedskivlav
Violettgrå tagellav
Bronshjon
Kattfotslav
Skinnlav
Vedticka
Vågbandad barkbock</t>
        </is>
      </c>
      <c r="S13">
        <f>HYPERLINK("https://klasma.github.io/Logging_2132/artfynd/A 568-2025 artfynd.xlsx", "A 568-2025")</f>
        <v/>
      </c>
      <c r="T13">
        <f>HYPERLINK("https://klasma.github.io/Logging_2132/kartor/A 568-2025 karta.png", "A 568-2025")</f>
        <v/>
      </c>
      <c r="U13">
        <f>HYPERLINK("https://klasma.github.io/Logging_2132/knärot/A 568-2025 karta knärot.png", "A 568-2025")</f>
        <v/>
      </c>
      <c r="V13">
        <f>HYPERLINK("https://klasma.github.io/Logging_2132/klagomål/A 568-2025 FSC-klagomål.docx", "A 568-2025")</f>
        <v/>
      </c>
      <c r="W13">
        <f>HYPERLINK("https://klasma.github.io/Logging_2132/klagomålsmail/A 568-2025 FSC-klagomål mail.docx", "A 568-2025")</f>
        <v/>
      </c>
      <c r="X13">
        <f>HYPERLINK("https://klasma.github.io/Logging_2132/tillsyn/A 568-2025 tillsynsbegäran.docx", "A 568-2025")</f>
        <v/>
      </c>
      <c r="Y13">
        <f>HYPERLINK("https://klasma.github.io/Logging_2132/tillsynsmail/A 568-2025 tillsynsbegäran mail.docx", "A 568-2025")</f>
        <v/>
      </c>
    </row>
    <row r="14" ht="15" customHeight="1">
      <c r="A14" t="inlineStr">
        <is>
          <t>A 25595-2025</t>
        </is>
      </c>
      <c r="B14" s="1" t="n">
        <v>45803</v>
      </c>
      <c r="C14" s="1" t="n">
        <v>45883</v>
      </c>
      <c r="D14" t="inlineStr">
        <is>
          <t>GÄVLEBORGS LÄN</t>
        </is>
      </c>
      <c r="E14" t="inlineStr">
        <is>
          <t>LJUSDAL</t>
        </is>
      </c>
      <c r="G14" t="n">
        <v>7</v>
      </c>
      <c r="H14" t="n">
        <v>5</v>
      </c>
      <c r="I14" t="n">
        <v>2</v>
      </c>
      <c r="J14" t="n">
        <v>8</v>
      </c>
      <c r="K14" t="n">
        <v>3</v>
      </c>
      <c r="L14" t="n">
        <v>0</v>
      </c>
      <c r="M14" t="n">
        <v>0</v>
      </c>
      <c r="N14" t="n">
        <v>0</v>
      </c>
      <c r="O14" t="n">
        <v>11</v>
      </c>
      <c r="P14" t="n">
        <v>3</v>
      </c>
      <c r="Q14" t="n">
        <v>16</v>
      </c>
      <c r="R14" s="2" t="inlineStr">
        <is>
          <t>Gräddporing
Gräddticka
Knärot
Dvärgbägarlav
Garnlav
Kolflarnlav
Mörk kolflarnlav
Nordtagging
Spillkråka
Vedskivlav
Violettgrå tagellav
Dropptaggsvamp
Mindre märgborre
Tjäder
Fläcknycklar
Revlummer</t>
        </is>
      </c>
      <c r="S14">
        <f>HYPERLINK("https://klasma.github.io/Logging_2161/artfynd/A 25595-2025 artfynd.xlsx", "A 25595-2025")</f>
        <v/>
      </c>
      <c r="T14">
        <f>HYPERLINK("https://klasma.github.io/Logging_2161/kartor/A 25595-2025 karta.png", "A 25595-2025")</f>
        <v/>
      </c>
      <c r="U14">
        <f>HYPERLINK("https://klasma.github.io/Logging_2161/knärot/A 25595-2025 karta knärot.png", "A 25595-2025")</f>
        <v/>
      </c>
      <c r="V14">
        <f>HYPERLINK("https://klasma.github.io/Logging_2161/klagomål/A 25595-2025 FSC-klagomål.docx", "A 25595-2025")</f>
        <v/>
      </c>
      <c r="W14">
        <f>HYPERLINK("https://klasma.github.io/Logging_2161/klagomålsmail/A 25595-2025 FSC-klagomål mail.docx", "A 25595-2025")</f>
        <v/>
      </c>
      <c r="X14">
        <f>HYPERLINK("https://klasma.github.io/Logging_2161/tillsyn/A 25595-2025 tillsynsbegäran.docx", "A 25595-2025")</f>
        <v/>
      </c>
      <c r="Y14">
        <f>HYPERLINK("https://klasma.github.io/Logging_2161/tillsynsmail/A 25595-2025 tillsynsbegäran mail.docx", "A 25595-2025")</f>
        <v/>
      </c>
      <c r="Z14">
        <f>HYPERLINK("https://klasma.github.io/Logging_2161/fåglar/A 25595-2025 prioriterade fågelarter.docx", "A 25595-2025")</f>
        <v/>
      </c>
    </row>
    <row r="15" ht="15" customHeight="1">
      <c r="A15" t="inlineStr">
        <is>
          <t>A 55322-2021</t>
        </is>
      </c>
      <c r="B15" s="1" t="n">
        <v>44475.46431712963</v>
      </c>
      <c r="C15" s="1" t="n">
        <v>45883</v>
      </c>
      <c r="D15" t="inlineStr">
        <is>
          <t>GÄVLEBORGS LÄN</t>
        </is>
      </c>
      <c r="E15" t="inlineStr">
        <is>
          <t>LJUSDAL</t>
        </is>
      </c>
      <c r="F15" t="inlineStr">
        <is>
          <t>Holmen skog AB</t>
        </is>
      </c>
      <c r="G15" t="n">
        <v>4.1</v>
      </c>
      <c r="H15" t="n">
        <v>1</v>
      </c>
      <c r="I15" t="n">
        <v>10</v>
      </c>
      <c r="J15" t="n">
        <v>4</v>
      </c>
      <c r="K15" t="n">
        <v>1</v>
      </c>
      <c r="L15" t="n">
        <v>0</v>
      </c>
      <c r="M15" t="n">
        <v>0</v>
      </c>
      <c r="N15" t="n">
        <v>0</v>
      </c>
      <c r="O15" t="n">
        <v>5</v>
      </c>
      <c r="P15" t="n">
        <v>1</v>
      </c>
      <c r="Q15" t="n">
        <v>15</v>
      </c>
      <c r="R15" s="2" t="inlineStr">
        <is>
          <t>Knärot
Gammelgransskål
Garnlav
Ullticka
Vitgrynig nållav
Bronshjon
Grönpyrola
Gulnål
Kattfotslav
Korallblylav
Källpraktmossa
Mörk husmossa
Rödgul trumpetsvamp
Skogsbräsma
Vedticka</t>
        </is>
      </c>
      <c r="S15">
        <f>HYPERLINK("https://klasma.github.io/Logging_2161/artfynd/A 55322-2021 artfynd.xlsx", "A 55322-2021")</f>
        <v/>
      </c>
      <c r="T15">
        <f>HYPERLINK("https://klasma.github.io/Logging_2161/kartor/A 55322-2021 karta.png", "A 55322-2021")</f>
        <v/>
      </c>
      <c r="U15">
        <f>HYPERLINK("https://klasma.github.io/Logging_2161/knärot/A 55322-2021 karta knärot.png", "A 55322-2021")</f>
        <v/>
      </c>
      <c r="V15">
        <f>HYPERLINK("https://klasma.github.io/Logging_2161/klagomål/A 55322-2021 FSC-klagomål.docx", "A 55322-2021")</f>
        <v/>
      </c>
      <c r="W15">
        <f>HYPERLINK("https://klasma.github.io/Logging_2161/klagomålsmail/A 55322-2021 FSC-klagomål mail.docx", "A 55322-2021")</f>
        <v/>
      </c>
      <c r="X15">
        <f>HYPERLINK("https://klasma.github.io/Logging_2161/tillsyn/A 55322-2021 tillsynsbegäran.docx", "A 55322-2021")</f>
        <v/>
      </c>
      <c r="Y15">
        <f>HYPERLINK("https://klasma.github.io/Logging_2161/tillsynsmail/A 55322-2021 tillsynsbegäran mail.docx", "A 55322-2021")</f>
        <v/>
      </c>
    </row>
    <row r="16" ht="15" customHeight="1">
      <c r="A16" t="inlineStr">
        <is>
          <t>A 55441-2020</t>
        </is>
      </c>
      <c r="B16" s="1" t="n">
        <v>44131</v>
      </c>
      <c r="C16" s="1" t="n">
        <v>45883</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8671-2022</t>
        </is>
      </c>
      <c r="B17" s="1" t="n">
        <v>44613</v>
      </c>
      <c r="C17" s="1" t="n">
        <v>45883</v>
      </c>
      <c r="D17" t="inlineStr">
        <is>
          <t>GÄVLEBORGS LÄN</t>
        </is>
      </c>
      <c r="E17" t="inlineStr">
        <is>
          <t>HUDIKSVALL</t>
        </is>
      </c>
      <c r="G17" t="n">
        <v>13.7</v>
      </c>
      <c r="H17" t="n">
        <v>0</v>
      </c>
      <c r="I17" t="n">
        <v>5</v>
      </c>
      <c r="J17" t="n">
        <v>7</v>
      </c>
      <c r="K17" t="n">
        <v>2</v>
      </c>
      <c r="L17" t="n">
        <v>0</v>
      </c>
      <c r="M17" t="n">
        <v>0</v>
      </c>
      <c r="N17" t="n">
        <v>0</v>
      </c>
      <c r="O17" t="n">
        <v>9</v>
      </c>
      <c r="P17" t="n">
        <v>2</v>
      </c>
      <c r="Q17" t="n">
        <v>14</v>
      </c>
      <c r="R17" s="2" t="inlineStr">
        <is>
          <t>Aspgelélav
Rynkskinn
Doftskinn
Garnlav
Kortskaftad ärgspik
Rosenticka
Småflikig brosklav
Tallticka
Ullticka
Barkticka
Kattfotslav
Korallblylav
Stor aspticka
Trådticka</t>
        </is>
      </c>
      <c r="S17">
        <f>HYPERLINK("https://klasma.github.io/Logging_2184/artfynd/A 8671-2022 artfynd.xlsx", "A 8671-2022")</f>
        <v/>
      </c>
      <c r="T17">
        <f>HYPERLINK("https://klasma.github.io/Logging_2184/kartor/A 8671-2022 karta.png", "A 8671-2022")</f>
        <v/>
      </c>
      <c r="V17">
        <f>HYPERLINK("https://klasma.github.io/Logging_2184/klagomål/A 8671-2022 FSC-klagomål.docx", "A 8671-2022")</f>
        <v/>
      </c>
      <c r="W17">
        <f>HYPERLINK("https://klasma.github.io/Logging_2184/klagomålsmail/A 8671-2022 FSC-klagomål mail.docx", "A 8671-2022")</f>
        <v/>
      </c>
      <c r="X17">
        <f>HYPERLINK("https://klasma.github.io/Logging_2184/tillsyn/A 8671-2022 tillsynsbegäran.docx", "A 8671-2022")</f>
        <v/>
      </c>
      <c r="Y17">
        <f>HYPERLINK("https://klasma.github.io/Logging_2184/tillsynsmail/A 8671-2022 tillsynsbegäran mail.docx", "A 8671-2022")</f>
        <v/>
      </c>
    </row>
    <row r="18" ht="15" customHeight="1">
      <c r="A18" t="inlineStr">
        <is>
          <t>A 48020-2021</t>
        </is>
      </c>
      <c r="B18" s="1" t="n">
        <v>44449</v>
      </c>
      <c r="C18" s="1" t="n">
        <v>45883</v>
      </c>
      <c r="D18" t="inlineStr">
        <is>
          <t>GÄVLEBORGS LÄN</t>
        </is>
      </c>
      <c r="E18" t="inlineStr">
        <is>
          <t>LJUSDAL</t>
        </is>
      </c>
      <c r="G18" t="n">
        <v>6.4</v>
      </c>
      <c r="H18" t="n">
        <v>3</v>
      </c>
      <c r="I18" t="n">
        <v>2</v>
      </c>
      <c r="J18" t="n">
        <v>8</v>
      </c>
      <c r="K18" t="n">
        <v>4</v>
      </c>
      <c r="L18" t="n">
        <v>0</v>
      </c>
      <c r="M18" t="n">
        <v>0</v>
      </c>
      <c r="N18" t="n">
        <v>0</v>
      </c>
      <c r="O18" t="n">
        <v>12</v>
      </c>
      <c r="P18" t="n">
        <v>4</v>
      </c>
      <c r="Q18" t="n">
        <v>14</v>
      </c>
      <c r="R18" s="2" t="inlineStr">
        <is>
          <t>Knärot
Rynkskinn
Sprickporing
Vågticka
Garnlav
Granticka
Gränsticka
Rosenticka
Rödbrun klubbdyna
Spillkråka
Tretåig hackspett
Ullticka
Fjällig taggsvamp s.str.
Mörk husmossa</t>
        </is>
      </c>
      <c r="S18">
        <f>HYPERLINK("https://klasma.github.io/Logging_2161/artfynd/A 48020-2021 artfynd.xlsx", "A 48020-2021")</f>
        <v/>
      </c>
      <c r="T18">
        <f>HYPERLINK("https://klasma.github.io/Logging_2161/kartor/A 48020-2021 karta.png", "A 48020-2021")</f>
        <v/>
      </c>
      <c r="U18">
        <f>HYPERLINK("https://klasma.github.io/Logging_2161/knärot/A 48020-2021 karta knärot.png", "A 48020-2021")</f>
        <v/>
      </c>
      <c r="V18">
        <f>HYPERLINK("https://klasma.github.io/Logging_2161/klagomål/A 48020-2021 FSC-klagomål.docx", "A 48020-2021")</f>
        <v/>
      </c>
      <c r="W18">
        <f>HYPERLINK("https://klasma.github.io/Logging_2161/klagomålsmail/A 48020-2021 FSC-klagomål mail.docx", "A 48020-2021")</f>
        <v/>
      </c>
      <c r="X18">
        <f>HYPERLINK("https://klasma.github.io/Logging_2161/tillsyn/A 48020-2021 tillsynsbegäran.docx", "A 48020-2021")</f>
        <v/>
      </c>
      <c r="Y18">
        <f>HYPERLINK("https://klasma.github.io/Logging_2161/tillsynsmail/A 48020-2021 tillsynsbegäran mail.docx", "A 48020-2021")</f>
        <v/>
      </c>
      <c r="Z18">
        <f>HYPERLINK("https://klasma.github.io/Logging_2161/fåglar/A 48020-2021 prioriterade fågelarter.docx", "A 48020-2021")</f>
        <v/>
      </c>
    </row>
    <row r="19" ht="15" customHeight="1">
      <c r="A19" t="inlineStr">
        <is>
          <t>A 3180-2025</t>
        </is>
      </c>
      <c r="B19" s="1" t="n">
        <v>45679.39618055556</v>
      </c>
      <c r="C19" s="1" t="n">
        <v>45883</v>
      </c>
      <c r="D19" t="inlineStr">
        <is>
          <t>GÄVLEBORGS LÄN</t>
        </is>
      </c>
      <c r="E19" t="inlineStr">
        <is>
          <t>LJUSDAL</t>
        </is>
      </c>
      <c r="G19" t="n">
        <v>13.5</v>
      </c>
      <c r="H19" t="n">
        <v>5</v>
      </c>
      <c r="I19" t="n">
        <v>1</v>
      </c>
      <c r="J19" t="n">
        <v>10</v>
      </c>
      <c r="K19" t="n">
        <v>1</v>
      </c>
      <c r="L19" t="n">
        <v>0</v>
      </c>
      <c r="M19" t="n">
        <v>0</v>
      </c>
      <c r="N19" t="n">
        <v>0</v>
      </c>
      <c r="O19" t="n">
        <v>11</v>
      </c>
      <c r="P19" t="n">
        <v>1</v>
      </c>
      <c r="Q19" t="n">
        <v>14</v>
      </c>
      <c r="R19" s="2" t="inlineStr">
        <is>
          <t>Knärot
Dvärgbägarlav
Garnlav
Kolflarnlav
Lunglav
Mörk kolflarnlav
Skrovellav
Talltita
Tretåig hackspett
Ullticka
Vedflamlav
Stuplav
Fläcknycklar
Nattviol</t>
        </is>
      </c>
      <c r="S19">
        <f>HYPERLINK("https://klasma.github.io/Logging_2161/artfynd/A 3180-2025 artfynd.xlsx", "A 3180-2025")</f>
        <v/>
      </c>
      <c r="T19">
        <f>HYPERLINK("https://klasma.github.io/Logging_2161/kartor/A 3180-2025 karta.png", "A 3180-2025")</f>
        <v/>
      </c>
      <c r="U19">
        <f>HYPERLINK("https://klasma.github.io/Logging_2161/knärot/A 3180-2025 karta knärot.png", "A 3180-2025")</f>
        <v/>
      </c>
      <c r="V19">
        <f>HYPERLINK("https://klasma.github.io/Logging_2161/klagomål/A 3180-2025 FSC-klagomål.docx", "A 3180-2025")</f>
        <v/>
      </c>
      <c r="W19">
        <f>HYPERLINK("https://klasma.github.io/Logging_2161/klagomålsmail/A 3180-2025 FSC-klagomål mail.docx", "A 3180-2025")</f>
        <v/>
      </c>
      <c r="X19">
        <f>HYPERLINK("https://klasma.github.io/Logging_2161/tillsyn/A 3180-2025 tillsynsbegäran.docx", "A 3180-2025")</f>
        <v/>
      </c>
      <c r="Y19">
        <f>HYPERLINK("https://klasma.github.io/Logging_2161/tillsynsmail/A 3180-2025 tillsynsbegäran mail.docx", "A 3180-2025")</f>
        <v/>
      </c>
      <c r="Z19">
        <f>HYPERLINK("https://klasma.github.io/Logging_2161/fåglar/A 3180-2025 prioriterade fågelarter.docx", "A 3180-2025")</f>
        <v/>
      </c>
    </row>
    <row r="20" ht="15" customHeight="1">
      <c r="A20" t="inlineStr">
        <is>
          <t>A 49714-2020</t>
        </is>
      </c>
      <c r="B20" s="1" t="n">
        <v>44106</v>
      </c>
      <c r="C20" s="1" t="n">
        <v>45883</v>
      </c>
      <c r="D20" t="inlineStr">
        <is>
          <t>GÄVLEBORGS LÄN</t>
        </is>
      </c>
      <c r="E20" t="inlineStr">
        <is>
          <t>HUDIKSVALL</t>
        </is>
      </c>
      <c r="F20" t="inlineStr">
        <is>
          <t>Holmen skog AB</t>
        </is>
      </c>
      <c r="G20" t="n">
        <v>15.1</v>
      </c>
      <c r="H20" t="n">
        <v>1</v>
      </c>
      <c r="I20" t="n">
        <v>5</v>
      </c>
      <c r="J20" t="n">
        <v>8</v>
      </c>
      <c r="K20" t="n">
        <v>1</v>
      </c>
      <c r="L20" t="n">
        <v>0</v>
      </c>
      <c r="M20" t="n">
        <v>0</v>
      </c>
      <c r="N20" t="n">
        <v>0</v>
      </c>
      <c r="O20" t="n">
        <v>9</v>
      </c>
      <c r="P20" t="n">
        <v>1</v>
      </c>
      <c r="Q20" t="n">
        <v>14</v>
      </c>
      <c r="R20" s="2" t="inlineStr">
        <is>
          <t>Knärot
Dofttaggsvamp
Garnlav
Kolflarnlav
Kortskaftad ärgspik
Skrovlig taggsvamp
Svart taggsvamp
Ullticka
Violettgrå tagellav
Dropptaggsvamp
Fjällig taggsvamp s.str.
Skarp dropptaggsvamp
Tallfingersvamp
Vedticka</t>
        </is>
      </c>
      <c r="S20">
        <f>HYPERLINK("https://klasma.github.io/Logging_2184/artfynd/A 49714-2020 artfynd.xlsx", "A 49714-2020")</f>
        <v/>
      </c>
      <c r="T20">
        <f>HYPERLINK("https://klasma.github.io/Logging_2184/kartor/A 49714-2020 karta.png", "A 49714-2020")</f>
        <v/>
      </c>
      <c r="U20">
        <f>HYPERLINK("https://klasma.github.io/Logging_2184/knärot/A 49714-2020 karta knärot.png", "A 49714-2020")</f>
        <v/>
      </c>
      <c r="V20">
        <f>HYPERLINK("https://klasma.github.io/Logging_2184/klagomål/A 49714-2020 FSC-klagomål.docx", "A 49714-2020")</f>
        <v/>
      </c>
      <c r="W20">
        <f>HYPERLINK("https://klasma.github.io/Logging_2184/klagomålsmail/A 49714-2020 FSC-klagomål mail.docx", "A 49714-2020")</f>
        <v/>
      </c>
      <c r="X20">
        <f>HYPERLINK("https://klasma.github.io/Logging_2184/tillsyn/A 49714-2020 tillsynsbegäran.docx", "A 49714-2020")</f>
        <v/>
      </c>
      <c r="Y20">
        <f>HYPERLINK("https://klasma.github.io/Logging_2184/tillsynsmail/A 49714-2020 tillsynsbegäran mail.docx", "A 49714-2020")</f>
        <v/>
      </c>
    </row>
    <row r="21" ht="15" customHeight="1">
      <c r="A21" t="inlineStr">
        <is>
          <t>A 18631-2022</t>
        </is>
      </c>
      <c r="B21" s="1" t="n">
        <v>44687</v>
      </c>
      <c r="C21" s="1" t="n">
        <v>45883</v>
      </c>
      <c r="D21" t="inlineStr">
        <is>
          <t>GÄVLEBORGS LÄN</t>
        </is>
      </c>
      <c r="E21" t="inlineStr">
        <is>
          <t>LJUSDAL</t>
        </is>
      </c>
      <c r="F21" t="inlineStr">
        <is>
          <t>Bergvik skog väst AB</t>
        </is>
      </c>
      <c r="G21" t="n">
        <v>17</v>
      </c>
      <c r="H21" t="n">
        <v>5</v>
      </c>
      <c r="I21" t="n">
        <v>5</v>
      </c>
      <c r="J21" t="n">
        <v>7</v>
      </c>
      <c r="K21" t="n">
        <v>1</v>
      </c>
      <c r="L21" t="n">
        <v>0</v>
      </c>
      <c r="M21" t="n">
        <v>0</v>
      </c>
      <c r="N21" t="n">
        <v>0</v>
      </c>
      <c r="O21" t="n">
        <v>8</v>
      </c>
      <c r="P21" t="n">
        <v>1</v>
      </c>
      <c r="Q21" t="n">
        <v>14</v>
      </c>
      <c r="R21" s="2" t="inlineStr">
        <is>
          <t>Knärot
Blanksvart spiklav
Kolflarnlav
Lunglav
Mörk kolflarnlav
Skrovellav
Spillkråka
Tretåig hackspett
Bårdlav
Korallrot
Rävticka
Skinnlav
Stuplav
Fläcknycklar</t>
        </is>
      </c>
      <c r="S21">
        <f>HYPERLINK("https://klasma.github.io/Logging_2161/artfynd/A 18631-2022 artfynd.xlsx", "A 18631-2022")</f>
        <v/>
      </c>
      <c r="T21">
        <f>HYPERLINK("https://klasma.github.io/Logging_2161/kartor/A 18631-2022 karta.png", "A 18631-2022")</f>
        <v/>
      </c>
      <c r="U21">
        <f>HYPERLINK("https://klasma.github.io/Logging_2161/knärot/A 18631-2022 karta knärot.png", "A 18631-2022")</f>
        <v/>
      </c>
      <c r="V21">
        <f>HYPERLINK("https://klasma.github.io/Logging_2161/klagomål/A 18631-2022 FSC-klagomål.docx", "A 18631-2022")</f>
        <v/>
      </c>
      <c r="W21">
        <f>HYPERLINK("https://klasma.github.io/Logging_2161/klagomålsmail/A 18631-2022 FSC-klagomål mail.docx", "A 18631-2022")</f>
        <v/>
      </c>
      <c r="X21">
        <f>HYPERLINK("https://klasma.github.io/Logging_2161/tillsyn/A 18631-2022 tillsynsbegäran.docx", "A 18631-2022")</f>
        <v/>
      </c>
      <c r="Y21">
        <f>HYPERLINK("https://klasma.github.io/Logging_2161/tillsynsmail/A 18631-2022 tillsynsbegäran mail.docx", "A 18631-2022")</f>
        <v/>
      </c>
      <c r="Z21">
        <f>HYPERLINK("https://klasma.github.io/Logging_2161/fåglar/A 18631-2022 prioriterade fågelarter.docx", "A 18631-2022")</f>
        <v/>
      </c>
    </row>
    <row r="22" ht="15" customHeight="1">
      <c r="A22" t="inlineStr">
        <is>
          <t>A 28754-2024</t>
        </is>
      </c>
      <c r="B22" s="1" t="n">
        <v>45478</v>
      </c>
      <c r="C22" s="1" t="n">
        <v>45883</v>
      </c>
      <c r="D22" t="inlineStr">
        <is>
          <t>GÄVLEBORGS LÄN</t>
        </is>
      </c>
      <c r="E22" t="inlineStr">
        <is>
          <t>LJUSDAL</t>
        </is>
      </c>
      <c r="F22" t="inlineStr">
        <is>
          <t>Allmännings- och besparingsskogar</t>
        </is>
      </c>
      <c r="G22" t="n">
        <v>7.4</v>
      </c>
      <c r="H22" t="n">
        <v>1</v>
      </c>
      <c r="I22" t="n">
        <v>1</v>
      </c>
      <c r="J22" t="n">
        <v>12</v>
      </c>
      <c r="K22" t="n">
        <v>0</v>
      </c>
      <c r="L22" t="n">
        <v>0</v>
      </c>
      <c r="M22" t="n">
        <v>0</v>
      </c>
      <c r="N22" t="n">
        <v>0</v>
      </c>
      <c r="O22" t="n">
        <v>12</v>
      </c>
      <c r="P22" t="n">
        <v>0</v>
      </c>
      <c r="Q22" t="n">
        <v>13</v>
      </c>
      <c r="R22" s="2" t="inlineStr">
        <is>
          <t>Blågrå svartspik
Doftskinn
Dvärgbägarlav
Garnlav
Kolflarnlav
Kortskaftad ärgspik
Mörk kolflarnlav
Talltita
Vedflamlav
Vedskivlav
Violettgrå tagellav
Vitgrynig nållav
Mindre märgborre</t>
        </is>
      </c>
      <c r="S22">
        <f>HYPERLINK("https://klasma.github.io/Logging_2161/artfynd/A 28754-2024 artfynd.xlsx", "A 28754-2024")</f>
        <v/>
      </c>
      <c r="T22">
        <f>HYPERLINK("https://klasma.github.io/Logging_2161/kartor/A 28754-2024 karta.png", "A 28754-2024")</f>
        <v/>
      </c>
      <c r="V22">
        <f>HYPERLINK("https://klasma.github.io/Logging_2161/klagomål/A 28754-2024 FSC-klagomål.docx", "A 28754-2024")</f>
        <v/>
      </c>
      <c r="W22">
        <f>HYPERLINK("https://klasma.github.io/Logging_2161/klagomålsmail/A 28754-2024 FSC-klagomål mail.docx", "A 28754-2024")</f>
        <v/>
      </c>
      <c r="X22">
        <f>HYPERLINK("https://klasma.github.io/Logging_2161/tillsyn/A 28754-2024 tillsynsbegäran.docx", "A 28754-2024")</f>
        <v/>
      </c>
      <c r="Y22">
        <f>HYPERLINK("https://klasma.github.io/Logging_2161/tillsynsmail/A 28754-2024 tillsynsbegäran mail.docx", "A 28754-2024")</f>
        <v/>
      </c>
      <c r="Z22">
        <f>HYPERLINK("https://klasma.github.io/Logging_2161/fåglar/A 28754-2024 prioriterade fågelarter.docx", "A 28754-2024")</f>
        <v/>
      </c>
    </row>
    <row r="23" ht="15" customHeight="1">
      <c r="A23" t="inlineStr">
        <is>
          <t>A 14562-2025</t>
        </is>
      </c>
      <c r="B23" s="1" t="n">
        <v>45741</v>
      </c>
      <c r="C23" s="1" t="n">
        <v>45883</v>
      </c>
      <c r="D23" t="inlineStr">
        <is>
          <t>GÄVLEBORGS LÄN</t>
        </is>
      </c>
      <c r="E23" t="inlineStr">
        <is>
          <t>GÄVLE</t>
        </is>
      </c>
      <c r="G23" t="n">
        <v>6.9</v>
      </c>
      <c r="H23" t="n">
        <v>1</v>
      </c>
      <c r="I23" t="n">
        <v>5</v>
      </c>
      <c r="J23" t="n">
        <v>6</v>
      </c>
      <c r="K23" t="n">
        <v>1</v>
      </c>
      <c r="L23" t="n">
        <v>1</v>
      </c>
      <c r="M23" t="n">
        <v>0</v>
      </c>
      <c r="N23" t="n">
        <v>0</v>
      </c>
      <c r="O23" t="n">
        <v>8</v>
      </c>
      <c r="P23" t="n">
        <v>2</v>
      </c>
      <c r="Q23" t="n">
        <v>13</v>
      </c>
      <c r="R23" s="2" t="inlineStr">
        <is>
          <t>Ask
Knärot
Doftskinn
Garnlav
Rosenticka
Tallticka
Ullticka
Vitgrynig nållav
Granbarkgnagare
Kattfotslav
Rävticka
Tibast
Vedticka</t>
        </is>
      </c>
      <c r="S23">
        <f>HYPERLINK("https://klasma.github.io/Logging_2180/artfynd/A 14562-2025 artfynd.xlsx", "A 14562-2025")</f>
        <v/>
      </c>
      <c r="T23">
        <f>HYPERLINK("https://klasma.github.io/Logging_2180/kartor/A 14562-2025 karta.png", "A 14562-2025")</f>
        <v/>
      </c>
      <c r="U23">
        <f>HYPERLINK("https://klasma.github.io/Logging_2180/knärot/A 14562-2025 karta knärot.png", "A 14562-2025")</f>
        <v/>
      </c>
      <c r="V23">
        <f>HYPERLINK("https://klasma.github.io/Logging_2180/klagomål/A 14562-2025 FSC-klagomål.docx", "A 14562-2025")</f>
        <v/>
      </c>
      <c r="W23">
        <f>HYPERLINK("https://klasma.github.io/Logging_2180/klagomålsmail/A 14562-2025 FSC-klagomål mail.docx", "A 14562-2025")</f>
        <v/>
      </c>
      <c r="X23">
        <f>HYPERLINK("https://klasma.github.io/Logging_2180/tillsyn/A 14562-2025 tillsynsbegäran.docx", "A 14562-2025")</f>
        <v/>
      </c>
      <c r="Y23">
        <f>HYPERLINK("https://klasma.github.io/Logging_2180/tillsynsmail/A 14562-2025 tillsynsbegäran mail.docx", "A 14562-2025")</f>
        <v/>
      </c>
    </row>
    <row r="24" ht="15" customHeight="1">
      <c r="A24" t="inlineStr">
        <is>
          <t>A 22554-2023</t>
        </is>
      </c>
      <c r="B24" s="1" t="n">
        <v>45071.44354166667</v>
      </c>
      <c r="C24" s="1" t="n">
        <v>45883</v>
      </c>
      <c r="D24" t="inlineStr">
        <is>
          <t>GÄVLEBORGS LÄN</t>
        </is>
      </c>
      <c r="E24" t="inlineStr">
        <is>
          <t>LJUSDAL</t>
        </is>
      </c>
      <c r="F24" t="inlineStr">
        <is>
          <t>Allmännings- och besparingsskogar</t>
        </is>
      </c>
      <c r="G24" t="n">
        <v>7.1</v>
      </c>
      <c r="H24" t="n">
        <v>2</v>
      </c>
      <c r="I24" t="n">
        <v>2</v>
      </c>
      <c r="J24" t="n">
        <v>8</v>
      </c>
      <c r="K24" t="n">
        <v>1</v>
      </c>
      <c r="L24" t="n">
        <v>0</v>
      </c>
      <c r="M24" t="n">
        <v>0</v>
      </c>
      <c r="N24" t="n">
        <v>0</v>
      </c>
      <c r="O24" t="n">
        <v>9</v>
      </c>
      <c r="P24" t="n">
        <v>1</v>
      </c>
      <c r="Q24" t="n">
        <v>12</v>
      </c>
      <c r="R24" s="2" t="inlineStr">
        <is>
          <t>Knärot
Garnlav
Kolflarnlav
Kortskaftad ärgspik
Lunglav
Mörk kolflarnlav
Skrovellav
Vedskivlav
Vitgrynig nållav
Mindre märgborre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29016-2025</t>
        </is>
      </c>
      <c r="B25" s="1" t="n">
        <v>45821.41320601852</v>
      </c>
      <c r="C25" s="1" t="n">
        <v>45883</v>
      </c>
      <c r="D25" t="inlineStr">
        <is>
          <t>GÄVLEBORGS LÄN</t>
        </is>
      </c>
      <c r="E25" t="inlineStr">
        <is>
          <t>GÄVLE</t>
        </is>
      </c>
      <c r="F25" t="inlineStr">
        <is>
          <t>Bergvik skog öst AB</t>
        </is>
      </c>
      <c r="G25" t="n">
        <v>10.2</v>
      </c>
      <c r="H25" t="n">
        <v>10</v>
      </c>
      <c r="I25" t="n">
        <v>1</v>
      </c>
      <c r="J25" t="n">
        <v>4</v>
      </c>
      <c r="K25" t="n">
        <v>0</v>
      </c>
      <c r="L25" t="n">
        <v>0</v>
      </c>
      <c r="M25" t="n">
        <v>0</v>
      </c>
      <c r="N25" t="n">
        <v>0</v>
      </c>
      <c r="O25" t="n">
        <v>4</v>
      </c>
      <c r="P25" t="n">
        <v>0</v>
      </c>
      <c r="Q25" t="n">
        <v>12</v>
      </c>
      <c r="R25" s="2" t="inlineStr">
        <is>
          <t>Rödvingetrast
Skogshare
Slaguggla
Spillkråka
Vårärt
Gröngöling
Kungsfågel
Skogsduva
Sångsvan
Trana
Huggorm
Kopparödla</t>
        </is>
      </c>
      <c r="S25">
        <f>HYPERLINK("https://klasma.github.io/Logging_2180/artfynd/A 29016-2025 artfynd.xlsx", "A 29016-2025")</f>
        <v/>
      </c>
      <c r="T25">
        <f>HYPERLINK("https://klasma.github.io/Logging_2180/kartor/A 29016-2025 karta.png", "A 29016-2025")</f>
        <v/>
      </c>
      <c r="V25">
        <f>HYPERLINK("https://klasma.github.io/Logging_2180/klagomål/A 29016-2025 FSC-klagomål.docx", "A 29016-2025")</f>
        <v/>
      </c>
      <c r="W25">
        <f>HYPERLINK("https://klasma.github.io/Logging_2180/klagomålsmail/A 29016-2025 FSC-klagomål mail.docx", "A 29016-2025")</f>
        <v/>
      </c>
      <c r="X25">
        <f>HYPERLINK("https://klasma.github.io/Logging_2180/tillsyn/A 29016-2025 tillsynsbegäran.docx", "A 29016-2025")</f>
        <v/>
      </c>
      <c r="Y25">
        <f>HYPERLINK("https://klasma.github.io/Logging_2180/tillsynsmail/A 29016-2025 tillsynsbegäran mail.docx", "A 29016-2025")</f>
        <v/>
      </c>
      <c r="Z25">
        <f>HYPERLINK("https://klasma.github.io/Logging_2180/fåglar/A 29016-2025 prioriterade fågelarter.docx", "A 29016-2025")</f>
        <v/>
      </c>
    </row>
    <row r="26" ht="15" customHeight="1">
      <c r="A26" t="inlineStr">
        <is>
          <t>A 35555-2025</t>
        </is>
      </c>
      <c r="B26" s="1" t="n">
        <v>45856</v>
      </c>
      <c r="C26" s="1" t="n">
        <v>45883</v>
      </c>
      <c r="D26" t="inlineStr">
        <is>
          <t>GÄVLEBORGS LÄN</t>
        </is>
      </c>
      <c r="E26" t="inlineStr">
        <is>
          <t>LJUSDAL</t>
        </is>
      </c>
      <c r="F26" t="inlineStr">
        <is>
          <t>Allmännings- och besparingsskogar</t>
        </is>
      </c>
      <c r="G26" t="n">
        <v>21.6</v>
      </c>
      <c r="H26" t="n">
        <v>3</v>
      </c>
      <c r="I26" t="n">
        <v>2</v>
      </c>
      <c r="J26" t="n">
        <v>7</v>
      </c>
      <c r="K26" t="n">
        <v>1</v>
      </c>
      <c r="L26" t="n">
        <v>0</v>
      </c>
      <c r="M26" t="n">
        <v>0</v>
      </c>
      <c r="N26" t="n">
        <v>0</v>
      </c>
      <c r="O26" t="n">
        <v>8</v>
      </c>
      <c r="P26" t="n">
        <v>1</v>
      </c>
      <c r="Q26" t="n">
        <v>12</v>
      </c>
      <c r="R26" s="2" t="inlineStr">
        <is>
          <t>Knärot
Garnlav
Kolflarnlav
Lunglav
Mörk kolflarnlav
Skrovellav
Vedskivlav
Violettgrå tagellav
Dropptaggsvamp
Nästlav
Tjäder
Trana</t>
        </is>
      </c>
      <c r="S26">
        <f>HYPERLINK("https://klasma.github.io/Logging_2161/artfynd/A 35555-2025 artfynd.xlsx", "A 35555-2025")</f>
        <v/>
      </c>
      <c r="T26">
        <f>HYPERLINK("https://klasma.github.io/Logging_2161/kartor/A 35555-2025 karta.png", "A 35555-2025")</f>
        <v/>
      </c>
      <c r="U26">
        <f>HYPERLINK("https://klasma.github.io/Logging_2161/knärot/A 35555-2025 karta knärot.png", "A 35555-2025")</f>
        <v/>
      </c>
      <c r="V26">
        <f>HYPERLINK("https://klasma.github.io/Logging_2161/klagomål/A 35555-2025 FSC-klagomål.docx", "A 35555-2025")</f>
        <v/>
      </c>
      <c r="W26">
        <f>HYPERLINK("https://klasma.github.io/Logging_2161/klagomålsmail/A 35555-2025 FSC-klagomål mail.docx", "A 35555-2025")</f>
        <v/>
      </c>
      <c r="X26">
        <f>HYPERLINK("https://klasma.github.io/Logging_2161/tillsyn/A 35555-2025 tillsynsbegäran.docx", "A 35555-2025")</f>
        <v/>
      </c>
      <c r="Y26">
        <f>HYPERLINK("https://klasma.github.io/Logging_2161/tillsynsmail/A 35555-2025 tillsynsbegäran mail.docx", "A 35555-2025")</f>
        <v/>
      </c>
      <c r="Z26">
        <f>HYPERLINK("https://klasma.github.io/Logging_2161/fåglar/A 35555-2025 prioriterade fågelarter.docx", "A 35555-2025")</f>
        <v/>
      </c>
    </row>
    <row r="27" ht="15" customHeight="1">
      <c r="A27" t="inlineStr">
        <is>
          <t>A 65026-2021</t>
        </is>
      </c>
      <c r="B27" s="1" t="n">
        <v>44512</v>
      </c>
      <c r="C27" s="1" t="n">
        <v>45883</v>
      </c>
      <c r="D27" t="inlineStr">
        <is>
          <t>GÄVLEBORGS LÄN</t>
        </is>
      </c>
      <c r="E27" t="inlineStr">
        <is>
          <t>HOFORS</t>
        </is>
      </c>
      <c r="G27" t="n">
        <v>14.7</v>
      </c>
      <c r="H27" t="n">
        <v>1</v>
      </c>
      <c r="I27" t="n">
        <v>4</v>
      </c>
      <c r="J27" t="n">
        <v>2</v>
      </c>
      <c r="K27" t="n">
        <v>5</v>
      </c>
      <c r="L27" t="n">
        <v>0</v>
      </c>
      <c r="M27" t="n">
        <v>0</v>
      </c>
      <c r="N27" t="n">
        <v>0</v>
      </c>
      <c r="O27" t="n">
        <v>7</v>
      </c>
      <c r="P27" t="n">
        <v>5</v>
      </c>
      <c r="Q27" t="n">
        <v>11</v>
      </c>
      <c r="R27" s="2" t="inlineStr">
        <is>
          <t>Brödtaggsvamp
Knärot
Rynkskinn
Taggfingersvamp
Vågticka
Gul taggsvamp
Ullticka
Dropptaggsvamp
Granbarkgnagare
Mörk husmossa
Trådticka</t>
        </is>
      </c>
      <c r="S27">
        <f>HYPERLINK("https://klasma.github.io/Logging_2104/artfynd/A 65026-2021 artfynd.xlsx", "A 65026-2021")</f>
        <v/>
      </c>
      <c r="T27">
        <f>HYPERLINK("https://klasma.github.io/Logging_2104/kartor/A 65026-2021 karta.png", "A 65026-2021")</f>
        <v/>
      </c>
      <c r="U27">
        <f>HYPERLINK("https://klasma.github.io/Logging_2104/knärot/A 65026-2021 karta knärot.png", "A 65026-2021")</f>
        <v/>
      </c>
      <c r="V27">
        <f>HYPERLINK("https://klasma.github.io/Logging_2104/klagomål/A 65026-2021 FSC-klagomål.docx", "A 65026-2021")</f>
        <v/>
      </c>
      <c r="W27">
        <f>HYPERLINK("https://klasma.github.io/Logging_2104/klagomålsmail/A 65026-2021 FSC-klagomål mail.docx", "A 65026-2021")</f>
        <v/>
      </c>
      <c r="X27">
        <f>HYPERLINK("https://klasma.github.io/Logging_2104/tillsyn/A 65026-2021 tillsynsbegäran.docx", "A 65026-2021")</f>
        <v/>
      </c>
      <c r="Y27">
        <f>HYPERLINK("https://klasma.github.io/Logging_2104/tillsynsmail/A 65026-2021 tillsynsbegäran mail.docx", "A 65026-2021")</f>
        <v/>
      </c>
    </row>
    <row r="28" ht="15" customHeight="1">
      <c r="A28" t="inlineStr">
        <is>
          <t>A 31324-2024</t>
        </is>
      </c>
      <c r="B28" s="1" t="n">
        <v>45504.58956018519</v>
      </c>
      <c r="C28" s="1" t="n">
        <v>45883</v>
      </c>
      <c r="D28" t="inlineStr">
        <is>
          <t>GÄVLEBORGS LÄN</t>
        </is>
      </c>
      <c r="E28" t="inlineStr">
        <is>
          <t>LJUSDAL</t>
        </is>
      </c>
      <c r="F28" t="inlineStr">
        <is>
          <t>Sveaskog</t>
        </is>
      </c>
      <c r="G28" t="n">
        <v>14</v>
      </c>
      <c r="H28" t="n">
        <v>4</v>
      </c>
      <c r="I28" t="n">
        <v>3</v>
      </c>
      <c r="J28" t="n">
        <v>5</v>
      </c>
      <c r="K28" t="n">
        <v>1</v>
      </c>
      <c r="L28" t="n">
        <v>0</v>
      </c>
      <c r="M28" t="n">
        <v>0</v>
      </c>
      <c r="N28" t="n">
        <v>0</v>
      </c>
      <c r="O28" t="n">
        <v>6</v>
      </c>
      <c r="P28" t="n">
        <v>1</v>
      </c>
      <c r="Q28" t="n">
        <v>11</v>
      </c>
      <c r="R28" s="2" t="inlineStr">
        <is>
          <t>Knärot
Garnlav
Kolflarnlav
Lunglav
Mörk kolflarnlav
Vedskivlav
Dropptaggsvamp
Norrlandslav
Spindelblomster
Tjäder
Fläcknycklar</t>
        </is>
      </c>
      <c r="S28">
        <f>HYPERLINK("https://klasma.github.io/Logging_2161/artfynd/A 31324-2024 artfynd.xlsx", "A 31324-2024")</f>
        <v/>
      </c>
      <c r="T28">
        <f>HYPERLINK("https://klasma.github.io/Logging_2161/kartor/A 31324-2024 karta.png", "A 31324-2024")</f>
        <v/>
      </c>
      <c r="U28">
        <f>HYPERLINK("https://klasma.github.io/Logging_2161/knärot/A 31324-2024 karta knärot.png", "A 31324-2024")</f>
        <v/>
      </c>
      <c r="V28">
        <f>HYPERLINK("https://klasma.github.io/Logging_2161/klagomål/A 31324-2024 FSC-klagomål.docx", "A 31324-2024")</f>
        <v/>
      </c>
      <c r="W28">
        <f>HYPERLINK("https://klasma.github.io/Logging_2161/klagomålsmail/A 31324-2024 FSC-klagomål mail.docx", "A 31324-2024")</f>
        <v/>
      </c>
      <c r="X28">
        <f>HYPERLINK("https://klasma.github.io/Logging_2161/tillsyn/A 31324-2024 tillsynsbegäran.docx", "A 31324-2024")</f>
        <v/>
      </c>
      <c r="Y28">
        <f>HYPERLINK("https://klasma.github.io/Logging_2161/tillsynsmail/A 31324-2024 tillsynsbegäran mail.docx", "A 31324-2024")</f>
        <v/>
      </c>
      <c r="Z28">
        <f>HYPERLINK("https://klasma.github.io/Logging_2161/fåglar/A 31324-2024 prioriterade fågelarter.docx", "A 31324-2024")</f>
        <v/>
      </c>
    </row>
    <row r="29" ht="15" customHeight="1">
      <c r="A29" t="inlineStr">
        <is>
          <t>A 50174-2020</t>
        </is>
      </c>
      <c r="B29" s="1" t="n">
        <v>44109</v>
      </c>
      <c r="C29" s="1" t="n">
        <v>45883</v>
      </c>
      <c r="D29" t="inlineStr">
        <is>
          <t>GÄVLEBORGS LÄN</t>
        </is>
      </c>
      <c r="E29" t="inlineStr">
        <is>
          <t>BOLLNÄS</t>
        </is>
      </c>
      <c r="F29" t="inlineStr">
        <is>
          <t>Bergvik skog väst AB</t>
        </is>
      </c>
      <c r="G29" t="n">
        <v>21.1</v>
      </c>
      <c r="H29" t="n">
        <v>3</v>
      </c>
      <c r="I29" t="n">
        <v>2</v>
      </c>
      <c r="J29" t="n">
        <v>7</v>
      </c>
      <c r="K29" t="n">
        <v>1</v>
      </c>
      <c r="L29" t="n">
        <v>0</v>
      </c>
      <c r="M29" t="n">
        <v>0</v>
      </c>
      <c r="N29" t="n">
        <v>0</v>
      </c>
      <c r="O29" t="n">
        <v>8</v>
      </c>
      <c r="P29" t="n">
        <v>1</v>
      </c>
      <c r="Q29" t="n">
        <v>10</v>
      </c>
      <c r="R29" s="2" t="inlineStr">
        <is>
          <t>Knärot
Garnlav
Kolflarnlav
Kortskaftad ärgspik
Mörk kolflarnlav
Tretåig hackspett
Vedskivlav
Vedtrappmossa
Gulnål
Plattlummer</t>
        </is>
      </c>
      <c r="S29">
        <f>HYPERLINK("https://klasma.github.io/Logging_2183/artfynd/A 50174-2020 artfynd.xlsx", "A 50174-2020")</f>
        <v/>
      </c>
      <c r="T29">
        <f>HYPERLINK("https://klasma.github.io/Logging_2183/kartor/A 50174-2020 karta.png", "A 50174-2020")</f>
        <v/>
      </c>
      <c r="U29">
        <f>HYPERLINK("https://klasma.github.io/Logging_2183/knärot/A 50174-2020 karta knärot.png", "A 50174-2020")</f>
        <v/>
      </c>
      <c r="V29">
        <f>HYPERLINK("https://klasma.github.io/Logging_2183/klagomål/A 50174-2020 FSC-klagomål.docx", "A 50174-2020")</f>
        <v/>
      </c>
      <c r="W29">
        <f>HYPERLINK("https://klasma.github.io/Logging_2183/klagomålsmail/A 50174-2020 FSC-klagomål mail.docx", "A 50174-2020")</f>
        <v/>
      </c>
      <c r="X29">
        <f>HYPERLINK("https://klasma.github.io/Logging_2183/tillsyn/A 50174-2020 tillsynsbegäran.docx", "A 50174-2020")</f>
        <v/>
      </c>
      <c r="Y29">
        <f>HYPERLINK("https://klasma.github.io/Logging_2183/tillsynsmail/A 50174-2020 tillsynsbegäran mail.docx", "A 50174-2020")</f>
        <v/>
      </c>
      <c r="Z29">
        <f>HYPERLINK("https://klasma.github.io/Logging_2183/fåglar/A 50174-2020 prioriterade fågelarter.docx", "A 50174-2020")</f>
        <v/>
      </c>
    </row>
    <row r="30" ht="15" customHeight="1">
      <c r="A30" t="inlineStr">
        <is>
          <t>A 31463-2022</t>
        </is>
      </c>
      <c r="B30" s="1" t="n">
        <v>44774</v>
      </c>
      <c r="C30" s="1" t="n">
        <v>45883</v>
      </c>
      <c r="D30" t="inlineStr">
        <is>
          <t>GÄVLEBORGS LÄN</t>
        </is>
      </c>
      <c r="E30" t="inlineStr">
        <is>
          <t>LJUSDAL</t>
        </is>
      </c>
      <c r="F30" t="inlineStr">
        <is>
          <t>SCA</t>
        </is>
      </c>
      <c r="G30" t="n">
        <v>4.3</v>
      </c>
      <c r="H30" t="n">
        <v>2</v>
      </c>
      <c r="I30" t="n">
        <v>1</v>
      </c>
      <c r="J30" t="n">
        <v>7</v>
      </c>
      <c r="K30" t="n">
        <v>2</v>
      </c>
      <c r="L30" t="n">
        <v>0</v>
      </c>
      <c r="M30" t="n">
        <v>0</v>
      </c>
      <c r="N30" t="n">
        <v>0</v>
      </c>
      <c r="O30" t="n">
        <v>9</v>
      </c>
      <c r="P30" t="n">
        <v>2</v>
      </c>
      <c r="Q30" t="n">
        <v>10</v>
      </c>
      <c r="R30" s="2" t="inlineStr">
        <is>
          <t>Gräddporing
Knärot
Garnlav
Kolflarnlav
Kortskaftad ärgspik
Lunglav
Mörk kolflarnlav
Tretåig hackspett
Vedtrappmossa
Skinnlav</t>
        </is>
      </c>
      <c r="S30">
        <f>HYPERLINK("https://klasma.github.io/Logging_2161/artfynd/A 31463-2022 artfynd.xlsx", "A 31463-2022")</f>
        <v/>
      </c>
      <c r="T30">
        <f>HYPERLINK("https://klasma.github.io/Logging_2161/kartor/A 31463-2022 karta.png", "A 31463-2022")</f>
        <v/>
      </c>
      <c r="U30">
        <f>HYPERLINK("https://klasma.github.io/Logging_2161/knärot/A 31463-2022 karta knärot.png", "A 31463-2022")</f>
        <v/>
      </c>
      <c r="V30">
        <f>HYPERLINK("https://klasma.github.io/Logging_2161/klagomål/A 31463-2022 FSC-klagomål.docx", "A 31463-2022")</f>
        <v/>
      </c>
      <c r="W30">
        <f>HYPERLINK("https://klasma.github.io/Logging_2161/klagomålsmail/A 31463-2022 FSC-klagomål mail.docx", "A 31463-2022")</f>
        <v/>
      </c>
      <c r="X30">
        <f>HYPERLINK("https://klasma.github.io/Logging_2161/tillsyn/A 31463-2022 tillsynsbegäran.docx", "A 31463-2022")</f>
        <v/>
      </c>
      <c r="Y30">
        <f>HYPERLINK("https://klasma.github.io/Logging_2161/tillsynsmail/A 31463-2022 tillsynsbegäran mail.docx", "A 31463-2022")</f>
        <v/>
      </c>
      <c r="Z30">
        <f>HYPERLINK("https://klasma.github.io/Logging_2161/fåglar/A 31463-2022 prioriterade fågelarter.docx", "A 31463-2022")</f>
        <v/>
      </c>
    </row>
    <row r="31" ht="15" customHeight="1">
      <c r="A31" t="inlineStr">
        <is>
          <t>A 14326-2024</t>
        </is>
      </c>
      <c r="B31" s="1" t="n">
        <v>45393</v>
      </c>
      <c r="C31" s="1" t="n">
        <v>45883</v>
      </c>
      <c r="D31" t="inlineStr">
        <is>
          <t>GÄVLEBORGS LÄN</t>
        </is>
      </c>
      <c r="E31" t="inlineStr">
        <is>
          <t>SÖDERHAMN</t>
        </is>
      </c>
      <c r="G31" t="n">
        <v>37.3</v>
      </c>
      <c r="H31" t="n">
        <v>10</v>
      </c>
      <c r="I31" t="n">
        <v>0</v>
      </c>
      <c r="J31" t="n">
        <v>5</v>
      </c>
      <c r="K31" t="n">
        <v>0</v>
      </c>
      <c r="L31" t="n">
        <v>0</v>
      </c>
      <c r="M31" t="n">
        <v>0</v>
      </c>
      <c r="N31" t="n">
        <v>0</v>
      </c>
      <c r="O31" t="n">
        <v>5</v>
      </c>
      <c r="P31" t="n">
        <v>0</v>
      </c>
      <c r="Q31" t="n">
        <v>10</v>
      </c>
      <c r="R31" s="2" t="inlineStr">
        <is>
          <t>Grönsångare
Rödvingetrast
Smålom
Spillkråka
Talltita
Enkelbeckasin
Grönsiska
Järnsparv
Kungsfågel
Orre</t>
        </is>
      </c>
      <c r="S31">
        <f>HYPERLINK("https://klasma.github.io/Logging_2182/artfynd/A 14326-2024 artfynd.xlsx", "A 14326-2024")</f>
        <v/>
      </c>
      <c r="T31">
        <f>HYPERLINK("https://klasma.github.io/Logging_2182/kartor/A 14326-2024 karta.png", "A 14326-2024")</f>
        <v/>
      </c>
      <c r="V31">
        <f>HYPERLINK("https://klasma.github.io/Logging_2182/klagomål/A 14326-2024 FSC-klagomål.docx", "A 14326-2024")</f>
        <v/>
      </c>
      <c r="W31">
        <f>HYPERLINK("https://klasma.github.io/Logging_2182/klagomålsmail/A 14326-2024 FSC-klagomål mail.docx", "A 14326-2024")</f>
        <v/>
      </c>
      <c r="X31">
        <f>HYPERLINK("https://klasma.github.io/Logging_2182/tillsyn/A 14326-2024 tillsynsbegäran.docx", "A 14326-2024")</f>
        <v/>
      </c>
      <c r="Y31">
        <f>HYPERLINK("https://klasma.github.io/Logging_2182/tillsynsmail/A 14326-2024 tillsynsbegäran mail.docx", "A 14326-2024")</f>
        <v/>
      </c>
      <c r="Z31">
        <f>HYPERLINK("https://klasma.github.io/Logging_2182/fåglar/A 14326-2024 prioriterade fågelarter.docx", "A 14326-2024")</f>
        <v/>
      </c>
    </row>
    <row r="32" ht="15" customHeight="1">
      <c r="A32" t="inlineStr">
        <is>
          <t>A 24465-2025</t>
        </is>
      </c>
      <c r="B32" s="1" t="n">
        <v>45798</v>
      </c>
      <c r="C32" s="1" t="n">
        <v>45883</v>
      </c>
      <c r="D32" t="inlineStr">
        <is>
          <t>GÄVLEBORGS LÄN</t>
        </is>
      </c>
      <c r="E32" t="inlineStr">
        <is>
          <t>LJUSDAL</t>
        </is>
      </c>
      <c r="F32" t="inlineStr">
        <is>
          <t>Bergvik skog väst AB</t>
        </is>
      </c>
      <c r="G32" t="n">
        <v>5.1</v>
      </c>
      <c r="H32" t="n">
        <v>2</v>
      </c>
      <c r="I32" t="n">
        <v>4</v>
      </c>
      <c r="J32" t="n">
        <v>5</v>
      </c>
      <c r="K32" t="n">
        <v>0</v>
      </c>
      <c r="L32" t="n">
        <v>0</v>
      </c>
      <c r="M32" t="n">
        <v>0</v>
      </c>
      <c r="N32" t="n">
        <v>0</v>
      </c>
      <c r="O32" t="n">
        <v>5</v>
      </c>
      <c r="P32" t="n">
        <v>0</v>
      </c>
      <c r="Q32" t="n">
        <v>10</v>
      </c>
      <c r="R32" s="2" t="inlineStr">
        <is>
          <t>Dvärgbägarlav
Kolflarnlav
Kortskaftad ärgspik
Lunglav
Mörk kolflarnlav
Bårdlav
Korallblylav
Mörk husmossa
Spindelblomster
Fläcknycklar</t>
        </is>
      </c>
      <c r="S32">
        <f>HYPERLINK("https://klasma.github.io/Logging_2161/artfynd/A 24465-2025 artfynd.xlsx", "A 24465-2025")</f>
        <v/>
      </c>
      <c r="T32">
        <f>HYPERLINK("https://klasma.github.io/Logging_2161/kartor/A 24465-2025 karta.png", "A 24465-2025")</f>
        <v/>
      </c>
      <c r="U32">
        <f>HYPERLINK("https://klasma.github.io/Logging_2161/knärot/A 24465-2025 karta knärot.png", "A 24465-2025")</f>
        <v/>
      </c>
      <c r="V32">
        <f>HYPERLINK("https://klasma.github.io/Logging_2161/klagomål/A 24465-2025 FSC-klagomål.docx", "A 24465-2025")</f>
        <v/>
      </c>
      <c r="W32">
        <f>HYPERLINK("https://klasma.github.io/Logging_2161/klagomålsmail/A 24465-2025 FSC-klagomål mail.docx", "A 24465-2025")</f>
        <v/>
      </c>
      <c r="X32">
        <f>HYPERLINK("https://klasma.github.io/Logging_2161/tillsyn/A 24465-2025 tillsynsbegäran.docx", "A 24465-2025")</f>
        <v/>
      </c>
      <c r="Y32">
        <f>HYPERLINK("https://klasma.github.io/Logging_2161/tillsynsmail/A 24465-2025 tillsynsbegäran mail.docx", "A 24465-2025")</f>
        <v/>
      </c>
    </row>
    <row r="33" ht="15" customHeight="1">
      <c r="A33" t="inlineStr">
        <is>
          <t>A 26649-2025</t>
        </is>
      </c>
      <c r="B33" s="1" t="n">
        <v>45810</v>
      </c>
      <c r="C33" s="1" t="n">
        <v>45883</v>
      </c>
      <c r="D33" t="inlineStr">
        <is>
          <t>GÄVLEBORGS LÄN</t>
        </is>
      </c>
      <c r="E33" t="inlineStr">
        <is>
          <t>LJUSDAL</t>
        </is>
      </c>
      <c r="F33" t="inlineStr">
        <is>
          <t>Allmännings- och besparingsskogar</t>
        </is>
      </c>
      <c r="G33" t="n">
        <v>10</v>
      </c>
      <c r="H33" t="n">
        <v>1</v>
      </c>
      <c r="I33" t="n">
        <v>3</v>
      </c>
      <c r="J33" t="n">
        <v>7</v>
      </c>
      <c r="K33" t="n">
        <v>0</v>
      </c>
      <c r="L33" t="n">
        <v>0</v>
      </c>
      <c r="M33" t="n">
        <v>0</v>
      </c>
      <c r="N33" t="n">
        <v>0</v>
      </c>
      <c r="O33" t="n">
        <v>7</v>
      </c>
      <c r="P33" t="n">
        <v>0</v>
      </c>
      <c r="Q33" t="n">
        <v>10</v>
      </c>
      <c r="R33" s="2" t="inlineStr">
        <is>
          <t>Dvärgbägarlav
Garnlav
Kolflarnlav
Lunglav
Mörk kolflarnlav
Tretåig hackspett
Vedskivlav
Bårdlav
Dropptaggsvamp
Stuplav</t>
        </is>
      </c>
      <c r="S33">
        <f>HYPERLINK("https://klasma.github.io/Logging_2161/artfynd/A 26649-2025 artfynd.xlsx", "A 26649-2025")</f>
        <v/>
      </c>
      <c r="T33">
        <f>HYPERLINK("https://klasma.github.io/Logging_2161/kartor/A 26649-2025 karta.png", "A 26649-2025")</f>
        <v/>
      </c>
      <c r="V33">
        <f>HYPERLINK("https://klasma.github.io/Logging_2161/klagomål/A 26649-2025 FSC-klagomål.docx", "A 26649-2025")</f>
        <v/>
      </c>
      <c r="W33">
        <f>HYPERLINK("https://klasma.github.io/Logging_2161/klagomålsmail/A 26649-2025 FSC-klagomål mail.docx", "A 26649-2025")</f>
        <v/>
      </c>
      <c r="X33">
        <f>HYPERLINK("https://klasma.github.io/Logging_2161/tillsyn/A 26649-2025 tillsynsbegäran.docx", "A 26649-2025")</f>
        <v/>
      </c>
      <c r="Y33">
        <f>HYPERLINK("https://klasma.github.io/Logging_2161/tillsynsmail/A 26649-2025 tillsynsbegäran mail.docx", "A 26649-2025")</f>
        <v/>
      </c>
      <c r="Z33">
        <f>HYPERLINK("https://klasma.github.io/Logging_2161/fåglar/A 26649-2025 prioriterade fågelarter.docx", "A 26649-2025")</f>
        <v/>
      </c>
    </row>
    <row r="34" ht="15" customHeight="1">
      <c r="A34" t="inlineStr">
        <is>
          <t>A 31613-2025</t>
        </is>
      </c>
      <c r="B34" s="1" t="n">
        <v>45833.80734953703</v>
      </c>
      <c r="C34" s="1" t="n">
        <v>45883</v>
      </c>
      <c r="D34" t="inlineStr">
        <is>
          <t>GÄVLEBORGS LÄN</t>
        </is>
      </c>
      <c r="E34" t="inlineStr">
        <is>
          <t>LJUSDAL</t>
        </is>
      </c>
      <c r="F34" t="inlineStr">
        <is>
          <t>Sveaskog</t>
        </is>
      </c>
      <c r="G34" t="n">
        <v>22.9</v>
      </c>
      <c r="H34" t="n">
        <v>5</v>
      </c>
      <c r="I34" t="n">
        <v>2</v>
      </c>
      <c r="J34" t="n">
        <v>6</v>
      </c>
      <c r="K34" t="n">
        <v>0</v>
      </c>
      <c r="L34" t="n">
        <v>0</v>
      </c>
      <c r="M34" t="n">
        <v>0</v>
      </c>
      <c r="N34" t="n">
        <v>0</v>
      </c>
      <c r="O34" t="n">
        <v>6</v>
      </c>
      <c r="P34" t="n">
        <v>0</v>
      </c>
      <c r="Q34" t="n">
        <v>10</v>
      </c>
      <c r="R34" s="2" t="inlineStr">
        <is>
          <t>Garnlav
Kolflarnlav
Lunglav
Mörk kolflarnlav
Skrovellav
Talltita
Korallrot
Plattlummer
Tjäder
Fläcknycklar</t>
        </is>
      </c>
      <c r="S34">
        <f>HYPERLINK("https://klasma.github.io/Logging_2161/artfynd/A 31613-2025 artfynd.xlsx", "A 31613-2025")</f>
        <v/>
      </c>
      <c r="T34">
        <f>HYPERLINK("https://klasma.github.io/Logging_2161/kartor/A 31613-2025 karta.png", "A 31613-2025")</f>
        <v/>
      </c>
      <c r="V34">
        <f>HYPERLINK("https://klasma.github.io/Logging_2161/klagomål/A 31613-2025 FSC-klagomål.docx", "A 31613-2025")</f>
        <v/>
      </c>
      <c r="W34">
        <f>HYPERLINK("https://klasma.github.io/Logging_2161/klagomålsmail/A 31613-2025 FSC-klagomål mail.docx", "A 31613-2025")</f>
        <v/>
      </c>
      <c r="X34">
        <f>HYPERLINK("https://klasma.github.io/Logging_2161/tillsyn/A 31613-2025 tillsynsbegäran.docx", "A 31613-2025")</f>
        <v/>
      </c>
      <c r="Y34">
        <f>HYPERLINK("https://klasma.github.io/Logging_2161/tillsynsmail/A 31613-2025 tillsynsbegäran mail.docx", "A 31613-2025")</f>
        <v/>
      </c>
      <c r="Z34">
        <f>HYPERLINK("https://klasma.github.io/Logging_2161/fåglar/A 31613-2025 prioriterade fågelarter.docx", "A 31613-2025")</f>
        <v/>
      </c>
    </row>
    <row r="35" ht="15" customHeight="1">
      <c r="A35" t="inlineStr">
        <is>
          <t>A 37449-2025</t>
        </is>
      </c>
      <c r="B35" s="1" t="n">
        <v>45877.55246527777</v>
      </c>
      <c r="C35" s="1" t="n">
        <v>45883</v>
      </c>
      <c r="D35" t="inlineStr">
        <is>
          <t>GÄVLEBORGS LÄN</t>
        </is>
      </c>
      <c r="E35" t="inlineStr">
        <is>
          <t>LJUSDAL</t>
        </is>
      </c>
      <c r="F35" t="inlineStr">
        <is>
          <t>SCA</t>
        </is>
      </c>
      <c r="G35" t="n">
        <v>4.6</v>
      </c>
      <c r="H35" t="n">
        <v>1</v>
      </c>
      <c r="I35" t="n">
        <v>4</v>
      </c>
      <c r="J35" t="n">
        <v>3</v>
      </c>
      <c r="K35" t="n">
        <v>1</v>
      </c>
      <c r="L35" t="n">
        <v>1</v>
      </c>
      <c r="M35" t="n">
        <v>0</v>
      </c>
      <c r="N35" t="n">
        <v>0</v>
      </c>
      <c r="O35" t="n">
        <v>5</v>
      </c>
      <c r="P35" t="n">
        <v>2</v>
      </c>
      <c r="Q35" t="n">
        <v>10</v>
      </c>
      <c r="R35" s="2" t="inlineStr">
        <is>
          <t>Timmerskapania
Liten hornflikmossa
Skuggviol
Vedflikmossa
Vedtrappmossa
Fjällig taggsvamp s.str.
Kransrams
Svart trolldruva
Underviol
Blåsippa</t>
        </is>
      </c>
      <c r="S35">
        <f>HYPERLINK("https://klasma.github.io/Logging_2161/artfynd/A 37449-2025 artfynd.xlsx", "A 37449-2025")</f>
        <v/>
      </c>
      <c r="T35">
        <f>HYPERLINK("https://klasma.github.io/Logging_2161/kartor/A 37449-2025 karta.png", "A 37449-2025")</f>
        <v/>
      </c>
      <c r="V35">
        <f>HYPERLINK("https://klasma.github.io/Logging_2161/klagomål/A 37449-2025 FSC-klagomål.docx", "A 37449-2025")</f>
        <v/>
      </c>
      <c r="W35">
        <f>HYPERLINK("https://klasma.github.io/Logging_2161/klagomålsmail/A 37449-2025 FSC-klagomål mail.docx", "A 37449-2025")</f>
        <v/>
      </c>
      <c r="X35">
        <f>HYPERLINK("https://klasma.github.io/Logging_2161/tillsyn/A 37449-2025 tillsynsbegäran.docx", "A 37449-2025")</f>
        <v/>
      </c>
      <c r="Y35">
        <f>HYPERLINK("https://klasma.github.io/Logging_2161/tillsynsmail/A 37449-2025 tillsynsbegäran mail.docx", "A 37449-2025")</f>
        <v/>
      </c>
    </row>
    <row r="36" ht="15" customHeight="1">
      <c r="A36" t="inlineStr">
        <is>
          <t>A 39905-2022</t>
        </is>
      </c>
      <c r="B36" s="1" t="n">
        <v>44819</v>
      </c>
      <c r="C36" s="1" t="n">
        <v>45883</v>
      </c>
      <c r="D36" t="inlineStr">
        <is>
          <t>GÄVLEBORGS LÄN</t>
        </is>
      </c>
      <c r="E36" t="inlineStr">
        <is>
          <t>OVANÅKER</t>
        </is>
      </c>
      <c r="G36" t="n">
        <v>3.5</v>
      </c>
      <c r="H36" t="n">
        <v>6</v>
      </c>
      <c r="I36" t="n">
        <v>4</v>
      </c>
      <c r="J36" t="n">
        <v>1</v>
      </c>
      <c r="K36" t="n">
        <v>1</v>
      </c>
      <c r="L36" t="n">
        <v>0</v>
      </c>
      <c r="M36" t="n">
        <v>0</v>
      </c>
      <c r="N36" t="n">
        <v>0</v>
      </c>
      <c r="O36" t="n">
        <v>2</v>
      </c>
      <c r="P36" t="n">
        <v>1</v>
      </c>
      <c r="Q36" t="n">
        <v>9</v>
      </c>
      <c r="R36" s="2" t="inlineStr">
        <is>
          <t>Turkos blåvinge
Månlåsbräken
Grönkulla
Plattlummer
Spindelblomster
Ögonpyrola
Fläcknycklar
Nattviol
Revlummer</t>
        </is>
      </c>
      <c r="S36">
        <f>HYPERLINK("https://klasma.github.io/Logging_2121/artfynd/A 39905-2022 artfynd.xlsx", "A 39905-2022")</f>
        <v/>
      </c>
      <c r="T36">
        <f>HYPERLINK("https://klasma.github.io/Logging_2121/kartor/A 39905-2022 karta.png", "A 39905-2022")</f>
        <v/>
      </c>
      <c r="V36">
        <f>HYPERLINK("https://klasma.github.io/Logging_2121/klagomål/A 39905-2022 FSC-klagomål.docx", "A 39905-2022")</f>
        <v/>
      </c>
      <c r="W36">
        <f>HYPERLINK("https://klasma.github.io/Logging_2121/klagomålsmail/A 39905-2022 FSC-klagomål mail.docx", "A 39905-2022")</f>
        <v/>
      </c>
      <c r="X36">
        <f>HYPERLINK("https://klasma.github.io/Logging_2121/tillsyn/A 39905-2022 tillsynsbegäran.docx", "A 39905-2022")</f>
        <v/>
      </c>
      <c r="Y36">
        <f>HYPERLINK("https://klasma.github.io/Logging_2121/tillsynsmail/A 39905-2022 tillsynsbegäran mail.docx", "A 39905-2022")</f>
        <v/>
      </c>
    </row>
    <row r="37" ht="15" customHeight="1">
      <c r="A37" t="inlineStr">
        <is>
          <t>A 33353-2024</t>
        </is>
      </c>
      <c r="B37" s="1" t="n">
        <v>45519.38559027778</v>
      </c>
      <c r="C37" s="1" t="n">
        <v>45883</v>
      </c>
      <c r="D37" t="inlineStr">
        <is>
          <t>GÄVLEBORGS LÄN</t>
        </is>
      </c>
      <c r="E37" t="inlineStr">
        <is>
          <t>LJUSDAL</t>
        </is>
      </c>
      <c r="F37" t="inlineStr">
        <is>
          <t>Bergvik skog väst AB</t>
        </is>
      </c>
      <c r="G37" t="n">
        <v>3.9</v>
      </c>
      <c r="H37" t="n">
        <v>1</v>
      </c>
      <c r="I37" t="n">
        <v>3</v>
      </c>
      <c r="J37" t="n">
        <v>5</v>
      </c>
      <c r="K37" t="n">
        <v>0</v>
      </c>
      <c r="L37" t="n">
        <v>0</v>
      </c>
      <c r="M37" t="n">
        <v>0</v>
      </c>
      <c r="N37" t="n">
        <v>0</v>
      </c>
      <c r="O37" t="n">
        <v>5</v>
      </c>
      <c r="P37" t="n">
        <v>0</v>
      </c>
      <c r="Q37" t="n">
        <v>9</v>
      </c>
      <c r="R37" s="2" t="inlineStr">
        <is>
          <t>Gammelgransskål
Kortskaftad ärgspik
Lunglav
Stiftgelélav
Vedtrappmossa
Korallblylav
Skinnlav
Stuplav
Blåsippa</t>
        </is>
      </c>
      <c r="S37">
        <f>HYPERLINK("https://klasma.github.io/Logging_2161/artfynd/A 33353-2024 artfynd.xlsx", "A 33353-2024")</f>
        <v/>
      </c>
      <c r="T37">
        <f>HYPERLINK("https://klasma.github.io/Logging_2161/kartor/A 33353-2024 karta.png", "A 33353-2024")</f>
        <v/>
      </c>
      <c r="V37">
        <f>HYPERLINK("https://klasma.github.io/Logging_2161/klagomål/A 33353-2024 FSC-klagomål.docx", "A 33353-2024")</f>
        <v/>
      </c>
      <c r="W37">
        <f>HYPERLINK("https://klasma.github.io/Logging_2161/klagomålsmail/A 33353-2024 FSC-klagomål mail.docx", "A 33353-2024")</f>
        <v/>
      </c>
      <c r="X37">
        <f>HYPERLINK("https://klasma.github.io/Logging_2161/tillsyn/A 33353-2024 tillsynsbegäran.docx", "A 33353-2024")</f>
        <v/>
      </c>
      <c r="Y37">
        <f>HYPERLINK("https://klasma.github.io/Logging_2161/tillsynsmail/A 33353-2024 tillsynsbegäran mail.docx", "A 33353-2024")</f>
        <v/>
      </c>
    </row>
    <row r="38" ht="15" customHeight="1">
      <c r="A38" t="inlineStr">
        <is>
          <t>A 22588-2025</t>
        </is>
      </c>
      <c r="B38" s="1" t="n">
        <v>45789.40025462963</v>
      </c>
      <c r="C38" s="1" t="n">
        <v>45883</v>
      </c>
      <c r="D38" t="inlineStr">
        <is>
          <t>GÄVLEBORGS LÄN</t>
        </is>
      </c>
      <c r="E38" t="inlineStr">
        <is>
          <t>LJUSDAL</t>
        </is>
      </c>
      <c r="F38" t="inlineStr">
        <is>
          <t>Allmännings- och besparingsskogar</t>
        </is>
      </c>
      <c r="G38" t="n">
        <v>29.7</v>
      </c>
      <c r="H38" t="n">
        <v>2</v>
      </c>
      <c r="I38" t="n">
        <v>2</v>
      </c>
      <c r="J38" t="n">
        <v>6</v>
      </c>
      <c r="K38" t="n">
        <v>1</v>
      </c>
      <c r="L38" t="n">
        <v>0</v>
      </c>
      <c r="M38" t="n">
        <v>0</v>
      </c>
      <c r="N38" t="n">
        <v>0</v>
      </c>
      <c r="O38" t="n">
        <v>7</v>
      </c>
      <c r="P38" t="n">
        <v>1</v>
      </c>
      <c r="Q38" t="n">
        <v>9</v>
      </c>
      <c r="R38" s="2" t="inlineStr">
        <is>
          <t>Knärot
Dvärgbägarlav
Garnlav
Lunglav
Mörk kolflarnlav
Ullticka
Vedskivlav
Spindelblomster
Vedticka</t>
        </is>
      </c>
      <c r="S38">
        <f>HYPERLINK("https://klasma.github.io/Logging_2161/artfynd/A 22588-2025 artfynd.xlsx", "A 22588-2025")</f>
        <v/>
      </c>
      <c r="T38">
        <f>HYPERLINK("https://klasma.github.io/Logging_2161/kartor/A 22588-2025 karta.png", "A 22588-2025")</f>
        <v/>
      </c>
      <c r="U38">
        <f>HYPERLINK("https://klasma.github.io/Logging_2161/knärot/A 22588-2025 karta knärot.png", "A 22588-2025")</f>
        <v/>
      </c>
      <c r="V38">
        <f>HYPERLINK("https://klasma.github.io/Logging_2161/klagomål/A 22588-2025 FSC-klagomål.docx", "A 22588-2025")</f>
        <v/>
      </c>
      <c r="W38">
        <f>HYPERLINK("https://klasma.github.io/Logging_2161/klagomålsmail/A 22588-2025 FSC-klagomål mail.docx", "A 22588-2025")</f>
        <v/>
      </c>
      <c r="X38">
        <f>HYPERLINK("https://klasma.github.io/Logging_2161/tillsyn/A 22588-2025 tillsynsbegäran.docx", "A 22588-2025")</f>
        <v/>
      </c>
      <c r="Y38">
        <f>HYPERLINK("https://klasma.github.io/Logging_2161/tillsynsmail/A 22588-2025 tillsynsbegäran mail.docx", "A 22588-2025")</f>
        <v/>
      </c>
    </row>
    <row r="39" ht="15" customHeight="1">
      <c r="A39" t="inlineStr">
        <is>
          <t>A 28996-2025</t>
        </is>
      </c>
      <c r="B39" s="1" t="n">
        <v>45821</v>
      </c>
      <c r="C39" s="1" t="n">
        <v>45883</v>
      </c>
      <c r="D39" t="inlineStr">
        <is>
          <t>GÄVLEBORGS LÄN</t>
        </is>
      </c>
      <c r="E39" t="inlineStr">
        <is>
          <t>LJUSDAL</t>
        </is>
      </c>
      <c r="F39" t="inlineStr">
        <is>
          <t>SCA</t>
        </is>
      </c>
      <c r="G39" t="n">
        <v>14.8</v>
      </c>
      <c r="H39" t="n">
        <v>3</v>
      </c>
      <c r="I39" t="n">
        <v>3</v>
      </c>
      <c r="J39" t="n">
        <v>4</v>
      </c>
      <c r="K39" t="n">
        <v>0</v>
      </c>
      <c r="L39" t="n">
        <v>0</v>
      </c>
      <c r="M39" t="n">
        <v>0</v>
      </c>
      <c r="N39" t="n">
        <v>0</v>
      </c>
      <c r="O39" t="n">
        <v>4</v>
      </c>
      <c r="P39" t="n">
        <v>0</v>
      </c>
      <c r="Q39" t="n">
        <v>9</v>
      </c>
      <c r="R39" s="2" t="inlineStr">
        <is>
          <t>Garnlav
Kolflarnlav
Lunglav
Mörk kolflarnlav
Bårdlav
Spindelblomster
Stuplav
Fläcknycklar
Revlummer</t>
        </is>
      </c>
      <c r="S39">
        <f>HYPERLINK("https://klasma.github.io/Logging_2161/artfynd/A 28996-2025 artfynd.xlsx", "A 28996-2025")</f>
        <v/>
      </c>
      <c r="T39">
        <f>HYPERLINK("https://klasma.github.io/Logging_2161/kartor/A 28996-2025 karta.png", "A 28996-2025")</f>
        <v/>
      </c>
      <c r="V39">
        <f>HYPERLINK("https://klasma.github.io/Logging_2161/klagomål/A 28996-2025 FSC-klagomål.docx", "A 28996-2025")</f>
        <v/>
      </c>
      <c r="W39">
        <f>HYPERLINK("https://klasma.github.io/Logging_2161/klagomålsmail/A 28996-2025 FSC-klagomål mail.docx", "A 28996-2025")</f>
        <v/>
      </c>
      <c r="X39">
        <f>HYPERLINK("https://klasma.github.io/Logging_2161/tillsyn/A 28996-2025 tillsynsbegäran.docx", "A 28996-2025")</f>
        <v/>
      </c>
      <c r="Y39">
        <f>HYPERLINK("https://klasma.github.io/Logging_2161/tillsynsmail/A 28996-2025 tillsynsbegäran mail.docx", "A 28996-2025")</f>
        <v/>
      </c>
    </row>
    <row r="40" ht="15" customHeight="1">
      <c r="A40" t="inlineStr">
        <is>
          <t>A 32589-2025</t>
        </is>
      </c>
      <c r="B40" s="1" t="n">
        <v>45838.6058912037</v>
      </c>
      <c r="C40" s="1" t="n">
        <v>45883</v>
      </c>
      <c r="D40" t="inlineStr">
        <is>
          <t>GÄVLEBORGS LÄN</t>
        </is>
      </c>
      <c r="E40" t="inlineStr">
        <is>
          <t>LJUSDAL</t>
        </is>
      </c>
      <c r="F40" t="inlineStr">
        <is>
          <t>Bergvik skog väst AB</t>
        </is>
      </c>
      <c r="G40" t="n">
        <v>7.6</v>
      </c>
      <c r="H40" t="n">
        <v>4</v>
      </c>
      <c r="I40" t="n">
        <v>4</v>
      </c>
      <c r="J40" t="n">
        <v>3</v>
      </c>
      <c r="K40" t="n">
        <v>0</v>
      </c>
      <c r="L40" t="n">
        <v>0</v>
      </c>
      <c r="M40" t="n">
        <v>0</v>
      </c>
      <c r="N40" t="n">
        <v>0</v>
      </c>
      <c r="O40" t="n">
        <v>3</v>
      </c>
      <c r="P40" t="n">
        <v>0</v>
      </c>
      <c r="Q40" t="n">
        <v>9</v>
      </c>
      <c r="R40" s="2" t="inlineStr">
        <is>
          <t>Garnlav
Lunglav
Talltita
Luddlav
Spindelblomster
Tibast
Ögonpyrola
Fläcknycklar
Nattviol</t>
        </is>
      </c>
      <c r="S40">
        <f>HYPERLINK("https://klasma.github.io/Logging_2161/artfynd/A 32589-2025 artfynd.xlsx", "A 32589-2025")</f>
        <v/>
      </c>
      <c r="T40">
        <f>HYPERLINK("https://klasma.github.io/Logging_2161/kartor/A 32589-2025 karta.png", "A 32589-2025")</f>
        <v/>
      </c>
      <c r="U40">
        <f>HYPERLINK("https://klasma.github.io/Logging_2161/knärot/A 32589-2025 karta knärot.png", "A 32589-2025")</f>
        <v/>
      </c>
      <c r="V40">
        <f>HYPERLINK("https://klasma.github.io/Logging_2161/klagomål/A 32589-2025 FSC-klagomål.docx", "A 32589-2025")</f>
        <v/>
      </c>
      <c r="W40">
        <f>HYPERLINK("https://klasma.github.io/Logging_2161/klagomålsmail/A 32589-2025 FSC-klagomål mail.docx", "A 32589-2025")</f>
        <v/>
      </c>
      <c r="X40">
        <f>HYPERLINK("https://klasma.github.io/Logging_2161/tillsyn/A 32589-2025 tillsynsbegäran.docx", "A 32589-2025")</f>
        <v/>
      </c>
      <c r="Y40">
        <f>HYPERLINK("https://klasma.github.io/Logging_2161/tillsynsmail/A 32589-2025 tillsynsbegäran mail.docx", "A 32589-2025")</f>
        <v/>
      </c>
      <c r="Z40">
        <f>HYPERLINK("https://klasma.github.io/Logging_2161/fåglar/A 32589-2025 prioriterade fågelarter.docx", "A 32589-2025")</f>
        <v/>
      </c>
    </row>
    <row r="41" ht="15" customHeight="1">
      <c r="A41" t="inlineStr">
        <is>
          <t>A 31590-2025</t>
        </is>
      </c>
      <c r="B41" s="1" t="n">
        <v>45833.6953587963</v>
      </c>
      <c r="C41" s="1" t="n">
        <v>45883</v>
      </c>
      <c r="D41" t="inlineStr">
        <is>
          <t>GÄVLEBORGS LÄN</t>
        </is>
      </c>
      <c r="E41" t="inlineStr">
        <is>
          <t>GÄVLE</t>
        </is>
      </c>
      <c r="G41" t="n">
        <v>4.5</v>
      </c>
      <c r="H41" t="n">
        <v>3</v>
      </c>
      <c r="I41" t="n">
        <v>3</v>
      </c>
      <c r="J41" t="n">
        <v>3</v>
      </c>
      <c r="K41" t="n">
        <v>1</v>
      </c>
      <c r="L41" t="n">
        <v>0</v>
      </c>
      <c r="M41" t="n">
        <v>0</v>
      </c>
      <c r="N41" t="n">
        <v>0</v>
      </c>
      <c r="O41" t="n">
        <v>4</v>
      </c>
      <c r="P41" t="n">
        <v>1</v>
      </c>
      <c r="Q41" t="n">
        <v>9</v>
      </c>
      <c r="R41" s="2" t="inlineStr">
        <is>
          <t>Knärot
Gränsticka
Orange taggsvamp
Ullticka
Dropptaggsvamp
Grönpyrola
Vedticka
Tjäder
Revlummer</t>
        </is>
      </c>
      <c r="S41">
        <f>HYPERLINK("https://klasma.github.io/Logging_2180/artfynd/A 31590-2025 artfynd.xlsx", "A 31590-2025")</f>
        <v/>
      </c>
      <c r="T41">
        <f>HYPERLINK("https://klasma.github.io/Logging_2180/kartor/A 31590-2025 karta.png", "A 31590-2025")</f>
        <v/>
      </c>
      <c r="U41">
        <f>HYPERLINK("https://klasma.github.io/Logging_2180/knärot/A 31590-2025 karta knärot.png", "A 31590-2025")</f>
        <v/>
      </c>
      <c r="V41">
        <f>HYPERLINK("https://klasma.github.io/Logging_2180/klagomål/A 31590-2025 FSC-klagomål.docx", "A 31590-2025")</f>
        <v/>
      </c>
      <c r="W41">
        <f>HYPERLINK("https://klasma.github.io/Logging_2180/klagomålsmail/A 31590-2025 FSC-klagomål mail.docx", "A 31590-2025")</f>
        <v/>
      </c>
      <c r="X41">
        <f>HYPERLINK("https://klasma.github.io/Logging_2180/tillsyn/A 31590-2025 tillsynsbegäran.docx", "A 31590-2025")</f>
        <v/>
      </c>
      <c r="Y41">
        <f>HYPERLINK("https://klasma.github.io/Logging_2180/tillsynsmail/A 31590-2025 tillsynsbegäran mail.docx", "A 31590-2025")</f>
        <v/>
      </c>
      <c r="Z41">
        <f>HYPERLINK("https://klasma.github.io/Logging_2180/fåglar/A 31590-2025 prioriterade fågelarter.docx", "A 31590-2025")</f>
        <v/>
      </c>
    </row>
    <row r="42" ht="15" customHeight="1">
      <c r="A42" t="inlineStr">
        <is>
          <t>A 528-2024</t>
        </is>
      </c>
      <c r="B42" s="1" t="n">
        <v>45299</v>
      </c>
      <c r="C42" s="1" t="n">
        <v>45883</v>
      </c>
      <c r="D42" t="inlineStr">
        <is>
          <t>GÄVLEBORGS LÄN</t>
        </is>
      </c>
      <c r="E42" t="inlineStr">
        <is>
          <t>HOFORS</t>
        </is>
      </c>
      <c r="G42" t="n">
        <v>1.1</v>
      </c>
      <c r="H42" t="n">
        <v>1</v>
      </c>
      <c r="I42" t="n">
        <v>3</v>
      </c>
      <c r="J42" t="n">
        <v>4</v>
      </c>
      <c r="K42" t="n">
        <v>1</v>
      </c>
      <c r="L42" t="n">
        <v>0</v>
      </c>
      <c r="M42" t="n">
        <v>0</v>
      </c>
      <c r="N42" t="n">
        <v>0</v>
      </c>
      <c r="O42" t="n">
        <v>5</v>
      </c>
      <c r="P42" t="n">
        <v>1</v>
      </c>
      <c r="Q42" t="n">
        <v>9</v>
      </c>
      <c r="R42" s="2" t="inlineStr">
        <is>
          <t>Koppartaggsvamp
Flattoppad klubbsvamp
Gultoppig fingersvamp
Svart taggsvamp
Ullticka
Dropptaggsvamp
Fjällig taggsvamp s.str.
Svavelriska
Blåsippa</t>
        </is>
      </c>
      <c r="S42">
        <f>HYPERLINK("https://klasma.github.io/Logging_2104/artfynd/A 528-2024 artfynd.xlsx", "A 528-2024")</f>
        <v/>
      </c>
      <c r="T42">
        <f>HYPERLINK("https://klasma.github.io/Logging_2104/kartor/A 528-2024 karta.png", "A 528-2024")</f>
        <v/>
      </c>
      <c r="V42">
        <f>HYPERLINK("https://klasma.github.io/Logging_2104/klagomål/A 528-2024 FSC-klagomål.docx", "A 528-2024")</f>
        <v/>
      </c>
      <c r="W42">
        <f>HYPERLINK("https://klasma.github.io/Logging_2104/klagomålsmail/A 528-2024 FSC-klagomål mail.docx", "A 528-2024")</f>
        <v/>
      </c>
      <c r="X42">
        <f>HYPERLINK("https://klasma.github.io/Logging_2104/tillsyn/A 528-2024 tillsynsbegäran.docx", "A 528-2024")</f>
        <v/>
      </c>
      <c r="Y42">
        <f>HYPERLINK("https://klasma.github.io/Logging_2104/tillsynsmail/A 528-2024 tillsynsbegäran mail.docx", "A 528-2024")</f>
        <v/>
      </c>
    </row>
    <row r="43" ht="15" customHeight="1">
      <c r="A43" t="inlineStr">
        <is>
          <t>A 46692-2020</t>
        </is>
      </c>
      <c r="B43" s="1" t="n">
        <v>44095</v>
      </c>
      <c r="C43" s="1" t="n">
        <v>45883</v>
      </c>
      <c r="D43" t="inlineStr">
        <is>
          <t>GÄVLEBORGS LÄN</t>
        </is>
      </c>
      <c r="E43" t="inlineStr">
        <is>
          <t>BOLLNÄS</t>
        </is>
      </c>
      <c r="F43" t="inlineStr">
        <is>
          <t>Sveaskog</t>
        </is>
      </c>
      <c r="G43" t="n">
        <v>5.8</v>
      </c>
      <c r="H43" t="n">
        <v>2</v>
      </c>
      <c r="I43" t="n">
        <v>0</v>
      </c>
      <c r="J43" t="n">
        <v>6</v>
      </c>
      <c r="K43" t="n">
        <v>2</v>
      </c>
      <c r="L43" t="n">
        <v>0</v>
      </c>
      <c r="M43" t="n">
        <v>0</v>
      </c>
      <c r="N43" t="n">
        <v>0</v>
      </c>
      <c r="O43" t="n">
        <v>8</v>
      </c>
      <c r="P43" t="n">
        <v>2</v>
      </c>
      <c r="Q43" t="n">
        <v>8</v>
      </c>
      <c r="R43" s="2" t="inlineStr">
        <is>
          <t>Knärot
Rynkskinn
Garnlav
Gropig brunbagge
Gränsticka
Rosenticka
Tretåig hackspett
Ullticka</t>
        </is>
      </c>
      <c r="S43">
        <f>HYPERLINK("https://klasma.github.io/Logging_2183/artfynd/A 46692-2020 artfynd.xlsx", "A 46692-2020")</f>
        <v/>
      </c>
      <c r="T43">
        <f>HYPERLINK("https://klasma.github.io/Logging_2183/kartor/A 46692-2020 karta.png", "A 46692-2020")</f>
        <v/>
      </c>
      <c r="U43">
        <f>HYPERLINK("https://klasma.github.io/Logging_2183/knärot/A 46692-2020 karta knärot.png", "A 46692-2020")</f>
        <v/>
      </c>
      <c r="V43">
        <f>HYPERLINK("https://klasma.github.io/Logging_2183/klagomål/A 46692-2020 FSC-klagomål.docx", "A 46692-2020")</f>
        <v/>
      </c>
      <c r="W43">
        <f>HYPERLINK("https://klasma.github.io/Logging_2183/klagomålsmail/A 46692-2020 FSC-klagomål mail.docx", "A 46692-2020")</f>
        <v/>
      </c>
      <c r="X43">
        <f>HYPERLINK("https://klasma.github.io/Logging_2183/tillsyn/A 46692-2020 tillsynsbegäran.docx", "A 46692-2020")</f>
        <v/>
      </c>
      <c r="Y43">
        <f>HYPERLINK("https://klasma.github.io/Logging_2183/tillsynsmail/A 46692-2020 tillsynsbegäran mail.docx", "A 46692-2020")</f>
        <v/>
      </c>
      <c r="Z43">
        <f>HYPERLINK("https://klasma.github.io/Logging_2183/fåglar/A 46692-2020 prioriterade fågelarter.docx", "A 46692-2020")</f>
        <v/>
      </c>
    </row>
    <row r="44" ht="15" customHeight="1">
      <c r="A44" t="inlineStr">
        <is>
          <t>A 69572-2020</t>
        </is>
      </c>
      <c r="B44" s="1" t="n">
        <v>44194</v>
      </c>
      <c r="C44" s="1" t="n">
        <v>45883</v>
      </c>
      <c r="D44" t="inlineStr">
        <is>
          <t>GÄVLEBORGS LÄN</t>
        </is>
      </c>
      <c r="E44" t="inlineStr">
        <is>
          <t>LJUSDAL</t>
        </is>
      </c>
      <c r="G44" t="n">
        <v>16.1</v>
      </c>
      <c r="H44" t="n">
        <v>2</v>
      </c>
      <c r="I44" t="n">
        <v>3</v>
      </c>
      <c r="J44" t="n">
        <v>2</v>
      </c>
      <c r="K44" t="n">
        <v>2</v>
      </c>
      <c r="L44" t="n">
        <v>0</v>
      </c>
      <c r="M44" t="n">
        <v>0</v>
      </c>
      <c r="N44" t="n">
        <v>0</v>
      </c>
      <c r="O44" t="n">
        <v>4</v>
      </c>
      <c r="P44" t="n">
        <v>2</v>
      </c>
      <c r="Q44" t="n">
        <v>8</v>
      </c>
      <c r="R44" s="2" t="inlineStr">
        <is>
          <t>Knärot
Rynkskinn
Garnlav
Rosenticka
Stuplav
Vedticka
Vårärt
Nattviol</t>
        </is>
      </c>
      <c r="S44">
        <f>HYPERLINK("https://klasma.github.io/Logging_2161/artfynd/A 69572-2020 artfynd.xlsx", "A 69572-2020")</f>
        <v/>
      </c>
      <c r="T44">
        <f>HYPERLINK("https://klasma.github.io/Logging_2161/kartor/A 69572-2020 karta.png", "A 69572-2020")</f>
        <v/>
      </c>
      <c r="U44">
        <f>HYPERLINK("https://klasma.github.io/Logging_2161/knärot/A 69572-2020 karta knärot.png", "A 69572-2020")</f>
        <v/>
      </c>
      <c r="V44">
        <f>HYPERLINK("https://klasma.github.io/Logging_2161/klagomål/A 69572-2020 FSC-klagomål.docx", "A 69572-2020")</f>
        <v/>
      </c>
      <c r="W44">
        <f>HYPERLINK("https://klasma.github.io/Logging_2161/klagomålsmail/A 69572-2020 FSC-klagomål mail.docx", "A 69572-2020")</f>
        <v/>
      </c>
      <c r="X44">
        <f>HYPERLINK("https://klasma.github.io/Logging_2161/tillsyn/A 69572-2020 tillsynsbegäran.docx", "A 69572-2020")</f>
        <v/>
      </c>
      <c r="Y44">
        <f>HYPERLINK("https://klasma.github.io/Logging_2161/tillsynsmail/A 69572-2020 tillsynsbegäran mail.docx", "A 69572-2020")</f>
        <v/>
      </c>
    </row>
    <row r="45" ht="15" customHeight="1">
      <c r="A45" t="inlineStr">
        <is>
          <t>A 20596-2025</t>
        </is>
      </c>
      <c r="B45" s="1" t="n">
        <v>45775.74341435185</v>
      </c>
      <c r="C45" s="1" t="n">
        <v>45883</v>
      </c>
      <c r="D45" t="inlineStr">
        <is>
          <t>GÄVLEBORGS LÄN</t>
        </is>
      </c>
      <c r="E45" t="inlineStr">
        <is>
          <t>LJUSDAL</t>
        </is>
      </c>
      <c r="F45" t="inlineStr">
        <is>
          <t>Sveaskog</t>
        </is>
      </c>
      <c r="G45" t="n">
        <v>15.7</v>
      </c>
      <c r="H45" t="n">
        <v>5</v>
      </c>
      <c r="I45" t="n">
        <v>2</v>
      </c>
      <c r="J45" t="n">
        <v>2</v>
      </c>
      <c r="K45" t="n">
        <v>1</v>
      </c>
      <c r="L45" t="n">
        <v>0</v>
      </c>
      <c r="M45" t="n">
        <v>0</v>
      </c>
      <c r="N45" t="n">
        <v>0</v>
      </c>
      <c r="O45" t="n">
        <v>3</v>
      </c>
      <c r="P45" t="n">
        <v>1</v>
      </c>
      <c r="Q45" t="n">
        <v>8</v>
      </c>
      <c r="R45" s="2" t="inlineStr">
        <is>
          <t>Knärot
Kolflarnlav
Mörk kolflarnlav
Gräsull
Korallrot
Grönsiska
Fläcknycklar
Mattlummer</t>
        </is>
      </c>
      <c r="S45">
        <f>HYPERLINK("https://klasma.github.io/Logging_2161/artfynd/A 20596-2025 artfynd.xlsx", "A 20596-2025")</f>
        <v/>
      </c>
      <c r="T45">
        <f>HYPERLINK("https://klasma.github.io/Logging_2161/kartor/A 20596-2025 karta.png", "A 20596-2025")</f>
        <v/>
      </c>
      <c r="U45">
        <f>HYPERLINK("https://klasma.github.io/Logging_2161/knärot/A 20596-2025 karta knärot.png", "A 20596-2025")</f>
        <v/>
      </c>
      <c r="V45">
        <f>HYPERLINK("https://klasma.github.io/Logging_2161/klagomål/A 20596-2025 FSC-klagomål.docx", "A 20596-2025")</f>
        <v/>
      </c>
      <c r="W45">
        <f>HYPERLINK("https://klasma.github.io/Logging_2161/klagomålsmail/A 20596-2025 FSC-klagomål mail.docx", "A 20596-2025")</f>
        <v/>
      </c>
      <c r="X45">
        <f>HYPERLINK("https://klasma.github.io/Logging_2161/tillsyn/A 20596-2025 tillsynsbegäran.docx", "A 20596-2025")</f>
        <v/>
      </c>
      <c r="Y45">
        <f>HYPERLINK("https://klasma.github.io/Logging_2161/tillsynsmail/A 20596-2025 tillsynsbegäran mail.docx", "A 20596-2025")</f>
        <v/>
      </c>
      <c r="Z45">
        <f>HYPERLINK("https://klasma.github.io/Logging_2161/fåglar/A 20596-2025 prioriterade fågelarter.docx", "A 20596-2025")</f>
        <v/>
      </c>
    </row>
    <row r="46" ht="15" customHeight="1">
      <c r="A46" t="inlineStr">
        <is>
          <t>A 20659-2024</t>
        </is>
      </c>
      <c r="B46" s="1" t="n">
        <v>45436</v>
      </c>
      <c r="C46" s="1" t="n">
        <v>45883</v>
      </c>
      <c r="D46" t="inlineStr">
        <is>
          <t>GÄVLEBORGS LÄN</t>
        </is>
      </c>
      <c r="E46" t="inlineStr">
        <is>
          <t>LJUSDAL</t>
        </is>
      </c>
      <c r="F46" t="inlineStr">
        <is>
          <t>Sveaskog</t>
        </is>
      </c>
      <c r="G46" t="n">
        <v>17.9</v>
      </c>
      <c r="H46" t="n">
        <v>2</v>
      </c>
      <c r="I46" t="n">
        <v>3</v>
      </c>
      <c r="J46" t="n">
        <v>4</v>
      </c>
      <c r="K46" t="n">
        <v>0</v>
      </c>
      <c r="L46" t="n">
        <v>0</v>
      </c>
      <c r="M46" t="n">
        <v>0</v>
      </c>
      <c r="N46" t="n">
        <v>0</v>
      </c>
      <c r="O46" t="n">
        <v>4</v>
      </c>
      <c r="P46" t="n">
        <v>0</v>
      </c>
      <c r="Q46" t="n">
        <v>8</v>
      </c>
      <c r="R46" s="2" t="inlineStr">
        <is>
          <t>Kolflarnlav
Lunglav
Skogshare
Talltita
Skarp dropptaggsvamp
Stuplav
Vedticka
Revlummer</t>
        </is>
      </c>
      <c r="S46">
        <f>HYPERLINK("https://klasma.github.io/Logging_2161/artfynd/A 20659-2024 artfynd.xlsx", "A 20659-2024")</f>
        <v/>
      </c>
      <c r="T46">
        <f>HYPERLINK("https://klasma.github.io/Logging_2161/kartor/A 20659-2024 karta.png", "A 20659-2024")</f>
        <v/>
      </c>
      <c r="V46">
        <f>HYPERLINK("https://klasma.github.io/Logging_2161/klagomål/A 20659-2024 FSC-klagomål.docx", "A 20659-2024")</f>
        <v/>
      </c>
      <c r="W46">
        <f>HYPERLINK("https://klasma.github.io/Logging_2161/klagomålsmail/A 20659-2024 FSC-klagomål mail.docx", "A 20659-2024")</f>
        <v/>
      </c>
      <c r="X46">
        <f>HYPERLINK("https://klasma.github.io/Logging_2161/tillsyn/A 20659-2024 tillsynsbegäran.docx", "A 20659-2024")</f>
        <v/>
      </c>
      <c r="Y46">
        <f>HYPERLINK("https://klasma.github.io/Logging_2161/tillsynsmail/A 20659-2024 tillsynsbegäran mail.docx", "A 20659-2024")</f>
        <v/>
      </c>
      <c r="Z46">
        <f>HYPERLINK("https://klasma.github.io/Logging_2161/fåglar/A 20659-2024 prioriterade fågelarter.docx", "A 20659-2024")</f>
        <v/>
      </c>
    </row>
    <row r="47" ht="15" customHeight="1">
      <c r="A47" t="inlineStr">
        <is>
          <t>A 29238-2025</t>
        </is>
      </c>
      <c r="B47" s="1" t="n">
        <v>45824.35363425926</v>
      </c>
      <c r="C47" s="1" t="n">
        <v>45883</v>
      </c>
      <c r="D47" t="inlineStr">
        <is>
          <t>GÄVLEBORGS LÄN</t>
        </is>
      </c>
      <c r="E47" t="inlineStr">
        <is>
          <t>LJUSDAL</t>
        </is>
      </c>
      <c r="F47" t="inlineStr">
        <is>
          <t>Bergvik skog väst AB</t>
        </is>
      </c>
      <c r="G47" t="n">
        <v>9.199999999999999</v>
      </c>
      <c r="H47" t="n">
        <v>0</v>
      </c>
      <c r="I47" t="n">
        <v>5</v>
      </c>
      <c r="J47" t="n">
        <v>3</v>
      </c>
      <c r="K47" t="n">
        <v>0</v>
      </c>
      <c r="L47" t="n">
        <v>0</v>
      </c>
      <c r="M47" t="n">
        <v>0</v>
      </c>
      <c r="N47" t="n">
        <v>0</v>
      </c>
      <c r="O47" t="n">
        <v>3</v>
      </c>
      <c r="P47" t="n">
        <v>0</v>
      </c>
      <c r="Q47" t="n">
        <v>8</v>
      </c>
      <c r="R47" s="2" t="inlineStr">
        <is>
          <t>Doftskinn
Kortskaftad ärgspik
Vedskivlav
Dvärgtufs
Mörk husmossa
Skinnlav
Stuplav
Vedticka</t>
        </is>
      </c>
      <c r="S47">
        <f>HYPERLINK("https://klasma.github.io/Logging_2161/artfynd/A 29238-2025 artfynd.xlsx", "A 29238-2025")</f>
        <v/>
      </c>
      <c r="T47">
        <f>HYPERLINK("https://klasma.github.io/Logging_2161/kartor/A 29238-2025 karta.png", "A 29238-2025")</f>
        <v/>
      </c>
      <c r="V47">
        <f>HYPERLINK("https://klasma.github.io/Logging_2161/klagomål/A 29238-2025 FSC-klagomål.docx", "A 29238-2025")</f>
        <v/>
      </c>
      <c r="W47">
        <f>HYPERLINK("https://klasma.github.io/Logging_2161/klagomålsmail/A 29238-2025 FSC-klagomål mail.docx", "A 29238-2025")</f>
        <v/>
      </c>
      <c r="X47">
        <f>HYPERLINK("https://klasma.github.io/Logging_2161/tillsyn/A 29238-2025 tillsynsbegäran.docx", "A 29238-2025")</f>
        <v/>
      </c>
      <c r="Y47">
        <f>HYPERLINK("https://klasma.github.io/Logging_2161/tillsynsmail/A 29238-2025 tillsynsbegäran mail.docx", "A 29238-2025")</f>
        <v/>
      </c>
    </row>
    <row r="48" ht="15" customHeight="1">
      <c r="A48" t="inlineStr">
        <is>
          <t>A 49148-2021</t>
        </is>
      </c>
      <c r="B48" s="1" t="n">
        <v>44453</v>
      </c>
      <c r="C48" s="1" t="n">
        <v>45883</v>
      </c>
      <c r="D48" t="inlineStr">
        <is>
          <t>GÄVLEBORGS LÄN</t>
        </is>
      </c>
      <c r="E48" t="inlineStr">
        <is>
          <t>HUDIKSVALL</t>
        </is>
      </c>
      <c r="G48" t="n">
        <v>6.2</v>
      </c>
      <c r="H48" t="n">
        <v>4</v>
      </c>
      <c r="I48" t="n">
        <v>2</v>
      </c>
      <c r="J48" t="n">
        <v>1</v>
      </c>
      <c r="K48" t="n">
        <v>0</v>
      </c>
      <c r="L48" t="n">
        <v>0</v>
      </c>
      <c r="M48" t="n">
        <v>0</v>
      </c>
      <c r="N48" t="n">
        <v>0</v>
      </c>
      <c r="O48" t="n">
        <v>1</v>
      </c>
      <c r="P48" t="n">
        <v>0</v>
      </c>
      <c r="Q48" t="n">
        <v>7</v>
      </c>
      <c r="R48" s="2" t="inlineStr">
        <is>
          <t>Backruta
Tibast
Ögonpyrola
Brudsporre
Nattviol
Blåsippa
Revlummer</t>
        </is>
      </c>
      <c r="S48">
        <f>HYPERLINK("https://klasma.github.io/Logging_2184/artfynd/A 49148-2021 artfynd.xlsx", "A 49148-2021")</f>
        <v/>
      </c>
      <c r="T48">
        <f>HYPERLINK("https://klasma.github.io/Logging_2184/kartor/A 49148-2021 karta.png", "A 49148-2021")</f>
        <v/>
      </c>
      <c r="V48">
        <f>HYPERLINK("https://klasma.github.io/Logging_2184/klagomål/A 49148-2021 FSC-klagomål.docx", "A 49148-2021")</f>
        <v/>
      </c>
      <c r="W48">
        <f>HYPERLINK("https://klasma.github.io/Logging_2184/klagomålsmail/A 49148-2021 FSC-klagomål mail.docx", "A 49148-2021")</f>
        <v/>
      </c>
      <c r="X48">
        <f>HYPERLINK("https://klasma.github.io/Logging_2184/tillsyn/A 49148-2021 tillsynsbegäran.docx", "A 49148-2021")</f>
        <v/>
      </c>
      <c r="Y48">
        <f>HYPERLINK("https://klasma.github.io/Logging_2184/tillsynsmail/A 49148-2021 tillsynsbegäran mail.docx", "A 49148-2021")</f>
        <v/>
      </c>
    </row>
    <row r="49" ht="15" customHeight="1">
      <c r="A49" t="inlineStr">
        <is>
          <t>A 42763-2021</t>
        </is>
      </c>
      <c r="B49" s="1" t="n">
        <v>44428.64527777778</v>
      </c>
      <c r="C49" s="1" t="n">
        <v>45883</v>
      </c>
      <c r="D49" t="inlineStr">
        <is>
          <t>GÄVLEBORGS LÄN</t>
        </is>
      </c>
      <c r="E49" t="inlineStr">
        <is>
          <t>LJUSDAL</t>
        </is>
      </c>
      <c r="F49" t="inlineStr">
        <is>
          <t>Sveaskog</t>
        </is>
      </c>
      <c r="G49" t="n">
        <v>8.800000000000001</v>
      </c>
      <c r="H49" t="n">
        <v>2</v>
      </c>
      <c r="I49" t="n">
        <v>0</v>
      </c>
      <c r="J49" t="n">
        <v>5</v>
      </c>
      <c r="K49" t="n">
        <v>1</v>
      </c>
      <c r="L49" t="n">
        <v>0</v>
      </c>
      <c r="M49" t="n">
        <v>0</v>
      </c>
      <c r="N49" t="n">
        <v>0</v>
      </c>
      <c r="O49" t="n">
        <v>6</v>
      </c>
      <c r="P49" t="n">
        <v>1</v>
      </c>
      <c r="Q49" t="n">
        <v>7</v>
      </c>
      <c r="R49" s="2" t="inlineStr">
        <is>
          <t>Knärot
Garnlav
Knottrig blåslav
Lunglav
Skrovellav
Ullticka
Fläcknycklar</t>
        </is>
      </c>
      <c r="S49">
        <f>HYPERLINK("https://klasma.github.io/Logging_2161/artfynd/A 42763-2021 artfynd.xlsx", "A 42763-2021")</f>
        <v/>
      </c>
      <c r="T49">
        <f>HYPERLINK("https://klasma.github.io/Logging_2161/kartor/A 42763-2021 karta.png", "A 42763-2021")</f>
        <v/>
      </c>
      <c r="U49">
        <f>HYPERLINK("https://klasma.github.io/Logging_2161/knärot/A 42763-2021 karta knärot.png", "A 42763-2021")</f>
        <v/>
      </c>
      <c r="V49">
        <f>HYPERLINK("https://klasma.github.io/Logging_2161/klagomål/A 42763-2021 FSC-klagomål.docx", "A 42763-2021")</f>
        <v/>
      </c>
      <c r="W49">
        <f>HYPERLINK("https://klasma.github.io/Logging_2161/klagomålsmail/A 42763-2021 FSC-klagomål mail.docx", "A 42763-2021")</f>
        <v/>
      </c>
      <c r="X49">
        <f>HYPERLINK("https://klasma.github.io/Logging_2161/tillsyn/A 42763-2021 tillsynsbegäran.docx", "A 42763-2021")</f>
        <v/>
      </c>
      <c r="Y49">
        <f>HYPERLINK("https://klasma.github.io/Logging_2161/tillsynsmail/A 42763-2021 tillsynsbegäran mail.docx", "A 42763-2021")</f>
        <v/>
      </c>
    </row>
    <row r="50" ht="15" customHeight="1">
      <c r="A50" t="inlineStr">
        <is>
          <t>A 51222-2023</t>
        </is>
      </c>
      <c r="B50" s="1" t="n">
        <v>45219.45547453704</v>
      </c>
      <c r="C50" s="1" t="n">
        <v>45883</v>
      </c>
      <c r="D50" t="inlineStr">
        <is>
          <t>GÄVLEBORGS LÄN</t>
        </is>
      </c>
      <c r="E50" t="inlineStr">
        <is>
          <t>LJUSDAL</t>
        </is>
      </c>
      <c r="F50" t="inlineStr">
        <is>
          <t>Sveaskog</t>
        </is>
      </c>
      <c r="G50" t="n">
        <v>6.5</v>
      </c>
      <c r="H50" t="n">
        <v>4</v>
      </c>
      <c r="I50" t="n">
        <v>1</v>
      </c>
      <c r="J50" t="n">
        <v>4</v>
      </c>
      <c r="K50" t="n">
        <v>1</v>
      </c>
      <c r="L50" t="n">
        <v>0</v>
      </c>
      <c r="M50" t="n">
        <v>0</v>
      </c>
      <c r="N50" t="n">
        <v>0</v>
      </c>
      <c r="O50" t="n">
        <v>5</v>
      </c>
      <c r="P50" t="n">
        <v>1</v>
      </c>
      <c r="Q50" t="n">
        <v>7</v>
      </c>
      <c r="R50" s="2" t="inlineStr">
        <is>
          <t>Knärot
Garnlav
Lunglav
Tretåig hackspett
Violettgrå tagellav
Plattlummer
Lavskrika</t>
        </is>
      </c>
      <c r="S50">
        <f>HYPERLINK("https://klasma.github.io/Logging_2161/artfynd/A 51222-2023 artfynd.xlsx", "A 51222-2023")</f>
        <v/>
      </c>
      <c r="T50">
        <f>HYPERLINK("https://klasma.github.io/Logging_2161/kartor/A 51222-2023 karta.png", "A 51222-2023")</f>
        <v/>
      </c>
      <c r="U50">
        <f>HYPERLINK("https://klasma.github.io/Logging_2161/knärot/A 51222-2023 karta knärot.png", "A 51222-2023")</f>
        <v/>
      </c>
      <c r="V50">
        <f>HYPERLINK("https://klasma.github.io/Logging_2161/klagomål/A 51222-2023 FSC-klagomål.docx", "A 51222-2023")</f>
        <v/>
      </c>
      <c r="W50">
        <f>HYPERLINK("https://klasma.github.io/Logging_2161/klagomålsmail/A 51222-2023 FSC-klagomål mail.docx", "A 51222-2023")</f>
        <v/>
      </c>
      <c r="X50">
        <f>HYPERLINK("https://klasma.github.io/Logging_2161/tillsyn/A 51222-2023 tillsynsbegäran.docx", "A 51222-2023")</f>
        <v/>
      </c>
      <c r="Y50">
        <f>HYPERLINK("https://klasma.github.io/Logging_2161/tillsynsmail/A 51222-2023 tillsynsbegäran mail.docx", "A 51222-2023")</f>
        <v/>
      </c>
      <c r="Z50">
        <f>HYPERLINK("https://klasma.github.io/Logging_2161/fåglar/A 51222-2023 prioriterade fågelarter.docx", "A 51222-2023")</f>
        <v/>
      </c>
    </row>
    <row r="51" ht="15" customHeight="1">
      <c r="A51" t="inlineStr">
        <is>
          <t>A 29705-2021</t>
        </is>
      </c>
      <c r="B51" s="1" t="n">
        <v>44362</v>
      </c>
      <c r="C51" s="1" t="n">
        <v>45883</v>
      </c>
      <c r="D51" t="inlineStr">
        <is>
          <t>GÄVLEBORGS LÄN</t>
        </is>
      </c>
      <c r="E51" t="inlineStr">
        <is>
          <t>HUDIKSVALL</t>
        </is>
      </c>
      <c r="F51" t="inlineStr">
        <is>
          <t>Holmen skog AB</t>
        </is>
      </c>
      <c r="G51" t="n">
        <v>45</v>
      </c>
      <c r="H51" t="n">
        <v>5</v>
      </c>
      <c r="I51" t="n">
        <v>4</v>
      </c>
      <c r="J51" t="n">
        <v>1</v>
      </c>
      <c r="K51" t="n">
        <v>0</v>
      </c>
      <c r="L51" t="n">
        <v>0</v>
      </c>
      <c r="M51" t="n">
        <v>0</v>
      </c>
      <c r="N51" t="n">
        <v>0</v>
      </c>
      <c r="O51" t="n">
        <v>1</v>
      </c>
      <c r="P51" t="n">
        <v>0</v>
      </c>
      <c r="Q51" t="n">
        <v>7</v>
      </c>
      <c r="R51" s="2" t="inlineStr">
        <is>
          <t>Storgröe
Korallrot
Spindelblomster
Tvåblad
Ögonpyrola
Fläcknycklar
Revlummer</t>
        </is>
      </c>
      <c r="S51">
        <f>HYPERLINK("https://klasma.github.io/Logging_2184/artfynd/A 29705-2021 artfynd.xlsx", "A 29705-2021")</f>
        <v/>
      </c>
      <c r="T51">
        <f>HYPERLINK("https://klasma.github.io/Logging_2184/kartor/A 29705-2021 karta.png", "A 29705-2021")</f>
        <v/>
      </c>
      <c r="U51">
        <f>HYPERLINK("https://klasma.github.io/Logging_2184/knärot/A 29705-2021 karta knärot.png", "A 29705-2021")</f>
        <v/>
      </c>
      <c r="V51">
        <f>HYPERLINK("https://klasma.github.io/Logging_2184/klagomål/A 29705-2021 FSC-klagomål.docx", "A 29705-2021")</f>
        <v/>
      </c>
      <c r="W51">
        <f>HYPERLINK("https://klasma.github.io/Logging_2184/klagomålsmail/A 29705-2021 FSC-klagomål mail.docx", "A 29705-2021")</f>
        <v/>
      </c>
      <c r="X51">
        <f>HYPERLINK("https://klasma.github.io/Logging_2184/tillsyn/A 29705-2021 tillsynsbegäran.docx", "A 29705-2021")</f>
        <v/>
      </c>
      <c r="Y51">
        <f>HYPERLINK("https://klasma.github.io/Logging_2184/tillsynsmail/A 29705-2021 tillsynsbegäran mail.docx", "A 29705-2021")</f>
        <v/>
      </c>
    </row>
    <row r="52" ht="15" customHeight="1">
      <c r="A52" t="inlineStr">
        <is>
          <t>A 21134-2024</t>
        </is>
      </c>
      <c r="B52" s="1" t="n">
        <v>45440</v>
      </c>
      <c r="C52" s="1" t="n">
        <v>45883</v>
      </c>
      <c r="D52" t="inlineStr">
        <is>
          <t>GÄVLEBORGS LÄN</t>
        </is>
      </c>
      <c r="E52" t="inlineStr">
        <is>
          <t>LJUSDAL</t>
        </is>
      </c>
      <c r="G52" t="n">
        <v>3.2</v>
      </c>
      <c r="H52" t="n">
        <v>5</v>
      </c>
      <c r="I52" t="n">
        <v>0</v>
      </c>
      <c r="J52" t="n">
        <v>3</v>
      </c>
      <c r="K52" t="n">
        <v>2</v>
      </c>
      <c r="L52" t="n">
        <v>0</v>
      </c>
      <c r="M52" t="n">
        <v>0</v>
      </c>
      <c r="N52" t="n">
        <v>0</v>
      </c>
      <c r="O52" t="n">
        <v>5</v>
      </c>
      <c r="P52" t="n">
        <v>2</v>
      </c>
      <c r="Q52" t="n">
        <v>7</v>
      </c>
      <c r="R52" s="2" t="inlineStr">
        <is>
          <t>Knärot
Tofsvipa
Kolflarnlav
Talltita
Vedflamlav
Grönsiska
Kungsfågel</t>
        </is>
      </c>
      <c r="S52">
        <f>HYPERLINK("https://klasma.github.io/Logging_2161/artfynd/A 21134-2024 artfynd.xlsx", "A 21134-2024")</f>
        <v/>
      </c>
      <c r="T52">
        <f>HYPERLINK("https://klasma.github.io/Logging_2161/kartor/A 21134-2024 karta.png", "A 21134-2024")</f>
        <v/>
      </c>
      <c r="U52">
        <f>HYPERLINK("https://klasma.github.io/Logging_2161/knärot/A 21134-2024 karta knärot.png", "A 21134-2024")</f>
        <v/>
      </c>
      <c r="V52">
        <f>HYPERLINK("https://klasma.github.io/Logging_2161/klagomål/A 21134-2024 FSC-klagomål.docx", "A 21134-2024")</f>
        <v/>
      </c>
      <c r="W52">
        <f>HYPERLINK("https://klasma.github.io/Logging_2161/klagomålsmail/A 21134-2024 FSC-klagomål mail.docx", "A 21134-2024")</f>
        <v/>
      </c>
      <c r="X52">
        <f>HYPERLINK("https://klasma.github.io/Logging_2161/tillsyn/A 21134-2024 tillsynsbegäran.docx", "A 21134-2024")</f>
        <v/>
      </c>
      <c r="Y52">
        <f>HYPERLINK("https://klasma.github.io/Logging_2161/tillsynsmail/A 21134-2024 tillsynsbegäran mail.docx", "A 21134-2024")</f>
        <v/>
      </c>
      <c r="Z52">
        <f>HYPERLINK("https://klasma.github.io/Logging_2161/fåglar/A 21134-2024 prioriterade fågelarter.docx", "A 21134-2024")</f>
        <v/>
      </c>
    </row>
    <row r="53" ht="15" customHeight="1">
      <c r="A53" t="inlineStr">
        <is>
          <t>A 31224-2022</t>
        </is>
      </c>
      <c r="B53" s="1" t="n">
        <v>44771</v>
      </c>
      <c r="C53" s="1" t="n">
        <v>45883</v>
      </c>
      <c r="D53" t="inlineStr">
        <is>
          <t>GÄVLEBORGS LÄN</t>
        </is>
      </c>
      <c r="E53" t="inlineStr">
        <is>
          <t>NORDANSTIG</t>
        </is>
      </c>
      <c r="G53" t="n">
        <v>1.2</v>
      </c>
      <c r="H53" t="n">
        <v>1</v>
      </c>
      <c r="I53" t="n">
        <v>1</v>
      </c>
      <c r="J53" t="n">
        <v>3</v>
      </c>
      <c r="K53" t="n">
        <v>3</v>
      </c>
      <c r="L53" t="n">
        <v>0</v>
      </c>
      <c r="M53" t="n">
        <v>0</v>
      </c>
      <c r="N53" t="n">
        <v>0</v>
      </c>
      <c r="O53" t="n">
        <v>6</v>
      </c>
      <c r="P53" t="n">
        <v>3</v>
      </c>
      <c r="Q53" t="n">
        <v>7</v>
      </c>
      <c r="R53" s="2" t="inlineStr">
        <is>
          <t>Bitter taggsvamp
Knärot
Lammticka
Orange taggsvamp
Svart taggsvamp
Talltaggsvamp
Tallfingersvamp</t>
        </is>
      </c>
      <c r="S53">
        <f>HYPERLINK("https://klasma.github.io/Logging_2132/artfynd/A 31224-2022 artfynd.xlsx", "A 31224-2022")</f>
        <v/>
      </c>
      <c r="T53">
        <f>HYPERLINK("https://klasma.github.io/Logging_2132/kartor/A 31224-2022 karta.png", "A 31224-2022")</f>
        <v/>
      </c>
      <c r="U53">
        <f>HYPERLINK("https://klasma.github.io/Logging_2132/knärot/A 31224-2022 karta knärot.png", "A 31224-2022")</f>
        <v/>
      </c>
      <c r="V53">
        <f>HYPERLINK("https://klasma.github.io/Logging_2132/klagomål/A 31224-2022 FSC-klagomål.docx", "A 31224-2022")</f>
        <v/>
      </c>
      <c r="W53">
        <f>HYPERLINK("https://klasma.github.io/Logging_2132/klagomålsmail/A 31224-2022 FSC-klagomål mail.docx", "A 31224-2022")</f>
        <v/>
      </c>
      <c r="X53">
        <f>HYPERLINK("https://klasma.github.io/Logging_2132/tillsyn/A 31224-2022 tillsynsbegäran.docx", "A 31224-2022")</f>
        <v/>
      </c>
      <c r="Y53">
        <f>HYPERLINK("https://klasma.github.io/Logging_2132/tillsynsmail/A 31224-2022 tillsynsbegäran mail.docx", "A 31224-2022")</f>
        <v/>
      </c>
    </row>
    <row r="54" ht="15" customHeight="1">
      <c r="A54" t="inlineStr">
        <is>
          <t>A 27066-2025</t>
        </is>
      </c>
      <c r="B54" s="1" t="n">
        <v>45811.63648148148</v>
      </c>
      <c r="C54" s="1" t="n">
        <v>45883</v>
      </c>
      <c r="D54" t="inlineStr">
        <is>
          <t>GÄVLEBORGS LÄN</t>
        </is>
      </c>
      <c r="E54" t="inlineStr">
        <is>
          <t>LJUSDAL</t>
        </is>
      </c>
      <c r="F54" t="inlineStr">
        <is>
          <t>SCA</t>
        </is>
      </c>
      <c r="G54" t="n">
        <v>18.6</v>
      </c>
      <c r="H54" t="n">
        <v>4</v>
      </c>
      <c r="I54" t="n">
        <v>2</v>
      </c>
      <c r="J54" t="n">
        <v>2</v>
      </c>
      <c r="K54" t="n">
        <v>0</v>
      </c>
      <c r="L54" t="n">
        <v>0</v>
      </c>
      <c r="M54" t="n">
        <v>0</v>
      </c>
      <c r="N54" t="n">
        <v>0</v>
      </c>
      <c r="O54" t="n">
        <v>2</v>
      </c>
      <c r="P54" t="n">
        <v>0</v>
      </c>
      <c r="Q54" t="n">
        <v>7</v>
      </c>
      <c r="R54" s="2" t="inlineStr">
        <is>
          <t>Garnlav
Lunglav
Spindelblomster
Stuplav
Fläcknycklar
Nattviol
Revlummer</t>
        </is>
      </c>
      <c r="S54">
        <f>HYPERLINK("https://klasma.github.io/Logging_2161/artfynd/A 27066-2025 artfynd.xlsx", "A 27066-2025")</f>
        <v/>
      </c>
      <c r="T54">
        <f>HYPERLINK("https://klasma.github.io/Logging_2161/kartor/A 27066-2025 karta.png", "A 27066-2025")</f>
        <v/>
      </c>
      <c r="V54">
        <f>HYPERLINK("https://klasma.github.io/Logging_2161/klagomål/A 27066-2025 FSC-klagomål.docx", "A 27066-2025")</f>
        <v/>
      </c>
      <c r="W54">
        <f>HYPERLINK("https://klasma.github.io/Logging_2161/klagomålsmail/A 27066-2025 FSC-klagomål mail.docx", "A 27066-2025")</f>
        <v/>
      </c>
      <c r="X54">
        <f>HYPERLINK("https://klasma.github.io/Logging_2161/tillsyn/A 27066-2025 tillsynsbegäran.docx", "A 27066-2025")</f>
        <v/>
      </c>
      <c r="Y54">
        <f>HYPERLINK("https://klasma.github.io/Logging_2161/tillsynsmail/A 27066-2025 tillsynsbegäran mail.docx", "A 27066-2025")</f>
        <v/>
      </c>
    </row>
    <row r="55" ht="15" customHeight="1">
      <c r="A55" t="inlineStr">
        <is>
          <t>A 29228-2025</t>
        </is>
      </c>
      <c r="B55" s="1" t="n">
        <v>45824</v>
      </c>
      <c r="C55" s="1" t="n">
        <v>45883</v>
      </c>
      <c r="D55" t="inlineStr">
        <is>
          <t>GÄVLEBORGS LÄN</t>
        </is>
      </c>
      <c r="E55" t="inlineStr">
        <is>
          <t>LJUSDAL</t>
        </is>
      </c>
      <c r="F55" t="inlineStr">
        <is>
          <t>Allmännings- och besparingsskogar</t>
        </is>
      </c>
      <c r="G55" t="n">
        <v>9.5</v>
      </c>
      <c r="H55" t="n">
        <v>4</v>
      </c>
      <c r="I55" t="n">
        <v>2</v>
      </c>
      <c r="J55" t="n">
        <v>3</v>
      </c>
      <c r="K55" t="n">
        <v>1</v>
      </c>
      <c r="L55" t="n">
        <v>0</v>
      </c>
      <c r="M55" t="n">
        <v>0</v>
      </c>
      <c r="N55" t="n">
        <v>0</v>
      </c>
      <c r="O55" t="n">
        <v>4</v>
      </c>
      <c r="P55" t="n">
        <v>1</v>
      </c>
      <c r="Q55" t="n">
        <v>7</v>
      </c>
      <c r="R55" s="2" t="inlineStr">
        <is>
          <t>Knärot
Lunglav
Skrovellav
Tallticka
Plattlummer
Spindelblomster
Fläcknycklar</t>
        </is>
      </c>
      <c r="S55">
        <f>HYPERLINK("https://klasma.github.io/Logging_2161/artfynd/A 29228-2025 artfynd.xlsx", "A 29228-2025")</f>
        <v/>
      </c>
      <c r="T55">
        <f>HYPERLINK("https://klasma.github.io/Logging_2161/kartor/A 29228-2025 karta.png", "A 29228-2025")</f>
        <v/>
      </c>
      <c r="U55">
        <f>HYPERLINK("https://klasma.github.io/Logging_2161/knärot/A 29228-2025 karta knärot.png", "A 29228-2025")</f>
        <v/>
      </c>
      <c r="V55">
        <f>HYPERLINK("https://klasma.github.io/Logging_2161/klagomål/A 29228-2025 FSC-klagomål.docx", "A 29228-2025")</f>
        <v/>
      </c>
      <c r="W55">
        <f>HYPERLINK("https://klasma.github.io/Logging_2161/klagomålsmail/A 29228-2025 FSC-klagomål mail.docx", "A 29228-2025")</f>
        <v/>
      </c>
      <c r="X55">
        <f>HYPERLINK("https://klasma.github.io/Logging_2161/tillsyn/A 29228-2025 tillsynsbegäran.docx", "A 29228-2025")</f>
        <v/>
      </c>
      <c r="Y55">
        <f>HYPERLINK("https://klasma.github.io/Logging_2161/tillsynsmail/A 29228-2025 tillsynsbegäran mail.docx", "A 29228-2025")</f>
        <v/>
      </c>
    </row>
    <row r="56" ht="15" customHeight="1">
      <c r="A56" t="inlineStr">
        <is>
          <t>A 34821-2025</t>
        </is>
      </c>
      <c r="B56" s="1" t="n">
        <v>45849</v>
      </c>
      <c r="C56" s="1" t="n">
        <v>45883</v>
      </c>
      <c r="D56" t="inlineStr">
        <is>
          <t>GÄVLEBORGS LÄN</t>
        </is>
      </c>
      <c r="E56" t="inlineStr">
        <is>
          <t>LJUSDAL</t>
        </is>
      </c>
      <c r="F56" t="inlineStr">
        <is>
          <t>Allmännings- och besparingsskogar</t>
        </is>
      </c>
      <c r="G56" t="n">
        <v>16.8</v>
      </c>
      <c r="H56" t="n">
        <v>1</v>
      </c>
      <c r="I56" t="n">
        <v>0</v>
      </c>
      <c r="J56" t="n">
        <v>6</v>
      </c>
      <c r="K56" t="n">
        <v>1</v>
      </c>
      <c r="L56" t="n">
        <v>0</v>
      </c>
      <c r="M56" t="n">
        <v>0</v>
      </c>
      <c r="N56" t="n">
        <v>0</v>
      </c>
      <c r="O56" t="n">
        <v>7</v>
      </c>
      <c r="P56" t="n">
        <v>1</v>
      </c>
      <c r="Q56" t="n">
        <v>7</v>
      </c>
      <c r="R56" s="2" t="inlineStr">
        <is>
          <t>Knärot
Dvärgbägarlav
Garnlav
Mörk kolflarnlav
Skrovellav
Vedskivlav
Vedtrappmossa</t>
        </is>
      </c>
      <c r="S56">
        <f>HYPERLINK("https://klasma.github.io/Logging_2161/artfynd/A 34821-2025 artfynd.xlsx", "A 34821-2025")</f>
        <v/>
      </c>
      <c r="T56">
        <f>HYPERLINK("https://klasma.github.io/Logging_2161/kartor/A 34821-2025 karta.png", "A 34821-2025")</f>
        <v/>
      </c>
      <c r="U56">
        <f>HYPERLINK("https://klasma.github.io/Logging_2161/knärot/A 34821-2025 karta knärot.png", "A 34821-2025")</f>
        <v/>
      </c>
      <c r="V56">
        <f>HYPERLINK("https://klasma.github.io/Logging_2161/klagomål/A 34821-2025 FSC-klagomål.docx", "A 34821-2025")</f>
        <v/>
      </c>
      <c r="W56">
        <f>HYPERLINK("https://klasma.github.io/Logging_2161/klagomålsmail/A 34821-2025 FSC-klagomål mail.docx", "A 34821-2025")</f>
        <v/>
      </c>
      <c r="X56">
        <f>HYPERLINK("https://klasma.github.io/Logging_2161/tillsyn/A 34821-2025 tillsynsbegäran.docx", "A 34821-2025")</f>
        <v/>
      </c>
      <c r="Y56">
        <f>HYPERLINK("https://klasma.github.io/Logging_2161/tillsynsmail/A 34821-2025 tillsynsbegäran mail.docx", "A 34821-2025")</f>
        <v/>
      </c>
    </row>
    <row r="57" ht="15" customHeight="1">
      <c r="A57" t="inlineStr">
        <is>
          <t>A 55869-2020</t>
        </is>
      </c>
      <c r="B57" s="1" t="n">
        <v>44132</v>
      </c>
      <c r="C57" s="1" t="n">
        <v>45883</v>
      </c>
      <c r="D57" t="inlineStr">
        <is>
          <t>GÄVLEBORGS LÄN</t>
        </is>
      </c>
      <c r="E57" t="inlineStr">
        <is>
          <t>HUDIKSVALL</t>
        </is>
      </c>
      <c r="G57" t="n">
        <v>9.4</v>
      </c>
      <c r="H57" t="n">
        <v>1</v>
      </c>
      <c r="I57" t="n">
        <v>1</v>
      </c>
      <c r="J57" t="n">
        <v>3</v>
      </c>
      <c r="K57" t="n">
        <v>1</v>
      </c>
      <c r="L57" t="n">
        <v>0</v>
      </c>
      <c r="M57" t="n">
        <v>0</v>
      </c>
      <c r="N57" t="n">
        <v>0</v>
      </c>
      <c r="O57" t="n">
        <v>4</v>
      </c>
      <c r="P57" t="n">
        <v>1</v>
      </c>
      <c r="Q57" t="n">
        <v>6</v>
      </c>
      <c r="R57" s="2" t="inlineStr">
        <is>
          <t>Rynkskinn
Garnlav
Granticka
Violettgrå tagellav
Skinnlav
Revlummer</t>
        </is>
      </c>
      <c r="S57">
        <f>HYPERLINK("https://klasma.github.io/Logging_2184/artfynd/A 55869-2020 artfynd.xlsx", "A 55869-2020")</f>
        <v/>
      </c>
      <c r="T57">
        <f>HYPERLINK("https://klasma.github.io/Logging_2184/kartor/A 55869-2020 karta.png", "A 55869-2020")</f>
        <v/>
      </c>
      <c r="V57">
        <f>HYPERLINK("https://klasma.github.io/Logging_2184/klagomål/A 55869-2020 FSC-klagomål.docx", "A 55869-2020")</f>
        <v/>
      </c>
      <c r="W57">
        <f>HYPERLINK("https://klasma.github.io/Logging_2184/klagomålsmail/A 55869-2020 FSC-klagomål mail.docx", "A 55869-2020")</f>
        <v/>
      </c>
      <c r="X57">
        <f>HYPERLINK("https://klasma.github.io/Logging_2184/tillsyn/A 55869-2020 tillsynsbegäran.docx", "A 55869-2020")</f>
        <v/>
      </c>
      <c r="Y57">
        <f>HYPERLINK("https://klasma.github.io/Logging_2184/tillsynsmail/A 55869-2020 tillsynsbegäran mail.docx", "A 55869-2020")</f>
        <v/>
      </c>
    </row>
    <row r="58" ht="15" customHeight="1">
      <c r="A58" t="inlineStr">
        <is>
          <t>A 43108-2021</t>
        </is>
      </c>
      <c r="B58" s="1" t="n">
        <v>44431.61280092593</v>
      </c>
      <c r="C58" s="1" t="n">
        <v>45883</v>
      </c>
      <c r="D58" t="inlineStr">
        <is>
          <t>GÄVLEBORGS LÄN</t>
        </is>
      </c>
      <c r="E58" t="inlineStr">
        <is>
          <t>LJUSDAL</t>
        </is>
      </c>
      <c r="F58" t="inlineStr">
        <is>
          <t>Sveaskog</t>
        </is>
      </c>
      <c r="G58" t="n">
        <v>3.2</v>
      </c>
      <c r="H58" t="n">
        <v>1</v>
      </c>
      <c r="I58" t="n">
        <v>0</v>
      </c>
      <c r="J58" t="n">
        <v>4</v>
      </c>
      <c r="K58" t="n">
        <v>2</v>
      </c>
      <c r="L58" t="n">
        <v>0</v>
      </c>
      <c r="M58" t="n">
        <v>0</v>
      </c>
      <c r="N58" t="n">
        <v>0</v>
      </c>
      <c r="O58" t="n">
        <v>6</v>
      </c>
      <c r="P58" t="n">
        <v>2</v>
      </c>
      <c r="Q58" t="n">
        <v>6</v>
      </c>
      <c r="R58" s="2" t="inlineStr">
        <is>
          <t>Knärot
Rynkskinn
Gammelgransskål
Garnlav
Lunglav
Ullticka</t>
        </is>
      </c>
      <c r="S58">
        <f>HYPERLINK("https://klasma.github.io/Logging_2161/artfynd/A 43108-2021 artfynd.xlsx", "A 43108-2021")</f>
        <v/>
      </c>
      <c r="T58">
        <f>HYPERLINK("https://klasma.github.io/Logging_2161/kartor/A 43108-2021 karta.png", "A 43108-2021")</f>
        <v/>
      </c>
      <c r="U58">
        <f>HYPERLINK("https://klasma.github.io/Logging_2161/knärot/A 43108-2021 karta knärot.png", "A 43108-2021")</f>
        <v/>
      </c>
      <c r="V58">
        <f>HYPERLINK("https://klasma.github.io/Logging_2161/klagomål/A 43108-2021 FSC-klagomål.docx", "A 43108-2021")</f>
        <v/>
      </c>
      <c r="W58">
        <f>HYPERLINK("https://klasma.github.io/Logging_2161/klagomålsmail/A 43108-2021 FSC-klagomål mail.docx", "A 43108-2021")</f>
        <v/>
      </c>
      <c r="X58">
        <f>HYPERLINK("https://klasma.github.io/Logging_2161/tillsyn/A 43108-2021 tillsynsbegäran.docx", "A 43108-2021")</f>
        <v/>
      </c>
      <c r="Y58">
        <f>HYPERLINK("https://klasma.github.io/Logging_2161/tillsynsmail/A 43108-2021 tillsynsbegäran mail.docx", "A 43108-2021")</f>
        <v/>
      </c>
    </row>
    <row r="59" ht="15" customHeight="1">
      <c r="A59" t="inlineStr">
        <is>
          <t>A 39526-2021</t>
        </is>
      </c>
      <c r="B59" s="1" t="n">
        <v>44415</v>
      </c>
      <c r="C59" s="1" t="n">
        <v>45883</v>
      </c>
      <c r="D59" t="inlineStr">
        <is>
          <t>GÄVLEBORGS LÄN</t>
        </is>
      </c>
      <c r="E59" t="inlineStr">
        <is>
          <t>HUDIKSVALL</t>
        </is>
      </c>
      <c r="G59" t="n">
        <v>5.5</v>
      </c>
      <c r="H59" t="n">
        <v>4</v>
      </c>
      <c r="I59" t="n">
        <v>1</v>
      </c>
      <c r="J59" t="n">
        <v>1</v>
      </c>
      <c r="K59" t="n">
        <v>2</v>
      </c>
      <c r="L59" t="n">
        <v>0</v>
      </c>
      <c r="M59" t="n">
        <v>0</v>
      </c>
      <c r="N59" t="n">
        <v>0</v>
      </c>
      <c r="O59" t="n">
        <v>3</v>
      </c>
      <c r="P59" t="n">
        <v>2</v>
      </c>
      <c r="Q59" t="n">
        <v>6</v>
      </c>
      <c r="R59" s="2" t="inlineStr">
        <is>
          <t>Knärot
Läderlappslav
Garnlav
Spindelblomster
Nattviol
Revlummer</t>
        </is>
      </c>
      <c r="S59">
        <f>HYPERLINK("https://klasma.github.io/Logging_2184/artfynd/A 39526-2021 artfynd.xlsx", "A 39526-2021")</f>
        <v/>
      </c>
      <c r="T59">
        <f>HYPERLINK("https://klasma.github.io/Logging_2184/kartor/A 39526-2021 karta.png", "A 39526-2021")</f>
        <v/>
      </c>
      <c r="U59">
        <f>HYPERLINK("https://klasma.github.io/Logging_2184/knärot/A 39526-2021 karta knärot.png", "A 39526-2021")</f>
        <v/>
      </c>
      <c r="V59">
        <f>HYPERLINK("https://klasma.github.io/Logging_2184/klagomål/A 39526-2021 FSC-klagomål.docx", "A 39526-2021")</f>
        <v/>
      </c>
      <c r="W59">
        <f>HYPERLINK("https://klasma.github.io/Logging_2184/klagomålsmail/A 39526-2021 FSC-klagomål mail.docx", "A 39526-2021")</f>
        <v/>
      </c>
      <c r="X59">
        <f>HYPERLINK("https://klasma.github.io/Logging_2184/tillsyn/A 39526-2021 tillsynsbegäran.docx", "A 39526-2021")</f>
        <v/>
      </c>
      <c r="Y59">
        <f>HYPERLINK("https://klasma.github.io/Logging_2184/tillsynsmail/A 39526-2021 tillsynsbegäran mail.docx", "A 39526-2021")</f>
        <v/>
      </c>
    </row>
    <row r="60" ht="15" customHeight="1">
      <c r="A60" t="inlineStr">
        <is>
          <t>A 35985-2022</t>
        </is>
      </c>
      <c r="B60" s="1" t="n">
        <v>44802</v>
      </c>
      <c r="C60" s="1" t="n">
        <v>45883</v>
      </c>
      <c r="D60" t="inlineStr">
        <is>
          <t>GÄVLEBORGS LÄN</t>
        </is>
      </c>
      <c r="E60" t="inlineStr">
        <is>
          <t>HUDIKSVALL</t>
        </is>
      </c>
      <c r="F60" t="inlineStr">
        <is>
          <t>Holmen skog AB</t>
        </is>
      </c>
      <c r="G60" t="n">
        <v>9.1</v>
      </c>
      <c r="H60" t="n">
        <v>1</v>
      </c>
      <c r="I60" t="n">
        <v>4</v>
      </c>
      <c r="J60" t="n">
        <v>1</v>
      </c>
      <c r="K60" t="n">
        <v>0</v>
      </c>
      <c r="L60" t="n">
        <v>0</v>
      </c>
      <c r="M60" t="n">
        <v>0</v>
      </c>
      <c r="N60" t="n">
        <v>0</v>
      </c>
      <c r="O60" t="n">
        <v>1</v>
      </c>
      <c r="P60" t="n">
        <v>0</v>
      </c>
      <c r="Q60" t="n">
        <v>6</v>
      </c>
      <c r="R60" s="2" t="inlineStr">
        <is>
          <t>Myskmåra
Strutbräken
Svart trolldruva
Tibast
Underviol
Blåsippa</t>
        </is>
      </c>
      <c r="S60">
        <f>HYPERLINK("https://klasma.github.io/Logging_2184/artfynd/A 35985-2022 artfynd.xlsx", "A 35985-2022")</f>
        <v/>
      </c>
      <c r="T60">
        <f>HYPERLINK("https://klasma.github.io/Logging_2184/kartor/A 35985-2022 karta.png", "A 35985-2022")</f>
        <v/>
      </c>
      <c r="V60">
        <f>HYPERLINK("https://klasma.github.io/Logging_2184/klagomål/A 35985-2022 FSC-klagomål.docx", "A 35985-2022")</f>
        <v/>
      </c>
      <c r="W60">
        <f>HYPERLINK("https://klasma.github.io/Logging_2184/klagomålsmail/A 35985-2022 FSC-klagomål mail.docx", "A 35985-2022")</f>
        <v/>
      </c>
      <c r="X60">
        <f>HYPERLINK("https://klasma.github.io/Logging_2184/tillsyn/A 35985-2022 tillsynsbegäran.docx", "A 35985-2022")</f>
        <v/>
      </c>
      <c r="Y60">
        <f>HYPERLINK("https://klasma.github.io/Logging_2184/tillsynsmail/A 35985-2022 tillsynsbegäran mail.docx", "A 35985-2022")</f>
        <v/>
      </c>
    </row>
    <row r="61" ht="15" customHeight="1">
      <c r="A61" t="inlineStr">
        <is>
          <t>A 15765-2025</t>
        </is>
      </c>
      <c r="B61" s="1" t="n">
        <v>45748.58319444444</v>
      </c>
      <c r="C61" s="1" t="n">
        <v>45883</v>
      </c>
      <c r="D61" t="inlineStr">
        <is>
          <t>GÄVLEBORGS LÄN</t>
        </is>
      </c>
      <c r="E61" t="inlineStr">
        <is>
          <t>SÖDERHAMN</t>
        </is>
      </c>
      <c r="G61" t="n">
        <v>37.6</v>
      </c>
      <c r="H61" t="n">
        <v>3</v>
      </c>
      <c r="I61" t="n">
        <v>2</v>
      </c>
      <c r="J61" t="n">
        <v>1</v>
      </c>
      <c r="K61" t="n">
        <v>1</v>
      </c>
      <c r="L61" t="n">
        <v>0</v>
      </c>
      <c r="M61" t="n">
        <v>0</v>
      </c>
      <c r="N61" t="n">
        <v>0</v>
      </c>
      <c r="O61" t="n">
        <v>2</v>
      </c>
      <c r="P61" t="n">
        <v>1</v>
      </c>
      <c r="Q61" t="n">
        <v>6</v>
      </c>
      <c r="R61" s="2" t="inlineStr">
        <is>
          <t>Knärot
Kortskaftad ärgspik
Sårläka
Vårärt
Nattviol
Blåsippa</t>
        </is>
      </c>
      <c r="S61">
        <f>HYPERLINK("https://klasma.github.io/Logging_2182/artfynd/A 15765-2025 artfynd.xlsx", "A 15765-2025")</f>
        <v/>
      </c>
      <c r="T61">
        <f>HYPERLINK("https://klasma.github.io/Logging_2182/kartor/A 15765-2025 karta.png", "A 15765-2025")</f>
        <v/>
      </c>
      <c r="U61">
        <f>HYPERLINK("https://klasma.github.io/Logging_2182/knärot/A 15765-2025 karta knärot.png", "A 15765-2025")</f>
        <v/>
      </c>
      <c r="V61">
        <f>HYPERLINK("https://klasma.github.io/Logging_2182/klagomål/A 15765-2025 FSC-klagomål.docx", "A 15765-2025")</f>
        <v/>
      </c>
      <c r="W61">
        <f>HYPERLINK("https://klasma.github.io/Logging_2182/klagomålsmail/A 15765-2025 FSC-klagomål mail.docx", "A 15765-2025")</f>
        <v/>
      </c>
      <c r="X61">
        <f>HYPERLINK("https://klasma.github.io/Logging_2182/tillsyn/A 15765-2025 tillsynsbegäran.docx", "A 15765-2025")</f>
        <v/>
      </c>
      <c r="Y61">
        <f>HYPERLINK("https://klasma.github.io/Logging_2182/tillsynsmail/A 15765-2025 tillsynsbegäran mail.docx", "A 15765-2025")</f>
        <v/>
      </c>
    </row>
    <row r="62" ht="15" customHeight="1">
      <c r="A62" t="inlineStr">
        <is>
          <t>A 63252-2023</t>
        </is>
      </c>
      <c r="B62" s="1" t="n">
        <v>45273</v>
      </c>
      <c r="C62" s="1" t="n">
        <v>45883</v>
      </c>
      <c r="D62" t="inlineStr">
        <is>
          <t>GÄVLEBORGS LÄN</t>
        </is>
      </c>
      <c r="E62" t="inlineStr">
        <is>
          <t>LJUSDAL</t>
        </is>
      </c>
      <c r="G62" t="n">
        <v>17.1</v>
      </c>
      <c r="H62" t="n">
        <v>0</v>
      </c>
      <c r="I62" t="n">
        <v>2</v>
      </c>
      <c r="J62" t="n">
        <v>4</v>
      </c>
      <c r="K62" t="n">
        <v>0</v>
      </c>
      <c r="L62" t="n">
        <v>0</v>
      </c>
      <c r="M62" t="n">
        <v>0</v>
      </c>
      <c r="N62" t="n">
        <v>0</v>
      </c>
      <c r="O62" t="n">
        <v>4</v>
      </c>
      <c r="P62" t="n">
        <v>0</v>
      </c>
      <c r="Q62" t="n">
        <v>6</v>
      </c>
      <c r="R62" s="2" t="inlineStr">
        <is>
          <t>Garnlav
Lunglav
Motaggsvamp
Tallticka
Dropptaggsvamp
Skarp dropptaggsvamp</t>
        </is>
      </c>
      <c r="S62">
        <f>HYPERLINK("https://klasma.github.io/Logging_2161/artfynd/A 63252-2023 artfynd.xlsx", "A 63252-2023")</f>
        <v/>
      </c>
      <c r="T62">
        <f>HYPERLINK("https://klasma.github.io/Logging_2161/kartor/A 63252-2023 karta.png", "A 63252-2023")</f>
        <v/>
      </c>
      <c r="V62">
        <f>HYPERLINK("https://klasma.github.io/Logging_2161/klagomål/A 63252-2023 FSC-klagomål.docx", "A 63252-2023")</f>
        <v/>
      </c>
      <c r="W62">
        <f>HYPERLINK("https://klasma.github.io/Logging_2161/klagomålsmail/A 63252-2023 FSC-klagomål mail.docx", "A 63252-2023")</f>
        <v/>
      </c>
      <c r="X62">
        <f>HYPERLINK("https://klasma.github.io/Logging_2161/tillsyn/A 63252-2023 tillsynsbegäran.docx", "A 63252-2023")</f>
        <v/>
      </c>
      <c r="Y62">
        <f>HYPERLINK("https://klasma.github.io/Logging_2161/tillsynsmail/A 63252-2023 tillsynsbegäran mail.docx", "A 63252-2023")</f>
        <v/>
      </c>
    </row>
    <row r="63" ht="15" customHeight="1">
      <c r="A63" t="inlineStr">
        <is>
          <t>A 32783-2022</t>
        </is>
      </c>
      <c r="B63" s="1" t="n">
        <v>44784</v>
      </c>
      <c r="C63" s="1" t="n">
        <v>45883</v>
      </c>
      <c r="D63" t="inlineStr">
        <is>
          <t>GÄVLEBORGS LÄN</t>
        </is>
      </c>
      <c r="E63" t="inlineStr">
        <is>
          <t>LJUSDAL</t>
        </is>
      </c>
      <c r="F63" t="inlineStr">
        <is>
          <t>Sveaskog</t>
        </is>
      </c>
      <c r="G63" t="n">
        <v>12.7</v>
      </c>
      <c r="H63" t="n">
        <v>0</v>
      </c>
      <c r="I63" t="n">
        <v>2</v>
      </c>
      <c r="J63" t="n">
        <v>4</v>
      </c>
      <c r="K63" t="n">
        <v>0</v>
      </c>
      <c r="L63" t="n">
        <v>0</v>
      </c>
      <c r="M63" t="n">
        <v>0</v>
      </c>
      <c r="N63" t="n">
        <v>0</v>
      </c>
      <c r="O63" t="n">
        <v>4</v>
      </c>
      <c r="P63" t="n">
        <v>0</v>
      </c>
      <c r="Q63" t="n">
        <v>6</v>
      </c>
      <c r="R63" s="2" t="inlineStr">
        <is>
          <t>Dvärgbägarlav
Garnlav
Kolflarnlav
Mörk kolflarnlav
Dropptaggsvamp
Skarp dropptaggsvamp</t>
        </is>
      </c>
      <c r="S63">
        <f>HYPERLINK("https://klasma.github.io/Logging_2161/artfynd/A 32783-2022 artfynd.xlsx", "A 32783-2022")</f>
        <v/>
      </c>
      <c r="T63">
        <f>HYPERLINK("https://klasma.github.io/Logging_2161/kartor/A 32783-2022 karta.png", "A 32783-2022")</f>
        <v/>
      </c>
      <c r="V63">
        <f>HYPERLINK("https://klasma.github.io/Logging_2161/klagomål/A 32783-2022 FSC-klagomål.docx", "A 32783-2022")</f>
        <v/>
      </c>
      <c r="W63">
        <f>HYPERLINK("https://klasma.github.io/Logging_2161/klagomålsmail/A 32783-2022 FSC-klagomål mail.docx", "A 32783-2022")</f>
        <v/>
      </c>
      <c r="X63">
        <f>HYPERLINK("https://klasma.github.io/Logging_2161/tillsyn/A 32783-2022 tillsynsbegäran.docx", "A 32783-2022")</f>
        <v/>
      </c>
      <c r="Y63">
        <f>HYPERLINK("https://klasma.github.io/Logging_2161/tillsynsmail/A 32783-2022 tillsynsbegäran mail.docx", "A 32783-2022")</f>
        <v/>
      </c>
    </row>
    <row r="64" ht="15" customHeight="1">
      <c r="A64" t="inlineStr">
        <is>
          <t>A 38086-2024</t>
        </is>
      </c>
      <c r="B64" s="1" t="n">
        <v>45545</v>
      </c>
      <c r="C64" s="1" t="n">
        <v>45883</v>
      </c>
      <c r="D64" t="inlineStr">
        <is>
          <t>GÄVLEBORGS LÄN</t>
        </is>
      </c>
      <c r="E64" t="inlineStr">
        <is>
          <t>OCKELBO</t>
        </is>
      </c>
      <c r="F64" t="inlineStr">
        <is>
          <t>Bergvik skog väst AB</t>
        </is>
      </c>
      <c r="G64" t="n">
        <v>17.2</v>
      </c>
      <c r="H64" t="n">
        <v>1</v>
      </c>
      <c r="I64" t="n">
        <v>1</v>
      </c>
      <c r="J64" t="n">
        <v>4</v>
      </c>
      <c r="K64" t="n">
        <v>0</v>
      </c>
      <c r="L64" t="n">
        <v>0</v>
      </c>
      <c r="M64" t="n">
        <v>0</v>
      </c>
      <c r="N64" t="n">
        <v>0</v>
      </c>
      <c r="O64" t="n">
        <v>4</v>
      </c>
      <c r="P64" t="n">
        <v>0</v>
      </c>
      <c r="Q64" t="n">
        <v>6</v>
      </c>
      <c r="R64" s="2" t="inlineStr">
        <is>
          <t>Blå taggsvamp
Skrovlig taggsvamp
Svartvit taggsvamp
Tallriska
Dropptaggsvamp
Revlummer</t>
        </is>
      </c>
      <c r="S64">
        <f>HYPERLINK("https://klasma.github.io/Logging_2101/artfynd/A 38086-2024 artfynd.xlsx", "A 38086-2024")</f>
        <v/>
      </c>
      <c r="T64">
        <f>HYPERLINK("https://klasma.github.io/Logging_2101/kartor/A 38086-2024 karta.png", "A 38086-2024")</f>
        <v/>
      </c>
      <c r="V64">
        <f>HYPERLINK("https://klasma.github.io/Logging_2101/klagomål/A 38086-2024 FSC-klagomål.docx", "A 38086-2024")</f>
        <v/>
      </c>
      <c r="W64">
        <f>HYPERLINK("https://klasma.github.io/Logging_2101/klagomålsmail/A 38086-2024 FSC-klagomål mail.docx", "A 38086-2024")</f>
        <v/>
      </c>
      <c r="X64">
        <f>HYPERLINK("https://klasma.github.io/Logging_2101/tillsyn/A 38086-2024 tillsynsbegäran.docx", "A 38086-2024")</f>
        <v/>
      </c>
      <c r="Y64">
        <f>HYPERLINK("https://klasma.github.io/Logging_2101/tillsynsmail/A 38086-2024 tillsynsbegäran mail.docx", "A 38086-2024")</f>
        <v/>
      </c>
    </row>
    <row r="65" ht="15" customHeight="1">
      <c r="A65" t="inlineStr">
        <is>
          <t>A 18274-2023</t>
        </is>
      </c>
      <c r="B65" s="1" t="n">
        <v>45041.52760416667</v>
      </c>
      <c r="C65" s="1" t="n">
        <v>45883</v>
      </c>
      <c r="D65" t="inlineStr">
        <is>
          <t>GÄVLEBORGS LÄN</t>
        </is>
      </c>
      <c r="E65" t="inlineStr">
        <is>
          <t>SÖDERHAMN</t>
        </is>
      </c>
      <c r="F65" t="inlineStr">
        <is>
          <t>Bergvik skog väst AB</t>
        </is>
      </c>
      <c r="G65" t="n">
        <v>10.6</v>
      </c>
      <c r="H65" t="n">
        <v>6</v>
      </c>
      <c r="I65" t="n">
        <v>0</v>
      </c>
      <c r="J65" t="n">
        <v>4</v>
      </c>
      <c r="K65" t="n">
        <v>0</v>
      </c>
      <c r="L65" t="n">
        <v>0</v>
      </c>
      <c r="M65" t="n">
        <v>0</v>
      </c>
      <c r="N65" t="n">
        <v>0</v>
      </c>
      <c r="O65" t="n">
        <v>4</v>
      </c>
      <c r="P65" t="n">
        <v>0</v>
      </c>
      <c r="Q65" t="n">
        <v>6</v>
      </c>
      <c r="R65" s="2" t="inlineStr">
        <is>
          <t>Mindre hackspett
Rödvingetrast
Talltita
Ärtsångare
Grönsiska
Kungsfågel</t>
        </is>
      </c>
      <c r="S65">
        <f>HYPERLINK("https://klasma.github.io/Logging_2182/artfynd/A 18274-2023 artfynd.xlsx", "A 18274-2023")</f>
        <v/>
      </c>
      <c r="T65">
        <f>HYPERLINK("https://klasma.github.io/Logging_2182/kartor/A 18274-2023 karta.png", "A 18274-2023")</f>
        <v/>
      </c>
      <c r="V65">
        <f>HYPERLINK("https://klasma.github.io/Logging_2182/klagomål/A 18274-2023 FSC-klagomål.docx", "A 18274-2023")</f>
        <v/>
      </c>
      <c r="W65">
        <f>HYPERLINK("https://klasma.github.io/Logging_2182/klagomålsmail/A 18274-2023 FSC-klagomål mail.docx", "A 18274-2023")</f>
        <v/>
      </c>
      <c r="X65">
        <f>HYPERLINK("https://klasma.github.io/Logging_2182/tillsyn/A 18274-2023 tillsynsbegäran.docx", "A 18274-2023")</f>
        <v/>
      </c>
      <c r="Y65">
        <f>HYPERLINK("https://klasma.github.io/Logging_2182/tillsynsmail/A 18274-2023 tillsynsbegäran mail.docx", "A 18274-2023")</f>
        <v/>
      </c>
      <c r="Z65">
        <f>HYPERLINK("https://klasma.github.io/Logging_2182/fåglar/A 18274-2023 prioriterade fågelarter.docx", "A 18274-2023")</f>
        <v/>
      </c>
    </row>
    <row r="66" ht="15" customHeight="1">
      <c r="A66" t="inlineStr">
        <is>
          <t>A 19432-2025</t>
        </is>
      </c>
      <c r="B66" s="1" t="n">
        <v>45769.82990740741</v>
      </c>
      <c r="C66" s="1" t="n">
        <v>45883</v>
      </c>
      <c r="D66" t="inlineStr">
        <is>
          <t>GÄVLEBORGS LÄN</t>
        </is>
      </c>
      <c r="E66" t="inlineStr">
        <is>
          <t>HUDIKSVALL</t>
        </is>
      </c>
      <c r="F66" t="inlineStr">
        <is>
          <t>Holmen skog AB</t>
        </is>
      </c>
      <c r="G66" t="n">
        <v>10.4</v>
      </c>
      <c r="H66" t="n">
        <v>1</v>
      </c>
      <c r="I66" t="n">
        <v>4</v>
      </c>
      <c r="J66" t="n">
        <v>1</v>
      </c>
      <c r="K66" t="n">
        <v>0</v>
      </c>
      <c r="L66" t="n">
        <v>0</v>
      </c>
      <c r="M66" t="n">
        <v>0</v>
      </c>
      <c r="N66" t="n">
        <v>0</v>
      </c>
      <c r="O66" t="n">
        <v>1</v>
      </c>
      <c r="P66" t="n">
        <v>0</v>
      </c>
      <c r="Q66" t="n">
        <v>6</v>
      </c>
      <c r="R66" s="2" t="inlineStr">
        <is>
          <t>Myskmåra
Strutbräken
Svart trolldruva
Tibast
Underviol
Blåsippa</t>
        </is>
      </c>
      <c r="S66">
        <f>HYPERLINK("https://klasma.github.io/Logging_2184/artfynd/A 19432-2025 artfynd.xlsx", "A 19432-2025")</f>
        <v/>
      </c>
      <c r="T66">
        <f>HYPERLINK("https://klasma.github.io/Logging_2184/kartor/A 19432-2025 karta.png", "A 19432-2025")</f>
        <v/>
      </c>
      <c r="V66">
        <f>HYPERLINK("https://klasma.github.io/Logging_2184/klagomål/A 19432-2025 FSC-klagomål.docx", "A 19432-2025")</f>
        <v/>
      </c>
      <c r="W66">
        <f>HYPERLINK("https://klasma.github.io/Logging_2184/klagomålsmail/A 19432-2025 FSC-klagomål mail.docx", "A 19432-2025")</f>
        <v/>
      </c>
      <c r="X66">
        <f>HYPERLINK("https://klasma.github.io/Logging_2184/tillsyn/A 19432-2025 tillsynsbegäran.docx", "A 19432-2025")</f>
        <v/>
      </c>
      <c r="Y66">
        <f>HYPERLINK("https://klasma.github.io/Logging_2184/tillsynsmail/A 19432-2025 tillsynsbegäran mail.docx", "A 19432-2025")</f>
        <v/>
      </c>
    </row>
    <row r="67" ht="15" customHeight="1">
      <c r="A67" t="inlineStr">
        <is>
          <t>A 24031-2025</t>
        </is>
      </c>
      <c r="B67" s="1" t="n">
        <v>45796.47767361111</v>
      </c>
      <c r="C67" s="1" t="n">
        <v>45883</v>
      </c>
      <c r="D67" t="inlineStr">
        <is>
          <t>GÄVLEBORGS LÄN</t>
        </is>
      </c>
      <c r="E67" t="inlineStr">
        <is>
          <t>LJUSDAL</t>
        </is>
      </c>
      <c r="F67" t="inlineStr">
        <is>
          <t>Allmännings- och besparingsskogar</t>
        </is>
      </c>
      <c r="G67" t="n">
        <v>12.4</v>
      </c>
      <c r="H67" t="n">
        <v>2</v>
      </c>
      <c r="I67" t="n">
        <v>1</v>
      </c>
      <c r="J67" t="n">
        <v>4</v>
      </c>
      <c r="K67" t="n">
        <v>1</v>
      </c>
      <c r="L67" t="n">
        <v>0</v>
      </c>
      <c r="M67" t="n">
        <v>0</v>
      </c>
      <c r="N67" t="n">
        <v>0</v>
      </c>
      <c r="O67" t="n">
        <v>5</v>
      </c>
      <c r="P67" t="n">
        <v>1</v>
      </c>
      <c r="Q67" t="n">
        <v>6</v>
      </c>
      <c r="R67" s="2" t="inlineStr">
        <is>
          <t>Knärot
Dvärgbägarlav
Lunglav
Vedflamlav
Vedskivlav
Spindelblomster</t>
        </is>
      </c>
      <c r="S67">
        <f>HYPERLINK("https://klasma.github.io/Logging_2161/artfynd/A 24031-2025 artfynd.xlsx", "A 24031-2025")</f>
        <v/>
      </c>
      <c r="T67">
        <f>HYPERLINK("https://klasma.github.io/Logging_2161/kartor/A 24031-2025 karta.png", "A 24031-2025")</f>
        <v/>
      </c>
      <c r="U67">
        <f>HYPERLINK("https://klasma.github.io/Logging_2161/knärot/A 24031-2025 karta knärot.png", "A 24031-2025")</f>
        <v/>
      </c>
      <c r="V67">
        <f>HYPERLINK("https://klasma.github.io/Logging_2161/klagomål/A 24031-2025 FSC-klagomål.docx", "A 24031-2025")</f>
        <v/>
      </c>
      <c r="W67">
        <f>HYPERLINK("https://klasma.github.io/Logging_2161/klagomålsmail/A 24031-2025 FSC-klagomål mail.docx", "A 24031-2025")</f>
        <v/>
      </c>
      <c r="X67">
        <f>HYPERLINK("https://klasma.github.io/Logging_2161/tillsyn/A 24031-2025 tillsynsbegäran.docx", "A 24031-2025")</f>
        <v/>
      </c>
      <c r="Y67">
        <f>HYPERLINK("https://klasma.github.io/Logging_2161/tillsynsmail/A 24031-2025 tillsynsbegäran mail.docx", "A 24031-2025")</f>
        <v/>
      </c>
    </row>
    <row r="68" ht="15" customHeight="1">
      <c r="A68" t="inlineStr">
        <is>
          <t>A 24085-2024</t>
        </is>
      </c>
      <c r="B68" s="1" t="n">
        <v>45456.57688657408</v>
      </c>
      <c r="C68" s="1" t="n">
        <v>45883</v>
      </c>
      <c r="D68" t="inlineStr">
        <is>
          <t>GÄVLEBORGS LÄN</t>
        </is>
      </c>
      <c r="E68" t="inlineStr">
        <is>
          <t>OVANÅKER</t>
        </is>
      </c>
      <c r="G68" t="n">
        <v>6.6</v>
      </c>
      <c r="H68" t="n">
        <v>5</v>
      </c>
      <c r="I68" t="n">
        <v>4</v>
      </c>
      <c r="J68" t="n">
        <v>0</v>
      </c>
      <c r="K68" t="n">
        <v>0</v>
      </c>
      <c r="L68" t="n">
        <v>0</v>
      </c>
      <c r="M68" t="n">
        <v>0</v>
      </c>
      <c r="N68" t="n">
        <v>0</v>
      </c>
      <c r="O68" t="n">
        <v>0</v>
      </c>
      <c r="P68" t="n">
        <v>0</v>
      </c>
      <c r="Q68" t="n">
        <v>6</v>
      </c>
      <c r="R68" s="2" t="inlineStr">
        <is>
          <t>Gräsull
Korallrot
Spindelblomster
Tvåblad
Fläcknycklar
Revlummer</t>
        </is>
      </c>
      <c r="S68">
        <f>HYPERLINK("https://klasma.github.io/Logging_2121/artfynd/A 24085-2024 artfynd.xlsx", "A 24085-2024")</f>
        <v/>
      </c>
      <c r="T68">
        <f>HYPERLINK("https://klasma.github.io/Logging_2121/kartor/A 24085-2024 karta.png", "A 24085-2024")</f>
        <v/>
      </c>
      <c r="V68">
        <f>HYPERLINK("https://klasma.github.io/Logging_2121/klagomål/A 24085-2024 FSC-klagomål.docx", "A 24085-2024")</f>
        <v/>
      </c>
      <c r="W68">
        <f>HYPERLINK("https://klasma.github.io/Logging_2121/klagomålsmail/A 24085-2024 FSC-klagomål mail.docx", "A 24085-2024")</f>
        <v/>
      </c>
      <c r="X68">
        <f>HYPERLINK("https://klasma.github.io/Logging_2121/tillsyn/A 24085-2024 tillsynsbegäran.docx", "A 24085-2024")</f>
        <v/>
      </c>
      <c r="Y68">
        <f>HYPERLINK("https://klasma.github.io/Logging_2121/tillsynsmail/A 24085-2024 tillsynsbegäran mail.docx", "A 24085-2024")</f>
        <v/>
      </c>
    </row>
    <row r="69" ht="15" customHeight="1">
      <c r="A69" t="inlineStr">
        <is>
          <t>A 24777-2025</t>
        </is>
      </c>
      <c r="B69" s="1" t="n">
        <v>45799.40754629629</v>
      </c>
      <c r="C69" s="1" t="n">
        <v>45883</v>
      </c>
      <c r="D69" t="inlineStr">
        <is>
          <t>GÄVLEBORGS LÄN</t>
        </is>
      </c>
      <c r="E69" t="inlineStr">
        <is>
          <t>LJUSDAL</t>
        </is>
      </c>
      <c r="F69" t="inlineStr">
        <is>
          <t>Allmännings- och besparingsskogar</t>
        </is>
      </c>
      <c r="G69" t="n">
        <v>18.4</v>
      </c>
      <c r="H69" t="n">
        <v>4</v>
      </c>
      <c r="I69" t="n">
        <v>1</v>
      </c>
      <c r="J69" t="n">
        <v>2</v>
      </c>
      <c r="K69" t="n">
        <v>0</v>
      </c>
      <c r="L69" t="n">
        <v>0</v>
      </c>
      <c r="M69" t="n">
        <v>0</v>
      </c>
      <c r="N69" t="n">
        <v>0</v>
      </c>
      <c r="O69" t="n">
        <v>2</v>
      </c>
      <c r="P69" t="n">
        <v>0</v>
      </c>
      <c r="Q69" t="n">
        <v>6</v>
      </c>
      <c r="R69" s="2" t="inlineStr">
        <is>
          <t>Garnlav
Lunglav
Korallrot
Grönsiska
Kungsfågel
Fläcknycklar</t>
        </is>
      </c>
      <c r="S69">
        <f>HYPERLINK("https://klasma.github.io/Logging_2161/artfynd/A 24777-2025 artfynd.xlsx", "A 24777-2025")</f>
        <v/>
      </c>
      <c r="T69">
        <f>HYPERLINK("https://klasma.github.io/Logging_2161/kartor/A 24777-2025 karta.png", "A 24777-2025")</f>
        <v/>
      </c>
      <c r="V69">
        <f>HYPERLINK("https://klasma.github.io/Logging_2161/klagomål/A 24777-2025 FSC-klagomål.docx", "A 24777-2025")</f>
        <v/>
      </c>
      <c r="W69">
        <f>HYPERLINK("https://klasma.github.io/Logging_2161/klagomålsmail/A 24777-2025 FSC-klagomål mail.docx", "A 24777-2025")</f>
        <v/>
      </c>
      <c r="X69">
        <f>HYPERLINK("https://klasma.github.io/Logging_2161/tillsyn/A 24777-2025 tillsynsbegäran.docx", "A 24777-2025")</f>
        <v/>
      </c>
      <c r="Y69">
        <f>HYPERLINK("https://klasma.github.io/Logging_2161/tillsynsmail/A 24777-2025 tillsynsbegäran mail.docx", "A 24777-2025")</f>
        <v/>
      </c>
      <c r="Z69">
        <f>HYPERLINK("https://klasma.github.io/Logging_2161/fåglar/A 24777-2025 prioriterade fågelarter.docx", "A 24777-2025")</f>
        <v/>
      </c>
    </row>
    <row r="70" ht="15" customHeight="1">
      <c r="A70" t="inlineStr">
        <is>
          <t>A 35605-2025</t>
        </is>
      </c>
      <c r="B70" s="1" t="n">
        <v>45859.32651620371</v>
      </c>
      <c r="C70" s="1" t="n">
        <v>45883</v>
      </c>
      <c r="D70" t="inlineStr">
        <is>
          <t>GÄVLEBORGS LÄN</t>
        </is>
      </c>
      <c r="E70" t="inlineStr">
        <is>
          <t>LJUSDAL</t>
        </is>
      </c>
      <c r="F70" t="inlineStr">
        <is>
          <t>Bergvik skog väst AB</t>
        </is>
      </c>
      <c r="G70" t="n">
        <v>3.1</v>
      </c>
      <c r="H70" t="n">
        <v>3</v>
      </c>
      <c r="I70" t="n">
        <v>1</v>
      </c>
      <c r="J70" t="n">
        <v>3</v>
      </c>
      <c r="K70" t="n">
        <v>1</v>
      </c>
      <c r="L70" t="n">
        <v>0</v>
      </c>
      <c r="M70" t="n">
        <v>0</v>
      </c>
      <c r="N70" t="n">
        <v>0</v>
      </c>
      <c r="O70" t="n">
        <v>4</v>
      </c>
      <c r="P70" t="n">
        <v>1</v>
      </c>
      <c r="Q70" t="n">
        <v>6</v>
      </c>
      <c r="R70" s="2" t="inlineStr">
        <is>
          <t>Knärot
Lunglav
Spillkråka
Vitgrynig nållav
Skinnlav
Nattviol</t>
        </is>
      </c>
      <c r="S70">
        <f>HYPERLINK("https://klasma.github.io/Logging_2161/artfynd/A 35605-2025 artfynd.xlsx", "A 35605-2025")</f>
        <v/>
      </c>
      <c r="T70">
        <f>HYPERLINK("https://klasma.github.io/Logging_2161/kartor/A 35605-2025 karta.png", "A 35605-2025")</f>
        <v/>
      </c>
      <c r="U70">
        <f>HYPERLINK("https://klasma.github.io/Logging_2161/knärot/A 35605-2025 karta knärot.png", "A 35605-2025")</f>
        <v/>
      </c>
      <c r="V70">
        <f>HYPERLINK("https://klasma.github.io/Logging_2161/klagomål/A 35605-2025 FSC-klagomål.docx", "A 35605-2025")</f>
        <v/>
      </c>
      <c r="W70">
        <f>HYPERLINK("https://klasma.github.io/Logging_2161/klagomålsmail/A 35605-2025 FSC-klagomål mail.docx", "A 35605-2025")</f>
        <v/>
      </c>
      <c r="X70">
        <f>HYPERLINK("https://klasma.github.io/Logging_2161/tillsyn/A 35605-2025 tillsynsbegäran.docx", "A 35605-2025")</f>
        <v/>
      </c>
      <c r="Y70">
        <f>HYPERLINK("https://klasma.github.io/Logging_2161/tillsynsmail/A 35605-2025 tillsynsbegäran mail.docx", "A 35605-2025")</f>
        <v/>
      </c>
      <c r="Z70">
        <f>HYPERLINK("https://klasma.github.io/Logging_2161/fåglar/A 35605-2025 prioriterade fågelarter.docx", "A 35605-2025")</f>
        <v/>
      </c>
    </row>
    <row r="71" ht="15" customHeight="1">
      <c r="A71" t="inlineStr">
        <is>
          <t>A 1101-2024</t>
        </is>
      </c>
      <c r="B71" s="1" t="n">
        <v>45302</v>
      </c>
      <c r="C71" s="1" t="n">
        <v>45883</v>
      </c>
      <c r="D71" t="inlineStr">
        <is>
          <t>GÄVLEBORGS LÄN</t>
        </is>
      </c>
      <c r="E71" t="inlineStr">
        <is>
          <t>GÄVLE</t>
        </is>
      </c>
      <c r="F71" t="inlineStr">
        <is>
          <t>Bergvik skog väst AB</t>
        </is>
      </c>
      <c r="G71" t="n">
        <v>6.5</v>
      </c>
      <c r="H71" t="n">
        <v>1</v>
      </c>
      <c r="I71" t="n">
        <v>1</v>
      </c>
      <c r="J71" t="n">
        <v>4</v>
      </c>
      <c r="K71" t="n">
        <v>0</v>
      </c>
      <c r="L71" t="n">
        <v>0</v>
      </c>
      <c r="M71" t="n">
        <v>0</v>
      </c>
      <c r="N71" t="n">
        <v>0</v>
      </c>
      <c r="O71" t="n">
        <v>4</v>
      </c>
      <c r="P71" t="n">
        <v>0</v>
      </c>
      <c r="Q71" t="n">
        <v>6</v>
      </c>
      <c r="R71" s="2" t="inlineStr">
        <is>
          <t>Blanksvart spiklav
Svartvit taggsvamp
Vedskivlav
Vedtrappmossa
Dropptaggsvamp
Vattenfladdermus</t>
        </is>
      </c>
      <c r="S71">
        <f>HYPERLINK("https://klasma.github.io/Logging_2180/artfynd/A 1101-2024 artfynd.xlsx", "A 1101-2024")</f>
        <v/>
      </c>
      <c r="T71">
        <f>HYPERLINK("https://klasma.github.io/Logging_2180/kartor/A 1101-2024 karta.png", "A 1101-2024")</f>
        <v/>
      </c>
      <c r="V71">
        <f>HYPERLINK("https://klasma.github.io/Logging_2180/klagomål/A 1101-2024 FSC-klagomål.docx", "A 1101-2024")</f>
        <v/>
      </c>
      <c r="W71">
        <f>HYPERLINK("https://klasma.github.io/Logging_2180/klagomålsmail/A 1101-2024 FSC-klagomål mail.docx", "A 1101-2024")</f>
        <v/>
      </c>
      <c r="X71">
        <f>HYPERLINK("https://klasma.github.io/Logging_2180/tillsyn/A 1101-2024 tillsynsbegäran.docx", "A 1101-2024")</f>
        <v/>
      </c>
      <c r="Y71">
        <f>HYPERLINK("https://klasma.github.io/Logging_2180/tillsynsmail/A 1101-2024 tillsynsbegäran mail.docx", "A 1101-2024")</f>
        <v/>
      </c>
    </row>
    <row r="72" ht="15" customHeight="1">
      <c r="A72" t="inlineStr">
        <is>
          <t>A 18705-2022</t>
        </is>
      </c>
      <c r="B72" s="1" t="n">
        <v>44687</v>
      </c>
      <c r="C72" s="1" t="n">
        <v>45883</v>
      </c>
      <c r="D72" t="inlineStr">
        <is>
          <t>GÄVLEBORGS LÄN</t>
        </is>
      </c>
      <c r="E72" t="inlineStr">
        <is>
          <t>LJUSDAL</t>
        </is>
      </c>
      <c r="F72" t="inlineStr">
        <is>
          <t>Bergvik skog väst AB</t>
        </is>
      </c>
      <c r="G72" t="n">
        <v>3.3</v>
      </c>
      <c r="H72" t="n">
        <v>2</v>
      </c>
      <c r="I72" t="n">
        <v>2</v>
      </c>
      <c r="J72" t="n">
        <v>3</v>
      </c>
      <c r="K72" t="n">
        <v>1</v>
      </c>
      <c r="L72" t="n">
        <v>0</v>
      </c>
      <c r="M72" t="n">
        <v>0</v>
      </c>
      <c r="N72" t="n">
        <v>0</v>
      </c>
      <c r="O72" t="n">
        <v>4</v>
      </c>
      <c r="P72" t="n">
        <v>1</v>
      </c>
      <c r="Q72" t="n">
        <v>6</v>
      </c>
      <c r="R72" s="2" t="inlineStr">
        <is>
          <t>Doftticka
Garnlav
Lunglav
Tretåig hackspett
Skinnlav
Stuplav</t>
        </is>
      </c>
      <c r="S72">
        <f>HYPERLINK("https://klasma.github.io/Logging_2161/artfynd/A 18705-2022 artfynd.xlsx", "A 18705-2022")</f>
        <v/>
      </c>
      <c r="T72">
        <f>HYPERLINK("https://klasma.github.io/Logging_2161/kartor/A 18705-2022 karta.png", "A 18705-2022")</f>
        <v/>
      </c>
      <c r="U72">
        <f>HYPERLINK("https://klasma.github.io/Logging_2161/knärot/A 18705-2022 karta knärot.png", "A 18705-2022")</f>
        <v/>
      </c>
      <c r="V72">
        <f>HYPERLINK("https://klasma.github.io/Logging_2161/klagomål/A 18705-2022 FSC-klagomål.docx", "A 18705-2022")</f>
        <v/>
      </c>
      <c r="W72">
        <f>HYPERLINK("https://klasma.github.io/Logging_2161/klagomålsmail/A 18705-2022 FSC-klagomål mail.docx", "A 18705-2022")</f>
        <v/>
      </c>
      <c r="X72">
        <f>HYPERLINK("https://klasma.github.io/Logging_2161/tillsyn/A 18705-2022 tillsynsbegäran.docx", "A 18705-2022")</f>
        <v/>
      </c>
      <c r="Y72">
        <f>HYPERLINK("https://klasma.github.io/Logging_2161/tillsynsmail/A 18705-2022 tillsynsbegäran mail.docx", "A 18705-2022")</f>
        <v/>
      </c>
      <c r="Z72">
        <f>HYPERLINK("https://klasma.github.io/Logging_2161/fåglar/A 18705-2022 prioriterade fågelarter.docx", "A 18705-2022")</f>
        <v/>
      </c>
    </row>
    <row r="73" ht="15" customHeight="1">
      <c r="A73" t="inlineStr">
        <is>
          <t>A 28859-2025</t>
        </is>
      </c>
      <c r="B73" s="1" t="n">
        <v>45820</v>
      </c>
      <c r="C73" s="1" t="n">
        <v>45883</v>
      </c>
      <c r="D73" t="inlineStr">
        <is>
          <t>GÄVLEBORGS LÄN</t>
        </is>
      </c>
      <c r="E73" t="inlineStr">
        <is>
          <t>LJUSDAL</t>
        </is>
      </c>
      <c r="F73" t="inlineStr">
        <is>
          <t>Bergvik skog väst AB</t>
        </is>
      </c>
      <c r="G73" t="n">
        <v>10.2</v>
      </c>
      <c r="H73" t="n">
        <v>4</v>
      </c>
      <c r="I73" t="n">
        <v>0</v>
      </c>
      <c r="J73" t="n">
        <v>4</v>
      </c>
      <c r="K73" t="n">
        <v>0</v>
      </c>
      <c r="L73" t="n">
        <v>0</v>
      </c>
      <c r="M73" t="n">
        <v>0</v>
      </c>
      <c r="N73" t="n">
        <v>0</v>
      </c>
      <c r="O73" t="n">
        <v>4</v>
      </c>
      <c r="P73" t="n">
        <v>0</v>
      </c>
      <c r="Q73" t="n">
        <v>6</v>
      </c>
      <c r="R73" s="2" t="inlineStr">
        <is>
          <t>Garnlav
Lunglav
Talltita
Tretåig hackspett
Kungsfågel
Tjäder</t>
        </is>
      </c>
      <c r="S73">
        <f>HYPERLINK("https://klasma.github.io/Logging_2161/artfynd/A 28859-2025 artfynd.xlsx", "A 28859-2025")</f>
        <v/>
      </c>
      <c r="T73">
        <f>HYPERLINK("https://klasma.github.io/Logging_2161/kartor/A 28859-2025 karta.png", "A 28859-2025")</f>
        <v/>
      </c>
      <c r="V73">
        <f>HYPERLINK("https://klasma.github.io/Logging_2161/klagomål/A 28859-2025 FSC-klagomål.docx", "A 28859-2025")</f>
        <v/>
      </c>
      <c r="W73">
        <f>HYPERLINK("https://klasma.github.io/Logging_2161/klagomålsmail/A 28859-2025 FSC-klagomål mail.docx", "A 28859-2025")</f>
        <v/>
      </c>
      <c r="X73">
        <f>HYPERLINK("https://klasma.github.io/Logging_2161/tillsyn/A 28859-2025 tillsynsbegäran.docx", "A 28859-2025")</f>
        <v/>
      </c>
      <c r="Y73">
        <f>HYPERLINK("https://klasma.github.io/Logging_2161/tillsynsmail/A 28859-2025 tillsynsbegäran mail.docx", "A 28859-2025")</f>
        <v/>
      </c>
      <c r="Z73">
        <f>HYPERLINK("https://klasma.github.io/Logging_2161/fåglar/A 28859-2025 prioriterade fågelarter.docx", "A 28859-2025")</f>
        <v/>
      </c>
    </row>
    <row r="74" ht="15" customHeight="1">
      <c r="A74" t="inlineStr">
        <is>
          <t>A 31182-2025</t>
        </is>
      </c>
      <c r="B74" s="1" t="n">
        <v>45832.67755787037</v>
      </c>
      <c r="C74" s="1" t="n">
        <v>45883</v>
      </c>
      <c r="D74" t="inlineStr">
        <is>
          <t>GÄVLEBORGS LÄN</t>
        </is>
      </c>
      <c r="E74" t="inlineStr">
        <is>
          <t>LJUSDAL</t>
        </is>
      </c>
      <c r="F74" t="inlineStr">
        <is>
          <t>SCA</t>
        </is>
      </c>
      <c r="G74" t="n">
        <v>3.4</v>
      </c>
      <c r="H74" t="n">
        <v>1</v>
      </c>
      <c r="I74" t="n">
        <v>1</v>
      </c>
      <c r="J74" t="n">
        <v>4</v>
      </c>
      <c r="K74" t="n">
        <v>1</v>
      </c>
      <c r="L74" t="n">
        <v>0</v>
      </c>
      <c r="M74" t="n">
        <v>0</v>
      </c>
      <c r="N74" t="n">
        <v>0</v>
      </c>
      <c r="O74" t="n">
        <v>5</v>
      </c>
      <c r="P74" t="n">
        <v>1</v>
      </c>
      <c r="Q74" t="n">
        <v>6</v>
      </c>
      <c r="R74" s="2" t="inlineStr">
        <is>
          <t>Knärot
Garnlav
Kolflarnlav
Mörk kolflarnlav
Violettgrå tagellav
Norrlandslav</t>
        </is>
      </c>
      <c r="S74">
        <f>HYPERLINK("https://klasma.github.io/Logging_2161/artfynd/A 31182-2025 artfynd.xlsx", "A 31182-2025")</f>
        <v/>
      </c>
      <c r="T74">
        <f>HYPERLINK("https://klasma.github.io/Logging_2161/kartor/A 31182-2025 karta.png", "A 31182-2025")</f>
        <v/>
      </c>
      <c r="U74">
        <f>HYPERLINK("https://klasma.github.io/Logging_2161/knärot/A 31182-2025 karta knärot.png", "A 31182-2025")</f>
        <v/>
      </c>
      <c r="V74">
        <f>HYPERLINK("https://klasma.github.io/Logging_2161/klagomål/A 31182-2025 FSC-klagomål.docx", "A 31182-2025")</f>
        <v/>
      </c>
      <c r="W74">
        <f>HYPERLINK("https://klasma.github.io/Logging_2161/klagomålsmail/A 31182-2025 FSC-klagomål mail.docx", "A 31182-2025")</f>
        <v/>
      </c>
      <c r="X74">
        <f>HYPERLINK("https://klasma.github.io/Logging_2161/tillsyn/A 31182-2025 tillsynsbegäran.docx", "A 31182-2025")</f>
        <v/>
      </c>
      <c r="Y74">
        <f>HYPERLINK("https://klasma.github.io/Logging_2161/tillsynsmail/A 31182-2025 tillsynsbegäran mail.docx", "A 31182-2025")</f>
        <v/>
      </c>
    </row>
    <row r="75" ht="15" customHeight="1">
      <c r="A75" t="inlineStr">
        <is>
          <t>A 34286-2025</t>
        </is>
      </c>
      <c r="B75" s="1" t="n">
        <v>45846</v>
      </c>
      <c r="C75" s="1" t="n">
        <v>45883</v>
      </c>
      <c r="D75" t="inlineStr">
        <is>
          <t>GÄVLEBORGS LÄN</t>
        </is>
      </c>
      <c r="E75" t="inlineStr">
        <is>
          <t>LJUSDAL</t>
        </is>
      </c>
      <c r="F75" t="inlineStr">
        <is>
          <t>Bergvik skog väst AB</t>
        </is>
      </c>
      <c r="G75" t="n">
        <v>9.5</v>
      </c>
      <c r="H75" t="n">
        <v>0</v>
      </c>
      <c r="I75" t="n">
        <v>1</v>
      </c>
      <c r="J75" t="n">
        <v>5</v>
      </c>
      <c r="K75" t="n">
        <v>0</v>
      </c>
      <c r="L75" t="n">
        <v>0</v>
      </c>
      <c r="M75" t="n">
        <v>0</v>
      </c>
      <c r="N75" t="n">
        <v>0</v>
      </c>
      <c r="O75" t="n">
        <v>5</v>
      </c>
      <c r="P75" t="n">
        <v>0</v>
      </c>
      <c r="Q75" t="n">
        <v>6</v>
      </c>
      <c r="R75" s="2" t="inlineStr">
        <is>
          <t>Garnlav
Kolflarnlav
Kortskaftad ärgspik
Lunglav
Vedskivlav
Stuplav</t>
        </is>
      </c>
      <c r="S75">
        <f>HYPERLINK("https://klasma.github.io/Logging_2161/artfynd/A 34286-2025 artfynd.xlsx", "A 34286-2025")</f>
        <v/>
      </c>
      <c r="T75">
        <f>HYPERLINK("https://klasma.github.io/Logging_2161/kartor/A 34286-2025 karta.png", "A 34286-2025")</f>
        <v/>
      </c>
      <c r="V75">
        <f>HYPERLINK("https://klasma.github.io/Logging_2161/klagomål/A 34286-2025 FSC-klagomål.docx", "A 34286-2025")</f>
        <v/>
      </c>
      <c r="W75">
        <f>HYPERLINK("https://klasma.github.io/Logging_2161/klagomålsmail/A 34286-2025 FSC-klagomål mail.docx", "A 34286-2025")</f>
        <v/>
      </c>
      <c r="X75">
        <f>HYPERLINK("https://klasma.github.io/Logging_2161/tillsyn/A 34286-2025 tillsynsbegäran.docx", "A 34286-2025")</f>
        <v/>
      </c>
      <c r="Y75">
        <f>HYPERLINK("https://klasma.github.io/Logging_2161/tillsynsmail/A 34286-2025 tillsynsbegäran mail.docx", "A 34286-2025")</f>
        <v/>
      </c>
    </row>
    <row r="76" ht="15" customHeight="1">
      <c r="A76" t="inlineStr">
        <is>
          <t>A 32579-2025</t>
        </is>
      </c>
      <c r="B76" s="1" t="n">
        <v>45838.59387731482</v>
      </c>
      <c r="C76" s="1" t="n">
        <v>45883</v>
      </c>
      <c r="D76" t="inlineStr">
        <is>
          <t>GÄVLEBORGS LÄN</t>
        </is>
      </c>
      <c r="E76" t="inlineStr">
        <is>
          <t>LJUSDAL</t>
        </is>
      </c>
      <c r="F76" t="inlineStr">
        <is>
          <t>Bergvik skog väst AB</t>
        </is>
      </c>
      <c r="G76" t="n">
        <v>10.5</v>
      </c>
      <c r="H76" t="n">
        <v>3</v>
      </c>
      <c r="I76" t="n">
        <v>3</v>
      </c>
      <c r="J76" t="n">
        <v>3</v>
      </c>
      <c r="K76" t="n">
        <v>0</v>
      </c>
      <c r="L76" t="n">
        <v>0</v>
      </c>
      <c r="M76" t="n">
        <v>0</v>
      </c>
      <c r="N76" t="n">
        <v>0</v>
      </c>
      <c r="O76" t="n">
        <v>3</v>
      </c>
      <c r="P76" t="n">
        <v>0</v>
      </c>
      <c r="Q76" t="n">
        <v>6</v>
      </c>
      <c r="R76" s="2" t="inlineStr">
        <is>
          <t>Lunglav
Skrovellav
Talltita
Plattlummer
Spindelblomster
Tibast</t>
        </is>
      </c>
      <c r="S76">
        <f>HYPERLINK("https://klasma.github.io/Logging_2161/artfynd/A 32579-2025 artfynd.xlsx", "A 32579-2025")</f>
        <v/>
      </c>
      <c r="T76">
        <f>HYPERLINK("https://klasma.github.io/Logging_2161/kartor/A 32579-2025 karta.png", "A 32579-2025")</f>
        <v/>
      </c>
      <c r="V76">
        <f>HYPERLINK("https://klasma.github.io/Logging_2161/klagomål/A 32579-2025 FSC-klagomål.docx", "A 32579-2025")</f>
        <v/>
      </c>
      <c r="W76">
        <f>HYPERLINK("https://klasma.github.io/Logging_2161/klagomålsmail/A 32579-2025 FSC-klagomål mail.docx", "A 32579-2025")</f>
        <v/>
      </c>
      <c r="X76">
        <f>HYPERLINK("https://klasma.github.io/Logging_2161/tillsyn/A 32579-2025 tillsynsbegäran.docx", "A 32579-2025")</f>
        <v/>
      </c>
      <c r="Y76">
        <f>HYPERLINK("https://klasma.github.io/Logging_2161/tillsynsmail/A 32579-2025 tillsynsbegäran mail.docx", "A 32579-2025")</f>
        <v/>
      </c>
      <c r="Z76">
        <f>HYPERLINK("https://klasma.github.io/Logging_2161/fåglar/A 32579-2025 prioriterade fågelarter.docx", "A 32579-2025")</f>
        <v/>
      </c>
    </row>
    <row r="77" ht="15" customHeight="1">
      <c r="A77" t="inlineStr">
        <is>
          <t>A 32574-2025</t>
        </is>
      </c>
      <c r="B77" s="1" t="n">
        <v>45838.58512731481</v>
      </c>
      <c r="C77" s="1" t="n">
        <v>45883</v>
      </c>
      <c r="D77" t="inlineStr">
        <is>
          <t>GÄVLEBORGS LÄN</t>
        </is>
      </c>
      <c r="E77" t="inlineStr">
        <is>
          <t>LJUSDAL</t>
        </is>
      </c>
      <c r="F77" t="inlineStr">
        <is>
          <t>Bergvik skog väst AB</t>
        </is>
      </c>
      <c r="G77" t="n">
        <v>8.6</v>
      </c>
      <c r="H77" t="n">
        <v>3</v>
      </c>
      <c r="I77" t="n">
        <v>0</v>
      </c>
      <c r="J77" t="n">
        <v>4</v>
      </c>
      <c r="K77" t="n">
        <v>0</v>
      </c>
      <c r="L77" t="n">
        <v>0</v>
      </c>
      <c r="M77" t="n">
        <v>0</v>
      </c>
      <c r="N77" t="n">
        <v>0</v>
      </c>
      <c r="O77" t="n">
        <v>4</v>
      </c>
      <c r="P77" t="n">
        <v>0</v>
      </c>
      <c r="Q77" t="n">
        <v>6</v>
      </c>
      <c r="R77" s="2" t="inlineStr">
        <is>
          <t>Garnlav
Kolflarnlav
Mörk kolflarnlav
Talltita
Grönsiska
Fläcknycklar</t>
        </is>
      </c>
      <c r="S77">
        <f>HYPERLINK("https://klasma.github.io/Logging_2161/artfynd/A 32574-2025 artfynd.xlsx", "A 32574-2025")</f>
        <v/>
      </c>
      <c r="T77">
        <f>HYPERLINK("https://klasma.github.io/Logging_2161/kartor/A 32574-2025 karta.png", "A 32574-2025")</f>
        <v/>
      </c>
      <c r="V77">
        <f>HYPERLINK("https://klasma.github.io/Logging_2161/klagomål/A 32574-2025 FSC-klagomål.docx", "A 32574-2025")</f>
        <v/>
      </c>
      <c r="W77">
        <f>HYPERLINK("https://klasma.github.io/Logging_2161/klagomålsmail/A 32574-2025 FSC-klagomål mail.docx", "A 32574-2025")</f>
        <v/>
      </c>
      <c r="X77">
        <f>HYPERLINK("https://klasma.github.io/Logging_2161/tillsyn/A 32574-2025 tillsynsbegäran.docx", "A 32574-2025")</f>
        <v/>
      </c>
      <c r="Y77">
        <f>HYPERLINK("https://klasma.github.io/Logging_2161/tillsynsmail/A 32574-2025 tillsynsbegäran mail.docx", "A 32574-2025")</f>
        <v/>
      </c>
      <c r="Z77">
        <f>HYPERLINK("https://klasma.github.io/Logging_2161/fåglar/A 32574-2025 prioriterade fågelarter.docx", "A 32574-2025")</f>
        <v/>
      </c>
    </row>
    <row r="78" ht="15" customHeight="1">
      <c r="A78" t="inlineStr">
        <is>
          <t>A 31524-2022</t>
        </is>
      </c>
      <c r="B78" s="1" t="n">
        <v>44775</v>
      </c>
      <c r="C78" s="1" t="n">
        <v>45883</v>
      </c>
      <c r="D78" t="inlineStr">
        <is>
          <t>GÄVLEBORGS LÄN</t>
        </is>
      </c>
      <c r="E78" t="inlineStr">
        <is>
          <t>LJUSDAL</t>
        </is>
      </c>
      <c r="F78" t="inlineStr">
        <is>
          <t>Sveaskog</t>
        </is>
      </c>
      <c r="G78" t="n">
        <v>38.6</v>
      </c>
      <c r="H78" t="n">
        <v>2</v>
      </c>
      <c r="I78" t="n">
        <v>2</v>
      </c>
      <c r="J78" t="n">
        <v>2</v>
      </c>
      <c r="K78" t="n">
        <v>0</v>
      </c>
      <c r="L78" t="n">
        <v>0</v>
      </c>
      <c r="M78" t="n">
        <v>0</v>
      </c>
      <c r="N78" t="n">
        <v>0</v>
      </c>
      <c r="O78" t="n">
        <v>2</v>
      </c>
      <c r="P78" t="n">
        <v>0</v>
      </c>
      <c r="Q78" t="n">
        <v>5</v>
      </c>
      <c r="R78" s="2" t="inlineStr">
        <is>
          <t>Garnlav
Gränsticka
Korallrot
Källmossa
Fläcknycklar</t>
        </is>
      </c>
      <c r="S78">
        <f>HYPERLINK("https://klasma.github.io/Logging_2161/artfynd/A 31524-2022 artfynd.xlsx", "A 31524-2022")</f>
        <v/>
      </c>
      <c r="T78">
        <f>HYPERLINK("https://klasma.github.io/Logging_2161/kartor/A 31524-2022 karta.png", "A 31524-2022")</f>
        <v/>
      </c>
      <c r="V78">
        <f>HYPERLINK("https://klasma.github.io/Logging_2161/klagomål/A 31524-2022 FSC-klagomål.docx", "A 31524-2022")</f>
        <v/>
      </c>
      <c r="W78">
        <f>HYPERLINK("https://klasma.github.io/Logging_2161/klagomålsmail/A 31524-2022 FSC-klagomål mail.docx", "A 31524-2022")</f>
        <v/>
      </c>
      <c r="X78">
        <f>HYPERLINK("https://klasma.github.io/Logging_2161/tillsyn/A 31524-2022 tillsynsbegäran.docx", "A 31524-2022")</f>
        <v/>
      </c>
      <c r="Y78">
        <f>HYPERLINK("https://klasma.github.io/Logging_2161/tillsynsmail/A 31524-2022 tillsynsbegäran mail.docx", "A 31524-2022")</f>
        <v/>
      </c>
    </row>
    <row r="79" ht="15" customHeight="1">
      <c r="A79" t="inlineStr">
        <is>
          <t>A 49036-2021</t>
        </is>
      </c>
      <c r="B79" s="1" t="n">
        <v>44453</v>
      </c>
      <c r="C79" s="1" t="n">
        <v>45883</v>
      </c>
      <c r="D79" t="inlineStr">
        <is>
          <t>GÄVLEBORGS LÄN</t>
        </is>
      </c>
      <c r="E79" t="inlineStr">
        <is>
          <t>HUDIKSVALL</t>
        </is>
      </c>
      <c r="G79" t="n">
        <v>11.7</v>
      </c>
      <c r="H79" t="n">
        <v>0</v>
      </c>
      <c r="I79" t="n">
        <v>2</v>
      </c>
      <c r="J79" t="n">
        <v>3</v>
      </c>
      <c r="K79" t="n">
        <v>0</v>
      </c>
      <c r="L79" t="n">
        <v>0</v>
      </c>
      <c r="M79" t="n">
        <v>0</v>
      </c>
      <c r="N79" t="n">
        <v>0</v>
      </c>
      <c r="O79" t="n">
        <v>3</v>
      </c>
      <c r="P79" t="n">
        <v>0</v>
      </c>
      <c r="Q79" t="n">
        <v>5</v>
      </c>
      <c r="R79" s="2" t="inlineStr">
        <is>
          <t>Granticka
Ullticka
Violettgrå tagellav
Kattfotslav
Vedticka</t>
        </is>
      </c>
      <c r="S79">
        <f>HYPERLINK("https://klasma.github.io/Logging_2184/artfynd/A 49036-2021 artfynd.xlsx", "A 49036-2021")</f>
        <v/>
      </c>
      <c r="T79">
        <f>HYPERLINK("https://klasma.github.io/Logging_2184/kartor/A 49036-2021 karta.png", "A 49036-2021")</f>
        <v/>
      </c>
      <c r="V79">
        <f>HYPERLINK("https://klasma.github.io/Logging_2184/klagomål/A 49036-2021 FSC-klagomål.docx", "A 49036-2021")</f>
        <v/>
      </c>
      <c r="W79">
        <f>HYPERLINK("https://klasma.github.io/Logging_2184/klagomålsmail/A 49036-2021 FSC-klagomål mail.docx", "A 49036-2021")</f>
        <v/>
      </c>
      <c r="X79">
        <f>HYPERLINK("https://klasma.github.io/Logging_2184/tillsyn/A 49036-2021 tillsynsbegäran.docx", "A 49036-2021")</f>
        <v/>
      </c>
      <c r="Y79">
        <f>HYPERLINK("https://klasma.github.io/Logging_2184/tillsynsmail/A 49036-2021 tillsynsbegäran mail.docx", "A 49036-2021")</f>
        <v/>
      </c>
    </row>
    <row r="80" ht="15" customHeight="1">
      <c r="A80" t="inlineStr">
        <is>
          <t>A 7229-2022</t>
        </is>
      </c>
      <c r="B80" s="1" t="n">
        <v>44606</v>
      </c>
      <c r="C80" s="1" t="n">
        <v>45883</v>
      </c>
      <c r="D80" t="inlineStr">
        <is>
          <t>GÄVLEBORGS LÄN</t>
        </is>
      </c>
      <c r="E80" t="inlineStr">
        <is>
          <t>HUDIKSVALL</t>
        </is>
      </c>
      <c r="F80" t="inlineStr">
        <is>
          <t>Holmen skog AB</t>
        </is>
      </c>
      <c r="G80" t="n">
        <v>1.4</v>
      </c>
      <c r="H80" t="n">
        <v>1</v>
      </c>
      <c r="I80" t="n">
        <v>2</v>
      </c>
      <c r="J80" t="n">
        <v>2</v>
      </c>
      <c r="K80" t="n">
        <v>0</v>
      </c>
      <c r="L80" t="n">
        <v>0</v>
      </c>
      <c r="M80" t="n">
        <v>0</v>
      </c>
      <c r="N80" t="n">
        <v>0</v>
      </c>
      <c r="O80" t="n">
        <v>2</v>
      </c>
      <c r="P80" t="n">
        <v>0</v>
      </c>
      <c r="Q80" t="n">
        <v>5</v>
      </c>
      <c r="R80" s="2" t="inlineStr">
        <is>
          <t>Ullticka
Violettgrå tagellav
Bronshjon
Vedticka
Revlummer</t>
        </is>
      </c>
      <c r="S80">
        <f>HYPERLINK("https://klasma.github.io/Logging_2184/artfynd/A 7229-2022 artfynd.xlsx", "A 7229-2022")</f>
        <v/>
      </c>
      <c r="T80">
        <f>HYPERLINK("https://klasma.github.io/Logging_2184/kartor/A 7229-2022 karta.png", "A 7229-2022")</f>
        <v/>
      </c>
      <c r="V80">
        <f>HYPERLINK("https://klasma.github.io/Logging_2184/klagomål/A 7229-2022 FSC-klagomål.docx", "A 7229-2022")</f>
        <v/>
      </c>
      <c r="W80">
        <f>HYPERLINK("https://klasma.github.io/Logging_2184/klagomålsmail/A 7229-2022 FSC-klagomål mail.docx", "A 7229-2022")</f>
        <v/>
      </c>
      <c r="X80">
        <f>HYPERLINK("https://klasma.github.io/Logging_2184/tillsyn/A 7229-2022 tillsynsbegäran.docx", "A 7229-2022")</f>
        <v/>
      </c>
      <c r="Y80">
        <f>HYPERLINK("https://klasma.github.io/Logging_2184/tillsynsmail/A 7229-2022 tillsynsbegäran mail.docx", "A 7229-2022")</f>
        <v/>
      </c>
    </row>
    <row r="81" ht="15" customHeight="1">
      <c r="A81" t="inlineStr">
        <is>
          <t>A 36471-2021</t>
        </is>
      </c>
      <c r="B81" s="1" t="n">
        <v>44390</v>
      </c>
      <c r="C81" s="1" t="n">
        <v>45883</v>
      </c>
      <c r="D81" t="inlineStr">
        <is>
          <t>GÄVLEBORGS LÄN</t>
        </is>
      </c>
      <c r="E81" t="inlineStr">
        <is>
          <t>GÄVLE</t>
        </is>
      </c>
      <c r="F81" t="inlineStr">
        <is>
          <t>Bergvik skog väst AB</t>
        </is>
      </c>
      <c r="G81" t="n">
        <v>11.7</v>
      </c>
      <c r="H81" t="n">
        <v>2</v>
      </c>
      <c r="I81" t="n">
        <v>1</v>
      </c>
      <c r="J81" t="n">
        <v>4</v>
      </c>
      <c r="K81" t="n">
        <v>0</v>
      </c>
      <c r="L81" t="n">
        <v>0</v>
      </c>
      <c r="M81" t="n">
        <v>0</v>
      </c>
      <c r="N81" t="n">
        <v>0</v>
      </c>
      <c r="O81" t="n">
        <v>4</v>
      </c>
      <c r="P81" t="n">
        <v>0</v>
      </c>
      <c r="Q81" t="n">
        <v>5</v>
      </c>
      <c r="R81" s="2" t="inlineStr">
        <is>
          <t>Brunpudrad nållav
Spillkråka
Tallticka
Tretåig hackspett
Gulnål</t>
        </is>
      </c>
      <c r="S81">
        <f>HYPERLINK("https://klasma.github.io/Logging_2180/artfynd/A 36471-2021 artfynd.xlsx", "A 36471-2021")</f>
        <v/>
      </c>
      <c r="T81">
        <f>HYPERLINK("https://klasma.github.io/Logging_2180/kartor/A 36471-2021 karta.png", "A 36471-2021")</f>
        <v/>
      </c>
      <c r="V81">
        <f>HYPERLINK("https://klasma.github.io/Logging_2180/klagomål/A 36471-2021 FSC-klagomål.docx", "A 36471-2021")</f>
        <v/>
      </c>
      <c r="W81">
        <f>HYPERLINK("https://klasma.github.io/Logging_2180/klagomålsmail/A 36471-2021 FSC-klagomål mail.docx", "A 36471-2021")</f>
        <v/>
      </c>
      <c r="X81">
        <f>HYPERLINK("https://klasma.github.io/Logging_2180/tillsyn/A 36471-2021 tillsynsbegäran.docx", "A 36471-2021")</f>
        <v/>
      </c>
      <c r="Y81">
        <f>HYPERLINK("https://klasma.github.io/Logging_2180/tillsynsmail/A 36471-2021 tillsynsbegäran mail.docx", "A 36471-2021")</f>
        <v/>
      </c>
      <c r="Z81">
        <f>HYPERLINK("https://klasma.github.io/Logging_2180/fåglar/A 36471-2021 prioriterade fågelarter.docx", "A 36471-2021")</f>
        <v/>
      </c>
    </row>
    <row r="82" ht="15" customHeight="1">
      <c r="A82" t="inlineStr">
        <is>
          <t>A 51955-2023</t>
        </is>
      </c>
      <c r="B82" s="1" t="n">
        <v>45223.53979166667</v>
      </c>
      <c r="C82" s="1" t="n">
        <v>45883</v>
      </c>
      <c r="D82" t="inlineStr">
        <is>
          <t>GÄVLEBORGS LÄN</t>
        </is>
      </c>
      <c r="E82" t="inlineStr">
        <is>
          <t>LJUSDAL</t>
        </is>
      </c>
      <c r="F82" t="inlineStr">
        <is>
          <t>Sveaskog</t>
        </is>
      </c>
      <c r="G82" t="n">
        <v>33.5</v>
      </c>
      <c r="H82" t="n">
        <v>0</v>
      </c>
      <c r="I82" t="n">
        <v>1</v>
      </c>
      <c r="J82" t="n">
        <v>3</v>
      </c>
      <c r="K82" t="n">
        <v>1</v>
      </c>
      <c r="L82" t="n">
        <v>0</v>
      </c>
      <c r="M82" t="n">
        <v>0</v>
      </c>
      <c r="N82" t="n">
        <v>0</v>
      </c>
      <c r="O82" t="n">
        <v>4</v>
      </c>
      <c r="P82" t="n">
        <v>1</v>
      </c>
      <c r="Q82" t="n">
        <v>5</v>
      </c>
      <c r="R82" s="2" t="inlineStr">
        <is>
          <t>Gräddporing
Kolflarnlav
Mörk kolflarnlav
Vedflamlav
Dropptaggsvamp</t>
        </is>
      </c>
      <c r="S82">
        <f>HYPERLINK("https://klasma.github.io/Logging_2161/artfynd/A 51955-2023 artfynd.xlsx", "A 51955-2023")</f>
        <v/>
      </c>
      <c r="T82">
        <f>HYPERLINK("https://klasma.github.io/Logging_2161/kartor/A 51955-2023 karta.png", "A 51955-2023")</f>
        <v/>
      </c>
      <c r="V82">
        <f>HYPERLINK("https://klasma.github.io/Logging_2161/klagomål/A 51955-2023 FSC-klagomål.docx", "A 51955-2023")</f>
        <v/>
      </c>
      <c r="W82">
        <f>HYPERLINK("https://klasma.github.io/Logging_2161/klagomålsmail/A 51955-2023 FSC-klagomål mail.docx", "A 51955-2023")</f>
        <v/>
      </c>
      <c r="X82">
        <f>HYPERLINK("https://klasma.github.io/Logging_2161/tillsyn/A 51955-2023 tillsynsbegäran.docx", "A 51955-2023")</f>
        <v/>
      </c>
      <c r="Y82">
        <f>HYPERLINK("https://klasma.github.io/Logging_2161/tillsynsmail/A 51955-2023 tillsynsbegäran mail.docx", "A 51955-2023")</f>
        <v/>
      </c>
    </row>
    <row r="83" ht="15" customHeight="1">
      <c r="A83" t="inlineStr">
        <is>
          <t>A 21488-2022</t>
        </is>
      </c>
      <c r="B83" s="1" t="n">
        <v>44706.44454861111</v>
      </c>
      <c r="C83" s="1" t="n">
        <v>45883</v>
      </c>
      <c r="D83" t="inlineStr">
        <is>
          <t>GÄVLEBORGS LÄN</t>
        </is>
      </c>
      <c r="E83" t="inlineStr">
        <is>
          <t>SÖDERHAMN</t>
        </is>
      </c>
      <c r="F83" t="inlineStr">
        <is>
          <t>Bergvik skog väst AB</t>
        </is>
      </c>
      <c r="G83" t="n">
        <v>6</v>
      </c>
      <c r="H83" t="n">
        <v>5</v>
      </c>
      <c r="I83" t="n">
        <v>0</v>
      </c>
      <c r="J83" t="n">
        <v>1</v>
      </c>
      <c r="K83" t="n">
        <v>0</v>
      </c>
      <c r="L83" t="n">
        <v>0</v>
      </c>
      <c r="M83" t="n">
        <v>0</v>
      </c>
      <c r="N83" t="n">
        <v>0</v>
      </c>
      <c r="O83" t="n">
        <v>1</v>
      </c>
      <c r="P83" t="n">
        <v>0</v>
      </c>
      <c r="Q83" t="n">
        <v>5</v>
      </c>
      <c r="R83" s="2" t="inlineStr">
        <is>
          <t>Talltita
Grönsiska
Järnsparv
Kungsfågel
Fläcknycklar</t>
        </is>
      </c>
      <c r="S83">
        <f>HYPERLINK("https://klasma.github.io/Logging_2182/artfynd/A 21488-2022 artfynd.xlsx", "A 21488-2022")</f>
        <v/>
      </c>
      <c r="T83">
        <f>HYPERLINK("https://klasma.github.io/Logging_2182/kartor/A 21488-2022 karta.png", "A 21488-2022")</f>
        <v/>
      </c>
      <c r="V83">
        <f>HYPERLINK("https://klasma.github.io/Logging_2182/klagomål/A 21488-2022 FSC-klagomål.docx", "A 21488-2022")</f>
        <v/>
      </c>
      <c r="W83">
        <f>HYPERLINK("https://klasma.github.io/Logging_2182/klagomålsmail/A 21488-2022 FSC-klagomål mail.docx", "A 21488-2022")</f>
        <v/>
      </c>
      <c r="X83">
        <f>HYPERLINK("https://klasma.github.io/Logging_2182/tillsyn/A 21488-2022 tillsynsbegäran.docx", "A 21488-2022")</f>
        <v/>
      </c>
      <c r="Y83">
        <f>HYPERLINK("https://klasma.github.io/Logging_2182/tillsynsmail/A 21488-2022 tillsynsbegäran mail.docx", "A 21488-2022")</f>
        <v/>
      </c>
      <c r="Z83">
        <f>HYPERLINK("https://klasma.github.io/Logging_2182/fåglar/A 21488-2022 prioriterade fågelarter.docx", "A 21488-2022")</f>
        <v/>
      </c>
    </row>
    <row r="84" ht="15" customHeight="1">
      <c r="A84" t="inlineStr">
        <is>
          <t>A 54978-2024</t>
        </is>
      </c>
      <c r="B84" s="1" t="n">
        <v>45620.69542824074</v>
      </c>
      <c r="C84" s="1" t="n">
        <v>45883</v>
      </c>
      <c r="D84" t="inlineStr">
        <is>
          <t>GÄVLEBORGS LÄN</t>
        </is>
      </c>
      <c r="E84" t="inlineStr">
        <is>
          <t>HUDIKSVALL</t>
        </is>
      </c>
      <c r="F84" t="inlineStr">
        <is>
          <t>Holmen skog AB</t>
        </is>
      </c>
      <c r="G84" t="n">
        <v>6.3</v>
      </c>
      <c r="H84" t="n">
        <v>4</v>
      </c>
      <c r="I84" t="n">
        <v>2</v>
      </c>
      <c r="J84" t="n">
        <v>0</v>
      </c>
      <c r="K84" t="n">
        <v>0</v>
      </c>
      <c r="L84" t="n">
        <v>0</v>
      </c>
      <c r="M84" t="n">
        <v>0</v>
      </c>
      <c r="N84" t="n">
        <v>0</v>
      </c>
      <c r="O84" t="n">
        <v>0</v>
      </c>
      <c r="P84" t="n">
        <v>0</v>
      </c>
      <c r="Q84" t="n">
        <v>5</v>
      </c>
      <c r="R84" s="2" t="inlineStr">
        <is>
          <t>Grönkulla
Svart trolldruva
Nattviol
Blåsippa
Revlummer</t>
        </is>
      </c>
      <c r="S84">
        <f>HYPERLINK("https://klasma.github.io/Logging_2184/artfynd/A 54978-2024 artfynd.xlsx", "A 54978-2024")</f>
        <v/>
      </c>
      <c r="T84">
        <f>HYPERLINK("https://klasma.github.io/Logging_2184/kartor/A 54978-2024 karta.png", "A 54978-2024")</f>
        <v/>
      </c>
      <c r="V84">
        <f>HYPERLINK("https://klasma.github.io/Logging_2184/klagomål/A 54978-2024 FSC-klagomål.docx", "A 54978-2024")</f>
        <v/>
      </c>
      <c r="W84">
        <f>HYPERLINK("https://klasma.github.io/Logging_2184/klagomålsmail/A 54978-2024 FSC-klagomål mail.docx", "A 54978-2024")</f>
        <v/>
      </c>
      <c r="X84">
        <f>HYPERLINK("https://klasma.github.io/Logging_2184/tillsyn/A 54978-2024 tillsynsbegäran.docx", "A 54978-2024")</f>
        <v/>
      </c>
      <c r="Y84">
        <f>HYPERLINK("https://klasma.github.io/Logging_2184/tillsynsmail/A 54978-2024 tillsynsbegäran mail.docx", "A 54978-2024")</f>
        <v/>
      </c>
    </row>
    <row r="85" ht="15" customHeight="1">
      <c r="A85" t="inlineStr">
        <is>
          <t>A 45278-2022</t>
        </is>
      </c>
      <c r="B85" s="1" t="n">
        <v>44840</v>
      </c>
      <c r="C85" s="1" t="n">
        <v>45883</v>
      </c>
      <c r="D85" t="inlineStr">
        <is>
          <t>GÄVLEBORGS LÄN</t>
        </is>
      </c>
      <c r="E85" t="inlineStr">
        <is>
          <t>GÄVLE</t>
        </is>
      </c>
      <c r="F85" t="inlineStr">
        <is>
          <t>Bergvik skog väst AB</t>
        </is>
      </c>
      <c r="G85" t="n">
        <v>8.5</v>
      </c>
      <c r="H85" t="n">
        <v>1</v>
      </c>
      <c r="I85" t="n">
        <v>4</v>
      </c>
      <c r="J85" t="n">
        <v>0</v>
      </c>
      <c r="K85" t="n">
        <v>0</v>
      </c>
      <c r="L85" t="n">
        <v>0</v>
      </c>
      <c r="M85" t="n">
        <v>0</v>
      </c>
      <c r="N85" t="n">
        <v>0</v>
      </c>
      <c r="O85" t="n">
        <v>0</v>
      </c>
      <c r="P85" t="n">
        <v>0</v>
      </c>
      <c r="Q85" t="n">
        <v>5</v>
      </c>
      <c r="R85" s="2" t="inlineStr">
        <is>
          <t>Grönpyrola
Svart trolldruva
Underviol
Vårärt
Blåsippa</t>
        </is>
      </c>
      <c r="S85">
        <f>HYPERLINK("https://klasma.github.io/Logging_2180/artfynd/A 45278-2022 artfynd.xlsx", "A 45278-2022")</f>
        <v/>
      </c>
      <c r="T85">
        <f>HYPERLINK("https://klasma.github.io/Logging_2180/kartor/A 45278-2022 karta.png", "A 45278-2022")</f>
        <v/>
      </c>
      <c r="V85">
        <f>HYPERLINK("https://klasma.github.io/Logging_2180/klagomål/A 45278-2022 FSC-klagomål.docx", "A 45278-2022")</f>
        <v/>
      </c>
      <c r="W85">
        <f>HYPERLINK("https://klasma.github.io/Logging_2180/klagomålsmail/A 45278-2022 FSC-klagomål mail.docx", "A 45278-2022")</f>
        <v/>
      </c>
      <c r="X85">
        <f>HYPERLINK("https://klasma.github.io/Logging_2180/tillsyn/A 45278-2022 tillsynsbegäran.docx", "A 45278-2022")</f>
        <v/>
      </c>
      <c r="Y85">
        <f>HYPERLINK("https://klasma.github.io/Logging_2180/tillsynsmail/A 45278-2022 tillsynsbegäran mail.docx", "A 45278-2022")</f>
        <v/>
      </c>
    </row>
    <row r="86" ht="15" customHeight="1">
      <c r="A86" t="inlineStr">
        <is>
          <t>A 45388-2024</t>
        </is>
      </c>
      <c r="B86" s="1" t="n">
        <v>45576.54619212963</v>
      </c>
      <c r="C86" s="1" t="n">
        <v>45883</v>
      </c>
      <c r="D86" t="inlineStr">
        <is>
          <t>GÄVLEBORGS LÄN</t>
        </is>
      </c>
      <c r="E86" t="inlineStr">
        <is>
          <t>LJUSDAL</t>
        </is>
      </c>
      <c r="F86" t="inlineStr">
        <is>
          <t>Sveaskog</t>
        </is>
      </c>
      <c r="G86" t="n">
        <v>13.2</v>
      </c>
      <c r="H86" t="n">
        <v>0</v>
      </c>
      <c r="I86" t="n">
        <v>3</v>
      </c>
      <c r="J86" t="n">
        <v>2</v>
      </c>
      <c r="K86" t="n">
        <v>0</v>
      </c>
      <c r="L86" t="n">
        <v>0</v>
      </c>
      <c r="M86" t="n">
        <v>0</v>
      </c>
      <c r="N86" t="n">
        <v>0</v>
      </c>
      <c r="O86" t="n">
        <v>2</v>
      </c>
      <c r="P86" t="n">
        <v>0</v>
      </c>
      <c r="Q86" t="n">
        <v>5</v>
      </c>
      <c r="R86" s="2" t="inlineStr">
        <is>
          <t>Garnlav
Vedskivlav
Gullgröppa
Mindre märgborre
Skinnlav</t>
        </is>
      </c>
      <c r="S86">
        <f>HYPERLINK("https://klasma.github.io/Logging_2161/artfynd/A 45388-2024 artfynd.xlsx", "A 45388-2024")</f>
        <v/>
      </c>
      <c r="T86">
        <f>HYPERLINK("https://klasma.github.io/Logging_2161/kartor/A 45388-2024 karta.png", "A 45388-2024")</f>
        <v/>
      </c>
      <c r="V86">
        <f>HYPERLINK("https://klasma.github.io/Logging_2161/klagomål/A 45388-2024 FSC-klagomål.docx", "A 45388-2024")</f>
        <v/>
      </c>
      <c r="W86">
        <f>HYPERLINK("https://klasma.github.io/Logging_2161/klagomålsmail/A 45388-2024 FSC-klagomål mail.docx", "A 45388-2024")</f>
        <v/>
      </c>
      <c r="X86">
        <f>HYPERLINK("https://klasma.github.io/Logging_2161/tillsyn/A 45388-2024 tillsynsbegäran.docx", "A 45388-2024")</f>
        <v/>
      </c>
      <c r="Y86">
        <f>HYPERLINK("https://klasma.github.io/Logging_2161/tillsynsmail/A 45388-2024 tillsynsbegäran mail.docx", "A 45388-2024")</f>
        <v/>
      </c>
    </row>
    <row r="87" ht="15" customHeight="1">
      <c r="A87" t="inlineStr">
        <is>
          <t>A 23581-2024</t>
        </is>
      </c>
      <c r="B87" s="1" t="n">
        <v>45454</v>
      </c>
      <c r="C87" s="1" t="n">
        <v>45883</v>
      </c>
      <c r="D87" t="inlineStr">
        <is>
          <t>GÄVLEBORGS LÄN</t>
        </is>
      </c>
      <c r="E87" t="inlineStr">
        <is>
          <t>OVANÅKER</t>
        </is>
      </c>
      <c r="F87" t="inlineStr">
        <is>
          <t>Sveaskog</t>
        </is>
      </c>
      <c r="G87" t="n">
        <v>9.199999999999999</v>
      </c>
      <c r="H87" t="n">
        <v>3</v>
      </c>
      <c r="I87" t="n">
        <v>2</v>
      </c>
      <c r="J87" t="n">
        <v>2</v>
      </c>
      <c r="K87" t="n">
        <v>1</v>
      </c>
      <c r="L87" t="n">
        <v>0</v>
      </c>
      <c r="M87" t="n">
        <v>0</v>
      </c>
      <c r="N87" t="n">
        <v>0</v>
      </c>
      <c r="O87" t="n">
        <v>3</v>
      </c>
      <c r="P87" t="n">
        <v>1</v>
      </c>
      <c r="Q87" t="n">
        <v>5</v>
      </c>
      <c r="R87" s="2" t="inlineStr">
        <is>
          <t>Knärot
Mörk kolflarnlav
Spillkråka
Korallrot
Stuplav</t>
        </is>
      </c>
      <c r="S87">
        <f>HYPERLINK("https://klasma.github.io/Logging_2121/artfynd/A 23581-2024 artfynd.xlsx", "A 23581-2024")</f>
        <v/>
      </c>
      <c r="T87">
        <f>HYPERLINK("https://klasma.github.io/Logging_2121/kartor/A 23581-2024 karta.png", "A 23581-2024")</f>
        <v/>
      </c>
      <c r="U87">
        <f>HYPERLINK("https://klasma.github.io/Logging_2121/knärot/A 23581-2024 karta knärot.png", "A 23581-2024")</f>
        <v/>
      </c>
      <c r="V87">
        <f>HYPERLINK("https://klasma.github.io/Logging_2121/klagomål/A 23581-2024 FSC-klagomål.docx", "A 23581-2024")</f>
        <v/>
      </c>
      <c r="W87">
        <f>HYPERLINK("https://klasma.github.io/Logging_2121/klagomålsmail/A 23581-2024 FSC-klagomål mail.docx", "A 23581-2024")</f>
        <v/>
      </c>
      <c r="X87">
        <f>HYPERLINK("https://klasma.github.io/Logging_2121/tillsyn/A 23581-2024 tillsynsbegäran.docx", "A 23581-2024")</f>
        <v/>
      </c>
      <c r="Y87">
        <f>HYPERLINK("https://klasma.github.io/Logging_2121/tillsynsmail/A 23581-2024 tillsynsbegäran mail.docx", "A 23581-2024")</f>
        <v/>
      </c>
      <c r="Z87">
        <f>HYPERLINK("https://klasma.github.io/Logging_2121/fåglar/A 23581-2024 prioriterade fågelarter.docx", "A 23581-2024")</f>
        <v/>
      </c>
    </row>
    <row r="88" ht="15" customHeight="1">
      <c r="A88" t="inlineStr">
        <is>
          <t>A 382-2024</t>
        </is>
      </c>
      <c r="B88" s="1" t="n">
        <v>45296</v>
      </c>
      <c r="C88" s="1" t="n">
        <v>45883</v>
      </c>
      <c r="D88" t="inlineStr">
        <is>
          <t>GÄVLEBORGS LÄN</t>
        </is>
      </c>
      <c r="E88" t="inlineStr">
        <is>
          <t>NORDANSTIG</t>
        </is>
      </c>
      <c r="F88" t="inlineStr">
        <is>
          <t>Holmen skog AB</t>
        </is>
      </c>
      <c r="G88" t="n">
        <v>2.7</v>
      </c>
      <c r="H88" t="n">
        <v>0</v>
      </c>
      <c r="I88" t="n">
        <v>2</v>
      </c>
      <c r="J88" t="n">
        <v>2</v>
      </c>
      <c r="K88" t="n">
        <v>1</v>
      </c>
      <c r="L88" t="n">
        <v>0</v>
      </c>
      <c r="M88" t="n">
        <v>0</v>
      </c>
      <c r="N88" t="n">
        <v>0</v>
      </c>
      <c r="O88" t="n">
        <v>3</v>
      </c>
      <c r="P88" t="n">
        <v>1</v>
      </c>
      <c r="Q88" t="n">
        <v>5</v>
      </c>
      <c r="R88" s="2" t="inlineStr">
        <is>
          <t>Ringlav
Lunglav
Violettgrå tagellav
Stuplav
Vedticka</t>
        </is>
      </c>
      <c r="S88">
        <f>HYPERLINK("https://klasma.github.io/Logging_2132/artfynd/A 382-2024 artfynd.xlsx", "A 382-2024")</f>
        <v/>
      </c>
      <c r="T88">
        <f>HYPERLINK("https://klasma.github.io/Logging_2132/kartor/A 382-2024 karta.png", "A 382-2024")</f>
        <v/>
      </c>
      <c r="V88">
        <f>HYPERLINK("https://klasma.github.io/Logging_2132/klagomål/A 382-2024 FSC-klagomål.docx", "A 382-2024")</f>
        <v/>
      </c>
      <c r="W88">
        <f>HYPERLINK("https://klasma.github.io/Logging_2132/klagomålsmail/A 382-2024 FSC-klagomål mail.docx", "A 382-2024")</f>
        <v/>
      </c>
      <c r="X88">
        <f>HYPERLINK("https://klasma.github.io/Logging_2132/tillsyn/A 382-2024 tillsynsbegäran.docx", "A 382-2024")</f>
        <v/>
      </c>
      <c r="Y88">
        <f>HYPERLINK("https://klasma.github.io/Logging_2132/tillsynsmail/A 382-2024 tillsynsbegäran mail.docx", "A 382-2024")</f>
        <v/>
      </c>
    </row>
    <row r="89" ht="15" customHeight="1">
      <c r="A89" t="inlineStr">
        <is>
          <t>A 21038-2025</t>
        </is>
      </c>
      <c r="B89" s="1" t="n">
        <v>45777.53201388889</v>
      </c>
      <c r="C89" s="1" t="n">
        <v>45883</v>
      </c>
      <c r="D89" t="inlineStr">
        <is>
          <t>GÄVLEBORGS LÄN</t>
        </is>
      </c>
      <c r="E89" t="inlineStr">
        <is>
          <t>LJUSDAL</t>
        </is>
      </c>
      <c r="F89" t="inlineStr">
        <is>
          <t>SCA</t>
        </is>
      </c>
      <c r="G89" t="n">
        <v>3.8</v>
      </c>
      <c r="H89" t="n">
        <v>1</v>
      </c>
      <c r="I89" t="n">
        <v>0</v>
      </c>
      <c r="J89" t="n">
        <v>4</v>
      </c>
      <c r="K89" t="n">
        <v>0</v>
      </c>
      <c r="L89" t="n">
        <v>0</v>
      </c>
      <c r="M89" t="n">
        <v>0</v>
      </c>
      <c r="N89" t="n">
        <v>0</v>
      </c>
      <c r="O89" t="n">
        <v>4</v>
      </c>
      <c r="P89" t="n">
        <v>0</v>
      </c>
      <c r="Q89" t="n">
        <v>5</v>
      </c>
      <c r="R89" s="2" t="inlineStr">
        <is>
          <t>Gammelgransskål
Garnlav
Kolflarnlav
Lunglav
Revlummer</t>
        </is>
      </c>
      <c r="S89">
        <f>HYPERLINK("https://klasma.github.io/Logging_2161/artfynd/A 21038-2025 artfynd.xlsx", "A 21038-2025")</f>
        <v/>
      </c>
      <c r="T89">
        <f>HYPERLINK("https://klasma.github.io/Logging_2161/kartor/A 21038-2025 karta.png", "A 21038-2025")</f>
        <v/>
      </c>
      <c r="V89">
        <f>HYPERLINK("https://klasma.github.io/Logging_2161/klagomål/A 21038-2025 FSC-klagomål.docx", "A 21038-2025")</f>
        <v/>
      </c>
      <c r="W89">
        <f>HYPERLINK("https://klasma.github.io/Logging_2161/klagomålsmail/A 21038-2025 FSC-klagomål mail.docx", "A 21038-2025")</f>
        <v/>
      </c>
      <c r="X89">
        <f>HYPERLINK("https://klasma.github.io/Logging_2161/tillsyn/A 21038-2025 tillsynsbegäran.docx", "A 21038-2025")</f>
        <v/>
      </c>
      <c r="Y89">
        <f>HYPERLINK("https://klasma.github.io/Logging_2161/tillsynsmail/A 21038-2025 tillsynsbegäran mail.docx", "A 21038-2025")</f>
        <v/>
      </c>
    </row>
    <row r="90" ht="15" customHeight="1">
      <c r="A90" t="inlineStr">
        <is>
          <t>A 23964-2025</t>
        </is>
      </c>
      <c r="B90" s="1" t="n">
        <v>45796.37078703703</v>
      </c>
      <c r="C90" s="1" t="n">
        <v>45883</v>
      </c>
      <c r="D90" t="inlineStr">
        <is>
          <t>GÄVLEBORGS LÄN</t>
        </is>
      </c>
      <c r="E90" t="inlineStr">
        <is>
          <t>HUDIKSVALL</t>
        </is>
      </c>
      <c r="F90" t="inlineStr">
        <is>
          <t>Holmen skog AB</t>
        </is>
      </c>
      <c r="G90" t="n">
        <v>9.5</v>
      </c>
      <c r="H90" t="n">
        <v>1</v>
      </c>
      <c r="I90" t="n">
        <v>2</v>
      </c>
      <c r="J90" t="n">
        <v>1</v>
      </c>
      <c r="K90" t="n">
        <v>1</v>
      </c>
      <c r="L90" t="n">
        <v>0</v>
      </c>
      <c r="M90" t="n">
        <v>0</v>
      </c>
      <c r="N90" t="n">
        <v>0</v>
      </c>
      <c r="O90" t="n">
        <v>2</v>
      </c>
      <c r="P90" t="n">
        <v>1</v>
      </c>
      <c r="Q90" t="n">
        <v>5</v>
      </c>
      <c r="R90" s="2" t="inlineStr">
        <is>
          <t>Glesgröe
Storgröe
Strutbräken
Svart trolldruva
Revlummer</t>
        </is>
      </c>
      <c r="S90">
        <f>HYPERLINK("https://klasma.github.io/Logging_2184/artfynd/A 23964-2025 artfynd.xlsx", "A 23964-2025")</f>
        <v/>
      </c>
      <c r="T90">
        <f>HYPERLINK("https://klasma.github.io/Logging_2184/kartor/A 23964-2025 karta.png", "A 23964-2025")</f>
        <v/>
      </c>
      <c r="V90">
        <f>HYPERLINK("https://klasma.github.io/Logging_2184/klagomål/A 23964-2025 FSC-klagomål.docx", "A 23964-2025")</f>
        <v/>
      </c>
      <c r="W90">
        <f>HYPERLINK("https://klasma.github.io/Logging_2184/klagomålsmail/A 23964-2025 FSC-klagomål mail.docx", "A 23964-2025")</f>
        <v/>
      </c>
      <c r="X90">
        <f>HYPERLINK("https://klasma.github.io/Logging_2184/tillsyn/A 23964-2025 tillsynsbegäran.docx", "A 23964-2025")</f>
        <v/>
      </c>
      <c r="Y90">
        <f>HYPERLINK("https://klasma.github.io/Logging_2184/tillsynsmail/A 23964-2025 tillsynsbegäran mail.docx", "A 23964-2025")</f>
        <v/>
      </c>
    </row>
    <row r="91" ht="15" customHeight="1">
      <c r="A91" t="inlineStr">
        <is>
          <t>A 24824-2025</t>
        </is>
      </c>
      <c r="B91" s="1" t="n">
        <v>45799.45572916666</v>
      </c>
      <c r="C91" s="1" t="n">
        <v>45883</v>
      </c>
      <c r="D91" t="inlineStr">
        <is>
          <t>GÄVLEBORGS LÄN</t>
        </is>
      </c>
      <c r="E91" t="inlineStr">
        <is>
          <t>LJUSDAL</t>
        </is>
      </c>
      <c r="F91" t="inlineStr">
        <is>
          <t>Sveaskog</t>
        </is>
      </c>
      <c r="G91" t="n">
        <v>7</v>
      </c>
      <c r="H91" t="n">
        <v>2</v>
      </c>
      <c r="I91" t="n">
        <v>1</v>
      </c>
      <c r="J91" t="n">
        <v>3</v>
      </c>
      <c r="K91" t="n">
        <v>1</v>
      </c>
      <c r="L91" t="n">
        <v>0</v>
      </c>
      <c r="M91" t="n">
        <v>0</v>
      </c>
      <c r="N91" t="n">
        <v>0</v>
      </c>
      <c r="O91" t="n">
        <v>4</v>
      </c>
      <c r="P91" t="n">
        <v>1</v>
      </c>
      <c r="Q91" t="n">
        <v>5</v>
      </c>
      <c r="R91" s="2" t="inlineStr">
        <is>
          <t>Knärot
Garnlav
Lunglav
Skrovellav
Plattlummer</t>
        </is>
      </c>
      <c r="S91">
        <f>HYPERLINK("https://klasma.github.io/Logging_2161/artfynd/A 24824-2025 artfynd.xlsx", "A 24824-2025")</f>
        <v/>
      </c>
      <c r="T91">
        <f>HYPERLINK("https://klasma.github.io/Logging_2161/kartor/A 24824-2025 karta.png", "A 24824-2025")</f>
        <v/>
      </c>
      <c r="U91">
        <f>HYPERLINK("https://klasma.github.io/Logging_2161/knärot/A 24824-2025 karta knärot.png", "A 24824-2025")</f>
        <v/>
      </c>
      <c r="V91">
        <f>HYPERLINK("https://klasma.github.io/Logging_2161/klagomål/A 24824-2025 FSC-klagomål.docx", "A 24824-2025")</f>
        <v/>
      </c>
      <c r="W91">
        <f>HYPERLINK("https://klasma.github.io/Logging_2161/klagomålsmail/A 24824-2025 FSC-klagomål mail.docx", "A 24824-2025")</f>
        <v/>
      </c>
      <c r="X91">
        <f>HYPERLINK("https://klasma.github.io/Logging_2161/tillsyn/A 24824-2025 tillsynsbegäran.docx", "A 24824-2025")</f>
        <v/>
      </c>
      <c r="Y91">
        <f>HYPERLINK("https://klasma.github.io/Logging_2161/tillsynsmail/A 24824-2025 tillsynsbegäran mail.docx", "A 24824-2025")</f>
        <v/>
      </c>
    </row>
    <row r="92" ht="15" customHeight="1">
      <c r="A92" t="inlineStr">
        <is>
          <t>A 26085-2025</t>
        </is>
      </c>
      <c r="B92" s="1" t="n">
        <v>45805.34453703704</v>
      </c>
      <c r="C92" s="1" t="n">
        <v>45883</v>
      </c>
      <c r="D92" t="inlineStr">
        <is>
          <t>GÄVLEBORGS LÄN</t>
        </is>
      </c>
      <c r="E92" t="inlineStr">
        <is>
          <t>LJUSDAL</t>
        </is>
      </c>
      <c r="F92" t="inlineStr">
        <is>
          <t>SCA</t>
        </is>
      </c>
      <c r="G92" t="n">
        <v>11.3</v>
      </c>
      <c r="H92" t="n">
        <v>1</v>
      </c>
      <c r="I92" t="n">
        <v>3</v>
      </c>
      <c r="J92" t="n">
        <v>1</v>
      </c>
      <c r="K92" t="n">
        <v>0</v>
      </c>
      <c r="L92" t="n">
        <v>0</v>
      </c>
      <c r="M92" t="n">
        <v>0</v>
      </c>
      <c r="N92" t="n">
        <v>0</v>
      </c>
      <c r="O92" t="n">
        <v>1</v>
      </c>
      <c r="P92" t="n">
        <v>0</v>
      </c>
      <c r="Q92" t="n">
        <v>5</v>
      </c>
      <c r="R92" s="2" t="inlineStr">
        <is>
          <t>Skuggviol
Kransrams
Svart trolldruva
Underviol
Blåsippa</t>
        </is>
      </c>
      <c r="S92">
        <f>HYPERLINK("https://klasma.github.io/Logging_2161/artfynd/A 26085-2025 artfynd.xlsx", "A 26085-2025")</f>
        <v/>
      </c>
      <c r="T92">
        <f>HYPERLINK("https://klasma.github.io/Logging_2161/kartor/A 26085-2025 karta.png", "A 26085-2025")</f>
        <v/>
      </c>
      <c r="V92">
        <f>HYPERLINK("https://klasma.github.io/Logging_2161/klagomål/A 26085-2025 FSC-klagomål.docx", "A 26085-2025")</f>
        <v/>
      </c>
      <c r="W92">
        <f>HYPERLINK("https://klasma.github.io/Logging_2161/klagomålsmail/A 26085-2025 FSC-klagomål mail.docx", "A 26085-2025")</f>
        <v/>
      </c>
      <c r="X92">
        <f>HYPERLINK("https://klasma.github.io/Logging_2161/tillsyn/A 26085-2025 tillsynsbegäran.docx", "A 26085-2025")</f>
        <v/>
      </c>
      <c r="Y92">
        <f>HYPERLINK("https://klasma.github.io/Logging_2161/tillsynsmail/A 26085-2025 tillsynsbegäran mail.docx", "A 26085-2025")</f>
        <v/>
      </c>
    </row>
    <row r="93" ht="15" customHeight="1">
      <c r="A93" t="inlineStr">
        <is>
          <t>A 19521-2023</t>
        </is>
      </c>
      <c r="B93" s="1" t="n">
        <v>45050</v>
      </c>
      <c r="C93" s="1" t="n">
        <v>45883</v>
      </c>
      <c r="D93" t="inlineStr">
        <is>
          <t>GÄVLEBORGS LÄN</t>
        </is>
      </c>
      <c r="E93" t="inlineStr">
        <is>
          <t>HUDIKSVALL</t>
        </is>
      </c>
      <c r="F93" t="inlineStr">
        <is>
          <t>Holmen skog AB</t>
        </is>
      </c>
      <c r="G93" t="n">
        <v>9.300000000000001</v>
      </c>
      <c r="H93" t="n">
        <v>2</v>
      </c>
      <c r="I93" t="n">
        <v>1</v>
      </c>
      <c r="J93" t="n">
        <v>2</v>
      </c>
      <c r="K93" t="n">
        <v>0</v>
      </c>
      <c r="L93" t="n">
        <v>0</v>
      </c>
      <c r="M93" t="n">
        <v>0</v>
      </c>
      <c r="N93" t="n">
        <v>0</v>
      </c>
      <c r="O93" t="n">
        <v>2</v>
      </c>
      <c r="P93" t="n">
        <v>0</v>
      </c>
      <c r="Q93" t="n">
        <v>5</v>
      </c>
      <c r="R93" s="2" t="inlineStr">
        <is>
          <t>Kolflarnlav
Lunglav
Bollvitmossa
Tjäder
Vanlig groda</t>
        </is>
      </c>
      <c r="S93">
        <f>HYPERLINK("https://klasma.github.io/Logging_2184/artfynd/A 19521-2023 artfynd.xlsx", "A 19521-2023")</f>
        <v/>
      </c>
      <c r="T93">
        <f>HYPERLINK("https://klasma.github.io/Logging_2184/kartor/A 19521-2023 karta.png", "A 19521-2023")</f>
        <v/>
      </c>
      <c r="V93">
        <f>HYPERLINK("https://klasma.github.io/Logging_2184/klagomål/A 19521-2023 FSC-klagomål.docx", "A 19521-2023")</f>
        <v/>
      </c>
      <c r="W93">
        <f>HYPERLINK("https://klasma.github.io/Logging_2184/klagomålsmail/A 19521-2023 FSC-klagomål mail.docx", "A 19521-2023")</f>
        <v/>
      </c>
      <c r="X93">
        <f>HYPERLINK("https://klasma.github.io/Logging_2184/tillsyn/A 19521-2023 tillsynsbegäran.docx", "A 19521-2023")</f>
        <v/>
      </c>
      <c r="Y93">
        <f>HYPERLINK("https://klasma.github.io/Logging_2184/tillsynsmail/A 19521-2023 tillsynsbegäran mail.docx", "A 19521-2023")</f>
        <v/>
      </c>
      <c r="Z93">
        <f>HYPERLINK("https://klasma.github.io/Logging_2184/fåglar/A 19521-2023 prioriterade fågelarter.docx", "A 19521-2023")</f>
        <v/>
      </c>
    </row>
    <row r="94" ht="15" customHeight="1">
      <c r="A94" t="inlineStr">
        <is>
          <t>A 26489-2025</t>
        </is>
      </c>
      <c r="B94" s="1" t="n">
        <v>45807.48326388889</v>
      </c>
      <c r="C94" s="1" t="n">
        <v>45883</v>
      </c>
      <c r="D94" t="inlineStr">
        <is>
          <t>GÄVLEBORGS LÄN</t>
        </is>
      </c>
      <c r="E94" t="inlineStr">
        <is>
          <t>LJUSDAL</t>
        </is>
      </c>
      <c r="G94" t="n">
        <v>14.8</v>
      </c>
      <c r="H94" t="n">
        <v>2</v>
      </c>
      <c r="I94" t="n">
        <v>1</v>
      </c>
      <c r="J94" t="n">
        <v>2</v>
      </c>
      <c r="K94" t="n">
        <v>0</v>
      </c>
      <c r="L94" t="n">
        <v>0</v>
      </c>
      <c r="M94" t="n">
        <v>0</v>
      </c>
      <c r="N94" t="n">
        <v>0</v>
      </c>
      <c r="O94" t="n">
        <v>2</v>
      </c>
      <c r="P94" t="n">
        <v>0</v>
      </c>
      <c r="Q94" t="n">
        <v>5</v>
      </c>
      <c r="R94" s="2" t="inlineStr">
        <is>
          <t>Gammelgransskål
Garnlav
Luddlav
Fläcknycklar
Revlummer</t>
        </is>
      </c>
      <c r="S94">
        <f>HYPERLINK("https://klasma.github.io/Logging_2161/artfynd/A 26489-2025 artfynd.xlsx", "A 26489-2025")</f>
        <v/>
      </c>
      <c r="T94">
        <f>HYPERLINK("https://klasma.github.io/Logging_2161/kartor/A 26489-2025 karta.png", "A 26489-2025")</f>
        <v/>
      </c>
      <c r="V94">
        <f>HYPERLINK("https://klasma.github.io/Logging_2161/klagomål/A 26489-2025 FSC-klagomål.docx", "A 26489-2025")</f>
        <v/>
      </c>
      <c r="W94">
        <f>HYPERLINK("https://klasma.github.io/Logging_2161/klagomålsmail/A 26489-2025 FSC-klagomål mail.docx", "A 26489-2025")</f>
        <v/>
      </c>
      <c r="X94">
        <f>HYPERLINK("https://klasma.github.io/Logging_2161/tillsyn/A 26489-2025 tillsynsbegäran.docx", "A 26489-2025")</f>
        <v/>
      </c>
      <c r="Y94">
        <f>HYPERLINK("https://klasma.github.io/Logging_2161/tillsynsmail/A 26489-2025 tillsynsbegäran mail.docx", "A 26489-2025")</f>
        <v/>
      </c>
    </row>
    <row r="95" ht="15" customHeight="1">
      <c r="A95" t="inlineStr">
        <is>
          <t>A 25953-2023</t>
        </is>
      </c>
      <c r="B95" s="1" t="n">
        <v>45090</v>
      </c>
      <c r="C95" s="1" t="n">
        <v>45883</v>
      </c>
      <c r="D95" t="inlineStr">
        <is>
          <t>GÄVLEBORGS LÄN</t>
        </is>
      </c>
      <c r="E95" t="inlineStr">
        <is>
          <t>LJUSDAL</t>
        </is>
      </c>
      <c r="G95" t="n">
        <v>1.9</v>
      </c>
      <c r="H95" t="n">
        <v>3</v>
      </c>
      <c r="I95" t="n">
        <v>0</v>
      </c>
      <c r="J95" t="n">
        <v>4</v>
      </c>
      <c r="K95" t="n">
        <v>1</v>
      </c>
      <c r="L95" t="n">
        <v>0</v>
      </c>
      <c r="M95" t="n">
        <v>0</v>
      </c>
      <c r="N95" t="n">
        <v>0</v>
      </c>
      <c r="O95" t="n">
        <v>5</v>
      </c>
      <c r="P95" t="n">
        <v>1</v>
      </c>
      <c r="Q95" t="n">
        <v>5</v>
      </c>
      <c r="R95" s="2" t="inlineStr">
        <is>
          <t>Knärot
Rosenticka
Talltita
Tretåig hackspett
Ullticka</t>
        </is>
      </c>
      <c r="S95">
        <f>HYPERLINK("https://klasma.github.io/Logging_2161/artfynd/A 25953-2023 artfynd.xlsx", "A 25953-2023")</f>
        <v/>
      </c>
      <c r="T95">
        <f>HYPERLINK("https://klasma.github.io/Logging_2161/kartor/A 25953-2023 karta.png", "A 25953-2023")</f>
        <v/>
      </c>
      <c r="U95">
        <f>HYPERLINK("https://klasma.github.io/Logging_2161/knärot/A 25953-2023 karta knärot.png", "A 25953-2023")</f>
        <v/>
      </c>
      <c r="V95">
        <f>HYPERLINK("https://klasma.github.io/Logging_2161/klagomål/A 25953-2023 FSC-klagomål.docx", "A 25953-2023")</f>
        <v/>
      </c>
      <c r="W95">
        <f>HYPERLINK("https://klasma.github.io/Logging_2161/klagomålsmail/A 25953-2023 FSC-klagomål mail.docx", "A 25953-2023")</f>
        <v/>
      </c>
      <c r="X95">
        <f>HYPERLINK("https://klasma.github.io/Logging_2161/tillsyn/A 25953-2023 tillsynsbegäran.docx", "A 25953-2023")</f>
        <v/>
      </c>
      <c r="Y95">
        <f>HYPERLINK("https://klasma.github.io/Logging_2161/tillsynsmail/A 25953-2023 tillsynsbegäran mail.docx", "A 25953-2023")</f>
        <v/>
      </c>
      <c r="Z95">
        <f>HYPERLINK("https://klasma.github.io/Logging_2161/fåglar/A 25953-2023 prioriterade fågelarter.docx", "A 25953-2023")</f>
        <v/>
      </c>
    </row>
    <row r="96" ht="15" customHeight="1">
      <c r="A96" t="inlineStr">
        <is>
          <t>A 58628-2022</t>
        </is>
      </c>
      <c r="B96" s="1" t="n">
        <v>44902</v>
      </c>
      <c r="C96" s="1" t="n">
        <v>45883</v>
      </c>
      <c r="D96" t="inlineStr">
        <is>
          <t>GÄVLEBORGS LÄN</t>
        </is>
      </c>
      <c r="E96" t="inlineStr">
        <is>
          <t>LJUSDAL</t>
        </is>
      </c>
      <c r="G96" t="n">
        <v>2.6</v>
      </c>
      <c r="H96" t="n">
        <v>2</v>
      </c>
      <c r="I96" t="n">
        <v>2</v>
      </c>
      <c r="J96" t="n">
        <v>2</v>
      </c>
      <c r="K96" t="n">
        <v>1</v>
      </c>
      <c r="L96" t="n">
        <v>0</v>
      </c>
      <c r="M96" t="n">
        <v>0</v>
      </c>
      <c r="N96" t="n">
        <v>0</v>
      </c>
      <c r="O96" t="n">
        <v>3</v>
      </c>
      <c r="P96" t="n">
        <v>1</v>
      </c>
      <c r="Q96" t="n">
        <v>5</v>
      </c>
      <c r="R96" s="2" t="inlineStr">
        <is>
          <t>Knärot
Tretåig hackspett
Ullticka
Skinnlav
Stuplav</t>
        </is>
      </c>
      <c r="S96">
        <f>HYPERLINK("https://klasma.github.io/Logging_2161/artfynd/A 58628-2022 artfynd.xlsx", "A 58628-2022")</f>
        <v/>
      </c>
      <c r="T96">
        <f>HYPERLINK("https://klasma.github.io/Logging_2161/kartor/A 58628-2022 karta.png", "A 58628-2022")</f>
        <v/>
      </c>
      <c r="U96">
        <f>HYPERLINK("https://klasma.github.io/Logging_2161/knärot/A 58628-2022 karta knärot.png", "A 58628-2022")</f>
        <v/>
      </c>
      <c r="V96">
        <f>HYPERLINK("https://klasma.github.io/Logging_2161/klagomål/A 58628-2022 FSC-klagomål.docx", "A 58628-2022")</f>
        <v/>
      </c>
      <c r="W96">
        <f>HYPERLINK("https://klasma.github.io/Logging_2161/klagomålsmail/A 58628-2022 FSC-klagomål mail.docx", "A 58628-2022")</f>
        <v/>
      </c>
      <c r="X96">
        <f>HYPERLINK("https://klasma.github.io/Logging_2161/tillsyn/A 58628-2022 tillsynsbegäran.docx", "A 58628-2022")</f>
        <v/>
      </c>
      <c r="Y96">
        <f>HYPERLINK("https://klasma.github.io/Logging_2161/tillsynsmail/A 58628-2022 tillsynsbegäran mail.docx", "A 58628-2022")</f>
        <v/>
      </c>
      <c r="Z96">
        <f>HYPERLINK("https://klasma.github.io/Logging_2161/fåglar/A 58628-2022 prioriterade fågelarter.docx", "A 58628-2022")</f>
        <v/>
      </c>
    </row>
    <row r="97" ht="15" customHeight="1">
      <c r="A97" t="inlineStr">
        <is>
          <t>A 9570-2025</t>
        </is>
      </c>
      <c r="B97" s="1" t="n">
        <v>45715</v>
      </c>
      <c r="C97" s="1" t="n">
        <v>45883</v>
      </c>
      <c r="D97" t="inlineStr">
        <is>
          <t>GÄVLEBORGS LÄN</t>
        </is>
      </c>
      <c r="E97" t="inlineStr">
        <is>
          <t>GÄVLE</t>
        </is>
      </c>
      <c r="G97" t="n">
        <v>3.8</v>
      </c>
      <c r="H97" t="n">
        <v>2</v>
      </c>
      <c r="I97" t="n">
        <v>0</v>
      </c>
      <c r="J97" t="n">
        <v>4</v>
      </c>
      <c r="K97" t="n">
        <v>1</v>
      </c>
      <c r="L97" t="n">
        <v>0</v>
      </c>
      <c r="M97" t="n">
        <v>0</v>
      </c>
      <c r="N97" t="n">
        <v>0</v>
      </c>
      <c r="O97" t="n">
        <v>5</v>
      </c>
      <c r="P97" t="n">
        <v>1</v>
      </c>
      <c r="Q97" t="n">
        <v>5</v>
      </c>
      <c r="R97" s="2" t="inlineStr">
        <is>
          <t>Knärot
Granticka
Lunglav
Tallticka
Tretåig hackspett</t>
        </is>
      </c>
      <c r="S97">
        <f>HYPERLINK("https://klasma.github.io/Logging_2180/artfynd/A 9570-2025 artfynd.xlsx", "A 9570-2025")</f>
        <v/>
      </c>
      <c r="T97">
        <f>HYPERLINK("https://klasma.github.io/Logging_2180/kartor/A 9570-2025 karta.png", "A 9570-2025")</f>
        <v/>
      </c>
      <c r="U97">
        <f>HYPERLINK("https://klasma.github.io/Logging_2180/knärot/A 9570-2025 karta knärot.png", "A 9570-2025")</f>
        <v/>
      </c>
      <c r="V97">
        <f>HYPERLINK("https://klasma.github.io/Logging_2180/klagomål/A 9570-2025 FSC-klagomål.docx", "A 9570-2025")</f>
        <v/>
      </c>
      <c r="W97">
        <f>HYPERLINK("https://klasma.github.io/Logging_2180/klagomålsmail/A 9570-2025 FSC-klagomål mail.docx", "A 9570-2025")</f>
        <v/>
      </c>
      <c r="X97">
        <f>HYPERLINK("https://klasma.github.io/Logging_2180/tillsyn/A 9570-2025 tillsynsbegäran.docx", "A 9570-2025")</f>
        <v/>
      </c>
      <c r="Y97">
        <f>HYPERLINK("https://klasma.github.io/Logging_2180/tillsynsmail/A 9570-2025 tillsynsbegäran mail.docx", "A 9570-2025")</f>
        <v/>
      </c>
      <c r="Z97">
        <f>HYPERLINK("https://klasma.github.io/Logging_2180/fåglar/A 9570-2025 prioriterade fågelarter.docx", "A 9570-2025")</f>
        <v/>
      </c>
    </row>
    <row r="98" ht="15" customHeight="1">
      <c r="A98" t="inlineStr">
        <is>
          <t>A 35626-2025</t>
        </is>
      </c>
      <c r="B98" s="1" t="n">
        <v>45859.43328703703</v>
      </c>
      <c r="C98" s="1" t="n">
        <v>45883</v>
      </c>
      <c r="D98" t="inlineStr">
        <is>
          <t>GÄVLEBORGS LÄN</t>
        </is>
      </c>
      <c r="E98" t="inlineStr">
        <is>
          <t>LJUSDAL</t>
        </is>
      </c>
      <c r="F98" t="inlineStr">
        <is>
          <t>Bergvik skog väst AB</t>
        </is>
      </c>
      <c r="G98" t="n">
        <v>4</v>
      </c>
      <c r="H98" t="n">
        <v>0</v>
      </c>
      <c r="I98" t="n">
        <v>1</v>
      </c>
      <c r="J98" t="n">
        <v>4</v>
      </c>
      <c r="K98" t="n">
        <v>0</v>
      </c>
      <c r="L98" t="n">
        <v>0</v>
      </c>
      <c r="M98" t="n">
        <v>0</v>
      </c>
      <c r="N98" t="n">
        <v>0</v>
      </c>
      <c r="O98" t="n">
        <v>4</v>
      </c>
      <c r="P98" t="n">
        <v>0</v>
      </c>
      <c r="Q98" t="n">
        <v>5</v>
      </c>
      <c r="R98" s="2" t="inlineStr">
        <is>
          <t>Blanksvart spiklav
Kolflarnlav
Vedflamlav
Vedskivlav
Bollvitmossa</t>
        </is>
      </c>
      <c r="S98">
        <f>HYPERLINK("https://klasma.github.io/Logging_2161/artfynd/A 35626-2025 artfynd.xlsx", "A 35626-2025")</f>
        <v/>
      </c>
      <c r="T98">
        <f>HYPERLINK("https://klasma.github.io/Logging_2161/kartor/A 35626-2025 karta.png", "A 35626-2025")</f>
        <v/>
      </c>
      <c r="V98">
        <f>HYPERLINK("https://klasma.github.io/Logging_2161/klagomål/A 35626-2025 FSC-klagomål.docx", "A 35626-2025")</f>
        <v/>
      </c>
      <c r="W98">
        <f>HYPERLINK("https://klasma.github.io/Logging_2161/klagomålsmail/A 35626-2025 FSC-klagomål mail.docx", "A 35626-2025")</f>
        <v/>
      </c>
      <c r="X98">
        <f>HYPERLINK("https://klasma.github.io/Logging_2161/tillsyn/A 35626-2025 tillsynsbegäran.docx", "A 35626-2025")</f>
        <v/>
      </c>
      <c r="Y98">
        <f>HYPERLINK("https://klasma.github.io/Logging_2161/tillsynsmail/A 35626-2025 tillsynsbegäran mail.docx", "A 35626-2025")</f>
        <v/>
      </c>
    </row>
    <row r="99" ht="15" customHeight="1">
      <c r="A99" t="inlineStr">
        <is>
          <t>A 49799-2023</t>
        </is>
      </c>
      <c r="B99" s="1" t="n">
        <v>45212</v>
      </c>
      <c r="C99" s="1" t="n">
        <v>45883</v>
      </c>
      <c r="D99" t="inlineStr">
        <is>
          <t>GÄVLEBORGS LÄN</t>
        </is>
      </c>
      <c r="E99" t="inlineStr">
        <is>
          <t>HUDIKSVALL</t>
        </is>
      </c>
      <c r="G99" t="n">
        <v>4</v>
      </c>
      <c r="H99" t="n">
        <v>0</v>
      </c>
      <c r="I99" t="n">
        <v>1</v>
      </c>
      <c r="J99" t="n">
        <v>4</v>
      </c>
      <c r="K99" t="n">
        <v>0</v>
      </c>
      <c r="L99" t="n">
        <v>0</v>
      </c>
      <c r="M99" t="n">
        <v>0</v>
      </c>
      <c r="N99" t="n">
        <v>0</v>
      </c>
      <c r="O99" t="n">
        <v>4</v>
      </c>
      <c r="P99" t="n">
        <v>0</v>
      </c>
      <c r="Q99" t="n">
        <v>5</v>
      </c>
      <c r="R99" s="2" t="inlineStr">
        <is>
          <t>Rosenticka
Ullticka
Violettgrå tagellav
Vitgrynig nållav
Vedticka</t>
        </is>
      </c>
      <c r="S99">
        <f>HYPERLINK("https://klasma.github.io/Logging_2184/artfynd/A 49799-2023 artfynd.xlsx", "A 49799-2023")</f>
        <v/>
      </c>
      <c r="T99">
        <f>HYPERLINK("https://klasma.github.io/Logging_2184/kartor/A 49799-2023 karta.png", "A 49799-2023")</f>
        <v/>
      </c>
      <c r="V99">
        <f>HYPERLINK("https://klasma.github.io/Logging_2184/klagomål/A 49799-2023 FSC-klagomål.docx", "A 49799-2023")</f>
        <v/>
      </c>
      <c r="W99">
        <f>HYPERLINK("https://klasma.github.io/Logging_2184/klagomålsmail/A 49799-2023 FSC-klagomål mail.docx", "A 49799-2023")</f>
        <v/>
      </c>
      <c r="X99">
        <f>HYPERLINK("https://klasma.github.io/Logging_2184/tillsyn/A 49799-2023 tillsynsbegäran.docx", "A 49799-2023")</f>
        <v/>
      </c>
      <c r="Y99">
        <f>HYPERLINK("https://klasma.github.io/Logging_2184/tillsynsmail/A 49799-2023 tillsynsbegäran mail.docx", "A 49799-2023")</f>
        <v/>
      </c>
    </row>
    <row r="100" ht="15" customHeight="1">
      <c r="A100" t="inlineStr">
        <is>
          <t>A 28531-2025</t>
        </is>
      </c>
      <c r="B100" s="1" t="n">
        <v>45819.49947916667</v>
      </c>
      <c r="C100" s="1" t="n">
        <v>45883</v>
      </c>
      <c r="D100" t="inlineStr">
        <is>
          <t>GÄVLEBORGS LÄN</t>
        </is>
      </c>
      <c r="E100" t="inlineStr">
        <is>
          <t>LJUSDAL</t>
        </is>
      </c>
      <c r="F100" t="inlineStr">
        <is>
          <t>Allmännings- och besparingsskogar</t>
        </is>
      </c>
      <c r="G100" t="n">
        <v>1.2</v>
      </c>
      <c r="H100" t="n">
        <v>1</v>
      </c>
      <c r="I100" t="n">
        <v>1</v>
      </c>
      <c r="J100" t="n">
        <v>4</v>
      </c>
      <c r="K100" t="n">
        <v>0</v>
      </c>
      <c r="L100" t="n">
        <v>0</v>
      </c>
      <c r="M100" t="n">
        <v>0</v>
      </c>
      <c r="N100" t="n">
        <v>0</v>
      </c>
      <c r="O100" t="n">
        <v>4</v>
      </c>
      <c r="P100" t="n">
        <v>0</v>
      </c>
      <c r="Q100" t="n">
        <v>5</v>
      </c>
      <c r="R100" s="2" t="inlineStr">
        <is>
          <t>Garnlav
Kolflarnlav
Mörk kolflarnlav
Vedskivlav
Plattlummer</t>
        </is>
      </c>
      <c r="S100">
        <f>HYPERLINK("https://klasma.github.io/Logging_2161/artfynd/A 28531-2025 artfynd.xlsx", "A 28531-2025")</f>
        <v/>
      </c>
      <c r="T100">
        <f>HYPERLINK("https://klasma.github.io/Logging_2161/kartor/A 28531-2025 karta.png", "A 28531-2025")</f>
        <v/>
      </c>
      <c r="V100">
        <f>HYPERLINK("https://klasma.github.io/Logging_2161/klagomål/A 28531-2025 FSC-klagomål.docx", "A 28531-2025")</f>
        <v/>
      </c>
      <c r="W100">
        <f>HYPERLINK("https://klasma.github.io/Logging_2161/klagomålsmail/A 28531-2025 FSC-klagomål mail.docx", "A 28531-2025")</f>
        <v/>
      </c>
      <c r="X100">
        <f>HYPERLINK("https://klasma.github.io/Logging_2161/tillsyn/A 28531-2025 tillsynsbegäran.docx", "A 28531-2025")</f>
        <v/>
      </c>
      <c r="Y100">
        <f>HYPERLINK("https://klasma.github.io/Logging_2161/tillsynsmail/A 28531-2025 tillsynsbegäran mail.docx", "A 28531-2025")</f>
        <v/>
      </c>
    </row>
    <row r="101" ht="15" customHeight="1">
      <c r="A101" t="inlineStr">
        <is>
          <t>A 68600-2020</t>
        </is>
      </c>
      <c r="B101" s="1" t="n">
        <v>44186</v>
      </c>
      <c r="C101" s="1" t="n">
        <v>45883</v>
      </c>
      <c r="D101" t="inlineStr">
        <is>
          <t>GÄVLEBORGS LÄN</t>
        </is>
      </c>
      <c r="E101" t="inlineStr">
        <is>
          <t>HUDIKSVALL</t>
        </is>
      </c>
      <c r="F101" t="inlineStr">
        <is>
          <t>Kommuner</t>
        </is>
      </c>
      <c r="G101" t="n">
        <v>4.6</v>
      </c>
      <c r="H101" t="n">
        <v>1</v>
      </c>
      <c r="I101" t="n">
        <v>0</v>
      </c>
      <c r="J101" t="n">
        <v>4</v>
      </c>
      <c r="K101" t="n">
        <v>1</v>
      </c>
      <c r="L101" t="n">
        <v>0</v>
      </c>
      <c r="M101" t="n">
        <v>0</v>
      </c>
      <c r="N101" t="n">
        <v>0</v>
      </c>
      <c r="O101" t="n">
        <v>5</v>
      </c>
      <c r="P101" t="n">
        <v>1</v>
      </c>
      <c r="Q101" t="n">
        <v>5</v>
      </c>
      <c r="R101" s="2" t="inlineStr">
        <is>
          <t>Sprickporing
Garnlav
Grönsångare
Rosenticka
Ullticka</t>
        </is>
      </c>
      <c r="S101">
        <f>HYPERLINK("https://klasma.github.io/Logging_2184/artfynd/A 68600-2020 artfynd.xlsx", "A 68600-2020")</f>
        <v/>
      </c>
      <c r="T101">
        <f>HYPERLINK("https://klasma.github.io/Logging_2184/kartor/A 68600-2020 karta.png", "A 68600-2020")</f>
        <v/>
      </c>
      <c r="V101">
        <f>HYPERLINK("https://klasma.github.io/Logging_2184/klagomål/A 68600-2020 FSC-klagomål.docx", "A 68600-2020")</f>
        <v/>
      </c>
      <c r="W101">
        <f>HYPERLINK("https://klasma.github.io/Logging_2184/klagomålsmail/A 68600-2020 FSC-klagomål mail.docx", "A 68600-2020")</f>
        <v/>
      </c>
      <c r="X101">
        <f>HYPERLINK("https://klasma.github.io/Logging_2184/tillsyn/A 68600-2020 tillsynsbegäran.docx", "A 68600-2020")</f>
        <v/>
      </c>
      <c r="Y101">
        <f>HYPERLINK("https://klasma.github.io/Logging_2184/tillsynsmail/A 68600-2020 tillsynsbegäran mail.docx", "A 68600-2020")</f>
        <v/>
      </c>
      <c r="Z101">
        <f>HYPERLINK("https://klasma.github.io/Logging_2184/fåglar/A 68600-2020 prioriterade fågelarter.docx", "A 68600-2020")</f>
        <v/>
      </c>
    </row>
    <row r="102" ht="15" customHeight="1">
      <c r="A102" t="inlineStr">
        <is>
          <t>A 55280-2022</t>
        </is>
      </c>
      <c r="B102" s="1" t="n">
        <v>44887</v>
      </c>
      <c r="C102" s="1" t="n">
        <v>45883</v>
      </c>
      <c r="D102" t="inlineStr">
        <is>
          <t>GÄVLEBORGS LÄN</t>
        </is>
      </c>
      <c r="E102" t="inlineStr">
        <is>
          <t>HUDIKSVALL</t>
        </is>
      </c>
      <c r="F102" t="inlineStr">
        <is>
          <t>Holmen skog AB</t>
        </is>
      </c>
      <c r="G102" t="n">
        <v>3.3</v>
      </c>
      <c r="H102" t="n">
        <v>0</v>
      </c>
      <c r="I102" t="n">
        <v>1</v>
      </c>
      <c r="J102" t="n">
        <v>4</v>
      </c>
      <c r="K102" t="n">
        <v>0</v>
      </c>
      <c r="L102" t="n">
        <v>0</v>
      </c>
      <c r="M102" t="n">
        <v>0</v>
      </c>
      <c r="N102" t="n">
        <v>0</v>
      </c>
      <c r="O102" t="n">
        <v>4</v>
      </c>
      <c r="P102" t="n">
        <v>0</v>
      </c>
      <c r="Q102" t="n">
        <v>5</v>
      </c>
      <c r="R102" s="2" t="inlineStr">
        <is>
          <t>Granticka
Ullticka
Veckticka
Vedtrappmossa
Korallblylav</t>
        </is>
      </c>
      <c r="S102">
        <f>HYPERLINK("https://klasma.github.io/Logging_2184/artfynd/A 55280-2022 artfynd.xlsx", "A 55280-2022")</f>
        <v/>
      </c>
      <c r="T102">
        <f>HYPERLINK("https://klasma.github.io/Logging_2184/kartor/A 55280-2022 karta.png", "A 55280-2022")</f>
        <v/>
      </c>
      <c r="V102">
        <f>HYPERLINK("https://klasma.github.io/Logging_2184/klagomål/A 55280-2022 FSC-klagomål.docx", "A 55280-2022")</f>
        <v/>
      </c>
      <c r="W102">
        <f>HYPERLINK("https://klasma.github.io/Logging_2184/klagomålsmail/A 55280-2022 FSC-klagomål mail.docx", "A 55280-2022")</f>
        <v/>
      </c>
      <c r="X102">
        <f>HYPERLINK("https://klasma.github.io/Logging_2184/tillsyn/A 55280-2022 tillsynsbegäran.docx", "A 55280-2022")</f>
        <v/>
      </c>
      <c r="Y102">
        <f>HYPERLINK("https://klasma.github.io/Logging_2184/tillsynsmail/A 55280-2022 tillsynsbegäran mail.docx", "A 55280-2022")</f>
        <v/>
      </c>
    </row>
    <row r="103" ht="15" customHeight="1">
      <c r="A103" t="inlineStr">
        <is>
          <t>A 31312-2025</t>
        </is>
      </c>
      <c r="B103" s="1" t="n">
        <v>45833</v>
      </c>
      <c r="C103" s="1" t="n">
        <v>45883</v>
      </c>
      <c r="D103" t="inlineStr">
        <is>
          <t>GÄVLEBORGS LÄN</t>
        </is>
      </c>
      <c r="E103" t="inlineStr">
        <is>
          <t>BOLLNÄS</t>
        </is>
      </c>
      <c r="G103" t="n">
        <v>7.7</v>
      </c>
      <c r="H103" t="n">
        <v>5</v>
      </c>
      <c r="I103" t="n">
        <v>0</v>
      </c>
      <c r="J103" t="n">
        <v>3</v>
      </c>
      <c r="K103" t="n">
        <v>0</v>
      </c>
      <c r="L103" t="n">
        <v>0</v>
      </c>
      <c r="M103" t="n">
        <v>0</v>
      </c>
      <c r="N103" t="n">
        <v>0</v>
      </c>
      <c r="O103" t="n">
        <v>3</v>
      </c>
      <c r="P103" t="n">
        <v>0</v>
      </c>
      <c r="Q103" t="n">
        <v>5</v>
      </c>
      <c r="R103" s="2" t="inlineStr">
        <is>
          <t>Brunlångöra
Fransfladdermus
Nordfladdermus
Mustaschfladdermus
Vattenfladdermus</t>
        </is>
      </c>
      <c r="S103">
        <f>HYPERLINK("https://klasma.github.io/Logging_2183/artfynd/A 31312-2025 artfynd.xlsx", "A 31312-2025")</f>
        <v/>
      </c>
      <c r="T103">
        <f>HYPERLINK("https://klasma.github.io/Logging_2183/kartor/A 31312-2025 karta.png", "A 31312-2025")</f>
        <v/>
      </c>
      <c r="V103">
        <f>HYPERLINK("https://klasma.github.io/Logging_2183/klagomål/A 31312-2025 FSC-klagomål.docx", "A 31312-2025")</f>
        <v/>
      </c>
      <c r="W103">
        <f>HYPERLINK("https://klasma.github.io/Logging_2183/klagomålsmail/A 31312-2025 FSC-klagomål mail.docx", "A 31312-2025")</f>
        <v/>
      </c>
      <c r="X103">
        <f>HYPERLINK("https://klasma.github.io/Logging_2183/tillsyn/A 31312-2025 tillsynsbegäran.docx", "A 31312-2025")</f>
        <v/>
      </c>
      <c r="Y103">
        <f>HYPERLINK("https://klasma.github.io/Logging_2183/tillsynsmail/A 31312-2025 tillsynsbegäran mail.docx", "A 31312-2025")</f>
        <v/>
      </c>
    </row>
    <row r="104" ht="15" customHeight="1">
      <c r="A104" t="inlineStr">
        <is>
          <t>A 11233-2025</t>
        </is>
      </c>
      <c r="B104" s="1" t="n">
        <v>45726.35946759259</v>
      </c>
      <c r="C104" s="1" t="n">
        <v>45883</v>
      </c>
      <c r="D104" t="inlineStr">
        <is>
          <t>GÄVLEBORGS LÄN</t>
        </is>
      </c>
      <c r="E104" t="inlineStr">
        <is>
          <t>GÄVLE</t>
        </is>
      </c>
      <c r="F104" t="inlineStr">
        <is>
          <t>Bergvik skog öst AB</t>
        </is>
      </c>
      <c r="G104" t="n">
        <v>3.8</v>
      </c>
      <c r="H104" t="n">
        <v>1</v>
      </c>
      <c r="I104" t="n">
        <v>0</v>
      </c>
      <c r="J104" t="n">
        <v>4</v>
      </c>
      <c r="K104" t="n">
        <v>0</v>
      </c>
      <c r="L104" t="n">
        <v>0</v>
      </c>
      <c r="M104" t="n">
        <v>0</v>
      </c>
      <c r="N104" t="n">
        <v>0</v>
      </c>
      <c r="O104" t="n">
        <v>4</v>
      </c>
      <c r="P104" t="n">
        <v>0</v>
      </c>
      <c r="Q104" t="n">
        <v>5</v>
      </c>
      <c r="R104" s="2" t="inlineStr">
        <is>
          <t>Almsnabbvinge
Bredbrämad bastardsvärmare
Smalsprötad bastardsvärmare
Sotnätfjäril
Blåsippa</t>
        </is>
      </c>
      <c r="S104">
        <f>HYPERLINK("https://klasma.github.io/Logging_2180/artfynd/A 11233-2025 artfynd.xlsx", "A 11233-2025")</f>
        <v/>
      </c>
      <c r="T104">
        <f>HYPERLINK("https://klasma.github.io/Logging_2180/kartor/A 11233-2025 karta.png", "A 11233-2025")</f>
        <v/>
      </c>
      <c r="V104">
        <f>HYPERLINK("https://klasma.github.io/Logging_2180/klagomål/A 11233-2025 FSC-klagomål.docx", "A 11233-2025")</f>
        <v/>
      </c>
      <c r="W104">
        <f>HYPERLINK("https://klasma.github.io/Logging_2180/klagomålsmail/A 11233-2025 FSC-klagomål mail.docx", "A 11233-2025")</f>
        <v/>
      </c>
      <c r="X104">
        <f>HYPERLINK("https://klasma.github.io/Logging_2180/tillsyn/A 11233-2025 tillsynsbegäran.docx", "A 11233-2025")</f>
        <v/>
      </c>
      <c r="Y104">
        <f>HYPERLINK("https://klasma.github.io/Logging_2180/tillsynsmail/A 11233-2025 tillsynsbegäran mail.docx", "A 11233-2025")</f>
        <v/>
      </c>
    </row>
    <row r="105" ht="15" customHeight="1">
      <c r="A105" t="inlineStr">
        <is>
          <t>A 64875-2021</t>
        </is>
      </c>
      <c r="B105" s="1" t="n">
        <v>44512.61413194444</v>
      </c>
      <c r="C105" s="1" t="n">
        <v>45883</v>
      </c>
      <c r="D105" t="inlineStr">
        <is>
          <t>GÄVLEBORGS LÄN</t>
        </is>
      </c>
      <c r="E105" t="inlineStr">
        <is>
          <t>LJUSDAL</t>
        </is>
      </c>
      <c r="F105" t="inlineStr">
        <is>
          <t>Sveaskog</t>
        </is>
      </c>
      <c r="G105" t="n">
        <v>19.8</v>
      </c>
      <c r="H105" t="n">
        <v>3</v>
      </c>
      <c r="I105" t="n">
        <v>1</v>
      </c>
      <c r="J105" t="n">
        <v>1</v>
      </c>
      <c r="K105" t="n">
        <v>1</v>
      </c>
      <c r="L105" t="n">
        <v>0</v>
      </c>
      <c r="M105" t="n">
        <v>0</v>
      </c>
      <c r="N105" t="n">
        <v>0</v>
      </c>
      <c r="O105" t="n">
        <v>2</v>
      </c>
      <c r="P105" t="n">
        <v>1</v>
      </c>
      <c r="Q105" t="n">
        <v>4</v>
      </c>
      <c r="R105" s="2" t="inlineStr">
        <is>
          <t>Knärot
Garnlav
Spindelblomster
Fläcknycklar</t>
        </is>
      </c>
      <c r="S105">
        <f>HYPERLINK("https://klasma.github.io/Logging_2161/artfynd/A 64875-2021 artfynd.xlsx", "A 64875-2021")</f>
        <v/>
      </c>
      <c r="T105">
        <f>HYPERLINK("https://klasma.github.io/Logging_2161/kartor/A 64875-2021 karta.png", "A 64875-2021")</f>
        <v/>
      </c>
      <c r="U105">
        <f>HYPERLINK("https://klasma.github.io/Logging_2161/knärot/A 64875-2021 karta knärot.png", "A 64875-2021")</f>
        <v/>
      </c>
      <c r="V105">
        <f>HYPERLINK("https://klasma.github.io/Logging_2161/klagomål/A 64875-2021 FSC-klagomål.docx", "A 64875-2021")</f>
        <v/>
      </c>
      <c r="W105">
        <f>HYPERLINK("https://klasma.github.io/Logging_2161/klagomålsmail/A 64875-2021 FSC-klagomål mail.docx", "A 64875-2021")</f>
        <v/>
      </c>
      <c r="X105">
        <f>HYPERLINK("https://klasma.github.io/Logging_2161/tillsyn/A 64875-2021 tillsynsbegäran.docx", "A 64875-2021")</f>
        <v/>
      </c>
      <c r="Y105">
        <f>HYPERLINK("https://klasma.github.io/Logging_2161/tillsynsmail/A 64875-2021 tillsynsbegäran mail.docx", "A 64875-2021")</f>
        <v/>
      </c>
    </row>
    <row r="106" ht="15" customHeight="1">
      <c r="A106" t="inlineStr">
        <is>
          <t>A 50160-2020</t>
        </is>
      </c>
      <c r="B106" s="1" t="n">
        <v>44109</v>
      </c>
      <c r="C106" s="1" t="n">
        <v>45883</v>
      </c>
      <c r="D106" t="inlineStr">
        <is>
          <t>GÄVLEBORGS LÄN</t>
        </is>
      </c>
      <c r="E106" t="inlineStr">
        <is>
          <t>HUDIKSVALL</t>
        </is>
      </c>
      <c r="G106" t="n">
        <v>1.8</v>
      </c>
      <c r="H106" t="n">
        <v>1</v>
      </c>
      <c r="I106" t="n">
        <v>1</v>
      </c>
      <c r="J106" t="n">
        <v>2</v>
      </c>
      <c r="K106" t="n">
        <v>0</v>
      </c>
      <c r="L106" t="n">
        <v>0</v>
      </c>
      <c r="M106" t="n">
        <v>0</v>
      </c>
      <c r="N106" t="n">
        <v>0</v>
      </c>
      <c r="O106" t="n">
        <v>2</v>
      </c>
      <c r="P106" t="n">
        <v>0</v>
      </c>
      <c r="Q106" t="n">
        <v>4</v>
      </c>
      <c r="R106" s="2" t="inlineStr">
        <is>
          <t>Gammelgransskål
Garnlav
Bollvitmossa
Revlummer</t>
        </is>
      </c>
      <c r="S106">
        <f>HYPERLINK("https://klasma.github.io/Logging_2184/artfynd/A 50160-2020 artfynd.xlsx", "A 50160-2020")</f>
        <v/>
      </c>
      <c r="T106">
        <f>HYPERLINK("https://klasma.github.io/Logging_2184/kartor/A 50160-2020 karta.png", "A 50160-2020")</f>
        <v/>
      </c>
      <c r="V106">
        <f>HYPERLINK("https://klasma.github.io/Logging_2184/klagomål/A 50160-2020 FSC-klagomål.docx", "A 50160-2020")</f>
        <v/>
      </c>
      <c r="W106">
        <f>HYPERLINK("https://klasma.github.io/Logging_2184/klagomålsmail/A 50160-2020 FSC-klagomål mail.docx", "A 50160-2020")</f>
        <v/>
      </c>
      <c r="X106">
        <f>HYPERLINK("https://klasma.github.io/Logging_2184/tillsyn/A 50160-2020 tillsynsbegäran.docx", "A 50160-2020")</f>
        <v/>
      </c>
      <c r="Y106">
        <f>HYPERLINK("https://klasma.github.io/Logging_2184/tillsynsmail/A 50160-2020 tillsynsbegäran mail.docx", "A 50160-2020")</f>
        <v/>
      </c>
    </row>
    <row r="107" ht="15" customHeight="1">
      <c r="A107" t="inlineStr">
        <is>
          <t>A 48181-2021</t>
        </is>
      </c>
      <c r="B107" s="1" t="n">
        <v>44449</v>
      </c>
      <c r="C107" s="1" t="n">
        <v>45883</v>
      </c>
      <c r="D107" t="inlineStr">
        <is>
          <t>GÄVLEBORGS LÄN</t>
        </is>
      </c>
      <c r="E107" t="inlineStr">
        <is>
          <t>LJUSDAL</t>
        </is>
      </c>
      <c r="F107" t="inlineStr">
        <is>
          <t>Sveaskog</t>
        </is>
      </c>
      <c r="G107" t="n">
        <v>3.9</v>
      </c>
      <c r="H107" t="n">
        <v>0</v>
      </c>
      <c r="I107" t="n">
        <v>1</v>
      </c>
      <c r="J107" t="n">
        <v>3</v>
      </c>
      <c r="K107" t="n">
        <v>0</v>
      </c>
      <c r="L107" t="n">
        <v>0</v>
      </c>
      <c r="M107" t="n">
        <v>0</v>
      </c>
      <c r="N107" t="n">
        <v>0</v>
      </c>
      <c r="O107" t="n">
        <v>3</v>
      </c>
      <c r="P107" t="n">
        <v>0</v>
      </c>
      <c r="Q107" t="n">
        <v>4</v>
      </c>
      <c r="R107" s="2" t="inlineStr">
        <is>
          <t>Garnlav
Kolflarnlav
Lunglav
Dropptaggsvamp</t>
        </is>
      </c>
      <c r="S107">
        <f>HYPERLINK("https://klasma.github.io/Logging_2161/artfynd/A 48181-2021 artfynd.xlsx", "A 48181-2021")</f>
        <v/>
      </c>
      <c r="T107">
        <f>HYPERLINK("https://klasma.github.io/Logging_2161/kartor/A 48181-2021 karta.png", "A 48181-2021")</f>
        <v/>
      </c>
      <c r="V107">
        <f>HYPERLINK("https://klasma.github.io/Logging_2161/klagomål/A 48181-2021 FSC-klagomål.docx", "A 48181-2021")</f>
        <v/>
      </c>
      <c r="W107">
        <f>HYPERLINK("https://klasma.github.io/Logging_2161/klagomålsmail/A 48181-2021 FSC-klagomål mail.docx", "A 48181-2021")</f>
        <v/>
      </c>
      <c r="X107">
        <f>HYPERLINK("https://klasma.github.io/Logging_2161/tillsyn/A 48181-2021 tillsynsbegäran.docx", "A 48181-2021")</f>
        <v/>
      </c>
      <c r="Y107">
        <f>HYPERLINK("https://klasma.github.io/Logging_2161/tillsynsmail/A 48181-2021 tillsynsbegäran mail.docx", "A 48181-2021")</f>
        <v/>
      </c>
    </row>
    <row r="108" ht="15" customHeight="1">
      <c r="A108" t="inlineStr">
        <is>
          <t>A 44589-2022</t>
        </is>
      </c>
      <c r="B108" s="1" t="n">
        <v>44840.52716435185</v>
      </c>
      <c r="C108" s="1" t="n">
        <v>45883</v>
      </c>
      <c r="D108" t="inlineStr">
        <is>
          <t>GÄVLEBORGS LÄN</t>
        </is>
      </c>
      <c r="E108" t="inlineStr">
        <is>
          <t>NORDANSTIG</t>
        </is>
      </c>
      <c r="F108" t="inlineStr">
        <is>
          <t>Holmen skog AB</t>
        </is>
      </c>
      <c r="G108" t="n">
        <v>8.199999999999999</v>
      </c>
      <c r="H108" t="n">
        <v>0</v>
      </c>
      <c r="I108" t="n">
        <v>1</v>
      </c>
      <c r="J108" t="n">
        <v>3</v>
      </c>
      <c r="K108" t="n">
        <v>0</v>
      </c>
      <c r="L108" t="n">
        <v>0</v>
      </c>
      <c r="M108" t="n">
        <v>0</v>
      </c>
      <c r="N108" t="n">
        <v>0</v>
      </c>
      <c r="O108" t="n">
        <v>3</v>
      </c>
      <c r="P108" t="n">
        <v>0</v>
      </c>
      <c r="Q108" t="n">
        <v>4</v>
      </c>
      <c r="R108" s="2" t="inlineStr">
        <is>
          <t>Gammelgransskål
Vedtrappmossa
Vitgrynig nållav
Bollvitmossa</t>
        </is>
      </c>
      <c r="S108">
        <f>HYPERLINK("https://klasma.github.io/Logging_2132/artfynd/A 44589-2022 artfynd.xlsx", "A 44589-2022")</f>
        <v/>
      </c>
      <c r="T108">
        <f>HYPERLINK("https://klasma.github.io/Logging_2132/kartor/A 44589-2022 karta.png", "A 44589-2022")</f>
        <v/>
      </c>
      <c r="V108">
        <f>HYPERLINK("https://klasma.github.io/Logging_2132/klagomål/A 44589-2022 FSC-klagomål.docx", "A 44589-2022")</f>
        <v/>
      </c>
      <c r="W108">
        <f>HYPERLINK("https://klasma.github.io/Logging_2132/klagomålsmail/A 44589-2022 FSC-klagomål mail.docx", "A 44589-2022")</f>
        <v/>
      </c>
      <c r="X108">
        <f>HYPERLINK("https://klasma.github.io/Logging_2132/tillsyn/A 44589-2022 tillsynsbegäran.docx", "A 44589-2022")</f>
        <v/>
      </c>
      <c r="Y108">
        <f>HYPERLINK("https://klasma.github.io/Logging_2132/tillsynsmail/A 44589-2022 tillsynsbegäran mail.docx", "A 44589-2022")</f>
        <v/>
      </c>
    </row>
    <row r="109" ht="15" customHeight="1">
      <c r="A109" t="inlineStr">
        <is>
          <t>A 14769-2025</t>
        </is>
      </c>
      <c r="B109" s="1" t="n">
        <v>45742.6846875</v>
      </c>
      <c r="C109" s="1" t="n">
        <v>45883</v>
      </c>
      <c r="D109" t="inlineStr">
        <is>
          <t>GÄVLEBORGS LÄN</t>
        </is>
      </c>
      <c r="E109" t="inlineStr">
        <is>
          <t>LJUSDAL</t>
        </is>
      </c>
      <c r="F109" t="inlineStr">
        <is>
          <t>Sveaskog</t>
        </is>
      </c>
      <c r="G109" t="n">
        <v>10.2</v>
      </c>
      <c r="H109" t="n">
        <v>1</v>
      </c>
      <c r="I109" t="n">
        <v>0</v>
      </c>
      <c r="J109" t="n">
        <v>3</v>
      </c>
      <c r="K109" t="n">
        <v>0</v>
      </c>
      <c r="L109" t="n">
        <v>0</v>
      </c>
      <c r="M109" t="n">
        <v>0</v>
      </c>
      <c r="N109" t="n">
        <v>0</v>
      </c>
      <c r="O109" t="n">
        <v>3</v>
      </c>
      <c r="P109" t="n">
        <v>0</v>
      </c>
      <c r="Q109" t="n">
        <v>4</v>
      </c>
      <c r="R109" s="2" t="inlineStr">
        <is>
          <t>Garnlav
Kolflarnlav
Vedflamlav
Fläcknycklar</t>
        </is>
      </c>
      <c r="S109">
        <f>HYPERLINK("https://klasma.github.io/Logging_2161/artfynd/A 14769-2025 artfynd.xlsx", "A 14769-2025")</f>
        <v/>
      </c>
      <c r="T109">
        <f>HYPERLINK("https://klasma.github.io/Logging_2161/kartor/A 14769-2025 karta.png", "A 14769-2025")</f>
        <v/>
      </c>
      <c r="V109">
        <f>HYPERLINK("https://klasma.github.io/Logging_2161/klagomål/A 14769-2025 FSC-klagomål.docx", "A 14769-2025")</f>
        <v/>
      </c>
      <c r="W109">
        <f>HYPERLINK("https://klasma.github.io/Logging_2161/klagomålsmail/A 14769-2025 FSC-klagomål mail.docx", "A 14769-2025")</f>
        <v/>
      </c>
      <c r="X109">
        <f>HYPERLINK("https://klasma.github.io/Logging_2161/tillsyn/A 14769-2025 tillsynsbegäran.docx", "A 14769-2025")</f>
        <v/>
      </c>
      <c r="Y109">
        <f>HYPERLINK("https://klasma.github.io/Logging_2161/tillsynsmail/A 14769-2025 tillsynsbegäran mail.docx", "A 14769-2025")</f>
        <v/>
      </c>
    </row>
    <row r="110" ht="15" customHeight="1">
      <c r="A110" t="inlineStr">
        <is>
          <t>A 22978-2023</t>
        </is>
      </c>
      <c r="B110" s="1" t="n">
        <v>45072</v>
      </c>
      <c r="C110" s="1" t="n">
        <v>45883</v>
      </c>
      <c r="D110" t="inlineStr">
        <is>
          <t>GÄVLEBORGS LÄN</t>
        </is>
      </c>
      <c r="E110" t="inlineStr">
        <is>
          <t>LJUSDAL</t>
        </is>
      </c>
      <c r="G110" t="n">
        <v>1.8</v>
      </c>
      <c r="H110" t="n">
        <v>2</v>
      </c>
      <c r="I110" t="n">
        <v>0</v>
      </c>
      <c r="J110" t="n">
        <v>2</v>
      </c>
      <c r="K110" t="n">
        <v>1</v>
      </c>
      <c r="L110" t="n">
        <v>0</v>
      </c>
      <c r="M110" t="n">
        <v>0</v>
      </c>
      <c r="N110" t="n">
        <v>0</v>
      </c>
      <c r="O110" t="n">
        <v>3</v>
      </c>
      <c r="P110" t="n">
        <v>1</v>
      </c>
      <c r="Q110" t="n">
        <v>4</v>
      </c>
      <c r="R110" s="2" t="inlineStr">
        <is>
          <t>Knärot
Rosenticka
Ullticka
Revlummer</t>
        </is>
      </c>
      <c r="S110">
        <f>HYPERLINK("https://klasma.github.io/Logging_2161/artfynd/A 22978-2023 artfynd.xlsx", "A 22978-2023")</f>
        <v/>
      </c>
      <c r="T110">
        <f>HYPERLINK("https://klasma.github.io/Logging_2161/kartor/A 22978-2023 karta.png", "A 22978-2023")</f>
        <v/>
      </c>
      <c r="U110">
        <f>HYPERLINK("https://klasma.github.io/Logging_2161/knärot/A 22978-2023 karta knärot.png", "A 22978-2023")</f>
        <v/>
      </c>
      <c r="V110">
        <f>HYPERLINK("https://klasma.github.io/Logging_2161/klagomål/A 22978-2023 FSC-klagomål.docx", "A 22978-2023")</f>
        <v/>
      </c>
      <c r="W110">
        <f>HYPERLINK("https://klasma.github.io/Logging_2161/klagomålsmail/A 22978-2023 FSC-klagomål mail.docx", "A 22978-2023")</f>
        <v/>
      </c>
      <c r="X110">
        <f>HYPERLINK("https://klasma.github.io/Logging_2161/tillsyn/A 22978-2023 tillsynsbegäran.docx", "A 22978-2023")</f>
        <v/>
      </c>
      <c r="Y110">
        <f>HYPERLINK("https://klasma.github.io/Logging_2161/tillsynsmail/A 22978-2023 tillsynsbegäran mail.docx", "A 22978-2023")</f>
        <v/>
      </c>
    </row>
    <row r="111" ht="15" customHeight="1">
      <c r="A111" t="inlineStr">
        <is>
          <t>A 36672-2023</t>
        </is>
      </c>
      <c r="B111" s="1" t="n">
        <v>45153</v>
      </c>
      <c r="C111" s="1" t="n">
        <v>45883</v>
      </c>
      <c r="D111" t="inlineStr">
        <is>
          <t>GÄVLEBORGS LÄN</t>
        </is>
      </c>
      <c r="E111" t="inlineStr">
        <is>
          <t>SANDVIKEN</t>
        </is>
      </c>
      <c r="G111" t="n">
        <v>6.4</v>
      </c>
      <c r="H111" t="n">
        <v>4</v>
      </c>
      <c r="I111" t="n">
        <v>0</v>
      </c>
      <c r="J111" t="n">
        <v>0</v>
      </c>
      <c r="K111" t="n">
        <v>0</v>
      </c>
      <c r="L111" t="n">
        <v>0</v>
      </c>
      <c r="M111" t="n">
        <v>0</v>
      </c>
      <c r="N111" t="n">
        <v>0</v>
      </c>
      <c r="O111" t="n">
        <v>0</v>
      </c>
      <c r="P111" t="n">
        <v>0</v>
      </c>
      <c r="Q111" t="n">
        <v>4</v>
      </c>
      <c r="R111" s="2" t="inlineStr">
        <is>
          <t>Större vattensalamander
Åkergroda
Mindre vattensalamander
Vanlig groda</t>
        </is>
      </c>
      <c r="S111">
        <f>HYPERLINK("https://klasma.github.io/Logging_2181/artfynd/A 36672-2023 artfynd.xlsx", "A 36672-2023")</f>
        <v/>
      </c>
      <c r="T111">
        <f>HYPERLINK("https://klasma.github.io/Logging_2181/kartor/A 36672-2023 karta.png", "A 36672-2023")</f>
        <v/>
      </c>
      <c r="V111">
        <f>HYPERLINK("https://klasma.github.io/Logging_2181/klagomål/A 36672-2023 FSC-klagomål.docx", "A 36672-2023")</f>
        <v/>
      </c>
      <c r="W111">
        <f>HYPERLINK("https://klasma.github.io/Logging_2181/klagomålsmail/A 36672-2023 FSC-klagomål mail.docx", "A 36672-2023")</f>
        <v/>
      </c>
      <c r="X111">
        <f>HYPERLINK("https://klasma.github.io/Logging_2181/tillsyn/A 36672-2023 tillsynsbegäran.docx", "A 36672-2023")</f>
        <v/>
      </c>
      <c r="Y111">
        <f>HYPERLINK("https://klasma.github.io/Logging_2181/tillsynsmail/A 36672-2023 tillsynsbegäran mail.docx", "A 36672-2023")</f>
        <v/>
      </c>
    </row>
    <row r="112" ht="15" customHeight="1">
      <c r="A112" t="inlineStr">
        <is>
          <t>A 53249-2023</t>
        </is>
      </c>
      <c r="B112" s="1" t="n">
        <v>45229.5156712963</v>
      </c>
      <c r="C112" s="1" t="n">
        <v>45883</v>
      </c>
      <c r="D112" t="inlineStr">
        <is>
          <t>GÄVLEBORGS LÄN</t>
        </is>
      </c>
      <c r="E112" t="inlineStr">
        <is>
          <t>LJUSDAL</t>
        </is>
      </c>
      <c r="F112" t="inlineStr">
        <is>
          <t>Sveaskog</t>
        </is>
      </c>
      <c r="G112" t="n">
        <v>3.2</v>
      </c>
      <c r="H112" t="n">
        <v>0</v>
      </c>
      <c r="I112" t="n">
        <v>0</v>
      </c>
      <c r="J112" t="n">
        <v>4</v>
      </c>
      <c r="K112" t="n">
        <v>0</v>
      </c>
      <c r="L112" t="n">
        <v>0</v>
      </c>
      <c r="M112" t="n">
        <v>0</v>
      </c>
      <c r="N112" t="n">
        <v>0</v>
      </c>
      <c r="O112" t="n">
        <v>4</v>
      </c>
      <c r="P112" t="n">
        <v>0</v>
      </c>
      <c r="Q112" t="n">
        <v>4</v>
      </c>
      <c r="R112" s="2" t="inlineStr">
        <is>
          <t>Kolflarnlav
Motaggsvamp
Orange taggsvamp
Vedflamlav</t>
        </is>
      </c>
      <c r="S112">
        <f>HYPERLINK("https://klasma.github.io/Logging_2161/artfynd/A 53249-2023 artfynd.xlsx", "A 53249-2023")</f>
        <v/>
      </c>
      <c r="T112">
        <f>HYPERLINK("https://klasma.github.io/Logging_2161/kartor/A 53249-2023 karta.png", "A 53249-2023")</f>
        <v/>
      </c>
      <c r="V112">
        <f>HYPERLINK("https://klasma.github.io/Logging_2161/klagomål/A 53249-2023 FSC-klagomål.docx", "A 53249-2023")</f>
        <v/>
      </c>
      <c r="W112">
        <f>HYPERLINK("https://klasma.github.io/Logging_2161/klagomålsmail/A 53249-2023 FSC-klagomål mail.docx", "A 53249-2023")</f>
        <v/>
      </c>
      <c r="X112">
        <f>HYPERLINK("https://klasma.github.io/Logging_2161/tillsyn/A 53249-2023 tillsynsbegäran.docx", "A 53249-2023")</f>
        <v/>
      </c>
      <c r="Y112">
        <f>HYPERLINK("https://klasma.github.io/Logging_2161/tillsynsmail/A 53249-2023 tillsynsbegäran mail.docx", "A 53249-2023")</f>
        <v/>
      </c>
    </row>
    <row r="113" ht="15" customHeight="1">
      <c r="A113" t="inlineStr">
        <is>
          <t>A 60287-2022</t>
        </is>
      </c>
      <c r="B113" s="1" t="n">
        <v>44910.52899305556</v>
      </c>
      <c r="C113" s="1" t="n">
        <v>45883</v>
      </c>
      <c r="D113" t="inlineStr">
        <is>
          <t>GÄVLEBORGS LÄN</t>
        </is>
      </c>
      <c r="E113" t="inlineStr">
        <is>
          <t>OVANÅKER</t>
        </is>
      </c>
      <c r="F113" t="inlineStr">
        <is>
          <t>Sveaskog</t>
        </is>
      </c>
      <c r="G113" t="n">
        <v>1.2</v>
      </c>
      <c r="H113" t="n">
        <v>3</v>
      </c>
      <c r="I113" t="n">
        <v>0</v>
      </c>
      <c r="J113" t="n">
        <v>2</v>
      </c>
      <c r="K113" t="n">
        <v>0</v>
      </c>
      <c r="L113" t="n">
        <v>0</v>
      </c>
      <c r="M113" t="n">
        <v>0</v>
      </c>
      <c r="N113" t="n">
        <v>0</v>
      </c>
      <c r="O113" t="n">
        <v>2</v>
      </c>
      <c r="P113" t="n">
        <v>0</v>
      </c>
      <c r="Q113" t="n">
        <v>4</v>
      </c>
      <c r="R113" s="2" t="inlineStr">
        <is>
          <t>Skogshare
Talltita
Törnskata
Kopparödla</t>
        </is>
      </c>
      <c r="S113">
        <f>HYPERLINK("https://klasma.github.io/Logging_2121/artfynd/A 60287-2022 artfynd.xlsx", "A 60287-2022")</f>
        <v/>
      </c>
      <c r="T113">
        <f>HYPERLINK("https://klasma.github.io/Logging_2121/kartor/A 60287-2022 karta.png", "A 60287-2022")</f>
        <v/>
      </c>
      <c r="V113">
        <f>HYPERLINK("https://klasma.github.io/Logging_2121/klagomål/A 60287-2022 FSC-klagomål.docx", "A 60287-2022")</f>
        <v/>
      </c>
      <c r="W113">
        <f>HYPERLINK("https://klasma.github.io/Logging_2121/klagomålsmail/A 60287-2022 FSC-klagomål mail.docx", "A 60287-2022")</f>
        <v/>
      </c>
      <c r="X113">
        <f>HYPERLINK("https://klasma.github.io/Logging_2121/tillsyn/A 60287-2022 tillsynsbegäran.docx", "A 60287-2022")</f>
        <v/>
      </c>
      <c r="Y113">
        <f>HYPERLINK("https://klasma.github.io/Logging_2121/tillsynsmail/A 60287-2022 tillsynsbegäran mail.docx", "A 60287-2022")</f>
        <v/>
      </c>
      <c r="Z113">
        <f>HYPERLINK("https://klasma.github.io/Logging_2121/fåglar/A 60287-2022 prioriterade fågelarter.docx", "A 60287-2022")</f>
        <v/>
      </c>
    </row>
    <row r="114" ht="15" customHeight="1">
      <c r="A114" t="inlineStr">
        <is>
          <t>A 34757-2024</t>
        </is>
      </c>
      <c r="B114" s="1" t="n">
        <v>45526.61099537037</v>
      </c>
      <c r="C114" s="1" t="n">
        <v>45883</v>
      </c>
      <c r="D114" t="inlineStr">
        <is>
          <t>GÄVLEBORGS LÄN</t>
        </is>
      </c>
      <c r="E114" t="inlineStr">
        <is>
          <t>LJUSDAL</t>
        </is>
      </c>
      <c r="F114" t="inlineStr">
        <is>
          <t>Sveaskog</t>
        </is>
      </c>
      <c r="G114" t="n">
        <v>8.300000000000001</v>
      </c>
      <c r="H114" t="n">
        <v>0</v>
      </c>
      <c r="I114" t="n">
        <v>0</v>
      </c>
      <c r="J114" t="n">
        <v>4</v>
      </c>
      <c r="K114" t="n">
        <v>0</v>
      </c>
      <c r="L114" t="n">
        <v>0</v>
      </c>
      <c r="M114" t="n">
        <v>0</v>
      </c>
      <c r="N114" t="n">
        <v>0</v>
      </c>
      <c r="O114" t="n">
        <v>4</v>
      </c>
      <c r="P114" t="n">
        <v>0</v>
      </c>
      <c r="Q114" t="n">
        <v>4</v>
      </c>
      <c r="R114" s="2" t="inlineStr">
        <is>
          <t>Blå taggsvamp
Garnlav
Kolflarnlav
Lunglav</t>
        </is>
      </c>
      <c r="S114">
        <f>HYPERLINK("https://klasma.github.io/Logging_2161/artfynd/A 34757-2024 artfynd.xlsx", "A 34757-2024")</f>
        <v/>
      </c>
      <c r="T114">
        <f>HYPERLINK("https://klasma.github.io/Logging_2161/kartor/A 34757-2024 karta.png", "A 34757-2024")</f>
        <v/>
      </c>
      <c r="V114">
        <f>HYPERLINK("https://klasma.github.io/Logging_2161/klagomål/A 34757-2024 FSC-klagomål.docx", "A 34757-2024")</f>
        <v/>
      </c>
      <c r="W114">
        <f>HYPERLINK("https://klasma.github.io/Logging_2161/klagomålsmail/A 34757-2024 FSC-klagomål mail.docx", "A 34757-2024")</f>
        <v/>
      </c>
      <c r="X114">
        <f>HYPERLINK("https://klasma.github.io/Logging_2161/tillsyn/A 34757-2024 tillsynsbegäran.docx", "A 34757-2024")</f>
        <v/>
      </c>
      <c r="Y114">
        <f>HYPERLINK("https://klasma.github.io/Logging_2161/tillsynsmail/A 34757-2024 tillsynsbegäran mail.docx", "A 34757-2024")</f>
        <v/>
      </c>
    </row>
    <row r="115" ht="15" customHeight="1">
      <c r="A115" t="inlineStr">
        <is>
          <t>A 55473-2022</t>
        </is>
      </c>
      <c r="B115" s="1" t="n">
        <v>44887</v>
      </c>
      <c r="C115" s="1" t="n">
        <v>45883</v>
      </c>
      <c r="D115" t="inlineStr">
        <is>
          <t>GÄVLEBORGS LÄN</t>
        </is>
      </c>
      <c r="E115" t="inlineStr">
        <is>
          <t>OVANÅKER</t>
        </is>
      </c>
      <c r="G115" t="n">
        <v>7.9</v>
      </c>
      <c r="H115" t="n">
        <v>0</v>
      </c>
      <c r="I115" t="n">
        <v>1</v>
      </c>
      <c r="J115" t="n">
        <v>3</v>
      </c>
      <c r="K115" t="n">
        <v>0</v>
      </c>
      <c r="L115" t="n">
        <v>0</v>
      </c>
      <c r="M115" t="n">
        <v>0</v>
      </c>
      <c r="N115" t="n">
        <v>0</v>
      </c>
      <c r="O115" t="n">
        <v>3</v>
      </c>
      <c r="P115" t="n">
        <v>0</v>
      </c>
      <c r="Q115" t="n">
        <v>4</v>
      </c>
      <c r="R115" s="2" t="inlineStr">
        <is>
          <t>Dvärgbägarlav
Kolflarnlav
Mörk kolflarnlav
Dropptaggsvamp</t>
        </is>
      </c>
      <c r="S115">
        <f>HYPERLINK("https://klasma.github.io/Logging_2121/artfynd/A 55473-2022 artfynd.xlsx", "A 55473-2022")</f>
        <v/>
      </c>
      <c r="T115">
        <f>HYPERLINK("https://klasma.github.io/Logging_2121/kartor/A 55473-2022 karta.png", "A 55473-2022")</f>
        <v/>
      </c>
      <c r="V115">
        <f>HYPERLINK("https://klasma.github.io/Logging_2121/klagomål/A 55473-2022 FSC-klagomål.docx", "A 55473-2022")</f>
        <v/>
      </c>
      <c r="W115">
        <f>HYPERLINK("https://klasma.github.io/Logging_2121/klagomålsmail/A 55473-2022 FSC-klagomål mail.docx", "A 55473-2022")</f>
        <v/>
      </c>
      <c r="X115">
        <f>HYPERLINK("https://klasma.github.io/Logging_2121/tillsyn/A 55473-2022 tillsynsbegäran.docx", "A 55473-2022")</f>
        <v/>
      </c>
      <c r="Y115">
        <f>HYPERLINK("https://klasma.github.io/Logging_2121/tillsynsmail/A 55473-2022 tillsynsbegäran mail.docx", "A 55473-2022")</f>
        <v/>
      </c>
    </row>
    <row r="116" ht="15" customHeight="1">
      <c r="A116" t="inlineStr">
        <is>
          <t>A 23404-2021</t>
        </is>
      </c>
      <c r="B116" s="1" t="n">
        <v>44333.65168981482</v>
      </c>
      <c r="C116" s="1" t="n">
        <v>45883</v>
      </c>
      <c r="D116" t="inlineStr">
        <is>
          <t>GÄVLEBORGS LÄN</t>
        </is>
      </c>
      <c r="E116" t="inlineStr">
        <is>
          <t>BOLLNÄS</t>
        </is>
      </c>
      <c r="G116" t="n">
        <v>5.9</v>
      </c>
      <c r="H116" t="n">
        <v>1</v>
      </c>
      <c r="I116" t="n">
        <v>3</v>
      </c>
      <c r="J116" t="n">
        <v>0</v>
      </c>
      <c r="K116" t="n">
        <v>1</v>
      </c>
      <c r="L116" t="n">
        <v>0</v>
      </c>
      <c r="M116" t="n">
        <v>0</v>
      </c>
      <c r="N116" t="n">
        <v>0</v>
      </c>
      <c r="O116" t="n">
        <v>1</v>
      </c>
      <c r="P116" t="n">
        <v>1</v>
      </c>
      <c r="Q116" t="n">
        <v>4</v>
      </c>
      <c r="R116" s="2" t="inlineStr">
        <is>
          <t>Knärot
Dropptaggsvamp
Kattfotslav
Skarp dropptaggsvamp</t>
        </is>
      </c>
      <c r="S116">
        <f>HYPERLINK("https://klasma.github.io/Logging_2183/artfynd/A 23404-2021 artfynd.xlsx", "A 23404-2021")</f>
        <v/>
      </c>
      <c r="T116">
        <f>HYPERLINK("https://klasma.github.io/Logging_2183/kartor/A 23404-2021 karta.png", "A 23404-2021")</f>
        <v/>
      </c>
      <c r="U116">
        <f>HYPERLINK("https://klasma.github.io/Logging_2183/knärot/A 23404-2021 karta knärot.png", "A 23404-2021")</f>
        <v/>
      </c>
      <c r="V116">
        <f>HYPERLINK("https://klasma.github.io/Logging_2183/klagomål/A 23404-2021 FSC-klagomål.docx", "A 23404-2021")</f>
        <v/>
      </c>
      <c r="W116">
        <f>HYPERLINK("https://klasma.github.io/Logging_2183/klagomålsmail/A 23404-2021 FSC-klagomål mail.docx", "A 23404-2021")</f>
        <v/>
      </c>
      <c r="X116">
        <f>HYPERLINK("https://klasma.github.io/Logging_2183/tillsyn/A 23404-2021 tillsynsbegäran.docx", "A 23404-2021")</f>
        <v/>
      </c>
      <c r="Y116">
        <f>HYPERLINK("https://klasma.github.io/Logging_2183/tillsynsmail/A 23404-2021 tillsynsbegäran mail.docx", "A 23404-2021")</f>
        <v/>
      </c>
    </row>
    <row r="117" ht="15" customHeight="1">
      <c r="A117" t="inlineStr">
        <is>
          <t>A 14729-2025</t>
        </is>
      </c>
      <c r="B117" s="1" t="n">
        <v>45742.63572916666</v>
      </c>
      <c r="C117" s="1" t="n">
        <v>45883</v>
      </c>
      <c r="D117" t="inlineStr">
        <is>
          <t>GÄVLEBORGS LÄN</t>
        </is>
      </c>
      <c r="E117" t="inlineStr">
        <is>
          <t>NORDANSTIG</t>
        </is>
      </c>
      <c r="F117" t="inlineStr">
        <is>
          <t>Holmen skog AB</t>
        </is>
      </c>
      <c r="G117" t="n">
        <v>18.5</v>
      </c>
      <c r="H117" t="n">
        <v>1</v>
      </c>
      <c r="I117" t="n">
        <v>0</v>
      </c>
      <c r="J117" t="n">
        <v>1</v>
      </c>
      <c r="K117" t="n">
        <v>1</v>
      </c>
      <c r="L117" t="n">
        <v>2</v>
      </c>
      <c r="M117" t="n">
        <v>0</v>
      </c>
      <c r="N117" t="n">
        <v>0</v>
      </c>
      <c r="O117" t="n">
        <v>4</v>
      </c>
      <c r="P117" t="n">
        <v>3</v>
      </c>
      <c r="Q117" t="n">
        <v>4</v>
      </c>
      <c r="R117" s="2" t="inlineStr">
        <is>
          <t>Mikroskapania
Timmerskapania
Liten hornflikmossa
Vedtrappmossa</t>
        </is>
      </c>
      <c r="S117">
        <f>HYPERLINK("https://klasma.github.io/Logging_2132/artfynd/A 14729-2025 artfynd.xlsx", "A 14729-2025")</f>
        <v/>
      </c>
      <c r="T117">
        <f>HYPERLINK("https://klasma.github.io/Logging_2132/kartor/A 14729-2025 karta.png", "A 14729-2025")</f>
        <v/>
      </c>
      <c r="V117">
        <f>HYPERLINK("https://klasma.github.io/Logging_2132/klagomål/A 14729-2025 FSC-klagomål.docx", "A 14729-2025")</f>
        <v/>
      </c>
      <c r="W117">
        <f>HYPERLINK("https://klasma.github.io/Logging_2132/klagomålsmail/A 14729-2025 FSC-klagomål mail.docx", "A 14729-2025")</f>
        <v/>
      </c>
      <c r="X117">
        <f>HYPERLINK("https://klasma.github.io/Logging_2132/tillsyn/A 14729-2025 tillsynsbegäran.docx", "A 14729-2025")</f>
        <v/>
      </c>
      <c r="Y117">
        <f>HYPERLINK("https://klasma.github.io/Logging_2132/tillsynsmail/A 14729-2025 tillsynsbegäran mail.docx", "A 14729-2025")</f>
        <v/>
      </c>
    </row>
    <row r="118" ht="15" customHeight="1">
      <c r="A118" t="inlineStr">
        <is>
          <t>A 34231-2024</t>
        </is>
      </c>
      <c r="B118" s="1" t="n">
        <v>45524.56362268519</v>
      </c>
      <c r="C118" s="1" t="n">
        <v>45883</v>
      </c>
      <c r="D118" t="inlineStr">
        <is>
          <t>GÄVLEBORGS LÄN</t>
        </is>
      </c>
      <c r="E118" t="inlineStr">
        <is>
          <t>LJUSDAL</t>
        </is>
      </c>
      <c r="F118" t="inlineStr">
        <is>
          <t>Sveaskog</t>
        </is>
      </c>
      <c r="G118" t="n">
        <v>11.2</v>
      </c>
      <c r="H118" t="n">
        <v>3</v>
      </c>
      <c r="I118" t="n">
        <v>2</v>
      </c>
      <c r="J118" t="n">
        <v>1</v>
      </c>
      <c r="K118" t="n">
        <v>0</v>
      </c>
      <c r="L118" t="n">
        <v>0</v>
      </c>
      <c r="M118" t="n">
        <v>0</v>
      </c>
      <c r="N118" t="n">
        <v>0</v>
      </c>
      <c r="O118" t="n">
        <v>1</v>
      </c>
      <c r="P118" t="n">
        <v>0</v>
      </c>
      <c r="Q118" t="n">
        <v>4</v>
      </c>
      <c r="R118" s="2" t="inlineStr">
        <is>
          <t>Garnlav
Korallrot
Spindelblomster
Fläcknycklar</t>
        </is>
      </c>
      <c r="S118">
        <f>HYPERLINK("https://klasma.github.io/Logging_2161/artfynd/A 34231-2024 artfynd.xlsx", "A 34231-2024")</f>
        <v/>
      </c>
      <c r="T118">
        <f>HYPERLINK("https://klasma.github.io/Logging_2161/kartor/A 34231-2024 karta.png", "A 34231-2024")</f>
        <v/>
      </c>
      <c r="V118">
        <f>HYPERLINK("https://klasma.github.io/Logging_2161/klagomål/A 34231-2024 FSC-klagomål.docx", "A 34231-2024")</f>
        <v/>
      </c>
      <c r="W118">
        <f>HYPERLINK("https://klasma.github.io/Logging_2161/klagomålsmail/A 34231-2024 FSC-klagomål mail.docx", "A 34231-2024")</f>
        <v/>
      </c>
      <c r="X118">
        <f>HYPERLINK("https://klasma.github.io/Logging_2161/tillsyn/A 34231-2024 tillsynsbegäran.docx", "A 34231-2024")</f>
        <v/>
      </c>
      <c r="Y118">
        <f>HYPERLINK("https://klasma.github.io/Logging_2161/tillsynsmail/A 34231-2024 tillsynsbegäran mail.docx", "A 34231-2024")</f>
        <v/>
      </c>
    </row>
    <row r="119" ht="15" customHeight="1">
      <c r="A119" t="inlineStr">
        <is>
          <t>A 48400-2023</t>
        </is>
      </c>
      <c r="B119" s="1" t="n">
        <v>45205.78405092593</v>
      </c>
      <c r="C119" s="1" t="n">
        <v>45883</v>
      </c>
      <c r="D119" t="inlineStr">
        <is>
          <t>GÄVLEBORGS LÄN</t>
        </is>
      </c>
      <c r="E119" t="inlineStr">
        <is>
          <t>LJUSDAL</t>
        </is>
      </c>
      <c r="F119" t="inlineStr">
        <is>
          <t>Sveaskog</t>
        </is>
      </c>
      <c r="G119" t="n">
        <v>3.8</v>
      </c>
      <c r="H119" t="n">
        <v>3</v>
      </c>
      <c r="I119" t="n">
        <v>2</v>
      </c>
      <c r="J119" t="n">
        <v>1</v>
      </c>
      <c r="K119" t="n">
        <v>0</v>
      </c>
      <c r="L119" t="n">
        <v>0</v>
      </c>
      <c r="M119" t="n">
        <v>0</v>
      </c>
      <c r="N119" t="n">
        <v>0</v>
      </c>
      <c r="O119" t="n">
        <v>1</v>
      </c>
      <c r="P119" t="n">
        <v>0</v>
      </c>
      <c r="Q119" t="n">
        <v>4</v>
      </c>
      <c r="R119" s="2" t="inlineStr">
        <is>
          <t>Garnlav
Korallrot
Spindelblomster
Fläcknycklar</t>
        </is>
      </c>
      <c r="S119">
        <f>HYPERLINK("https://klasma.github.io/Logging_2161/artfynd/A 48400-2023 artfynd.xlsx", "A 48400-2023")</f>
        <v/>
      </c>
      <c r="T119">
        <f>HYPERLINK("https://klasma.github.io/Logging_2161/kartor/A 48400-2023 karta.png", "A 48400-2023")</f>
        <v/>
      </c>
      <c r="V119">
        <f>HYPERLINK("https://klasma.github.io/Logging_2161/klagomål/A 48400-2023 FSC-klagomål.docx", "A 48400-2023")</f>
        <v/>
      </c>
      <c r="W119">
        <f>HYPERLINK("https://klasma.github.io/Logging_2161/klagomålsmail/A 48400-2023 FSC-klagomål mail.docx", "A 48400-2023")</f>
        <v/>
      </c>
      <c r="X119">
        <f>HYPERLINK("https://klasma.github.io/Logging_2161/tillsyn/A 48400-2023 tillsynsbegäran.docx", "A 48400-2023")</f>
        <v/>
      </c>
      <c r="Y119">
        <f>HYPERLINK("https://klasma.github.io/Logging_2161/tillsynsmail/A 48400-2023 tillsynsbegäran mail.docx", "A 48400-2023")</f>
        <v/>
      </c>
    </row>
    <row r="120" ht="15" customHeight="1">
      <c r="A120" t="inlineStr">
        <is>
          <t>A 31615-2024</t>
        </is>
      </c>
      <c r="B120" s="1" t="n">
        <v>45506.45282407408</v>
      </c>
      <c r="C120" s="1" t="n">
        <v>45883</v>
      </c>
      <c r="D120" t="inlineStr">
        <is>
          <t>GÄVLEBORGS LÄN</t>
        </is>
      </c>
      <c r="E120" t="inlineStr">
        <is>
          <t>LJUSDAL</t>
        </is>
      </c>
      <c r="F120" t="inlineStr">
        <is>
          <t>Sveaskog</t>
        </is>
      </c>
      <c r="G120" t="n">
        <v>15.8</v>
      </c>
      <c r="H120" t="n">
        <v>0</v>
      </c>
      <c r="I120" t="n">
        <v>0</v>
      </c>
      <c r="J120" t="n">
        <v>4</v>
      </c>
      <c r="K120" t="n">
        <v>0</v>
      </c>
      <c r="L120" t="n">
        <v>0</v>
      </c>
      <c r="M120" t="n">
        <v>0</v>
      </c>
      <c r="N120" t="n">
        <v>0</v>
      </c>
      <c r="O120" t="n">
        <v>4</v>
      </c>
      <c r="P120" t="n">
        <v>0</v>
      </c>
      <c r="Q120" t="n">
        <v>4</v>
      </c>
      <c r="R120" s="2" t="inlineStr">
        <is>
          <t>Blanksvart spiklav
Kolflarnlav
Lunglav
Mörk kolflarnlav</t>
        </is>
      </c>
      <c r="S120">
        <f>HYPERLINK("https://klasma.github.io/Logging_2161/artfynd/A 31615-2024 artfynd.xlsx", "A 31615-2024")</f>
        <v/>
      </c>
      <c r="T120">
        <f>HYPERLINK("https://klasma.github.io/Logging_2161/kartor/A 31615-2024 karta.png", "A 31615-2024")</f>
        <v/>
      </c>
      <c r="V120">
        <f>HYPERLINK("https://klasma.github.io/Logging_2161/klagomål/A 31615-2024 FSC-klagomål.docx", "A 31615-2024")</f>
        <v/>
      </c>
      <c r="W120">
        <f>HYPERLINK("https://klasma.github.io/Logging_2161/klagomålsmail/A 31615-2024 FSC-klagomål mail.docx", "A 31615-2024")</f>
        <v/>
      </c>
      <c r="X120">
        <f>HYPERLINK("https://klasma.github.io/Logging_2161/tillsyn/A 31615-2024 tillsynsbegäran.docx", "A 31615-2024")</f>
        <v/>
      </c>
      <c r="Y120">
        <f>HYPERLINK("https://klasma.github.io/Logging_2161/tillsynsmail/A 31615-2024 tillsynsbegäran mail.docx", "A 31615-2024")</f>
        <v/>
      </c>
    </row>
    <row r="121" ht="15" customHeight="1">
      <c r="A121" t="inlineStr">
        <is>
          <t>A 45153-2023</t>
        </is>
      </c>
      <c r="B121" s="1" t="n">
        <v>45191</v>
      </c>
      <c r="C121" s="1" t="n">
        <v>45883</v>
      </c>
      <c r="D121" t="inlineStr">
        <is>
          <t>GÄVLEBORGS LÄN</t>
        </is>
      </c>
      <c r="E121" t="inlineStr">
        <is>
          <t>HUDIKSVALL</t>
        </is>
      </c>
      <c r="G121" t="n">
        <v>0.6</v>
      </c>
      <c r="H121" t="n">
        <v>2</v>
      </c>
      <c r="I121" t="n">
        <v>2</v>
      </c>
      <c r="J121" t="n">
        <v>0</v>
      </c>
      <c r="K121" t="n">
        <v>0</v>
      </c>
      <c r="L121" t="n">
        <v>0</v>
      </c>
      <c r="M121" t="n">
        <v>0</v>
      </c>
      <c r="N121" t="n">
        <v>0</v>
      </c>
      <c r="O121" t="n">
        <v>0</v>
      </c>
      <c r="P121" t="n">
        <v>0</v>
      </c>
      <c r="Q121" t="n">
        <v>4</v>
      </c>
      <c r="R121" s="2" t="inlineStr">
        <is>
          <t>Rödgul trumpetsvamp
Tibast
Sparvuggla
Skogsödla</t>
        </is>
      </c>
      <c r="S121">
        <f>HYPERLINK("https://klasma.github.io/Logging_2184/artfynd/A 45153-2023 artfynd.xlsx", "A 45153-2023")</f>
        <v/>
      </c>
      <c r="T121">
        <f>HYPERLINK("https://klasma.github.io/Logging_2184/kartor/A 45153-2023 karta.png", "A 45153-2023")</f>
        <v/>
      </c>
      <c r="V121">
        <f>HYPERLINK("https://klasma.github.io/Logging_2184/klagomål/A 45153-2023 FSC-klagomål.docx", "A 45153-2023")</f>
        <v/>
      </c>
      <c r="W121">
        <f>HYPERLINK("https://klasma.github.io/Logging_2184/klagomålsmail/A 45153-2023 FSC-klagomål mail.docx", "A 45153-2023")</f>
        <v/>
      </c>
      <c r="X121">
        <f>HYPERLINK("https://klasma.github.io/Logging_2184/tillsyn/A 45153-2023 tillsynsbegäran.docx", "A 45153-2023")</f>
        <v/>
      </c>
      <c r="Y121">
        <f>HYPERLINK("https://klasma.github.io/Logging_2184/tillsynsmail/A 45153-2023 tillsynsbegäran mail.docx", "A 45153-2023")</f>
        <v/>
      </c>
      <c r="Z121">
        <f>HYPERLINK("https://klasma.github.io/Logging_2184/fåglar/A 45153-2023 prioriterade fågelarter.docx", "A 45153-2023")</f>
        <v/>
      </c>
    </row>
    <row r="122" ht="15" customHeight="1">
      <c r="A122" t="inlineStr">
        <is>
          <t>A 56787-2023</t>
        </is>
      </c>
      <c r="B122" s="1" t="n">
        <v>45244</v>
      </c>
      <c r="C122" s="1" t="n">
        <v>45883</v>
      </c>
      <c r="D122" t="inlineStr">
        <is>
          <t>GÄVLEBORGS LÄN</t>
        </is>
      </c>
      <c r="E122" t="inlineStr">
        <is>
          <t>LJUSDAL</t>
        </is>
      </c>
      <c r="F122" t="inlineStr">
        <is>
          <t>Sveaskog</t>
        </is>
      </c>
      <c r="G122" t="n">
        <v>2.6</v>
      </c>
      <c r="H122" t="n">
        <v>0</v>
      </c>
      <c r="I122" t="n">
        <v>0</v>
      </c>
      <c r="J122" t="n">
        <v>2</v>
      </c>
      <c r="K122" t="n">
        <v>2</v>
      </c>
      <c r="L122" t="n">
        <v>0</v>
      </c>
      <c r="M122" t="n">
        <v>0</v>
      </c>
      <c r="N122" t="n">
        <v>0</v>
      </c>
      <c r="O122" t="n">
        <v>4</v>
      </c>
      <c r="P122" t="n">
        <v>2</v>
      </c>
      <c r="Q122" t="n">
        <v>4</v>
      </c>
      <c r="R122" s="2" t="inlineStr">
        <is>
          <t>Gräddporing
Turkos blåvinge
Garnlav
Skrovellav</t>
        </is>
      </c>
      <c r="S122">
        <f>HYPERLINK("https://klasma.github.io/Logging_2161/artfynd/A 56787-2023 artfynd.xlsx", "A 56787-2023")</f>
        <v/>
      </c>
      <c r="T122">
        <f>HYPERLINK("https://klasma.github.io/Logging_2161/kartor/A 56787-2023 karta.png", "A 56787-2023")</f>
        <v/>
      </c>
      <c r="V122">
        <f>HYPERLINK("https://klasma.github.io/Logging_2161/klagomål/A 56787-2023 FSC-klagomål.docx", "A 56787-2023")</f>
        <v/>
      </c>
      <c r="W122">
        <f>HYPERLINK("https://klasma.github.io/Logging_2161/klagomålsmail/A 56787-2023 FSC-klagomål mail.docx", "A 56787-2023")</f>
        <v/>
      </c>
      <c r="X122">
        <f>HYPERLINK("https://klasma.github.io/Logging_2161/tillsyn/A 56787-2023 tillsynsbegäran.docx", "A 56787-2023")</f>
        <v/>
      </c>
      <c r="Y122">
        <f>HYPERLINK("https://klasma.github.io/Logging_2161/tillsynsmail/A 56787-2023 tillsynsbegäran mail.docx", "A 56787-2023")</f>
        <v/>
      </c>
    </row>
    <row r="123" ht="15" customHeight="1">
      <c r="A123" t="inlineStr">
        <is>
          <t>A 30608-2023</t>
        </is>
      </c>
      <c r="B123" s="1" t="n">
        <v>45112.39802083333</v>
      </c>
      <c r="C123" s="1" t="n">
        <v>45883</v>
      </c>
      <c r="D123" t="inlineStr">
        <is>
          <t>GÄVLEBORGS LÄN</t>
        </is>
      </c>
      <c r="E123" t="inlineStr">
        <is>
          <t>LJUSDAL</t>
        </is>
      </c>
      <c r="F123" t="inlineStr">
        <is>
          <t>Sveaskog</t>
        </is>
      </c>
      <c r="G123" t="n">
        <v>11.6</v>
      </c>
      <c r="H123" t="n">
        <v>2</v>
      </c>
      <c r="I123" t="n">
        <v>0</v>
      </c>
      <c r="J123" t="n">
        <v>3</v>
      </c>
      <c r="K123" t="n">
        <v>1</v>
      </c>
      <c r="L123" t="n">
        <v>0</v>
      </c>
      <c r="M123" t="n">
        <v>0</v>
      </c>
      <c r="N123" t="n">
        <v>0</v>
      </c>
      <c r="O123" t="n">
        <v>4</v>
      </c>
      <c r="P123" t="n">
        <v>1</v>
      </c>
      <c r="Q123" t="n">
        <v>4</v>
      </c>
      <c r="R123" s="2" t="inlineStr">
        <is>
          <t>Knärot
Kolflarnlav
Skogshare
Tretåig hackspett</t>
        </is>
      </c>
      <c r="S123">
        <f>HYPERLINK("https://klasma.github.io/Logging_2161/artfynd/A 30608-2023 artfynd.xlsx", "A 30608-2023")</f>
        <v/>
      </c>
      <c r="T123">
        <f>HYPERLINK("https://klasma.github.io/Logging_2161/kartor/A 30608-2023 karta.png", "A 30608-2023")</f>
        <v/>
      </c>
      <c r="U123">
        <f>HYPERLINK("https://klasma.github.io/Logging_2161/knärot/A 30608-2023 karta knärot.png", "A 30608-2023")</f>
        <v/>
      </c>
      <c r="V123">
        <f>HYPERLINK("https://klasma.github.io/Logging_2161/klagomål/A 30608-2023 FSC-klagomål.docx", "A 30608-2023")</f>
        <v/>
      </c>
      <c r="W123">
        <f>HYPERLINK("https://klasma.github.io/Logging_2161/klagomålsmail/A 30608-2023 FSC-klagomål mail.docx", "A 30608-2023")</f>
        <v/>
      </c>
      <c r="X123">
        <f>HYPERLINK("https://klasma.github.io/Logging_2161/tillsyn/A 30608-2023 tillsynsbegäran.docx", "A 30608-2023")</f>
        <v/>
      </c>
      <c r="Y123">
        <f>HYPERLINK("https://klasma.github.io/Logging_2161/tillsynsmail/A 30608-2023 tillsynsbegäran mail.docx", "A 30608-2023")</f>
        <v/>
      </c>
      <c r="Z123">
        <f>HYPERLINK("https://klasma.github.io/Logging_2161/fåglar/A 30608-2023 prioriterade fågelarter.docx", "A 30608-2023")</f>
        <v/>
      </c>
    </row>
    <row r="124" ht="15" customHeight="1">
      <c r="A124" t="inlineStr">
        <is>
          <t>A 33684-2024</t>
        </is>
      </c>
      <c r="B124" s="1" t="n">
        <v>45520.50998842593</v>
      </c>
      <c r="C124" s="1" t="n">
        <v>45883</v>
      </c>
      <c r="D124" t="inlineStr">
        <is>
          <t>GÄVLEBORGS LÄN</t>
        </is>
      </c>
      <c r="E124" t="inlineStr">
        <is>
          <t>LJUSDAL</t>
        </is>
      </c>
      <c r="F124" t="inlineStr">
        <is>
          <t>Bergvik skog väst AB</t>
        </is>
      </c>
      <c r="G124" t="n">
        <v>2.6</v>
      </c>
      <c r="H124" t="n">
        <v>0</v>
      </c>
      <c r="I124" t="n">
        <v>0</v>
      </c>
      <c r="J124" t="n">
        <v>4</v>
      </c>
      <c r="K124" t="n">
        <v>0</v>
      </c>
      <c r="L124" t="n">
        <v>0</v>
      </c>
      <c r="M124" t="n">
        <v>0</v>
      </c>
      <c r="N124" t="n">
        <v>0</v>
      </c>
      <c r="O124" t="n">
        <v>4</v>
      </c>
      <c r="P124" t="n">
        <v>0</v>
      </c>
      <c r="Q124" t="n">
        <v>4</v>
      </c>
      <c r="R124" s="2" t="inlineStr">
        <is>
          <t>Dvärgbägarlav
Garnlav
Kolflarnlav
Vedskivlav</t>
        </is>
      </c>
      <c r="S124">
        <f>HYPERLINK("https://klasma.github.io/Logging_2161/artfynd/A 33684-2024 artfynd.xlsx", "A 33684-2024")</f>
        <v/>
      </c>
      <c r="T124">
        <f>HYPERLINK("https://klasma.github.io/Logging_2161/kartor/A 33684-2024 karta.png", "A 33684-2024")</f>
        <v/>
      </c>
      <c r="V124">
        <f>HYPERLINK("https://klasma.github.io/Logging_2161/klagomål/A 33684-2024 FSC-klagomål.docx", "A 33684-2024")</f>
        <v/>
      </c>
      <c r="W124">
        <f>HYPERLINK("https://klasma.github.io/Logging_2161/klagomålsmail/A 33684-2024 FSC-klagomål mail.docx", "A 33684-2024")</f>
        <v/>
      </c>
      <c r="X124">
        <f>HYPERLINK("https://klasma.github.io/Logging_2161/tillsyn/A 33684-2024 tillsynsbegäran.docx", "A 33684-2024")</f>
        <v/>
      </c>
      <c r="Y124">
        <f>HYPERLINK("https://klasma.github.io/Logging_2161/tillsynsmail/A 33684-2024 tillsynsbegäran mail.docx", "A 33684-2024")</f>
        <v/>
      </c>
    </row>
    <row r="125" ht="15" customHeight="1">
      <c r="A125" t="inlineStr">
        <is>
          <t>A 49419-2024</t>
        </is>
      </c>
      <c r="B125" s="1" t="n">
        <v>45595.74886574074</v>
      </c>
      <c r="C125" s="1" t="n">
        <v>45883</v>
      </c>
      <c r="D125" t="inlineStr">
        <is>
          <t>GÄVLEBORGS LÄN</t>
        </is>
      </c>
      <c r="E125" t="inlineStr">
        <is>
          <t>NORDANSTIG</t>
        </is>
      </c>
      <c r="G125" t="n">
        <v>1.3</v>
      </c>
      <c r="H125" t="n">
        <v>0</v>
      </c>
      <c r="I125" t="n">
        <v>2</v>
      </c>
      <c r="J125" t="n">
        <v>1</v>
      </c>
      <c r="K125" t="n">
        <v>1</v>
      </c>
      <c r="L125" t="n">
        <v>0</v>
      </c>
      <c r="M125" t="n">
        <v>0</v>
      </c>
      <c r="N125" t="n">
        <v>0</v>
      </c>
      <c r="O125" t="n">
        <v>2</v>
      </c>
      <c r="P125" t="n">
        <v>1</v>
      </c>
      <c r="Q125" t="n">
        <v>4</v>
      </c>
      <c r="R125" s="2" t="inlineStr">
        <is>
          <t>Goliatmusseron
Skrovlig taggsvamp
Dropptaggsvamp
Skarp dropptaggsvamp</t>
        </is>
      </c>
      <c r="S125">
        <f>HYPERLINK("https://klasma.github.io/Logging_2132/artfynd/A 49419-2024 artfynd.xlsx", "A 49419-2024")</f>
        <v/>
      </c>
      <c r="T125">
        <f>HYPERLINK("https://klasma.github.io/Logging_2132/kartor/A 49419-2024 karta.png", "A 49419-2024")</f>
        <v/>
      </c>
      <c r="V125">
        <f>HYPERLINK("https://klasma.github.io/Logging_2132/klagomål/A 49419-2024 FSC-klagomål.docx", "A 49419-2024")</f>
        <v/>
      </c>
      <c r="W125">
        <f>HYPERLINK("https://klasma.github.io/Logging_2132/klagomålsmail/A 49419-2024 FSC-klagomål mail.docx", "A 49419-2024")</f>
        <v/>
      </c>
      <c r="X125">
        <f>HYPERLINK("https://klasma.github.io/Logging_2132/tillsyn/A 49419-2024 tillsynsbegäran.docx", "A 49419-2024")</f>
        <v/>
      </c>
      <c r="Y125">
        <f>HYPERLINK("https://klasma.github.io/Logging_2132/tillsynsmail/A 49419-2024 tillsynsbegäran mail.docx", "A 49419-2024")</f>
        <v/>
      </c>
    </row>
    <row r="126" ht="15" customHeight="1">
      <c r="A126" t="inlineStr">
        <is>
          <t>A 15650-2024</t>
        </is>
      </c>
      <c r="B126" s="1" t="n">
        <v>45404</v>
      </c>
      <c r="C126" s="1" t="n">
        <v>45883</v>
      </c>
      <c r="D126" t="inlineStr">
        <is>
          <t>GÄVLEBORGS LÄN</t>
        </is>
      </c>
      <c r="E126" t="inlineStr">
        <is>
          <t>SANDVIKEN</t>
        </is>
      </c>
      <c r="F126" t="inlineStr">
        <is>
          <t>Bergvik skog öst AB</t>
        </is>
      </c>
      <c r="G126" t="n">
        <v>9.300000000000001</v>
      </c>
      <c r="H126" t="n">
        <v>1</v>
      </c>
      <c r="I126" t="n">
        <v>3</v>
      </c>
      <c r="J126" t="n">
        <v>0</v>
      </c>
      <c r="K126" t="n">
        <v>1</v>
      </c>
      <c r="L126" t="n">
        <v>0</v>
      </c>
      <c r="M126" t="n">
        <v>0</v>
      </c>
      <c r="N126" t="n">
        <v>0</v>
      </c>
      <c r="O126" t="n">
        <v>1</v>
      </c>
      <c r="P126" t="n">
        <v>1</v>
      </c>
      <c r="Q126" t="n">
        <v>4</v>
      </c>
      <c r="R126" s="2" t="inlineStr">
        <is>
          <t>Knärot
Dropptaggsvamp
Fjällig taggsvamp s.str.
Grönpyrola</t>
        </is>
      </c>
      <c r="S126">
        <f>HYPERLINK("https://klasma.github.io/Logging_2181/artfynd/A 15650-2024 artfynd.xlsx", "A 15650-2024")</f>
        <v/>
      </c>
      <c r="T126">
        <f>HYPERLINK("https://klasma.github.io/Logging_2181/kartor/A 15650-2024 karta.png", "A 15650-2024")</f>
        <v/>
      </c>
      <c r="U126">
        <f>HYPERLINK("https://klasma.github.io/Logging_2181/knärot/A 15650-2024 karta knärot.png", "A 15650-2024")</f>
        <v/>
      </c>
      <c r="V126">
        <f>HYPERLINK("https://klasma.github.io/Logging_2181/klagomål/A 15650-2024 FSC-klagomål.docx", "A 15650-2024")</f>
        <v/>
      </c>
      <c r="W126">
        <f>HYPERLINK("https://klasma.github.io/Logging_2181/klagomålsmail/A 15650-2024 FSC-klagomål mail.docx", "A 15650-2024")</f>
        <v/>
      </c>
      <c r="X126">
        <f>HYPERLINK("https://klasma.github.io/Logging_2181/tillsyn/A 15650-2024 tillsynsbegäran.docx", "A 15650-2024")</f>
        <v/>
      </c>
      <c r="Y126">
        <f>HYPERLINK("https://klasma.github.io/Logging_2181/tillsynsmail/A 15650-2024 tillsynsbegäran mail.docx", "A 15650-2024")</f>
        <v/>
      </c>
    </row>
    <row r="127" ht="15" customHeight="1">
      <c r="A127" t="inlineStr">
        <is>
          <t>A 29544-2023</t>
        </is>
      </c>
      <c r="B127" s="1" t="n">
        <v>45106.64317129629</v>
      </c>
      <c r="C127" s="1" t="n">
        <v>45883</v>
      </c>
      <c r="D127" t="inlineStr">
        <is>
          <t>GÄVLEBORGS LÄN</t>
        </is>
      </c>
      <c r="E127" t="inlineStr">
        <is>
          <t>OCKELBO</t>
        </is>
      </c>
      <c r="F127" t="inlineStr">
        <is>
          <t>Bergvik skog väst AB</t>
        </is>
      </c>
      <c r="G127" t="n">
        <v>6.5</v>
      </c>
      <c r="H127" t="n">
        <v>3</v>
      </c>
      <c r="I127" t="n">
        <v>2</v>
      </c>
      <c r="J127" t="n">
        <v>0</v>
      </c>
      <c r="K127" t="n">
        <v>0</v>
      </c>
      <c r="L127" t="n">
        <v>0</v>
      </c>
      <c r="M127" t="n">
        <v>0</v>
      </c>
      <c r="N127" t="n">
        <v>0</v>
      </c>
      <c r="O127" t="n">
        <v>0</v>
      </c>
      <c r="P127" t="n">
        <v>0</v>
      </c>
      <c r="Q127" t="n">
        <v>4</v>
      </c>
      <c r="R127" s="2" t="inlineStr">
        <is>
          <t>Skogsknipprot
Vårärt
Blåsippa
Revlummer</t>
        </is>
      </c>
      <c r="S127">
        <f>HYPERLINK("https://klasma.github.io/Logging_2101/artfynd/A 29544-2023 artfynd.xlsx", "A 29544-2023")</f>
        <v/>
      </c>
      <c r="T127">
        <f>HYPERLINK("https://klasma.github.io/Logging_2101/kartor/A 29544-2023 karta.png", "A 29544-2023")</f>
        <v/>
      </c>
      <c r="V127">
        <f>HYPERLINK("https://klasma.github.io/Logging_2101/klagomål/A 29544-2023 FSC-klagomål.docx", "A 29544-2023")</f>
        <v/>
      </c>
      <c r="W127">
        <f>HYPERLINK("https://klasma.github.io/Logging_2101/klagomålsmail/A 29544-2023 FSC-klagomål mail.docx", "A 29544-2023")</f>
        <v/>
      </c>
      <c r="X127">
        <f>HYPERLINK("https://klasma.github.io/Logging_2101/tillsyn/A 29544-2023 tillsynsbegäran.docx", "A 29544-2023")</f>
        <v/>
      </c>
      <c r="Y127">
        <f>HYPERLINK("https://klasma.github.io/Logging_2101/tillsynsmail/A 29544-2023 tillsynsbegäran mail.docx", "A 29544-2023")</f>
        <v/>
      </c>
    </row>
    <row r="128" ht="15" customHeight="1">
      <c r="A128" t="inlineStr">
        <is>
          <t>A 18115-2024</t>
        </is>
      </c>
      <c r="B128" s="1" t="n">
        <v>45420.50950231482</v>
      </c>
      <c r="C128" s="1" t="n">
        <v>45883</v>
      </c>
      <c r="D128" t="inlineStr">
        <is>
          <t>GÄVLEBORGS LÄN</t>
        </is>
      </c>
      <c r="E128" t="inlineStr">
        <is>
          <t>LJUSDAL</t>
        </is>
      </c>
      <c r="F128" t="inlineStr">
        <is>
          <t>Sveaskog</t>
        </is>
      </c>
      <c r="G128" t="n">
        <v>20.3</v>
      </c>
      <c r="H128" t="n">
        <v>1</v>
      </c>
      <c r="I128" t="n">
        <v>1</v>
      </c>
      <c r="J128" t="n">
        <v>3</v>
      </c>
      <c r="K128" t="n">
        <v>0</v>
      </c>
      <c r="L128" t="n">
        <v>0</v>
      </c>
      <c r="M128" t="n">
        <v>0</v>
      </c>
      <c r="N128" t="n">
        <v>0</v>
      </c>
      <c r="O128" t="n">
        <v>3</v>
      </c>
      <c r="P128" t="n">
        <v>0</v>
      </c>
      <c r="Q128" t="n">
        <v>4</v>
      </c>
      <c r="R128" s="2" t="inlineStr">
        <is>
          <t>Kolflarnlav
Lunglav
Orange taggsvamp
Plattlummer</t>
        </is>
      </c>
      <c r="S128">
        <f>HYPERLINK("https://klasma.github.io/Logging_2161/artfynd/A 18115-2024 artfynd.xlsx", "A 18115-2024")</f>
        <v/>
      </c>
      <c r="T128">
        <f>HYPERLINK("https://klasma.github.io/Logging_2161/kartor/A 18115-2024 karta.png", "A 18115-2024")</f>
        <v/>
      </c>
      <c r="V128">
        <f>HYPERLINK("https://klasma.github.io/Logging_2161/klagomål/A 18115-2024 FSC-klagomål.docx", "A 18115-2024")</f>
        <v/>
      </c>
      <c r="W128">
        <f>HYPERLINK("https://klasma.github.io/Logging_2161/klagomålsmail/A 18115-2024 FSC-klagomål mail.docx", "A 18115-2024")</f>
        <v/>
      </c>
      <c r="X128">
        <f>HYPERLINK("https://klasma.github.io/Logging_2161/tillsyn/A 18115-2024 tillsynsbegäran.docx", "A 18115-2024")</f>
        <v/>
      </c>
      <c r="Y128">
        <f>HYPERLINK("https://klasma.github.io/Logging_2161/tillsynsmail/A 18115-2024 tillsynsbegäran mail.docx", "A 18115-2024")</f>
        <v/>
      </c>
    </row>
    <row r="129" ht="15" customHeight="1">
      <c r="A129" t="inlineStr">
        <is>
          <t>A 56774-2023</t>
        </is>
      </c>
      <c r="B129" s="1" t="n">
        <v>45244</v>
      </c>
      <c r="C129" s="1" t="n">
        <v>45883</v>
      </c>
      <c r="D129" t="inlineStr">
        <is>
          <t>GÄVLEBORGS LÄN</t>
        </is>
      </c>
      <c r="E129" t="inlineStr">
        <is>
          <t>LJUSDAL</t>
        </is>
      </c>
      <c r="F129" t="inlineStr">
        <is>
          <t>Sveaskog</t>
        </is>
      </c>
      <c r="G129" t="n">
        <v>2.6</v>
      </c>
      <c r="H129" t="n">
        <v>0</v>
      </c>
      <c r="I129" t="n">
        <v>0</v>
      </c>
      <c r="J129" t="n">
        <v>2</v>
      </c>
      <c r="K129" t="n">
        <v>2</v>
      </c>
      <c r="L129" t="n">
        <v>0</v>
      </c>
      <c r="M129" t="n">
        <v>0</v>
      </c>
      <c r="N129" t="n">
        <v>0</v>
      </c>
      <c r="O129" t="n">
        <v>4</v>
      </c>
      <c r="P129" t="n">
        <v>2</v>
      </c>
      <c r="Q129" t="n">
        <v>4</v>
      </c>
      <c r="R129" s="2" t="inlineStr">
        <is>
          <t>Gräddporing
Turkos blåvinge
Garnlav
Skrovellav</t>
        </is>
      </c>
      <c r="S129">
        <f>HYPERLINK("https://klasma.github.io/Logging_2161/artfynd/A 56774-2023 artfynd.xlsx", "A 56774-2023")</f>
        <v/>
      </c>
      <c r="T129">
        <f>HYPERLINK("https://klasma.github.io/Logging_2161/kartor/A 56774-2023 karta.png", "A 56774-2023")</f>
        <v/>
      </c>
      <c r="V129">
        <f>HYPERLINK("https://klasma.github.io/Logging_2161/klagomål/A 56774-2023 FSC-klagomål.docx", "A 56774-2023")</f>
        <v/>
      </c>
      <c r="W129">
        <f>HYPERLINK("https://klasma.github.io/Logging_2161/klagomålsmail/A 56774-2023 FSC-klagomål mail.docx", "A 56774-2023")</f>
        <v/>
      </c>
      <c r="X129">
        <f>HYPERLINK("https://klasma.github.io/Logging_2161/tillsyn/A 56774-2023 tillsynsbegäran.docx", "A 56774-2023")</f>
        <v/>
      </c>
      <c r="Y129">
        <f>HYPERLINK("https://klasma.github.io/Logging_2161/tillsynsmail/A 56774-2023 tillsynsbegäran mail.docx", "A 56774-2023")</f>
        <v/>
      </c>
    </row>
    <row r="130" ht="15" customHeight="1">
      <c r="A130" t="inlineStr">
        <is>
          <t>A 48689-2024</t>
        </is>
      </c>
      <c r="B130" s="1" t="n">
        <v>45593.50650462963</v>
      </c>
      <c r="C130" s="1" t="n">
        <v>45883</v>
      </c>
      <c r="D130" t="inlineStr">
        <is>
          <t>GÄVLEBORGS LÄN</t>
        </is>
      </c>
      <c r="E130" t="inlineStr">
        <is>
          <t>LJUSDAL</t>
        </is>
      </c>
      <c r="F130" t="inlineStr">
        <is>
          <t>Sveaskog</t>
        </is>
      </c>
      <c r="G130" t="n">
        <v>32.6</v>
      </c>
      <c r="H130" t="n">
        <v>0</v>
      </c>
      <c r="I130" t="n">
        <v>0</v>
      </c>
      <c r="J130" t="n">
        <v>4</v>
      </c>
      <c r="K130" t="n">
        <v>0</v>
      </c>
      <c r="L130" t="n">
        <v>0</v>
      </c>
      <c r="M130" t="n">
        <v>0</v>
      </c>
      <c r="N130" t="n">
        <v>0</v>
      </c>
      <c r="O130" t="n">
        <v>4</v>
      </c>
      <c r="P130" t="n">
        <v>0</v>
      </c>
      <c r="Q130" t="n">
        <v>4</v>
      </c>
      <c r="R130" s="2" t="inlineStr">
        <is>
          <t>Kolflarnlav
Lunglav
Motaggsvamp
Skrovellav</t>
        </is>
      </c>
      <c r="S130">
        <f>HYPERLINK("https://klasma.github.io/Logging_2161/artfynd/A 48689-2024 artfynd.xlsx", "A 48689-2024")</f>
        <v/>
      </c>
      <c r="T130">
        <f>HYPERLINK("https://klasma.github.io/Logging_2161/kartor/A 48689-2024 karta.png", "A 48689-2024")</f>
        <v/>
      </c>
      <c r="V130">
        <f>HYPERLINK("https://klasma.github.io/Logging_2161/klagomål/A 48689-2024 FSC-klagomål.docx", "A 48689-2024")</f>
        <v/>
      </c>
      <c r="W130">
        <f>HYPERLINK("https://klasma.github.io/Logging_2161/klagomålsmail/A 48689-2024 FSC-klagomål mail.docx", "A 48689-2024")</f>
        <v/>
      </c>
      <c r="X130">
        <f>HYPERLINK("https://klasma.github.io/Logging_2161/tillsyn/A 48689-2024 tillsynsbegäran.docx", "A 48689-2024")</f>
        <v/>
      </c>
      <c r="Y130">
        <f>HYPERLINK("https://klasma.github.io/Logging_2161/tillsynsmail/A 48689-2024 tillsynsbegäran mail.docx", "A 48689-2024")</f>
        <v/>
      </c>
    </row>
    <row r="131" ht="15" customHeight="1">
      <c r="A131" t="inlineStr">
        <is>
          <t>A 45074-2020</t>
        </is>
      </c>
      <c r="B131" s="1" t="n">
        <v>44088</v>
      </c>
      <c r="C131" s="1" t="n">
        <v>45883</v>
      </c>
      <c r="D131" t="inlineStr">
        <is>
          <t>GÄVLEBORGS LÄN</t>
        </is>
      </c>
      <c r="E131" t="inlineStr">
        <is>
          <t>OCKELBO</t>
        </is>
      </c>
      <c r="G131" t="n">
        <v>3.8</v>
      </c>
      <c r="H131" t="n">
        <v>0</v>
      </c>
      <c r="I131" t="n">
        <v>0</v>
      </c>
      <c r="J131" t="n">
        <v>3</v>
      </c>
      <c r="K131" t="n">
        <v>1</v>
      </c>
      <c r="L131" t="n">
        <v>0</v>
      </c>
      <c r="M131" t="n">
        <v>0</v>
      </c>
      <c r="N131" t="n">
        <v>0</v>
      </c>
      <c r="O131" t="n">
        <v>4</v>
      </c>
      <c r="P131" t="n">
        <v>1</v>
      </c>
      <c r="Q131" t="n">
        <v>4</v>
      </c>
      <c r="R131" s="2" t="inlineStr">
        <is>
          <t>Ostticka
Tallticka
Ullticka
Vedskivlav</t>
        </is>
      </c>
      <c r="S131">
        <f>HYPERLINK("https://klasma.github.io/Logging_2101/artfynd/A 45074-2020 artfynd.xlsx", "A 45074-2020")</f>
        <v/>
      </c>
      <c r="T131">
        <f>HYPERLINK("https://klasma.github.io/Logging_2101/kartor/A 45074-2020 karta.png", "A 45074-2020")</f>
        <v/>
      </c>
      <c r="V131">
        <f>HYPERLINK("https://klasma.github.io/Logging_2101/klagomål/A 45074-2020 FSC-klagomål.docx", "A 45074-2020")</f>
        <v/>
      </c>
      <c r="W131">
        <f>HYPERLINK("https://klasma.github.io/Logging_2101/klagomålsmail/A 45074-2020 FSC-klagomål mail.docx", "A 45074-2020")</f>
        <v/>
      </c>
      <c r="X131">
        <f>HYPERLINK("https://klasma.github.io/Logging_2101/tillsyn/A 45074-2020 tillsynsbegäran.docx", "A 45074-2020")</f>
        <v/>
      </c>
      <c r="Y131">
        <f>HYPERLINK("https://klasma.github.io/Logging_2101/tillsynsmail/A 45074-2020 tillsynsbegäran mail.docx", "A 45074-2020")</f>
        <v/>
      </c>
    </row>
    <row r="132" ht="15" customHeight="1">
      <c r="A132" t="inlineStr">
        <is>
          <t>A 50308-2024</t>
        </is>
      </c>
      <c r="B132" s="1" t="n">
        <v>45600</v>
      </c>
      <c r="C132" s="1" t="n">
        <v>45883</v>
      </c>
      <c r="D132" t="inlineStr">
        <is>
          <t>GÄVLEBORGS LÄN</t>
        </is>
      </c>
      <c r="E132" t="inlineStr">
        <is>
          <t>LJUSDAL</t>
        </is>
      </c>
      <c r="F132" t="inlineStr">
        <is>
          <t>Sveaskog</t>
        </is>
      </c>
      <c r="G132" t="n">
        <v>22.3</v>
      </c>
      <c r="H132" t="n">
        <v>2</v>
      </c>
      <c r="I132" t="n">
        <v>1</v>
      </c>
      <c r="J132" t="n">
        <v>2</v>
      </c>
      <c r="K132" t="n">
        <v>0</v>
      </c>
      <c r="L132" t="n">
        <v>0</v>
      </c>
      <c r="M132" t="n">
        <v>0</v>
      </c>
      <c r="N132" t="n">
        <v>0</v>
      </c>
      <c r="O132" t="n">
        <v>2</v>
      </c>
      <c r="P132" t="n">
        <v>0</v>
      </c>
      <c r="Q132" t="n">
        <v>4</v>
      </c>
      <c r="R132" s="2" t="inlineStr">
        <is>
          <t>Lunglav
Motaggsvamp
Plattlummer
Fläcknycklar</t>
        </is>
      </c>
      <c r="S132">
        <f>HYPERLINK("https://klasma.github.io/Logging_2161/artfynd/A 50308-2024 artfynd.xlsx", "A 50308-2024")</f>
        <v/>
      </c>
      <c r="T132">
        <f>HYPERLINK("https://klasma.github.io/Logging_2161/kartor/A 50308-2024 karta.png", "A 50308-2024")</f>
        <v/>
      </c>
      <c r="V132">
        <f>HYPERLINK("https://klasma.github.io/Logging_2161/klagomål/A 50308-2024 FSC-klagomål.docx", "A 50308-2024")</f>
        <v/>
      </c>
      <c r="W132">
        <f>HYPERLINK("https://klasma.github.io/Logging_2161/klagomålsmail/A 50308-2024 FSC-klagomål mail.docx", "A 50308-2024")</f>
        <v/>
      </c>
      <c r="X132">
        <f>HYPERLINK("https://klasma.github.io/Logging_2161/tillsyn/A 50308-2024 tillsynsbegäran.docx", "A 50308-2024")</f>
        <v/>
      </c>
      <c r="Y132">
        <f>HYPERLINK("https://klasma.github.io/Logging_2161/tillsynsmail/A 50308-2024 tillsynsbegäran mail.docx", "A 50308-2024")</f>
        <v/>
      </c>
    </row>
    <row r="133" ht="15" customHeight="1">
      <c r="A133" t="inlineStr">
        <is>
          <t>A 48800-2024</t>
        </is>
      </c>
      <c r="B133" s="1" t="n">
        <v>45593.66131944444</v>
      </c>
      <c r="C133" s="1" t="n">
        <v>45883</v>
      </c>
      <c r="D133" t="inlineStr">
        <is>
          <t>GÄVLEBORGS LÄN</t>
        </is>
      </c>
      <c r="E133" t="inlineStr">
        <is>
          <t>GÄVLE</t>
        </is>
      </c>
      <c r="G133" t="n">
        <v>15.3</v>
      </c>
      <c r="H133" t="n">
        <v>2</v>
      </c>
      <c r="I133" t="n">
        <v>0</v>
      </c>
      <c r="J133" t="n">
        <v>2</v>
      </c>
      <c r="K133" t="n">
        <v>1</v>
      </c>
      <c r="L133" t="n">
        <v>0</v>
      </c>
      <c r="M133" t="n">
        <v>0</v>
      </c>
      <c r="N133" t="n">
        <v>0</v>
      </c>
      <c r="O133" t="n">
        <v>3</v>
      </c>
      <c r="P133" t="n">
        <v>1</v>
      </c>
      <c r="Q133" t="n">
        <v>4</v>
      </c>
      <c r="R133" s="2" t="inlineStr">
        <is>
          <t>Rynkskinn
Järpe
Rosenticka
Fläcknycklar</t>
        </is>
      </c>
      <c r="S133">
        <f>HYPERLINK("https://klasma.github.io/Logging_2180/artfynd/A 48800-2024 artfynd.xlsx", "A 48800-2024")</f>
        <v/>
      </c>
      <c r="T133">
        <f>HYPERLINK("https://klasma.github.io/Logging_2180/kartor/A 48800-2024 karta.png", "A 48800-2024")</f>
        <v/>
      </c>
      <c r="V133">
        <f>HYPERLINK("https://klasma.github.io/Logging_2180/klagomål/A 48800-2024 FSC-klagomål.docx", "A 48800-2024")</f>
        <v/>
      </c>
      <c r="W133">
        <f>HYPERLINK("https://klasma.github.io/Logging_2180/klagomålsmail/A 48800-2024 FSC-klagomål mail.docx", "A 48800-2024")</f>
        <v/>
      </c>
      <c r="X133">
        <f>HYPERLINK("https://klasma.github.io/Logging_2180/tillsyn/A 48800-2024 tillsynsbegäran.docx", "A 48800-2024")</f>
        <v/>
      </c>
      <c r="Y133">
        <f>HYPERLINK("https://klasma.github.io/Logging_2180/tillsynsmail/A 48800-2024 tillsynsbegäran mail.docx", "A 48800-2024")</f>
        <v/>
      </c>
      <c r="Z133">
        <f>HYPERLINK("https://klasma.github.io/Logging_2180/fåglar/A 48800-2024 prioriterade fågelarter.docx", "A 48800-2024")</f>
        <v/>
      </c>
    </row>
    <row r="134" ht="15" customHeight="1">
      <c r="A134" t="inlineStr">
        <is>
          <t>A 22412-2025</t>
        </is>
      </c>
      <c r="B134" s="1" t="n">
        <v>45786.55320601852</v>
      </c>
      <c r="C134" s="1" t="n">
        <v>45883</v>
      </c>
      <c r="D134" t="inlineStr">
        <is>
          <t>GÄVLEBORGS LÄN</t>
        </is>
      </c>
      <c r="E134" t="inlineStr">
        <is>
          <t>LJUSDAL</t>
        </is>
      </c>
      <c r="F134" t="inlineStr">
        <is>
          <t>Allmännings- och besparingsskogar</t>
        </is>
      </c>
      <c r="G134" t="n">
        <v>23.5</v>
      </c>
      <c r="H134" t="n">
        <v>2</v>
      </c>
      <c r="I134" t="n">
        <v>0</v>
      </c>
      <c r="J134" t="n">
        <v>3</v>
      </c>
      <c r="K134" t="n">
        <v>0</v>
      </c>
      <c r="L134" t="n">
        <v>0</v>
      </c>
      <c r="M134" t="n">
        <v>0</v>
      </c>
      <c r="N134" t="n">
        <v>0</v>
      </c>
      <c r="O134" t="n">
        <v>3</v>
      </c>
      <c r="P134" t="n">
        <v>0</v>
      </c>
      <c r="Q134" t="n">
        <v>4</v>
      </c>
      <c r="R134" s="2" t="inlineStr">
        <is>
          <t>Garnlav
Mörk kolflarnlav
Talltita
Tjäder</t>
        </is>
      </c>
      <c r="S134">
        <f>HYPERLINK("https://klasma.github.io/Logging_2161/artfynd/A 22412-2025 artfynd.xlsx", "A 22412-2025")</f>
        <v/>
      </c>
      <c r="T134">
        <f>HYPERLINK("https://klasma.github.io/Logging_2161/kartor/A 22412-2025 karta.png", "A 22412-2025")</f>
        <v/>
      </c>
      <c r="U134">
        <f>HYPERLINK("https://klasma.github.io/Logging_2161/knärot/A 22412-2025 karta knärot.png", "A 22412-2025")</f>
        <v/>
      </c>
      <c r="V134">
        <f>HYPERLINK("https://klasma.github.io/Logging_2161/klagomål/A 22412-2025 FSC-klagomål.docx", "A 22412-2025")</f>
        <v/>
      </c>
      <c r="W134">
        <f>HYPERLINK("https://klasma.github.io/Logging_2161/klagomålsmail/A 22412-2025 FSC-klagomål mail.docx", "A 22412-2025")</f>
        <v/>
      </c>
      <c r="X134">
        <f>HYPERLINK("https://klasma.github.io/Logging_2161/tillsyn/A 22412-2025 tillsynsbegäran.docx", "A 22412-2025")</f>
        <v/>
      </c>
      <c r="Y134">
        <f>HYPERLINK("https://klasma.github.io/Logging_2161/tillsynsmail/A 22412-2025 tillsynsbegäran mail.docx", "A 22412-2025")</f>
        <v/>
      </c>
      <c r="Z134">
        <f>HYPERLINK("https://klasma.github.io/Logging_2161/fåglar/A 22412-2025 prioriterade fågelarter.docx", "A 22412-2025")</f>
        <v/>
      </c>
    </row>
    <row r="135" ht="15" customHeight="1">
      <c r="A135" t="inlineStr">
        <is>
          <t>A 55773-2024</t>
        </is>
      </c>
      <c r="B135" s="1" t="n">
        <v>45623.39265046296</v>
      </c>
      <c r="C135" s="1" t="n">
        <v>45883</v>
      </c>
      <c r="D135" t="inlineStr">
        <is>
          <t>GÄVLEBORGS LÄN</t>
        </is>
      </c>
      <c r="E135" t="inlineStr">
        <is>
          <t>GÄVLE</t>
        </is>
      </c>
      <c r="F135" t="inlineStr">
        <is>
          <t>Bergvik skog öst AB</t>
        </is>
      </c>
      <c r="G135" t="n">
        <v>19.2</v>
      </c>
      <c r="H135" t="n">
        <v>0</v>
      </c>
      <c r="I135" t="n">
        <v>3</v>
      </c>
      <c r="J135" t="n">
        <v>1</v>
      </c>
      <c r="K135" t="n">
        <v>0</v>
      </c>
      <c r="L135" t="n">
        <v>0</v>
      </c>
      <c r="M135" t="n">
        <v>0</v>
      </c>
      <c r="N135" t="n">
        <v>0</v>
      </c>
      <c r="O135" t="n">
        <v>1</v>
      </c>
      <c r="P135" t="n">
        <v>0</v>
      </c>
      <c r="Q135" t="n">
        <v>4</v>
      </c>
      <c r="R135" s="2" t="inlineStr">
        <is>
          <t>Rutskinn
Sårläka
Underviol
Vårärt</t>
        </is>
      </c>
      <c r="S135">
        <f>HYPERLINK("https://klasma.github.io/Logging_2180/artfynd/A 55773-2024 artfynd.xlsx", "A 55773-2024")</f>
        <v/>
      </c>
      <c r="T135">
        <f>HYPERLINK("https://klasma.github.io/Logging_2180/kartor/A 55773-2024 karta.png", "A 55773-2024")</f>
        <v/>
      </c>
      <c r="V135">
        <f>HYPERLINK("https://klasma.github.io/Logging_2180/klagomål/A 55773-2024 FSC-klagomål.docx", "A 55773-2024")</f>
        <v/>
      </c>
      <c r="W135">
        <f>HYPERLINK("https://klasma.github.io/Logging_2180/klagomålsmail/A 55773-2024 FSC-klagomål mail.docx", "A 55773-2024")</f>
        <v/>
      </c>
      <c r="X135">
        <f>HYPERLINK("https://klasma.github.io/Logging_2180/tillsyn/A 55773-2024 tillsynsbegäran.docx", "A 55773-2024")</f>
        <v/>
      </c>
      <c r="Y135">
        <f>HYPERLINK("https://klasma.github.io/Logging_2180/tillsynsmail/A 55773-2024 tillsynsbegäran mail.docx", "A 55773-2024")</f>
        <v/>
      </c>
    </row>
    <row r="136" ht="15" customHeight="1">
      <c r="A136" t="inlineStr">
        <is>
          <t>A 26675-2023</t>
        </is>
      </c>
      <c r="B136" s="1" t="n">
        <v>45093</v>
      </c>
      <c r="C136" s="1" t="n">
        <v>45883</v>
      </c>
      <c r="D136" t="inlineStr">
        <is>
          <t>GÄVLEBORGS LÄN</t>
        </is>
      </c>
      <c r="E136" t="inlineStr">
        <is>
          <t>LJUSDAL</t>
        </is>
      </c>
      <c r="F136" t="inlineStr">
        <is>
          <t>Sveaskog</t>
        </is>
      </c>
      <c r="G136" t="n">
        <v>8.300000000000001</v>
      </c>
      <c r="H136" t="n">
        <v>1</v>
      </c>
      <c r="I136" t="n">
        <v>0</v>
      </c>
      <c r="J136" t="n">
        <v>4</v>
      </c>
      <c r="K136" t="n">
        <v>0</v>
      </c>
      <c r="L136" t="n">
        <v>0</v>
      </c>
      <c r="M136" t="n">
        <v>0</v>
      </c>
      <c r="N136" t="n">
        <v>0</v>
      </c>
      <c r="O136" t="n">
        <v>4</v>
      </c>
      <c r="P136" t="n">
        <v>0</v>
      </c>
      <c r="Q136" t="n">
        <v>4</v>
      </c>
      <c r="R136" s="2" t="inlineStr">
        <is>
          <t>Garnlav
Kolflarnlav
Mörk kolflarnlav
Talltita</t>
        </is>
      </c>
      <c r="S136">
        <f>HYPERLINK("https://klasma.github.io/Logging_2161/artfynd/A 26675-2023 artfynd.xlsx", "A 26675-2023")</f>
        <v/>
      </c>
      <c r="T136">
        <f>HYPERLINK("https://klasma.github.io/Logging_2161/kartor/A 26675-2023 karta.png", "A 26675-2023")</f>
        <v/>
      </c>
      <c r="V136">
        <f>HYPERLINK("https://klasma.github.io/Logging_2161/klagomål/A 26675-2023 FSC-klagomål.docx", "A 26675-2023")</f>
        <v/>
      </c>
      <c r="W136">
        <f>HYPERLINK("https://klasma.github.io/Logging_2161/klagomålsmail/A 26675-2023 FSC-klagomål mail.docx", "A 26675-2023")</f>
        <v/>
      </c>
      <c r="X136">
        <f>HYPERLINK("https://klasma.github.io/Logging_2161/tillsyn/A 26675-2023 tillsynsbegäran.docx", "A 26675-2023")</f>
        <v/>
      </c>
      <c r="Y136">
        <f>HYPERLINK("https://klasma.github.io/Logging_2161/tillsynsmail/A 26675-2023 tillsynsbegäran mail.docx", "A 26675-2023")</f>
        <v/>
      </c>
      <c r="Z136">
        <f>HYPERLINK("https://klasma.github.io/Logging_2161/fåglar/A 26675-2023 prioriterade fågelarter.docx", "A 26675-2023")</f>
        <v/>
      </c>
    </row>
    <row r="137" ht="15" customHeight="1">
      <c r="A137" t="inlineStr">
        <is>
          <t>A 51118-2024</t>
        </is>
      </c>
      <c r="B137" s="1" t="n">
        <v>45603</v>
      </c>
      <c r="C137" s="1" t="n">
        <v>45883</v>
      </c>
      <c r="D137" t="inlineStr">
        <is>
          <t>GÄVLEBORGS LÄN</t>
        </is>
      </c>
      <c r="E137" t="inlineStr">
        <is>
          <t>LJUSDAL</t>
        </is>
      </c>
      <c r="F137" t="inlineStr">
        <is>
          <t>Sveaskog</t>
        </is>
      </c>
      <c r="G137" t="n">
        <v>1.3</v>
      </c>
      <c r="H137" t="n">
        <v>0</v>
      </c>
      <c r="I137" t="n">
        <v>0</v>
      </c>
      <c r="J137" t="n">
        <v>3</v>
      </c>
      <c r="K137" t="n">
        <v>1</v>
      </c>
      <c r="L137" t="n">
        <v>0</v>
      </c>
      <c r="M137" t="n">
        <v>0</v>
      </c>
      <c r="N137" t="n">
        <v>0</v>
      </c>
      <c r="O137" t="n">
        <v>4</v>
      </c>
      <c r="P137" t="n">
        <v>1</v>
      </c>
      <c r="Q137" t="n">
        <v>4</v>
      </c>
      <c r="R137" s="2" t="inlineStr">
        <is>
          <t>Småvänderot
Garnlav
Motaggsvamp
Tallticka</t>
        </is>
      </c>
      <c r="S137">
        <f>HYPERLINK("https://klasma.github.io/Logging_2161/artfynd/A 51118-2024 artfynd.xlsx", "A 51118-2024")</f>
        <v/>
      </c>
      <c r="T137">
        <f>HYPERLINK("https://klasma.github.io/Logging_2161/kartor/A 51118-2024 karta.png", "A 51118-2024")</f>
        <v/>
      </c>
      <c r="V137">
        <f>HYPERLINK("https://klasma.github.io/Logging_2161/klagomål/A 51118-2024 FSC-klagomål.docx", "A 51118-2024")</f>
        <v/>
      </c>
      <c r="W137">
        <f>HYPERLINK("https://klasma.github.io/Logging_2161/klagomålsmail/A 51118-2024 FSC-klagomål mail.docx", "A 51118-2024")</f>
        <v/>
      </c>
      <c r="X137">
        <f>HYPERLINK("https://klasma.github.io/Logging_2161/tillsyn/A 51118-2024 tillsynsbegäran.docx", "A 51118-2024")</f>
        <v/>
      </c>
      <c r="Y137">
        <f>HYPERLINK("https://klasma.github.io/Logging_2161/tillsynsmail/A 51118-2024 tillsynsbegäran mail.docx", "A 51118-2024")</f>
        <v/>
      </c>
    </row>
    <row r="138" ht="15" customHeight="1">
      <c r="A138" t="inlineStr">
        <is>
          <t>A 33904-2025</t>
        </is>
      </c>
      <c r="B138" s="1" t="n">
        <v>45842</v>
      </c>
      <c r="C138" s="1" t="n">
        <v>45883</v>
      </c>
      <c r="D138" t="inlineStr">
        <is>
          <t>GÄVLEBORGS LÄN</t>
        </is>
      </c>
      <c r="E138" t="inlineStr">
        <is>
          <t>GÄVLE</t>
        </is>
      </c>
      <c r="G138" t="n">
        <v>5.6</v>
      </c>
      <c r="H138" t="n">
        <v>4</v>
      </c>
      <c r="I138" t="n">
        <v>3</v>
      </c>
      <c r="J138" t="n">
        <v>0</v>
      </c>
      <c r="K138" t="n">
        <v>0</v>
      </c>
      <c r="L138" t="n">
        <v>0</v>
      </c>
      <c r="M138" t="n">
        <v>0</v>
      </c>
      <c r="N138" t="n">
        <v>0</v>
      </c>
      <c r="O138" t="n">
        <v>0</v>
      </c>
      <c r="P138" t="n">
        <v>0</v>
      </c>
      <c r="Q138" t="n">
        <v>4</v>
      </c>
      <c r="R138" s="2" t="inlineStr">
        <is>
          <t>Nästrot
Skogsknipprot
Tvåblad
Blåsippa</t>
        </is>
      </c>
      <c r="S138">
        <f>HYPERLINK("https://klasma.github.io/Logging_2180/artfynd/A 33904-2025 artfynd.xlsx", "A 33904-2025")</f>
        <v/>
      </c>
      <c r="T138">
        <f>HYPERLINK("https://klasma.github.io/Logging_2180/kartor/A 33904-2025 karta.png", "A 33904-2025")</f>
        <v/>
      </c>
      <c r="V138">
        <f>HYPERLINK("https://klasma.github.io/Logging_2180/klagomål/A 33904-2025 FSC-klagomål.docx", "A 33904-2025")</f>
        <v/>
      </c>
      <c r="W138">
        <f>HYPERLINK("https://klasma.github.io/Logging_2180/klagomålsmail/A 33904-2025 FSC-klagomål mail.docx", "A 33904-2025")</f>
        <v/>
      </c>
      <c r="X138">
        <f>HYPERLINK("https://klasma.github.io/Logging_2180/tillsyn/A 33904-2025 tillsynsbegäran.docx", "A 33904-2025")</f>
        <v/>
      </c>
      <c r="Y138">
        <f>HYPERLINK("https://klasma.github.io/Logging_2180/tillsynsmail/A 33904-2025 tillsynsbegäran mail.docx", "A 33904-2025")</f>
        <v/>
      </c>
    </row>
    <row r="139" ht="15" customHeight="1">
      <c r="A139" t="inlineStr">
        <is>
          <t>A 26446-2025</t>
        </is>
      </c>
      <c r="B139" s="1" t="n">
        <v>45807.4155787037</v>
      </c>
      <c r="C139" s="1" t="n">
        <v>45883</v>
      </c>
      <c r="D139" t="inlineStr">
        <is>
          <t>GÄVLEBORGS LÄN</t>
        </is>
      </c>
      <c r="E139" t="inlineStr">
        <is>
          <t>LJUSDAL</t>
        </is>
      </c>
      <c r="G139" t="n">
        <v>10.4</v>
      </c>
      <c r="H139" t="n">
        <v>2</v>
      </c>
      <c r="I139" t="n">
        <v>1</v>
      </c>
      <c r="J139" t="n">
        <v>2</v>
      </c>
      <c r="K139" t="n">
        <v>0</v>
      </c>
      <c r="L139" t="n">
        <v>0</v>
      </c>
      <c r="M139" t="n">
        <v>0</v>
      </c>
      <c r="N139" t="n">
        <v>0</v>
      </c>
      <c r="O139" t="n">
        <v>2</v>
      </c>
      <c r="P139" t="n">
        <v>0</v>
      </c>
      <c r="Q139" t="n">
        <v>4</v>
      </c>
      <c r="R139" s="2" t="inlineStr">
        <is>
          <t>Garnlav
Talltita
Skinnlav
Revlummer</t>
        </is>
      </c>
      <c r="S139">
        <f>HYPERLINK("https://klasma.github.io/Logging_2161/artfynd/A 26446-2025 artfynd.xlsx", "A 26446-2025")</f>
        <v/>
      </c>
      <c r="T139">
        <f>HYPERLINK("https://klasma.github.io/Logging_2161/kartor/A 26446-2025 karta.png", "A 26446-2025")</f>
        <v/>
      </c>
      <c r="V139">
        <f>HYPERLINK("https://klasma.github.io/Logging_2161/klagomål/A 26446-2025 FSC-klagomål.docx", "A 26446-2025")</f>
        <v/>
      </c>
      <c r="W139">
        <f>HYPERLINK("https://klasma.github.io/Logging_2161/klagomålsmail/A 26446-2025 FSC-klagomål mail.docx", "A 26446-2025")</f>
        <v/>
      </c>
      <c r="X139">
        <f>HYPERLINK("https://klasma.github.io/Logging_2161/tillsyn/A 26446-2025 tillsynsbegäran.docx", "A 26446-2025")</f>
        <v/>
      </c>
      <c r="Y139">
        <f>HYPERLINK("https://klasma.github.io/Logging_2161/tillsynsmail/A 26446-2025 tillsynsbegäran mail.docx", "A 26446-2025")</f>
        <v/>
      </c>
      <c r="Z139">
        <f>HYPERLINK("https://klasma.github.io/Logging_2161/fåglar/A 26446-2025 prioriterade fågelarter.docx", "A 26446-2025")</f>
        <v/>
      </c>
    </row>
    <row r="140" ht="15" customHeight="1">
      <c r="A140" t="inlineStr">
        <is>
          <t>A 27029-2025</t>
        </is>
      </c>
      <c r="B140" s="1" t="n">
        <v>45811.5847337963</v>
      </c>
      <c r="C140" s="1" t="n">
        <v>45883</v>
      </c>
      <c r="D140" t="inlineStr">
        <is>
          <t>GÄVLEBORGS LÄN</t>
        </is>
      </c>
      <c r="E140" t="inlineStr">
        <is>
          <t>LJUSDAL</t>
        </is>
      </c>
      <c r="F140" t="inlineStr">
        <is>
          <t>Allmännings- och besparingsskogar</t>
        </is>
      </c>
      <c r="G140" t="n">
        <v>1.6</v>
      </c>
      <c r="H140" t="n">
        <v>1</v>
      </c>
      <c r="I140" t="n">
        <v>0</v>
      </c>
      <c r="J140" t="n">
        <v>3</v>
      </c>
      <c r="K140" t="n">
        <v>0</v>
      </c>
      <c r="L140" t="n">
        <v>0</v>
      </c>
      <c r="M140" t="n">
        <v>0</v>
      </c>
      <c r="N140" t="n">
        <v>0</v>
      </c>
      <c r="O140" t="n">
        <v>3</v>
      </c>
      <c r="P140" t="n">
        <v>0</v>
      </c>
      <c r="Q140" t="n">
        <v>4</v>
      </c>
      <c r="R140" s="2" t="inlineStr">
        <is>
          <t>Garnlav
Tallticka
Vedskivlav
Tjäder</t>
        </is>
      </c>
      <c r="S140">
        <f>HYPERLINK("https://klasma.github.io/Logging_2161/artfynd/A 27029-2025 artfynd.xlsx", "A 27029-2025")</f>
        <v/>
      </c>
      <c r="T140">
        <f>HYPERLINK("https://klasma.github.io/Logging_2161/kartor/A 27029-2025 karta.png", "A 27029-2025")</f>
        <v/>
      </c>
      <c r="V140">
        <f>HYPERLINK("https://klasma.github.io/Logging_2161/klagomål/A 27029-2025 FSC-klagomål.docx", "A 27029-2025")</f>
        <v/>
      </c>
      <c r="W140">
        <f>HYPERLINK("https://klasma.github.io/Logging_2161/klagomålsmail/A 27029-2025 FSC-klagomål mail.docx", "A 27029-2025")</f>
        <v/>
      </c>
      <c r="X140">
        <f>HYPERLINK("https://klasma.github.io/Logging_2161/tillsyn/A 27029-2025 tillsynsbegäran.docx", "A 27029-2025")</f>
        <v/>
      </c>
      <c r="Y140">
        <f>HYPERLINK("https://klasma.github.io/Logging_2161/tillsynsmail/A 27029-2025 tillsynsbegäran mail.docx", "A 27029-2025")</f>
        <v/>
      </c>
      <c r="Z140">
        <f>HYPERLINK("https://klasma.github.io/Logging_2161/fåglar/A 27029-2025 prioriterade fågelarter.docx", "A 27029-2025")</f>
        <v/>
      </c>
    </row>
    <row r="141" ht="15" customHeight="1">
      <c r="A141" t="inlineStr">
        <is>
          <t>A 35647-2025</t>
        </is>
      </c>
      <c r="B141" s="1" t="n">
        <v>45859.50240740741</v>
      </c>
      <c r="C141" s="1" t="n">
        <v>45883</v>
      </c>
      <c r="D141" t="inlineStr">
        <is>
          <t>GÄVLEBORGS LÄN</t>
        </is>
      </c>
      <c r="E141" t="inlineStr">
        <is>
          <t>GÄVLE</t>
        </is>
      </c>
      <c r="F141" t="inlineStr">
        <is>
          <t>Bergvik skog väst AB</t>
        </is>
      </c>
      <c r="G141" t="n">
        <v>8.4</v>
      </c>
      <c r="H141" t="n">
        <v>2</v>
      </c>
      <c r="I141" t="n">
        <v>1</v>
      </c>
      <c r="J141" t="n">
        <v>0</v>
      </c>
      <c r="K141" t="n">
        <v>0</v>
      </c>
      <c r="L141" t="n">
        <v>1</v>
      </c>
      <c r="M141" t="n">
        <v>0</v>
      </c>
      <c r="N141" t="n">
        <v>0</v>
      </c>
      <c r="O141" t="n">
        <v>1</v>
      </c>
      <c r="P141" t="n">
        <v>1</v>
      </c>
      <c r="Q141" t="n">
        <v>4</v>
      </c>
      <c r="R141" s="2" t="inlineStr">
        <is>
          <t>Ask
Tibast
Blåsippa
Revlummer</t>
        </is>
      </c>
      <c r="S141">
        <f>HYPERLINK("https://klasma.github.io/Logging_2180/artfynd/A 35647-2025 artfynd.xlsx", "A 35647-2025")</f>
        <v/>
      </c>
      <c r="T141">
        <f>HYPERLINK("https://klasma.github.io/Logging_2180/kartor/A 35647-2025 karta.png", "A 35647-2025")</f>
        <v/>
      </c>
      <c r="V141">
        <f>HYPERLINK("https://klasma.github.io/Logging_2180/klagomål/A 35647-2025 FSC-klagomål.docx", "A 35647-2025")</f>
        <v/>
      </c>
      <c r="W141">
        <f>HYPERLINK("https://klasma.github.io/Logging_2180/klagomålsmail/A 35647-2025 FSC-klagomål mail.docx", "A 35647-2025")</f>
        <v/>
      </c>
      <c r="X141">
        <f>HYPERLINK("https://klasma.github.io/Logging_2180/tillsyn/A 35647-2025 tillsynsbegäran.docx", "A 35647-2025")</f>
        <v/>
      </c>
      <c r="Y141">
        <f>HYPERLINK("https://klasma.github.io/Logging_2180/tillsynsmail/A 35647-2025 tillsynsbegäran mail.docx", "A 35647-2025")</f>
        <v/>
      </c>
    </row>
    <row r="142" ht="15" customHeight="1">
      <c r="A142" t="inlineStr">
        <is>
          <t>A 28058-2025</t>
        </is>
      </c>
      <c r="B142" s="1" t="n">
        <v>45817.66333333333</v>
      </c>
      <c r="C142" s="1" t="n">
        <v>45883</v>
      </c>
      <c r="D142" t="inlineStr">
        <is>
          <t>GÄVLEBORGS LÄN</t>
        </is>
      </c>
      <c r="E142" t="inlineStr">
        <is>
          <t>LJUSDAL</t>
        </is>
      </c>
      <c r="F142" t="inlineStr">
        <is>
          <t>Bergvik skog väst AB</t>
        </is>
      </c>
      <c r="G142" t="n">
        <v>27</v>
      </c>
      <c r="H142" t="n">
        <v>1</v>
      </c>
      <c r="I142" t="n">
        <v>2</v>
      </c>
      <c r="J142" t="n">
        <v>1</v>
      </c>
      <c r="K142" t="n">
        <v>0</v>
      </c>
      <c r="L142" t="n">
        <v>0</v>
      </c>
      <c r="M142" t="n">
        <v>0</v>
      </c>
      <c r="N142" t="n">
        <v>0</v>
      </c>
      <c r="O142" t="n">
        <v>1</v>
      </c>
      <c r="P142" t="n">
        <v>0</v>
      </c>
      <c r="Q142" t="n">
        <v>4</v>
      </c>
      <c r="R142" s="2" t="inlineStr">
        <is>
          <t>Lunglav
Korallblylav
Mörk husmossa
Blåsippa</t>
        </is>
      </c>
      <c r="S142">
        <f>HYPERLINK("https://klasma.github.io/Logging_2161/artfynd/A 28058-2025 artfynd.xlsx", "A 28058-2025")</f>
        <v/>
      </c>
      <c r="T142">
        <f>HYPERLINK("https://klasma.github.io/Logging_2161/kartor/A 28058-2025 karta.png", "A 28058-2025")</f>
        <v/>
      </c>
      <c r="V142">
        <f>HYPERLINK("https://klasma.github.io/Logging_2161/klagomål/A 28058-2025 FSC-klagomål.docx", "A 28058-2025")</f>
        <v/>
      </c>
      <c r="W142">
        <f>HYPERLINK("https://klasma.github.io/Logging_2161/klagomålsmail/A 28058-2025 FSC-klagomål mail.docx", "A 28058-2025")</f>
        <v/>
      </c>
      <c r="X142">
        <f>HYPERLINK("https://klasma.github.io/Logging_2161/tillsyn/A 28058-2025 tillsynsbegäran.docx", "A 28058-2025")</f>
        <v/>
      </c>
      <c r="Y142">
        <f>HYPERLINK("https://klasma.github.io/Logging_2161/tillsynsmail/A 28058-2025 tillsynsbegäran mail.docx", "A 28058-2025")</f>
        <v/>
      </c>
    </row>
    <row r="143" ht="15" customHeight="1">
      <c r="A143" t="inlineStr">
        <is>
          <t>A 28857-2025</t>
        </is>
      </c>
      <c r="B143" s="1" t="n">
        <v>45820</v>
      </c>
      <c r="C143" s="1" t="n">
        <v>45883</v>
      </c>
      <c r="D143" t="inlineStr">
        <is>
          <t>GÄVLEBORGS LÄN</t>
        </is>
      </c>
      <c r="E143" t="inlineStr">
        <is>
          <t>LJUSDAL</t>
        </is>
      </c>
      <c r="F143" t="inlineStr">
        <is>
          <t>Bergvik skog väst AB</t>
        </is>
      </c>
      <c r="G143" t="n">
        <v>12.5</v>
      </c>
      <c r="H143" t="n">
        <v>3</v>
      </c>
      <c r="I143" t="n">
        <v>0</v>
      </c>
      <c r="J143" t="n">
        <v>2</v>
      </c>
      <c r="K143" t="n">
        <v>0</v>
      </c>
      <c r="L143" t="n">
        <v>0</v>
      </c>
      <c r="M143" t="n">
        <v>0</v>
      </c>
      <c r="N143" t="n">
        <v>0</v>
      </c>
      <c r="O143" t="n">
        <v>2</v>
      </c>
      <c r="P143" t="n">
        <v>0</v>
      </c>
      <c r="Q143" t="n">
        <v>4</v>
      </c>
      <c r="R143" s="2" t="inlineStr">
        <is>
          <t>Garnlav
Järpe
Grönsiska
Tjäder</t>
        </is>
      </c>
      <c r="S143">
        <f>HYPERLINK("https://klasma.github.io/Logging_2161/artfynd/A 28857-2025 artfynd.xlsx", "A 28857-2025")</f>
        <v/>
      </c>
      <c r="T143">
        <f>HYPERLINK("https://klasma.github.io/Logging_2161/kartor/A 28857-2025 karta.png", "A 28857-2025")</f>
        <v/>
      </c>
      <c r="V143">
        <f>HYPERLINK("https://klasma.github.io/Logging_2161/klagomål/A 28857-2025 FSC-klagomål.docx", "A 28857-2025")</f>
        <v/>
      </c>
      <c r="W143">
        <f>HYPERLINK("https://klasma.github.io/Logging_2161/klagomålsmail/A 28857-2025 FSC-klagomål mail.docx", "A 28857-2025")</f>
        <v/>
      </c>
      <c r="X143">
        <f>HYPERLINK("https://klasma.github.io/Logging_2161/tillsyn/A 28857-2025 tillsynsbegäran.docx", "A 28857-2025")</f>
        <v/>
      </c>
      <c r="Y143">
        <f>HYPERLINK("https://klasma.github.io/Logging_2161/tillsynsmail/A 28857-2025 tillsynsbegäran mail.docx", "A 28857-2025")</f>
        <v/>
      </c>
      <c r="Z143">
        <f>HYPERLINK("https://klasma.github.io/Logging_2161/fåglar/A 28857-2025 prioriterade fågelarter.docx", "A 28857-2025")</f>
        <v/>
      </c>
    </row>
    <row r="144" ht="15" customHeight="1">
      <c r="A144" t="inlineStr">
        <is>
          <t>A 36356-2025</t>
        </is>
      </c>
      <c r="B144" s="1" t="n">
        <v>45868.5106712963</v>
      </c>
      <c r="C144" s="1" t="n">
        <v>45883</v>
      </c>
      <c r="D144" t="inlineStr">
        <is>
          <t>GÄVLEBORGS LÄN</t>
        </is>
      </c>
      <c r="E144" t="inlineStr">
        <is>
          <t>LJUSDAL</t>
        </is>
      </c>
      <c r="G144" t="n">
        <v>23.1</v>
      </c>
      <c r="H144" t="n">
        <v>2</v>
      </c>
      <c r="I144" t="n">
        <v>0</v>
      </c>
      <c r="J144" t="n">
        <v>3</v>
      </c>
      <c r="K144" t="n">
        <v>1</v>
      </c>
      <c r="L144" t="n">
        <v>0</v>
      </c>
      <c r="M144" t="n">
        <v>0</v>
      </c>
      <c r="N144" t="n">
        <v>0</v>
      </c>
      <c r="O144" t="n">
        <v>4</v>
      </c>
      <c r="P144" t="n">
        <v>1</v>
      </c>
      <c r="Q144" t="n">
        <v>4</v>
      </c>
      <c r="R144" s="2" t="inlineStr">
        <is>
          <t>Tallbit
Kolflarnlav
Mörk kolflarnlav
Pilgrimsfalk</t>
        </is>
      </c>
      <c r="S144">
        <f>HYPERLINK("https://klasma.github.io/Logging_2161/artfynd/A 36356-2025 artfynd.xlsx", "A 36356-2025")</f>
        <v/>
      </c>
      <c r="T144">
        <f>HYPERLINK("https://klasma.github.io/Logging_2161/kartor/A 36356-2025 karta.png", "A 36356-2025")</f>
        <v/>
      </c>
      <c r="V144">
        <f>HYPERLINK("https://klasma.github.io/Logging_2161/klagomål/A 36356-2025 FSC-klagomål.docx", "A 36356-2025")</f>
        <v/>
      </c>
      <c r="W144">
        <f>HYPERLINK("https://klasma.github.io/Logging_2161/klagomålsmail/A 36356-2025 FSC-klagomål mail.docx", "A 36356-2025")</f>
        <v/>
      </c>
      <c r="X144">
        <f>HYPERLINK("https://klasma.github.io/Logging_2161/tillsyn/A 36356-2025 tillsynsbegäran.docx", "A 36356-2025")</f>
        <v/>
      </c>
      <c r="Y144">
        <f>HYPERLINK("https://klasma.github.io/Logging_2161/tillsynsmail/A 36356-2025 tillsynsbegäran mail.docx", "A 36356-2025")</f>
        <v/>
      </c>
      <c r="Z144">
        <f>HYPERLINK("https://klasma.github.io/Logging_2161/fåglar/A 36356-2025 prioriterade fågelarter.docx", "A 36356-2025")</f>
        <v/>
      </c>
    </row>
    <row r="145" ht="15" customHeight="1">
      <c r="A145" t="inlineStr">
        <is>
          <t>A 38738-2023</t>
        </is>
      </c>
      <c r="B145" s="1" t="n">
        <v>45163</v>
      </c>
      <c r="C145" s="1" t="n">
        <v>45883</v>
      </c>
      <c r="D145" t="inlineStr">
        <is>
          <t>GÄVLEBORGS LÄN</t>
        </is>
      </c>
      <c r="E145" t="inlineStr">
        <is>
          <t>HOFORS</t>
        </is>
      </c>
      <c r="F145" t="inlineStr">
        <is>
          <t>Kyrkan</t>
        </is>
      </c>
      <c r="G145" t="n">
        <v>1.3</v>
      </c>
      <c r="H145" t="n">
        <v>1</v>
      </c>
      <c r="I145" t="n">
        <v>2</v>
      </c>
      <c r="J145" t="n">
        <v>1</v>
      </c>
      <c r="K145" t="n">
        <v>1</v>
      </c>
      <c r="L145" t="n">
        <v>0</v>
      </c>
      <c r="M145" t="n">
        <v>0</v>
      </c>
      <c r="N145" t="n">
        <v>0</v>
      </c>
      <c r="O145" t="n">
        <v>2</v>
      </c>
      <c r="P145" t="n">
        <v>1</v>
      </c>
      <c r="Q145" t="n">
        <v>4</v>
      </c>
      <c r="R145" s="2" t="inlineStr">
        <is>
          <t>Knärot
Svartvit taggsvamp
Fjällig taggsvamp s.str.
Grönpyrola</t>
        </is>
      </c>
      <c r="S145">
        <f>HYPERLINK("https://klasma.github.io/Logging_2104/artfynd/A 38738-2023 artfynd.xlsx", "A 38738-2023")</f>
        <v/>
      </c>
      <c r="T145">
        <f>HYPERLINK("https://klasma.github.io/Logging_2104/kartor/A 38738-2023 karta.png", "A 38738-2023")</f>
        <v/>
      </c>
      <c r="U145">
        <f>HYPERLINK("https://klasma.github.io/Logging_2104/knärot/A 38738-2023 karta knärot.png", "A 38738-2023")</f>
        <v/>
      </c>
      <c r="V145">
        <f>HYPERLINK("https://klasma.github.io/Logging_2104/klagomål/A 38738-2023 FSC-klagomål.docx", "A 38738-2023")</f>
        <v/>
      </c>
      <c r="W145">
        <f>HYPERLINK("https://klasma.github.io/Logging_2104/klagomålsmail/A 38738-2023 FSC-klagomål mail.docx", "A 38738-2023")</f>
        <v/>
      </c>
      <c r="X145">
        <f>HYPERLINK("https://klasma.github.io/Logging_2104/tillsyn/A 38738-2023 tillsynsbegäran.docx", "A 38738-2023")</f>
        <v/>
      </c>
      <c r="Y145">
        <f>HYPERLINK("https://klasma.github.io/Logging_2104/tillsynsmail/A 38738-2023 tillsynsbegäran mail.docx", "A 38738-2023")</f>
        <v/>
      </c>
    </row>
    <row r="146" ht="15" customHeight="1">
      <c r="A146" t="inlineStr">
        <is>
          <t>A 36697-2025</t>
        </is>
      </c>
      <c r="B146" s="1" t="n">
        <v>45873.44015046296</v>
      </c>
      <c r="C146" s="1" t="n">
        <v>45883</v>
      </c>
      <c r="D146" t="inlineStr">
        <is>
          <t>GÄVLEBORGS LÄN</t>
        </is>
      </c>
      <c r="E146" t="inlineStr">
        <is>
          <t>LJUSDAL</t>
        </is>
      </c>
      <c r="F146" t="inlineStr">
        <is>
          <t>Bergvik skog väst AB</t>
        </is>
      </c>
      <c r="G146" t="n">
        <v>8.199999999999999</v>
      </c>
      <c r="H146" t="n">
        <v>2</v>
      </c>
      <c r="I146" t="n">
        <v>0</v>
      </c>
      <c r="J146" t="n">
        <v>4</v>
      </c>
      <c r="K146" t="n">
        <v>0</v>
      </c>
      <c r="L146" t="n">
        <v>0</v>
      </c>
      <c r="M146" t="n">
        <v>0</v>
      </c>
      <c r="N146" t="n">
        <v>0</v>
      </c>
      <c r="O146" t="n">
        <v>4</v>
      </c>
      <c r="P146" t="n">
        <v>0</v>
      </c>
      <c r="Q146" t="n">
        <v>4</v>
      </c>
      <c r="R146" s="2" t="inlineStr">
        <is>
          <t>Kolflarnlav
Spillkråka
Tretåig hackspett
Vedskivlav</t>
        </is>
      </c>
      <c r="S146">
        <f>HYPERLINK("https://klasma.github.io/Logging_2161/artfynd/A 36697-2025 artfynd.xlsx", "A 36697-2025")</f>
        <v/>
      </c>
      <c r="T146">
        <f>HYPERLINK("https://klasma.github.io/Logging_2161/kartor/A 36697-2025 karta.png", "A 36697-2025")</f>
        <v/>
      </c>
      <c r="V146">
        <f>HYPERLINK("https://klasma.github.io/Logging_2161/klagomål/A 36697-2025 FSC-klagomål.docx", "A 36697-2025")</f>
        <v/>
      </c>
      <c r="W146">
        <f>HYPERLINK("https://klasma.github.io/Logging_2161/klagomålsmail/A 36697-2025 FSC-klagomål mail.docx", "A 36697-2025")</f>
        <v/>
      </c>
      <c r="X146">
        <f>HYPERLINK("https://klasma.github.io/Logging_2161/tillsyn/A 36697-2025 tillsynsbegäran.docx", "A 36697-2025")</f>
        <v/>
      </c>
      <c r="Y146">
        <f>HYPERLINK("https://klasma.github.io/Logging_2161/tillsynsmail/A 36697-2025 tillsynsbegäran mail.docx", "A 36697-2025")</f>
        <v/>
      </c>
      <c r="Z146">
        <f>HYPERLINK("https://klasma.github.io/Logging_2161/fåglar/A 36697-2025 prioriterade fågelarter.docx", "A 36697-2025")</f>
        <v/>
      </c>
    </row>
    <row r="147" ht="15" customHeight="1">
      <c r="A147" t="inlineStr">
        <is>
          <t>A 31054-2024</t>
        </is>
      </c>
      <c r="B147" s="1" t="n">
        <v>45502.36863425926</v>
      </c>
      <c r="C147" s="1" t="n">
        <v>45883</v>
      </c>
      <c r="D147" t="inlineStr">
        <is>
          <t>GÄVLEBORGS LÄN</t>
        </is>
      </c>
      <c r="E147" t="inlineStr">
        <is>
          <t>NORDANSTIG</t>
        </is>
      </c>
      <c r="F147" t="inlineStr">
        <is>
          <t>Holmen skog AB</t>
        </is>
      </c>
      <c r="G147" t="n">
        <v>4.7</v>
      </c>
      <c r="H147" t="n">
        <v>0</v>
      </c>
      <c r="I147" t="n">
        <v>3</v>
      </c>
      <c r="J147" t="n">
        <v>1</v>
      </c>
      <c r="K147" t="n">
        <v>0</v>
      </c>
      <c r="L147" t="n">
        <v>0</v>
      </c>
      <c r="M147" t="n">
        <v>0</v>
      </c>
      <c r="N147" t="n">
        <v>0</v>
      </c>
      <c r="O147" t="n">
        <v>1</v>
      </c>
      <c r="P147" t="n">
        <v>0</v>
      </c>
      <c r="Q147" t="n">
        <v>4</v>
      </c>
      <c r="R147" s="2" t="inlineStr">
        <is>
          <t>Rosenticka
Kamjordstjärna
Smal svampklubba
Stor aspticka</t>
        </is>
      </c>
      <c r="S147">
        <f>HYPERLINK("https://klasma.github.io/Logging_2132/artfynd/A 31054-2024 artfynd.xlsx", "A 31054-2024")</f>
        <v/>
      </c>
      <c r="T147">
        <f>HYPERLINK("https://klasma.github.io/Logging_2132/kartor/A 31054-2024 karta.png", "A 31054-2024")</f>
        <v/>
      </c>
      <c r="V147">
        <f>HYPERLINK("https://klasma.github.io/Logging_2132/klagomål/A 31054-2024 FSC-klagomål.docx", "A 31054-2024")</f>
        <v/>
      </c>
      <c r="W147">
        <f>HYPERLINK("https://klasma.github.io/Logging_2132/klagomålsmail/A 31054-2024 FSC-klagomål mail.docx", "A 31054-2024")</f>
        <v/>
      </c>
      <c r="X147">
        <f>HYPERLINK("https://klasma.github.io/Logging_2132/tillsyn/A 31054-2024 tillsynsbegäran.docx", "A 31054-2024")</f>
        <v/>
      </c>
      <c r="Y147">
        <f>HYPERLINK("https://klasma.github.io/Logging_2132/tillsynsmail/A 31054-2024 tillsynsbegäran mail.docx", "A 31054-2024")</f>
        <v/>
      </c>
    </row>
    <row r="148" ht="15" customHeight="1">
      <c r="A148" t="inlineStr">
        <is>
          <t>A 1100-2024</t>
        </is>
      </c>
      <c r="B148" s="1" t="n">
        <v>45302</v>
      </c>
      <c r="C148" s="1" t="n">
        <v>45883</v>
      </c>
      <c r="D148" t="inlineStr">
        <is>
          <t>GÄVLEBORGS LÄN</t>
        </is>
      </c>
      <c r="E148" t="inlineStr">
        <is>
          <t>GÄVLE</t>
        </is>
      </c>
      <c r="F148" t="inlineStr">
        <is>
          <t>Bergvik skog väst AB</t>
        </is>
      </c>
      <c r="G148" t="n">
        <v>3.9</v>
      </c>
      <c r="H148" t="n">
        <v>0</v>
      </c>
      <c r="I148" t="n">
        <v>2</v>
      </c>
      <c r="J148" t="n">
        <v>2</v>
      </c>
      <c r="K148" t="n">
        <v>0</v>
      </c>
      <c r="L148" t="n">
        <v>0</v>
      </c>
      <c r="M148" t="n">
        <v>0</v>
      </c>
      <c r="N148" t="n">
        <v>0</v>
      </c>
      <c r="O148" t="n">
        <v>2</v>
      </c>
      <c r="P148" t="n">
        <v>0</v>
      </c>
      <c r="Q148" t="n">
        <v>4</v>
      </c>
      <c r="R148" s="2" t="inlineStr">
        <is>
          <t>Svart taggsvamp
Vedskivlav
Dropptaggsvamp
Vågbandad barkbock</t>
        </is>
      </c>
      <c r="S148">
        <f>HYPERLINK("https://klasma.github.io/Logging_2180/artfynd/A 1100-2024 artfynd.xlsx", "A 1100-2024")</f>
        <v/>
      </c>
      <c r="T148">
        <f>HYPERLINK("https://klasma.github.io/Logging_2180/kartor/A 1100-2024 karta.png", "A 1100-2024")</f>
        <v/>
      </c>
      <c r="V148">
        <f>HYPERLINK("https://klasma.github.io/Logging_2180/klagomål/A 1100-2024 FSC-klagomål.docx", "A 1100-2024")</f>
        <v/>
      </c>
      <c r="W148">
        <f>HYPERLINK("https://klasma.github.io/Logging_2180/klagomålsmail/A 1100-2024 FSC-klagomål mail.docx", "A 1100-2024")</f>
        <v/>
      </c>
      <c r="X148">
        <f>HYPERLINK("https://klasma.github.io/Logging_2180/tillsyn/A 1100-2024 tillsynsbegäran.docx", "A 1100-2024")</f>
        <v/>
      </c>
      <c r="Y148">
        <f>HYPERLINK("https://klasma.github.io/Logging_2180/tillsynsmail/A 1100-2024 tillsynsbegäran mail.docx", "A 1100-2024")</f>
        <v/>
      </c>
    </row>
    <row r="149" ht="15" customHeight="1">
      <c r="A149" t="inlineStr">
        <is>
          <t>A 32157-2025</t>
        </is>
      </c>
      <c r="B149" s="1" t="n">
        <v>45835.53603009259</v>
      </c>
      <c r="C149" s="1" t="n">
        <v>45883</v>
      </c>
      <c r="D149" t="inlineStr">
        <is>
          <t>GÄVLEBORGS LÄN</t>
        </is>
      </c>
      <c r="E149" t="inlineStr">
        <is>
          <t>HUDIKSVALL</t>
        </is>
      </c>
      <c r="G149" t="n">
        <v>4.5</v>
      </c>
      <c r="H149" t="n">
        <v>3</v>
      </c>
      <c r="I149" t="n">
        <v>0</v>
      </c>
      <c r="J149" t="n">
        <v>1</v>
      </c>
      <c r="K149" t="n">
        <v>1</v>
      </c>
      <c r="L149" t="n">
        <v>0</v>
      </c>
      <c r="M149" t="n">
        <v>0</v>
      </c>
      <c r="N149" t="n">
        <v>0</v>
      </c>
      <c r="O149" t="n">
        <v>2</v>
      </c>
      <c r="P149" t="n">
        <v>1</v>
      </c>
      <c r="Q149" t="n">
        <v>4</v>
      </c>
      <c r="R149" s="2" t="inlineStr">
        <is>
          <t>Knärot
Ullticka
Fläcknycklar
Nattviol</t>
        </is>
      </c>
      <c r="S149">
        <f>HYPERLINK("https://klasma.github.io/Logging_2184/artfynd/A 32157-2025 artfynd.xlsx", "A 32157-2025")</f>
        <v/>
      </c>
      <c r="T149">
        <f>HYPERLINK("https://klasma.github.io/Logging_2184/kartor/A 32157-2025 karta.png", "A 32157-2025")</f>
        <v/>
      </c>
      <c r="U149">
        <f>HYPERLINK("https://klasma.github.io/Logging_2184/knärot/A 32157-2025 karta knärot.png", "A 32157-2025")</f>
        <v/>
      </c>
      <c r="V149">
        <f>HYPERLINK("https://klasma.github.io/Logging_2184/klagomål/A 32157-2025 FSC-klagomål.docx", "A 32157-2025")</f>
        <v/>
      </c>
      <c r="W149">
        <f>HYPERLINK("https://klasma.github.io/Logging_2184/klagomålsmail/A 32157-2025 FSC-klagomål mail.docx", "A 32157-2025")</f>
        <v/>
      </c>
      <c r="X149">
        <f>HYPERLINK("https://klasma.github.io/Logging_2184/tillsyn/A 32157-2025 tillsynsbegäran.docx", "A 32157-2025")</f>
        <v/>
      </c>
      <c r="Y149">
        <f>HYPERLINK("https://klasma.github.io/Logging_2184/tillsynsmail/A 32157-2025 tillsynsbegäran mail.docx", "A 32157-2025")</f>
        <v/>
      </c>
    </row>
    <row r="150" ht="15" customHeight="1">
      <c r="A150" t="inlineStr">
        <is>
          <t>A 37833-2025</t>
        </is>
      </c>
      <c r="B150" s="1" t="n">
        <v>45881.42224537037</v>
      </c>
      <c r="C150" s="1" t="n">
        <v>45883</v>
      </c>
      <c r="D150" t="inlineStr">
        <is>
          <t>GÄVLEBORGS LÄN</t>
        </is>
      </c>
      <c r="E150" t="inlineStr">
        <is>
          <t>LJUSDAL</t>
        </is>
      </c>
      <c r="F150" t="inlineStr">
        <is>
          <t>Bergvik skog väst AB</t>
        </is>
      </c>
      <c r="G150" t="n">
        <v>8.5</v>
      </c>
      <c r="H150" t="n">
        <v>2</v>
      </c>
      <c r="I150" t="n">
        <v>0</v>
      </c>
      <c r="J150" t="n">
        <v>3</v>
      </c>
      <c r="K150" t="n">
        <v>1</v>
      </c>
      <c r="L150" t="n">
        <v>0</v>
      </c>
      <c r="M150" t="n">
        <v>0</v>
      </c>
      <c r="N150" t="n">
        <v>0</v>
      </c>
      <c r="O150" t="n">
        <v>4</v>
      </c>
      <c r="P150" t="n">
        <v>1</v>
      </c>
      <c r="Q150" t="n">
        <v>4</v>
      </c>
      <c r="R150" s="2" t="inlineStr">
        <is>
          <t>Knärot
Lunglav
Skrovellav
Talltita</t>
        </is>
      </c>
      <c r="S150">
        <f>HYPERLINK("https://klasma.github.io/Logging_2161/artfynd/A 37833-2025 artfynd.xlsx", "A 37833-2025")</f>
        <v/>
      </c>
      <c r="T150">
        <f>HYPERLINK("https://klasma.github.io/Logging_2161/kartor/A 37833-2025 karta.png", "A 37833-2025")</f>
        <v/>
      </c>
      <c r="U150">
        <f>HYPERLINK("https://klasma.github.io/Logging_2161/knärot/A 37833-2025 karta knärot.png", "A 37833-2025")</f>
        <v/>
      </c>
      <c r="V150">
        <f>HYPERLINK("https://klasma.github.io/Logging_2161/klagomål/A 37833-2025 FSC-klagomål.docx", "A 37833-2025")</f>
        <v/>
      </c>
      <c r="W150">
        <f>HYPERLINK("https://klasma.github.io/Logging_2161/klagomålsmail/A 37833-2025 FSC-klagomål mail.docx", "A 37833-2025")</f>
        <v/>
      </c>
      <c r="X150">
        <f>HYPERLINK("https://klasma.github.io/Logging_2161/tillsyn/A 37833-2025 tillsynsbegäran.docx", "A 37833-2025")</f>
        <v/>
      </c>
      <c r="Y150">
        <f>HYPERLINK("https://klasma.github.io/Logging_2161/tillsynsmail/A 37833-2025 tillsynsbegäran mail.docx", "A 37833-2025")</f>
        <v/>
      </c>
      <c r="Z150">
        <f>HYPERLINK("https://klasma.github.io/Logging_2161/fåglar/A 37833-2025 prioriterade fågelarter.docx", "A 37833-2025")</f>
        <v/>
      </c>
    </row>
    <row r="151" ht="15" customHeight="1">
      <c r="A151" t="inlineStr">
        <is>
          <t>A 26687-2025</t>
        </is>
      </c>
      <c r="B151" s="1" t="n">
        <v>45810</v>
      </c>
      <c r="C151" s="1" t="n">
        <v>45883</v>
      </c>
      <c r="D151" t="inlineStr">
        <is>
          <t>GÄVLEBORGS LÄN</t>
        </is>
      </c>
      <c r="E151" t="inlineStr">
        <is>
          <t>BOLLNÄS</t>
        </is>
      </c>
      <c r="F151" t="inlineStr">
        <is>
          <t>Bergvik skog väst AB</t>
        </is>
      </c>
      <c r="G151" t="n">
        <v>13.4</v>
      </c>
      <c r="H151" t="n">
        <v>3</v>
      </c>
      <c r="I151" t="n">
        <v>0</v>
      </c>
      <c r="J151" t="n">
        <v>1</v>
      </c>
      <c r="K151" t="n">
        <v>0</v>
      </c>
      <c r="L151" t="n">
        <v>0</v>
      </c>
      <c r="M151" t="n">
        <v>0</v>
      </c>
      <c r="N151" t="n">
        <v>0</v>
      </c>
      <c r="O151" t="n">
        <v>1</v>
      </c>
      <c r="P151" t="n">
        <v>0</v>
      </c>
      <c r="Q151" t="n">
        <v>4</v>
      </c>
      <c r="R151" s="2" t="inlineStr">
        <is>
          <t>Slåtterfibbla
Fläcknycklar
Nattviol
Revlummer</t>
        </is>
      </c>
      <c r="S151">
        <f>HYPERLINK("https://klasma.github.io/Logging_2183/artfynd/A 26687-2025 artfynd.xlsx", "A 26687-2025")</f>
        <v/>
      </c>
      <c r="T151">
        <f>HYPERLINK("https://klasma.github.io/Logging_2183/kartor/A 26687-2025 karta.png", "A 26687-2025")</f>
        <v/>
      </c>
      <c r="V151">
        <f>HYPERLINK("https://klasma.github.io/Logging_2183/klagomål/A 26687-2025 FSC-klagomål.docx", "A 26687-2025")</f>
        <v/>
      </c>
      <c r="W151">
        <f>HYPERLINK("https://klasma.github.io/Logging_2183/klagomålsmail/A 26687-2025 FSC-klagomål mail.docx", "A 26687-2025")</f>
        <v/>
      </c>
      <c r="X151">
        <f>HYPERLINK("https://klasma.github.io/Logging_2183/tillsyn/A 26687-2025 tillsynsbegäran.docx", "A 26687-2025")</f>
        <v/>
      </c>
      <c r="Y151">
        <f>HYPERLINK("https://klasma.github.io/Logging_2183/tillsynsmail/A 26687-2025 tillsynsbegäran mail.docx", "A 26687-2025")</f>
        <v/>
      </c>
    </row>
    <row r="152" ht="15" customHeight="1">
      <c r="A152" t="inlineStr">
        <is>
          <t>A 36150-2025</t>
        </is>
      </c>
      <c r="B152" s="1" t="n">
        <v>45867.29993055556</v>
      </c>
      <c r="C152" s="1" t="n">
        <v>45883</v>
      </c>
      <c r="D152" t="inlineStr">
        <is>
          <t>GÄVLEBORGS LÄN</t>
        </is>
      </c>
      <c r="E152" t="inlineStr">
        <is>
          <t>LJUSDAL</t>
        </is>
      </c>
      <c r="F152" t="inlineStr">
        <is>
          <t>Bergvik skog väst AB</t>
        </is>
      </c>
      <c r="G152" t="n">
        <v>6.1</v>
      </c>
      <c r="H152" t="n">
        <v>1</v>
      </c>
      <c r="I152" t="n">
        <v>0</v>
      </c>
      <c r="J152" t="n">
        <v>4</v>
      </c>
      <c r="K152" t="n">
        <v>0</v>
      </c>
      <c r="L152" t="n">
        <v>0</v>
      </c>
      <c r="M152" t="n">
        <v>0</v>
      </c>
      <c r="N152" t="n">
        <v>0</v>
      </c>
      <c r="O152" t="n">
        <v>4</v>
      </c>
      <c r="P152" t="n">
        <v>0</v>
      </c>
      <c r="Q152" t="n">
        <v>4</v>
      </c>
      <c r="R152" s="2" t="inlineStr">
        <is>
          <t>Garnlav
Lunglav
Skrovellav
Tretåig hackspett</t>
        </is>
      </c>
      <c r="S152">
        <f>HYPERLINK("https://klasma.github.io/Logging_2161/artfynd/A 36150-2025 artfynd.xlsx", "A 36150-2025")</f>
        <v/>
      </c>
      <c r="T152">
        <f>HYPERLINK("https://klasma.github.io/Logging_2161/kartor/A 36150-2025 karta.png", "A 36150-2025")</f>
        <v/>
      </c>
      <c r="V152">
        <f>HYPERLINK("https://klasma.github.io/Logging_2161/klagomål/A 36150-2025 FSC-klagomål.docx", "A 36150-2025")</f>
        <v/>
      </c>
      <c r="W152">
        <f>HYPERLINK("https://klasma.github.io/Logging_2161/klagomålsmail/A 36150-2025 FSC-klagomål mail.docx", "A 36150-2025")</f>
        <v/>
      </c>
      <c r="X152">
        <f>HYPERLINK("https://klasma.github.io/Logging_2161/tillsyn/A 36150-2025 tillsynsbegäran.docx", "A 36150-2025")</f>
        <v/>
      </c>
      <c r="Y152">
        <f>HYPERLINK("https://klasma.github.io/Logging_2161/tillsynsmail/A 36150-2025 tillsynsbegäran mail.docx", "A 36150-2025")</f>
        <v/>
      </c>
      <c r="Z152">
        <f>HYPERLINK("https://klasma.github.io/Logging_2161/fåglar/A 36150-2025 prioriterade fågelarter.docx", "A 36150-2025")</f>
        <v/>
      </c>
    </row>
    <row r="153" ht="15" customHeight="1">
      <c r="A153" t="inlineStr">
        <is>
          <t>A 69255-2020</t>
        </is>
      </c>
      <c r="B153" s="1" t="n">
        <v>44192</v>
      </c>
      <c r="C153" s="1" t="n">
        <v>45883</v>
      </c>
      <c r="D153" t="inlineStr">
        <is>
          <t>GÄVLEBORGS LÄN</t>
        </is>
      </c>
      <c r="E153" t="inlineStr">
        <is>
          <t>GÄVLE</t>
        </is>
      </c>
      <c r="F153" t="inlineStr">
        <is>
          <t>Kommuner</t>
        </is>
      </c>
      <c r="G153" t="n">
        <v>3.5</v>
      </c>
      <c r="H153" t="n">
        <v>2</v>
      </c>
      <c r="I153" t="n">
        <v>1</v>
      </c>
      <c r="J153" t="n">
        <v>1</v>
      </c>
      <c r="K153" t="n">
        <v>1</v>
      </c>
      <c r="L153" t="n">
        <v>0</v>
      </c>
      <c r="M153" t="n">
        <v>0</v>
      </c>
      <c r="N153" t="n">
        <v>0</v>
      </c>
      <c r="O153" t="n">
        <v>2</v>
      </c>
      <c r="P153" t="n">
        <v>1</v>
      </c>
      <c r="Q153" t="n">
        <v>4</v>
      </c>
      <c r="R153" s="2" t="inlineStr">
        <is>
          <t>Blackticka
Spillkråka
Tjockfotad fingersvamp
Revlummer</t>
        </is>
      </c>
      <c r="S153">
        <f>HYPERLINK("https://klasma.github.io/Logging_2180/artfynd/A 69255-2020 artfynd.xlsx", "A 69255-2020")</f>
        <v/>
      </c>
      <c r="T153">
        <f>HYPERLINK("https://klasma.github.io/Logging_2180/kartor/A 69255-2020 karta.png", "A 69255-2020")</f>
        <v/>
      </c>
      <c r="U153">
        <f>HYPERLINK("https://klasma.github.io/Logging_2180/knärot/A 69255-2020 karta knärot.png", "A 69255-2020")</f>
        <v/>
      </c>
      <c r="V153">
        <f>HYPERLINK("https://klasma.github.io/Logging_2180/klagomål/A 69255-2020 FSC-klagomål.docx", "A 69255-2020")</f>
        <v/>
      </c>
      <c r="W153">
        <f>HYPERLINK("https://klasma.github.io/Logging_2180/klagomålsmail/A 69255-2020 FSC-klagomål mail.docx", "A 69255-2020")</f>
        <v/>
      </c>
      <c r="X153">
        <f>HYPERLINK("https://klasma.github.io/Logging_2180/tillsyn/A 69255-2020 tillsynsbegäran.docx", "A 69255-2020")</f>
        <v/>
      </c>
      <c r="Y153">
        <f>HYPERLINK("https://klasma.github.io/Logging_2180/tillsynsmail/A 69255-2020 tillsynsbegäran mail.docx", "A 69255-2020")</f>
        <v/>
      </c>
      <c r="Z153">
        <f>HYPERLINK("https://klasma.github.io/Logging_2180/fåglar/A 69255-2020 prioriterade fågelarter.docx", "A 69255-2020")</f>
        <v/>
      </c>
    </row>
    <row r="154" ht="15" customHeight="1">
      <c r="A154" t="inlineStr">
        <is>
          <t>A 23393-2024</t>
        </is>
      </c>
      <c r="B154" s="1" t="n">
        <v>45453</v>
      </c>
      <c r="C154" s="1" t="n">
        <v>45883</v>
      </c>
      <c r="D154" t="inlineStr">
        <is>
          <t>GÄVLEBORGS LÄN</t>
        </is>
      </c>
      <c r="E154" t="inlineStr">
        <is>
          <t>LJUSDAL</t>
        </is>
      </c>
      <c r="G154" t="n">
        <v>4</v>
      </c>
      <c r="H154" t="n">
        <v>1</v>
      </c>
      <c r="I154" t="n">
        <v>0</v>
      </c>
      <c r="J154" t="n">
        <v>3</v>
      </c>
      <c r="K154" t="n">
        <v>0</v>
      </c>
      <c r="L154" t="n">
        <v>0</v>
      </c>
      <c r="M154" t="n">
        <v>0</v>
      </c>
      <c r="N154" t="n">
        <v>0</v>
      </c>
      <c r="O154" t="n">
        <v>3</v>
      </c>
      <c r="P154" t="n">
        <v>0</v>
      </c>
      <c r="Q154" t="n">
        <v>4</v>
      </c>
      <c r="R154" s="2" t="inlineStr">
        <is>
          <t>Kolflarnlav
Lunglav
Vedflamlav
Nattviol</t>
        </is>
      </c>
      <c r="S154">
        <f>HYPERLINK("https://klasma.github.io/Logging_2161/artfynd/A 23393-2024 artfynd.xlsx", "A 23393-2024")</f>
        <v/>
      </c>
      <c r="T154">
        <f>HYPERLINK("https://klasma.github.io/Logging_2161/kartor/A 23393-2024 karta.png", "A 23393-2024")</f>
        <v/>
      </c>
      <c r="V154">
        <f>HYPERLINK("https://klasma.github.io/Logging_2161/klagomål/A 23393-2024 FSC-klagomål.docx", "A 23393-2024")</f>
        <v/>
      </c>
      <c r="W154">
        <f>HYPERLINK("https://klasma.github.io/Logging_2161/klagomålsmail/A 23393-2024 FSC-klagomål mail.docx", "A 23393-2024")</f>
        <v/>
      </c>
      <c r="X154">
        <f>HYPERLINK("https://klasma.github.io/Logging_2161/tillsyn/A 23393-2024 tillsynsbegäran.docx", "A 23393-2024")</f>
        <v/>
      </c>
      <c r="Y154">
        <f>HYPERLINK("https://klasma.github.io/Logging_2161/tillsynsmail/A 23393-2024 tillsynsbegäran mail.docx", "A 23393-2024")</f>
        <v/>
      </c>
    </row>
    <row r="155" ht="15" customHeight="1">
      <c r="A155" t="inlineStr">
        <is>
          <t>A 56800-2023</t>
        </is>
      </c>
      <c r="B155" s="1" t="n">
        <v>45244</v>
      </c>
      <c r="C155" s="1" t="n">
        <v>45883</v>
      </c>
      <c r="D155" t="inlineStr">
        <is>
          <t>GÄVLEBORGS LÄN</t>
        </is>
      </c>
      <c r="E155" t="inlineStr">
        <is>
          <t>LJUSDAL</t>
        </is>
      </c>
      <c r="F155" t="inlineStr">
        <is>
          <t>Sveaskog</t>
        </is>
      </c>
      <c r="G155" t="n">
        <v>7.3</v>
      </c>
      <c r="H155" t="n">
        <v>0</v>
      </c>
      <c r="I155" t="n">
        <v>1</v>
      </c>
      <c r="J155" t="n">
        <v>2</v>
      </c>
      <c r="K155" t="n">
        <v>1</v>
      </c>
      <c r="L155" t="n">
        <v>0</v>
      </c>
      <c r="M155" t="n">
        <v>0</v>
      </c>
      <c r="N155" t="n">
        <v>0</v>
      </c>
      <c r="O155" t="n">
        <v>3</v>
      </c>
      <c r="P155" t="n">
        <v>1</v>
      </c>
      <c r="Q155" t="n">
        <v>4</v>
      </c>
      <c r="R155" s="2" t="inlineStr">
        <is>
          <t>Gräddporing
Gränsticka
Lunglav
Trådticka</t>
        </is>
      </c>
      <c r="S155">
        <f>HYPERLINK("https://klasma.github.io/Logging_2161/artfynd/A 56800-2023 artfynd.xlsx", "A 56800-2023")</f>
        <v/>
      </c>
      <c r="T155">
        <f>HYPERLINK("https://klasma.github.io/Logging_2161/kartor/A 56800-2023 karta.png", "A 56800-2023")</f>
        <v/>
      </c>
      <c r="V155">
        <f>HYPERLINK("https://klasma.github.io/Logging_2161/klagomål/A 56800-2023 FSC-klagomål.docx", "A 56800-2023")</f>
        <v/>
      </c>
      <c r="W155">
        <f>HYPERLINK("https://klasma.github.io/Logging_2161/klagomålsmail/A 56800-2023 FSC-klagomål mail.docx", "A 56800-2023")</f>
        <v/>
      </c>
      <c r="X155">
        <f>HYPERLINK("https://klasma.github.io/Logging_2161/tillsyn/A 56800-2023 tillsynsbegäran.docx", "A 56800-2023")</f>
        <v/>
      </c>
      <c r="Y155">
        <f>HYPERLINK("https://klasma.github.io/Logging_2161/tillsynsmail/A 56800-2023 tillsynsbegäran mail.docx", "A 56800-2023")</f>
        <v/>
      </c>
    </row>
    <row r="156" ht="15" customHeight="1">
      <c r="A156" t="inlineStr">
        <is>
          <t>A 64590-2020</t>
        </is>
      </c>
      <c r="B156" s="1" t="n">
        <v>44169</v>
      </c>
      <c r="C156" s="1" t="n">
        <v>45883</v>
      </c>
      <c r="D156" t="inlineStr">
        <is>
          <t>GÄVLEBORGS LÄN</t>
        </is>
      </c>
      <c r="E156" t="inlineStr">
        <is>
          <t>OCKELBO</t>
        </is>
      </c>
      <c r="F156" t="inlineStr">
        <is>
          <t>Bergvik skog väst AB</t>
        </is>
      </c>
      <c r="G156" t="n">
        <v>2.8</v>
      </c>
      <c r="H156" t="n">
        <v>1</v>
      </c>
      <c r="I156" t="n">
        <v>0</v>
      </c>
      <c r="J156" t="n">
        <v>2</v>
      </c>
      <c r="K156" t="n">
        <v>0</v>
      </c>
      <c r="L156" t="n">
        <v>0</v>
      </c>
      <c r="M156" t="n">
        <v>0</v>
      </c>
      <c r="N156" t="n">
        <v>0</v>
      </c>
      <c r="O156" t="n">
        <v>2</v>
      </c>
      <c r="P156" t="n">
        <v>0</v>
      </c>
      <c r="Q156" t="n">
        <v>3</v>
      </c>
      <c r="R156" s="2" t="inlineStr">
        <is>
          <t>Garnlav
Vedskivlav
Revlummer</t>
        </is>
      </c>
      <c r="S156">
        <f>HYPERLINK("https://klasma.github.io/Logging_2101/artfynd/A 64590-2020 artfynd.xlsx", "A 64590-2020")</f>
        <v/>
      </c>
      <c r="T156">
        <f>HYPERLINK("https://klasma.github.io/Logging_2101/kartor/A 64590-2020 karta.png", "A 64590-2020")</f>
        <v/>
      </c>
      <c r="V156">
        <f>HYPERLINK("https://klasma.github.io/Logging_2101/klagomål/A 64590-2020 FSC-klagomål.docx", "A 64590-2020")</f>
        <v/>
      </c>
      <c r="W156">
        <f>HYPERLINK("https://klasma.github.io/Logging_2101/klagomålsmail/A 64590-2020 FSC-klagomål mail.docx", "A 64590-2020")</f>
        <v/>
      </c>
      <c r="X156">
        <f>HYPERLINK("https://klasma.github.io/Logging_2101/tillsyn/A 64590-2020 tillsynsbegäran.docx", "A 64590-2020")</f>
        <v/>
      </c>
      <c r="Y156">
        <f>HYPERLINK("https://klasma.github.io/Logging_2101/tillsynsmail/A 64590-2020 tillsynsbegäran mail.docx", "A 64590-2020")</f>
        <v/>
      </c>
    </row>
    <row r="157" ht="15" customHeight="1">
      <c r="A157" t="inlineStr">
        <is>
          <t>A 21238-2021</t>
        </is>
      </c>
      <c r="B157" s="1" t="n">
        <v>44320.54625</v>
      </c>
      <c r="C157" s="1" t="n">
        <v>45883</v>
      </c>
      <c r="D157" t="inlineStr">
        <is>
          <t>GÄVLEBORGS LÄN</t>
        </is>
      </c>
      <c r="E157" t="inlineStr">
        <is>
          <t>OVANÅKER</t>
        </is>
      </c>
      <c r="F157" t="inlineStr">
        <is>
          <t>Sveaskog</t>
        </is>
      </c>
      <c r="G157" t="n">
        <v>1.7</v>
      </c>
      <c r="H157" t="n">
        <v>0</v>
      </c>
      <c r="I157" t="n">
        <v>0</v>
      </c>
      <c r="J157" t="n">
        <v>3</v>
      </c>
      <c r="K157" t="n">
        <v>0</v>
      </c>
      <c r="L157" t="n">
        <v>0</v>
      </c>
      <c r="M157" t="n">
        <v>0</v>
      </c>
      <c r="N157" t="n">
        <v>0</v>
      </c>
      <c r="O157" t="n">
        <v>3</v>
      </c>
      <c r="P157" t="n">
        <v>0</v>
      </c>
      <c r="Q157" t="n">
        <v>3</v>
      </c>
      <c r="R157" s="2" t="inlineStr">
        <is>
          <t>Dvärgbägarlav
Gammelgransskål
Kolflarnlav</t>
        </is>
      </c>
      <c r="S157">
        <f>HYPERLINK("https://klasma.github.io/Logging_2121/artfynd/A 21238-2021 artfynd.xlsx", "A 21238-2021")</f>
        <v/>
      </c>
      <c r="T157">
        <f>HYPERLINK("https://klasma.github.io/Logging_2121/kartor/A 21238-2021 karta.png", "A 21238-2021")</f>
        <v/>
      </c>
      <c r="V157">
        <f>HYPERLINK("https://klasma.github.io/Logging_2121/klagomål/A 21238-2021 FSC-klagomål.docx", "A 21238-2021")</f>
        <v/>
      </c>
      <c r="W157">
        <f>HYPERLINK("https://klasma.github.io/Logging_2121/klagomålsmail/A 21238-2021 FSC-klagomål mail.docx", "A 21238-2021")</f>
        <v/>
      </c>
      <c r="X157">
        <f>HYPERLINK("https://klasma.github.io/Logging_2121/tillsyn/A 21238-2021 tillsynsbegäran.docx", "A 21238-2021")</f>
        <v/>
      </c>
      <c r="Y157">
        <f>HYPERLINK("https://klasma.github.io/Logging_2121/tillsynsmail/A 21238-2021 tillsynsbegäran mail.docx", "A 21238-2021")</f>
        <v/>
      </c>
    </row>
    <row r="158" ht="15" customHeight="1">
      <c r="A158" t="inlineStr">
        <is>
          <t>A 60162-2020</t>
        </is>
      </c>
      <c r="B158" s="1" t="n">
        <v>44152</v>
      </c>
      <c r="C158" s="1" t="n">
        <v>45883</v>
      </c>
      <c r="D158" t="inlineStr">
        <is>
          <t>GÄVLEBORGS LÄN</t>
        </is>
      </c>
      <c r="E158" t="inlineStr">
        <is>
          <t>LJUSDAL</t>
        </is>
      </c>
      <c r="F158" t="inlineStr">
        <is>
          <t>Sveaskog</t>
        </is>
      </c>
      <c r="G158" t="n">
        <v>8.4</v>
      </c>
      <c r="H158" t="n">
        <v>0</v>
      </c>
      <c r="I158" t="n">
        <v>0</v>
      </c>
      <c r="J158" t="n">
        <v>3</v>
      </c>
      <c r="K158" t="n">
        <v>0</v>
      </c>
      <c r="L158" t="n">
        <v>0</v>
      </c>
      <c r="M158" t="n">
        <v>0</v>
      </c>
      <c r="N158" t="n">
        <v>0</v>
      </c>
      <c r="O158" t="n">
        <v>3</v>
      </c>
      <c r="P158" t="n">
        <v>0</v>
      </c>
      <c r="Q158" t="n">
        <v>3</v>
      </c>
      <c r="R158" s="2" t="inlineStr">
        <is>
          <t>Kolflarnlav
Lunglav
Skrovellav</t>
        </is>
      </c>
      <c r="S158">
        <f>HYPERLINK("https://klasma.github.io/Logging_2161/artfynd/A 60162-2020 artfynd.xlsx", "A 60162-2020")</f>
        <v/>
      </c>
      <c r="T158">
        <f>HYPERLINK("https://klasma.github.io/Logging_2161/kartor/A 60162-2020 karta.png", "A 60162-2020")</f>
        <v/>
      </c>
      <c r="V158">
        <f>HYPERLINK("https://klasma.github.io/Logging_2161/klagomål/A 60162-2020 FSC-klagomål.docx", "A 60162-2020")</f>
        <v/>
      </c>
      <c r="W158">
        <f>HYPERLINK("https://klasma.github.io/Logging_2161/klagomålsmail/A 60162-2020 FSC-klagomål mail.docx", "A 60162-2020")</f>
        <v/>
      </c>
      <c r="X158">
        <f>HYPERLINK("https://klasma.github.io/Logging_2161/tillsyn/A 60162-2020 tillsynsbegäran.docx", "A 60162-2020")</f>
        <v/>
      </c>
      <c r="Y158">
        <f>HYPERLINK("https://klasma.github.io/Logging_2161/tillsynsmail/A 60162-2020 tillsynsbegäran mail.docx", "A 60162-2020")</f>
        <v/>
      </c>
    </row>
    <row r="159" ht="15" customHeight="1">
      <c r="A159" t="inlineStr">
        <is>
          <t>A 8446-2022</t>
        </is>
      </c>
      <c r="B159" s="1" t="n">
        <v>44612.75920138889</v>
      </c>
      <c r="C159" s="1" t="n">
        <v>45883</v>
      </c>
      <c r="D159" t="inlineStr">
        <is>
          <t>GÄVLEBORGS LÄN</t>
        </is>
      </c>
      <c r="E159" t="inlineStr">
        <is>
          <t>HUDIKSVALL</t>
        </is>
      </c>
      <c r="G159" t="n">
        <v>5.4</v>
      </c>
      <c r="H159" t="n">
        <v>3</v>
      </c>
      <c r="I159" t="n">
        <v>0</v>
      </c>
      <c r="J159" t="n">
        <v>0</v>
      </c>
      <c r="K159" t="n">
        <v>0</v>
      </c>
      <c r="L159" t="n">
        <v>0</v>
      </c>
      <c r="M159" t="n">
        <v>0</v>
      </c>
      <c r="N159" t="n">
        <v>0</v>
      </c>
      <c r="O159" t="n">
        <v>0</v>
      </c>
      <c r="P159" t="n">
        <v>0</v>
      </c>
      <c r="Q159" t="n">
        <v>3</v>
      </c>
      <c r="R159" s="2" t="inlineStr">
        <is>
          <t>Fläcknycklar
Nattviol
Blåsippa</t>
        </is>
      </c>
      <c r="S159">
        <f>HYPERLINK("https://klasma.github.io/Logging_2184/artfynd/A 8446-2022 artfynd.xlsx", "A 8446-2022")</f>
        <v/>
      </c>
      <c r="T159">
        <f>HYPERLINK("https://klasma.github.io/Logging_2184/kartor/A 8446-2022 karta.png", "A 8446-2022")</f>
        <v/>
      </c>
      <c r="V159">
        <f>HYPERLINK("https://klasma.github.io/Logging_2184/klagomål/A 8446-2022 FSC-klagomål.docx", "A 8446-2022")</f>
        <v/>
      </c>
      <c r="W159">
        <f>HYPERLINK("https://klasma.github.io/Logging_2184/klagomålsmail/A 8446-2022 FSC-klagomål mail.docx", "A 8446-2022")</f>
        <v/>
      </c>
      <c r="X159">
        <f>HYPERLINK("https://klasma.github.io/Logging_2184/tillsyn/A 8446-2022 tillsynsbegäran.docx", "A 8446-2022")</f>
        <v/>
      </c>
      <c r="Y159">
        <f>HYPERLINK("https://klasma.github.io/Logging_2184/tillsynsmail/A 8446-2022 tillsynsbegäran mail.docx", "A 8446-2022")</f>
        <v/>
      </c>
    </row>
    <row r="160" ht="15" customHeight="1">
      <c r="A160" t="inlineStr">
        <is>
          <t>A 33783-2023</t>
        </is>
      </c>
      <c r="B160" s="1" t="n">
        <v>45133.528125</v>
      </c>
      <c r="C160" s="1" t="n">
        <v>45883</v>
      </c>
      <c r="D160" t="inlineStr">
        <is>
          <t>GÄVLEBORGS LÄN</t>
        </is>
      </c>
      <c r="E160" t="inlineStr">
        <is>
          <t>HUDIKSVALL</t>
        </is>
      </c>
      <c r="F160" t="inlineStr">
        <is>
          <t>Holmen skog AB</t>
        </is>
      </c>
      <c r="G160" t="n">
        <v>2.6</v>
      </c>
      <c r="H160" t="n">
        <v>0</v>
      </c>
      <c r="I160" t="n">
        <v>1</v>
      </c>
      <c r="J160" t="n">
        <v>2</v>
      </c>
      <c r="K160" t="n">
        <v>0</v>
      </c>
      <c r="L160" t="n">
        <v>0</v>
      </c>
      <c r="M160" t="n">
        <v>0</v>
      </c>
      <c r="N160" t="n">
        <v>0</v>
      </c>
      <c r="O160" t="n">
        <v>2</v>
      </c>
      <c r="P160" t="n">
        <v>0</v>
      </c>
      <c r="Q160" t="n">
        <v>3</v>
      </c>
      <c r="R160" s="2" t="inlineStr">
        <is>
          <t>Garnlav
Lunglav
Stuplav</t>
        </is>
      </c>
      <c r="S160">
        <f>HYPERLINK("https://klasma.github.io/Logging_2184/artfynd/A 33783-2023 artfynd.xlsx", "A 33783-2023")</f>
        <v/>
      </c>
      <c r="T160">
        <f>HYPERLINK("https://klasma.github.io/Logging_2184/kartor/A 33783-2023 karta.png", "A 33783-2023")</f>
        <v/>
      </c>
      <c r="V160">
        <f>HYPERLINK("https://klasma.github.io/Logging_2184/klagomål/A 33783-2023 FSC-klagomål.docx", "A 33783-2023")</f>
        <v/>
      </c>
      <c r="W160">
        <f>HYPERLINK("https://klasma.github.io/Logging_2184/klagomålsmail/A 33783-2023 FSC-klagomål mail.docx", "A 33783-2023")</f>
        <v/>
      </c>
      <c r="X160">
        <f>HYPERLINK("https://klasma.github.io/Logging_2184/tillsyn/A 33783-2023 tillsynsbegäran.docx", "A 33783-2023")</f>
        <v/>
      </c>
      <c r="Y160">
        <f>HYPERLINK("https://klasma.github.io/Logging_2184/tillsynsmail/A 33783-2023 tillsynsbegäran mail.docx", "A 33783-2023")</f>
        <v/>
      </c>
    </row>
    <row r="161" ht="15" customHeight="1">
      <c r="A161" t="inlineStr">
        <is>
          <t>A 20381-2024</t>
        </is>
      </c>
      <c r="B161" s="1" t="n">
        <v>45435.50144675926</v>
      </c>
      <c r="C161" s="1" t="n">
        <v>45883</v>
      </c>
      <c r="D161" t="inlineStr">
        <is>
          <t>GÄVLEBORGS LÄN</t>
        </is>
      </c>
      <c r="E161" t="inlineStr">
        <is>
          <t>LJUSDAL</t>
        </is>
      </c>
      <c r="F161" t="inlineStr">
        <is>
          <t>Sveaskog</t>
        </is>
      </c>
      <c r="G161" t="n">
        <v>10.8</v>
      </c>
      <c r="H161" t="n">
        <v>2</v>
      </c>
      <c r="I161" t="n">
        <v>0</v>
      </c>
      <c r="J161" t="n">
        <v>1</v>
      </c>
      <c r="K161" t="n">
        <v>1</v>
      </c>
      <c r="L161" t="n">
        <v>0</v>
      </c>
      <c r="M161" t="n">
        <v>0</v>
      </c>
      <c r="N161" t="n">
        <v>0</v>
      </c>
      <c r="O161" t="n">
        <v>2</v>
      </c>
      <c r="P161" t="n">
        <v>1</v>
      </c>
      <c r="Q161" t="n">
        <v>3</v>
      </c>
      <c r="R161" s="2" t="inlineStr">
        <is>
          <t>Knärot
Garnlav
Fläcknycklar</t>
        </is>
      </c>
      <c r="S161">
        <f>HYPERLINK("https://klasma.github.io/Logging_2161/artfynd/A 20381-2024 artfynd.xlsx", "A 20381-2024")</f>
        <v/>
      </c>
      <c r="T161">
        <f>HYPERLINK("https://klasma.github.io/Logging_2161/kartor/A 20381-2024 karta.png", "A 20381-2024")</f>
        <v/>
      </c>
      <c r="U161">
        <f>HYPERLINK("https://klasma.github.io/Logging_2161/knärot/A 20381-2024 karta knärot.png", "A 20381-2024")</f>
        <v/>
      </c>
      <c r="V161">
        <f>HYPERLINK("https://klasma.github.io/Logging_2161/klagomål/A 20381-2024 FSC-klagomål.docx", "A 20381-2024")</f>
        <v/>
      </c>
      <c r="W161">
        <f>HYPERLINK("https://klasma.github.io/Logging_2161/klagomålsmail/A 20381-2024 FSC-klagomål mail.docx", "A 20381-2024")</f>
        <v/>
      </c>
      <c r="X161">
        <f>HYPERLINK("https://klasma.github.io/Logging_2161/tillsyn/A 20381-2024 tillsynsbegäran.docx", "A 20381-2024")</f>
        <v/>
      </c>
      <c r="Y161">
        <f>HYPERLINK("https://klasma.github.io/Logging_2161/tillsynsmail/A 20381-2024 tillsynsbegäran mail.docx", "A 20381-2024")</f>
        <v/>
      </c>
    </row>
    <row r="162" ht="15" customHeight="1">
      <c r="A162" t="inlineStr">
        <is>
          <t>A 10436-2022</t>
        </is>
      </c>
      <c r="B162" s="1" t="n">
        <v>44623</v>
      </c>
      <c r="C162" s="1" t="n">
        <v>45883</v>
      </c>
      <c r="D162" t="inlineStr">
        <is>
          <t>GÄVLEBORGS LÄN</t>
        </is>
      </c>
      <c r="E162" t="inlineStr">
        <is>
          <t>HOFORS</t>
        </is>
      </c>
      <c r="G162" t="n">
        <v>6.3</v>
      </c>
      <c r="H162" t="n">
        <v>1</v>
      </c>
      <c r="I162" t="n">
        <v>2</v>
      </c>
      <c r="J162" t="n">
        <v>0</v>
      </c>
      <c r="K162" t="n">
        <v>1</v>
      </c>
      <c r="L162" t="n">
        <v>0</v>
      </c>
      <c r="M162" t="n">
        <v>0</v>
      </c>
      <c r="N162" t="n">
        <v>0</v>
      </c>
      <c r="O162" t="n">
        <v>1</v>
      </c>
      <c r="P162" t="n">
        <v>1</v>
      </c>
      <c r="Q162" t="n">
        <v>3</v>
      </c>
      <c r="R162" s="2" t="inlineStr">
        <is>
          <t>Knärot
Björksplintborre
Vedticka</t>
        </is>
      </c>
      <c r="S162">
        <f>HYPERLINK("https://klasma.github.io/Logging_2104/artfynd/A 10436-2022 artfynd.xlsx", "A 10436-2022")</f>
        <v/>
      </c>
      <c r="T162">
        <f>HYPERLINK("https://klasma.github.io/Logging_2104/kartor/A 10436-2022 karta.png", "A 10436-2022")</f>
        <v/>
      </c>
      <c r="U162">
        <f>HYPERLINK("https://klasma.github.io/Logging_2104/knärot/A 10436-2022 karta knärot.png", "A 10436-2022")</f>
        <v/>
      </c>
      <c r="V162">
        <f>HYPERLINK("https://klasma.github.io/Logging_2104/klagomål/A 10436-2022 FSC-klagomål.docx", "A 10436-2022")</f>
        <v/>
      </c>
      <c r="W162">
        <f>HYPERLINK("https://klasma.github.io/Logging_2104/klagomålsmail/A 10436-2022 FSC-klagomål mail.docx", "A 10436-2022")</f>
        <v/>
      </c>
      <c r="X162">
        <f>HYPERLINK("https://klasma.github.io/Logging_2104/tillsyn/A 10436-2022 tillsynsbegäran.docx", "A 10436-2022")</f>
        <v/>
      </c>
      <c r="Y162">
        <f>HYPERLINK("https://klasma.github.io/Logging_2104/tillsynsmail/A 10436-2022 tillsynsbegäran mail.docx", "A 10436-2022")</f>
        <v/>
      </c>
    </row>
    <row r="163" ht="15" customHeight="1">
      <c r="A163" t="inlineStr">
        <is>
          <t>A 22229-2024</t>
        </is>
      </c>
      <c r="B163" s="1" t="n">
        <v>45446.42638888889</v>
      </c>
      <c r="C163" s="1" t="n">
        <v>45883</v>
      </c>
      <c r="D163" t="inlineStr">
        <is>
          <t>GÄVLEBORGS LÄN</t>
        </is>
      </c>
      <c r="E163" t="inlineStr">
        <is>
          <t>LJUSDAL</t>
        </is>
      </c>
      <c r="F163" t="inlineStr">
        <is>
          <t>Sveaskog</t>
        </is>
      </c>
      <c r="G163" t="n">
        <v>4.2</v>
      </c>
      <c r="H163" t="n">
        <v>2</v>
      </c>
      <c r="I163" t="n">
        <v>0</v>
      </c>
      <c r="J163" t="n">
        <v>2</v>
      </c>
      <c r="K163" t="n">
        <v>1</v>
      </c>
      <c r="L163" t="n">
        <v>0</v>
      </c>
      <c r="M163" t="n">
        <v>0</v>
      </c>
      <c r="N163" t="n">
        <v>0</v>
      </c>
      <c r="O163" t="n">
        <v>3</v>
      </c>
      <c r="P163" t="n">
        <v>1</v>
      </c>
      <c r="Q163" t="n">
        <v>3</v>
      </c>
      <c r="R163" s="2" t="inlineStr">
        <is>
          <t>Topplåsbräken
Höstlåsbräken
Månlåsbräken</t>
        </is>
      </c>
      <c r="S163">
        <f>HYPERLINK("https://klasma.github.io/Logging_2161/artfynd/A 22229-2024 artfynd.xlsx", "A 22229-2024")</f>
        <v/>
      </c>
      <c r="T163">
        <f>HYPERLINK("https://klasma.github.io/Logging_2161/kartor/A 22229-2024 karta.png", "A 22229-2024")</f>
        <v/>
      </c>
      <c r="V163">
        <f>HYPERLINK("https://klasma.github.io/Logging_2161/klagomål/A 22229-2024 FSC-klagomål.docx", "A 22229-2024")</f>
        <v/>
      </c>
      <c r="W163">
        <f>HYPERLINK("https://klasma.github.io/Logging_2161/klagomålsmail/A 22229-2024 FSC-klagomål mail.docx", "A 22229-2024")</f>
        <v/>
      </c>
      <c r="X163">
        <f>HYPERLINK("https://klasma.github.io/Logging_2161/tillsyn/A 22229-2024 tillsynsbegäran.docx", "A 22229-2024")</f>
        <v/>
      </c>
      <c r="Y163">
        <f>HYPERLINK("https://klasma.github.io/Logging_2161/tillsynsmail/A 22229-2024 tillsynsbegäran mail.docx", "A 22229-2024")</f>
        <v/>
      </c>
    </row>
    <row r="164" ht="15" customHeight="1">
      <c r="A164" t="inlineStr">
        <is>
          <t>A 23161-2023</t>
        </is>
      </c>
      <c r="B164" s="1" t="n">
        <v>45075</v>
      </c>
      <c r="C164" s="1" t="n">
        <v>45883</v>
      </c>
      <c r="D164" t="inlineStr">
        <is>
          <t>GÄVLEBORGS LÄN</t>
        </is>
      </c>
      <c r="E164" t="inlineStr">
        <is>
          <t>SANDVIKEN</t>
        </is>
      </c>
      <c r="F164" t="inlineStr">
        <is>
          <t>Bergvik skog öst AB</t>
        </is>
      </c>
      <c r="G164" t="n">
        <v>6.1</v>
      </c>
      <c r="H164" t="n">
        <v>0</v>
      </c>
      <c r="I164" t="n">
        <v>3</v>
      </c>
      <c r="J164" t="n">
        <v>0</v>
      </c>
      <c r="K164" t="n">
        <v>0</v>
      </c>
      <c r="L164" t="n">
        <v>0</v>
      </c>
      <c r="M164" t="n">
        <v>0</v>
      </c>
      <c r="N164" t="n">
        <v>0</v>
      </c>
      <c r="O164" t="n">
        <v>0</v>
      </c>
      <c r="P164" t="n">
        <v>0</v>
      </c>
      <c r="Q164" t="n">
        <v>3</v>
      </c>
      <c r="R164" s="2" t="inlineStr">
        <is>
          <t>Brandticka
Slanklav
Stubbspretmossa</t>
        </is>
      </c>
      <c r="S164">
        <f>HYPERLINK("https://klasma.github.io/Logging_2181/artfynd/A 23161-2023 artfynd.xlsx", "A 23161-2023")</f>
        <v/>
      </c>
      <c r="T164">
        <f>HYPERLINK("https://klasma.github.io/Logging_2181/kartor/A 23161-2023 karta.png", "A 23161-2023")</f>
        <v/>
      </c>
      <c r="V164">
        <f>HYPERLINK("https://klasma.github.io/Logging_2181/klagomål/A 23161-2023 FSC-klagomål.docx", "A 23161-2023")</f>
        <v/>
      </c>
      <c r="W164">
        <f>HYPERLINK("https://klasma.github.io/Logging_2181/klagomålsmail/A 23161-2023 FSC-klagomål mail.docx", "A 23161-2023")</f>
        <v/>
      </c>
      <c r="X164">
        <f>HYPERLINK("https://klasma.github.io/Logging_2181/tillsyn/A 23161-2023 tillsynsbegäran.docx", "A 23161-2023")</f>
        <v/>
      </c>
      <c r="Y164">
        <f>HYPERLINK("https://klasma.github.io/Logging_2181/tillsynsmail/A 23161-2023 tillsynsbegäran mail.docx", "A 23161-2023")</f>
        <v/>
      </c>
    </row>
    <row r="165" ht="15" customHeight="1">
      <c r="A165" t="inlineStr">
        <is>
          <t>A 22239-2024</t>
        </is>
      </c>
      <c r="B165" s="1" t="n">
        <v>45446.44012731482</v>
      </c>
      <c r="C165" s="1" t="n">
        <v>45883</v>
      </c>
      <c r="D165" t="inlineStr">
        <is>
          <t>GÄVLEBORGS LÄN</t>
        </is>
      </c>
      <c r="E165" t="inlineStr">
        <is>
          <t>LJUSDAL</t>
        </is>
      </c>
      <c r="F165" t="inlineStr">
        <is>
          <t>Sveaskog</t>
        </is>
      </c>
      <c r="G165" t="n">
        <v>4.4</v>
      </c>
      <c r="H165" t="n">
        <v>0</v>
      </c>
      <c r="I165" t="n">
        <v>0</v>
      </c>
      <c r="J165" t="n">
        <v>3</v>
      </c>
      <c r="K165" t="n">
        <v>0</v>
      </c>
      <c r="L165" t="n">
        <v>0</v>
      </c>
      <c r="M165" t="n">
        <v>0</v>
      </c>
      <c r="N165" t="n">
        <v>0</v>
      </c>
      <c r="O165" t="n">
        <v>3</v>
      </c>
      <c r="P165" t="n">
        <v>0</v>
      </c>
      <c r="Q165" t="n">
        <v>3</v>
      </c>
      <c r="R165" s="2" t="inlineStr">
        <is>
          <t>Kolflarnlav
Vedflamlav
Vedskivlav</t>
        </is>
      </c>
      <c r="S165">
        <f>HYPERLINK("https://klasma.github.io/Logging_2161/artfynd/A 22239-2024 artfynd.xlsx", "A 22239-2024")</f>
        <v/>
      </c>
      <c r="T165">
        <f>HYPERLINK("https://klasma.github.io/Logging_2161/kartor/A 22239-2024 karta.png", "A 22239-2024")</f>
        <v/>
      </c>
      <c r="V165">
        <f>HYPERLINK("https://klasma.github.io/Logging_2161/klagomål/A 22239-2024 FSC-klagomål.docx", "A 22239-2024")</f>
        <v/>
      </c>
      <c r="W165">
        <f>HYPERLINK("https://klasma.github.io/Logging_2161/klagomålsmail/A 22239-2024 FSC-klagomål mail.docx", "A 22239-2024")</f>
        <v/>
      </c>
      <c r="X165">
        <f>HYPERLINK("https://klasma.github.io/Logging_2161/tillsyn/A 22239-2024 tillsynsbegäran.docx", "A 22239-2024")</f>
        <v/>
      </c>
      <c r="Y165">
        <f>HYPERLINK("https://klasma.github.io/Logging_2161/tillsynsmail/A 22239-2024 tillsynsbegäran mail.docx", "A 22239-2024")</f>
        <v/>
      </c>
    </row>
    <row r="166" ht="15" customHeight="1">
      <c r="A166" t="inlineStr">
        <is>
          <t>A 36627-2024</t>
        </is>
      </c>
      <c r="B166" s="1" t="n">
        <v>45537</v>
      </c>
      <c r="C166" s="1" t="n">
        <v>45883</v>
      </c>
      <c r="D166" t="inlineStr">
        <is>
          <t>GÄVLEBORGS LÄN</t>
        </is>
      </c>
      <c r="E166" t="inlineStr">
        <is>
          <t>LJUSDAL</t>
        </is>
      </c>
      <c r="F166" t="inlineStr">
        <is>
          <t>Sveaskog</t>
        </is>
      </c>
      <c r="G166" t="n">
        <v>11.8</v>
      </c>
      <c r="H166" t="n">
        <v>0</v>
      </c>
      <c r="I166" t="n">
        <v>0</v>
      </c>
      <c r="J166" t="n">
        <v>3</v>
      </c>
      <c r="K166" t="n">
        <v>0</v>
      </c>
      <c r="L166" t="n">
        <v>0</v>
      </c>
      <c r="M166" t="n">
        <v>0</v>
      </c>
      <c r="N166" t="n">
        <v>0</v>
      </c>
      <c r="O166" t="n">
        <v>3</v>
      </c>
      <c r="P166" t="n">
        <v>0</v>
      </c>
      <c r="Q166" t="n">
        <v>3</v>
      </c>
      <c r="R166" s="2" t="inlineStr">
        <is>
          <t>Garnlav
Kolflarnlav
Mörk kolflarnlav</t>
        </is>
      </c>
      <c r="S166">
        <f>HYPERLINK("https://klasma.github.io/Logging_2161/artfynd/A 36627-2024 artfynd.xlsx", "A 36627-2024")</f>
        <v/>
      </c>
      <c r="T166">
        <f>HYPERLINK("https://klasma.github.io/Logging_2161/kartor/A 36627-2024 karta.png", "A 36627-2024")</f>
        <v/>
      </c>
      <c r="V166">
        <f>HYPERLINK("https://klasma.github.io/Logging_2161/klagomål/A 36627-2024 FSC-klagomål.docx", "A 36627-2024")</f>
        <v/>
      </c>
      <c r="W166">
        <f>HYPERLINK("https://klasma.github.io/Logging_2161/klagomålsmail/A 36627-2024 FSC-klagomål mail.docx", "A 36627-2024")</f>
        <v/>
      </c>
      <c r="X166">
        <f>HYPERLINK("https://klasma.github.io/Logging_2161/tillsyn/A 36627-2024 tillsynsbegäran.docx", "A 36627-2024")</f>
        <v/>
      </c>
      <c r="Y166">
        <f>HYPERLINK("https://klasma.github.io/Logging_2161/tillsynsmail/A 36627-2024 tillsynsbegäran mail.docx", "A 36627-2024")</f>
        <v/>
      </c>
    </row>
    <row r="167" ht="15" customHeight="1">
      <c r="A167" t="inlineStr">
        <is>
          <t>A 56674-2020</t>
        </is>
      </c>
      <c r="B167" s="1" t="n">
        <v>44137</v>
      </c>
      <c r="C167" s="1" t="n">
        <v>45883</v>
      </c>
      <c r="D167" t="inlineStr">
        <is>
          <t>GÄVLEBORGS LÄN</t>
        </is>
      </c>
      <c r="E167" t="inlineStr">
        <is>
          <t>LJUSDAL</t>
        </is>
      </c>
      <c r="G167" t="n">
        <v>11</v>
      </c>
      <c r="H167" t="n">
        <v>1</v>
      </c>
      <c r="I167" t="n">
        <v>2</v>
      </c>
      <c r="J167" t="n">
        <v>0</v>
      </c>
      <c r="K167" t="n">
        <v>1</v>
      </c>
      <c r="L167" t="n">
        <v>0</v>
      </c>
      <c r="M167" t="n">
        <v>0</v>
      </c>
      <c r="N167" t="n">
        <v>0</v>
      </c>
      <c r="O167" t="n">
        <v>1</v>
      </c>
      <c r="P167" t="n">
        <v>1</v>
      </c>
      <c r="Q167" t="n">
        <v>3</v>
      </c>
      <c r="R167" s="2" t="inlineStr">
        <is>
          <t>Knärot
Korallblylav
Mörk husmossa</t>
        </is>
      </c>
      <c r="S167">
        <f>HYPERLINK("https://klasma.github.io/Logging_2161/artfynd/A 56674-2020 artfynd.xlsx", "A 56674-2020")</f>
        <v/>
      </c>
      <c r="T167">
        <f>HYPERLINK("https://klasma.github.io/Logging_2161/kartor/A 56674-2020 karta.png", "A 56674-2020")</f>
        <v/>
      </c>
      <c r="U167">
        <f>HYPERLINK("https://klasma.github.io/Logging_2161/knärot/A 56674-2020 karta knärot.png", "A 56674-2020")</f>
        <v/>
      </c>
      <c r="V167">
        <f>HYPERLINK("https://klasma.github.io/Logging_2161/klagomål/A 56674-2020 FSC-klagomål.docx", "A 56674-2020")</f>
        <v/>
      </c>
      <c r="W167">
        <f>HYPERLINK("https://klasma.github.io/Logging_2161/klagomålsmail/A 56674-2020 FSC-klagomål mail.docx", "A 56674-2020")</f>
        <v/>
      </c>
      <c r="X167">
        <f>HYPERLINK("https://klasma.github.io/Logging_2161/tillsyn/A 56674-2020 tillsynsbegäran.docx", "A 56674-2020")</f>
        <v/>
      </c>
      <c r="Y167">
        <f>HYPERLINK("https://klasma.github.io/Logging_2161/tillsynsmail/A 56674-2020 tillsynsbegäran mail.docx", "A 56674-2020")</f>
        <v/>
      </c>
    </row>
    <row r="168" ht="15" customHeight="1">
      <c r="A168" t="inlineStr">
        <is>
          <t>A 36629-2024</t>
        </is>
      </c>
      <c r="B168" s="1" t="n">
        <v>45537</v>
      </c>
      <c r="C168" s="1" t="n">
        <v>45883</v>
      </c>
      <c r="D168" t="inlineStr">
        <is>
          <t>GÄVLEBORGS LÄN</t>
        </is>
      </c>
      <c r="E168" t="inlineStr">
        <is>
          <t>LJUSDAL</t>
        </is>
      </c>
      <c r="F168" t="inlineStr">
        <is>
          <t>Sveaskog</t>
        </is>
      </c>
      <c r="G168" t="n">
        <v>1.1</v>
      </c>
      <c r="H168" t="n">
        <v>0</v>
      </c>
      <c r="I168" t="n">
        <v>0</v>
      </c>
      <c r="J168" t="n">
        <v>3</v>
      </c>
      <c r="K168" t="n">
        <v>0</v>
      </c>
      <c r="L168" t="n">
        <v>0</v>
      </c>
      <c r="M168" t="n">
        <v>0</v>
      </c>
      <c r="N168" t="n">
        <v>0</v>
      </c>
      <c r="O168" t="n">
        <v>3</v>
      </c>
      <c r="P168" t="n">
        <v>0</v>
      </c>
      <c r="Q168" t="n">
        <v>3</v>
      </c>
      <c r="R168" s="2" t="inlineStr">
        <is>
          <t>Garnlav
Kolflarnlav
Mörk kolflarnlav</t>
        </is>
      </c>
      <c r="S168">
        <f>HYPERLINK("https://klasma.github.io/Logging_2161/artfynd/A 36629-2024 artfynd.xlsx", "A 36629-2024")</f>
        <v/>
      </c>
      <c r="T168">
        <f>HYPERLINK("https://klasma.github.io/Logging_2161/kartor/A 36629-2024 karta.png", "A 36629-2024")</f>
        <v/>
      </c>
      <c r="V168">
        <f>HYPERLINK("https://klasma.github.io/Logging_2161/klagomål/A 36629-2024 FSC-klagomål.docx", "A 36629-2024")</f>
        <v/>
      </c>
      <c r="W168">
        <f>HYPERLINK("https://klasma.github.io/Logging_2161/klagomålsmail/A 36629-2024 FSC-klagomål mail.docx", "A 36629-2024")</f>
        <v/>
      </c>
      <c r="X168">
        <f>HYPERLINK("https://klasma.github.io/Logging_2161/tillsyn/A 36629-2024 tillsynsbegäran.docx", "A 36629-2024")</f>
        <v/>
      </c>
      <c r="Y168">
        <f>HYPERLINK("https://klasma.github.io/Logging_2161/tillsynsmail/A 36629-2024 tillsynsbegäran mail.docx", "A 36629-2024")</f>
        <v/>
      </c>
    </row>
    <row r="169" ht="15" customHeight="1">
      <c r="A169" t="inlineStr">
        <is>
          <t>A 31473-2023</t>
        </is>
      </c>
      <c r="B169" s="1" t="n">
        <v>45114</v>
      </c>
      <c r="C169" s="1" t="n">
        <v>45883</v>
      </c>
      <c r="D169" t="inlineStr">
        <is>
          <t>GÄVLEBORGS LÄN</t>
        </is>
      </c>
      <c r="E169" t="inlineStr">
        <is>
          <t>LJUSDAL</t>
        </is>
      </c>
      <c r="F169" t="inlineStr">
        <is>
          <t>Sveaskog</t>
        </is>
      </c>
      <c r="G169" t="n">
        <v>15.5</v>
      </c>
      <c r="H169" t="n">
        <v>1</v>
      </c>
      <c r="I169" t="n">
        <v>1</v>
      </c>
      <c r="J169" t="n">
        <v>2</v>
      </c>
      <c r="K169" t="n">
        <v>0</v>
      </c>
      <c r="L169" t="n">
        <v>0</v>
      </c>
      <c r="M169" t="n">
        <v>0</v>
      </c>
      <c r="N169" t="n">
        <v>0</v>
      </c>
      <c r="O169" t="n">
        <v>2</v>
      </c>
      <c r="P169" t="n">
        <v>0</v>
      </c>
      <c r="Q169" t="n">
        <v>3</v>
      </c>
      <c r="R169" s="2" t="inlineStr">
        <is>
          <t>Kolflarnlav
Lunglav
Plattlummer</t>
        </is>
      </c>
      <c r="S169">
        <f>HYPERLINK("https://klasma.github.io/Logging_2161/artfynd/A 31473-2023 artfynd.xlsx", "A 31473-2023")</f>
        <v/>
      </c>
      <c r="T169">
        <f>HYPERLINK("https://klasma.github.io/Logging_2161/kartor/A 31473-2023 karta.png", "A 31473-2023")</f>
        <v/>
      </c>
      <c r="V169">
        <f>HYPERLINK("https://klasma.github.io/Logging_2161/klagomål/A 31473-2023 FSC-klagomål.docx", "A 31473-2023")</f>
        <v/>
      </c>
      <c r="W169">
        <f>HYPERLINK("https://klasma.github.io/Logging_2161/klagomålsmail/A 31473-2023 FSC-klagomål mail.docx", "A 31473-2023")</f>
        <v/>
      </c>
      <c r="X169">
        <f>HYPERLINK("https://klasma.github.io/Logging_2161/tillsyn/A 31473-2023 tillsynsbegäran.docx", "A 31473-2023")</f>
        <v/>
      </c>
      <c r="Y169">
        <f>HYPERLINK("https://klasma.github.io/Logging_2161/tillsynsmail/A 31473-2023 tillsynsbegäran mail.docx", "A 31473-2023")</f>
        <v/>
      </c>
    </row>
    <row r="170" ht="15" customHeight="1">
      <c r="A170" t="inlineStr">
        <is>
          <t>A 24802-2023</t>
        </is>
      </c>
      <c r="B170" s="1" t="n">
        <v>45084</v>
      </c>
      <c r="C170" s="1" t="n">
        <v>45883</v>
      </c>
      <c r="D170" t="inlineStr">
        <is>
          <t>GÄVLEBORGS LÄN</t>
        </is>
      </c>
      <c r="E170" t="inlineStr">
        <is>
          <t>SANDVIKEN</t>
        </is>
      </c>
      <c r="F170" t="inlineStr">
        <is>
          <t>Bergvik skog öst AB</t>
        </is>
      </c>
      <c r="G170" t="n">
        <v>3</v>
      </c>
      <c r="H170" t="n">
        <v>0</v>
      </c>
      <c r="I170" t="n">
        <v>2</v>
      </c>
      <c r="J170" t="n">
        <v>1</v>
      </c>
      <c r="K170" t="n">
        <v>0</v>
      </c>
      <c r="L170" t="n">
        <v>0</v>
      </c>
      <c r="M170" t="n">
        <v>0</v>
      </c>
      <c r="N170" t="n">
        <v>0</v>
      </c>
      <c r="O170" t="n">
        <v>1</v>
      </c>
      <c r="P170" t="n">
        <v>0</v>
      </c>
      <c r="Q170" t="n">
        <v>3</v>
      </c>
      <c r="R170" s="2" t="inlineStr">
        <is>
          <t>Koralltaggsvamp
Brandticka
Svart trolldruva</t>
        </is>
      </c>
      <c r="S170">
        <f>HYPERLINK("https://klasma.github.io/Logging_2181/artfynd/A 24802-2023 artfynd.xlsx", "A 24802-2023")</f>
        <v/>
      </c>
      <c r="T170">
        <f>HYPERLINK("https://klasma.github.io/Logging_2181/kartor/A 24802-2023 karta.png", "A 24802-2023")</f>
        <v/>
      </c>
      <c r="V170">
        <f>HYPERLINK("https://klasma.github.io/Logging_2181/klagomål/A 24802-2023 FSC-klagomål.docx", "A 24802-2023")</f>
        <v/>
      </c>
      <c r="W170">
        <f>HYPERLINK("https://klasma.github.io/Logging_2181/klagomålsmail/A 24802-2023 FSC-klagomål mail.docx", "A 24802-2023")</f>
        <v/>
      </c>
      <c r="X170">
        <f>HYPERLINK("https://klasma.github.io/Logging_2181/tillsyn/A 24802-2023 tillsynsbegäran.docx", "A 24802-2023")</f>
        <v/>
      </c>
      <c r="Y170">
        <f>HYPERLINK("https://klasma.github.io/Logging_2181/tillsynsmail/A 24802-2023 tillsynsbegäran mail.docx", "A 24802-2023")</f>
        <v/>
      </c>
    </row>
    <row r="171" ht="15" customHeight="1">
      <c r="A171" t="inlineStr">
        <is>
          <t>A 30610-2023</t>
        </is>
      </c>
      <c r="B171" s="1" t="n">
        <v>45112.40128472223</v>
      </c>
      <c r="C171" s="1" t="n">
        <v>45883</v>
      </c>
      <c r="D171" t="inlineStr">
        <is>
          <t>GÄVLEBORGS LÄN</t>
        </is>
      </c>
      <c r="E171" t="inlineStr">
        <is>
          <t>LJUSDAL</t>
        </is>
      </c>
      <c r="F171" t="inlineStr">
        <is>
          <t>Sveaskog</t>
        </is>
      </c>
      <c r="G171" t="n">
        <v>3.2</v>
      </c>
      <c r="H171" t="n">
        <v>2</v>
      </c>
      <c r="I171" t="n">
        <v>0</v>
      </c>
      <c r="J171" t="n">
        <v>2</v>
      </c>
      <c r="K171" t="n">
        <v>1</v>
      </c>
      <c r="L171" t="n">
        <v>0</v>
      </c>
      <c r="M171" t="n">
        <v>0</v>
      </c>
      <c r="N171" t="n">
        <v>0</v>
      </c>
      <c r="O171" t="n">
        <v>3</v>
      </c>
      <c r="P171" t="n">
        <v>1</v>
      </c>
      <c r="Q171" t="n">
        <v>3</v>
      </c>
      <c r="R171" s="2" t="inlineStr">
        <is>
          <t>Knärot
Knottrig blåslav
Talltita</t>
        </is>
      </c>
      <c r="S171">
        <f>HYPERLINK("https://klasma.github.io/Logging_2161/artfynd/A 30610-2023 artfynd.xlsx", "A 30610-2023")</f>
        <v/>
      </c>
      <c r="T171">
        <f>HYPERLINK("https://klasma.github.io/Logging_2161/kartor/A 30610-2023 karta.png", "A 30610-2023")</f>
        <v/>
      </c>
      <c r="U171">
        <f>HYPERLINK("https://klasma.github.io/Logging_2161/knärot/A 30610-2023 karta knärot.png", "A 30610-2023")</f>
        <v/>
      </c>
      <c r="V171">
        <f>HYPERLINK("https://klasma.github.io/Logging_2161/klagomål/A 30610-2023 FSC-klagomål.docx", "A 30610-2023")</f>
        <v/>
      </c>
      <c r="W171">
        <f>HYPERLINK("https://klasma.github.io/Logging_2161/klagomålsmail/A 30610-2023 FSC-klagomål mail.docx", "A 30610-2023")</f>
        <v/>
      </c>
      <c r="X171">
        <f>HYPERLINK("https://klasma.github.io/Logging_2161/tillsyn/A 30610-2023 tillsynsbegäran.docx", "A 30610-2023")</f>
        <v/>
      </c>
      <c r="Y171">
        <f>HYPERLINK("https://klasma.github.io/Logging_2161/tillsynsmail/A 30610-2023 tillsynsbegäran mail.docx", "A 30610-2023")</f>
        <v/>
      </c>
      <c r="Z171">
        <f>HYPERLINK("https://klasma.github.io/Logging_2161/fåglar/A 30610-2023 prioriterade fågelarter.docx", "A 30610-2023")</f>
        <v/>
      </c>
    </row>
    <row r="172" ht="15" customHeight="1">
      <c r="A172" t="inlineStr">
        <is>
          <t>A 13640-2025</t>
        </is>
      </c>
      <c r="B172" s="1" t="n">
        <v>45736</v>
      </c>
      <c r="C172" s="1" t="n">
        <v>45883</v>
      </c>
      <c r="D172" t="inlineStr">
        <is>
          <t>GÄVLEBORGS LÄN</t>
        </is>
      </c>
      <c r="E172" t="inlineStr">
        <is>
          <t>HUDIKSVALL</t>
        </is>
      </c>
      <c r="G172" t="n">
        <v>6.9</v>
      </c>
      <c r="H172" t="n">
        <v>3</v>
      </c>
      <c r="I172" t="n">
        <v>0</v>
      </c>
      <c r="J172" t="n">
        <v>1</v>
      </c>
      <c r="K172" t="n">
        <v>0</v>
      </c>
      <c r="L172" t="n">
        <v>0</v>
      </c>
      <c r="M172" t="n">
        <v>0</v>
      </c>
      <c r="N172" t="n">
        <v>0</v>
      </c>
      <c r="O172" t="n">
        <v>1</v>
      </c>
      <c r="P172" t="n">
        <v>0</v>
      </c>
      <c r="Q172" t="n">
        <v>3</v>
      </c>
      <c r="R172" s="2" t="inlineStr">
        <is>
          <t>Spillkråka
Fläcknycklar
Nattviol</t>
        </is>
      </c>
      <c r="S172">
        <f>HYPERLINK("https://klasma.github.io/Logging_2184/artfynd/A 13640-2025 artfynd.xlsx", "A 13640-2025")</f>
        <v/>
      </c>
      <c r="T172">
        <f>HYPERLINK("https://klasma.github.io/Logging_2184/kartor/A 13640-2025 karta.png", "A 13640-2025")</f>
        <v/>
      </c>
      <c r="V172">
        <f>HYPERLINK("https://klasma.github.io/Logging_2184/klagomål/A 13640-2025 FSC-klagomål.docx", "A 13640-2025")</f>
        <v/>
      </c>
      <c r="W172">
        <f>HYPERLINK("https://klasma.github.io/Logging_2184/klagomålsmail/A 13640-2025 FSC-klagomål mail.docx", "A 13640-2025")</f>
        <v/>
      </c>
      <c r="X172">
        <f>HYPERLINK("https://klasma.github.io/Logging_2184/tillsyn/A 13640-2025 tillsynsbegäran.docx", "A 13640-2025")</f>
        <v/>
      </c>
      <c r="Y172">
        <f>HYPERLINK("https://klasma.github.io/Logging_2184/tillsynsmail/A 13640-2025 tillsynsbegäran mail.docx", "A 13640-2025")</f>
        <v/>
      </c>
      <c r="Z172">
        <f>HYPERLINK("https://klasma.github.io/Logging_2184/fåglar/A 13640-2025 prioriterade fågelarter.docx", "A 13640-2025")</f>
        <v/>
      </c>
    </row>
    <row r="173" ht="15" customHeight="1">
      <c r="A173" t="inlineStr">
        <is>
          <t>A 64533-2023</t>
        </is>
      </c>
      <c r="B173" s="1" t="n">
        <v>45281</v>
      </c>
      <c r="C173" s="1" t="n">
        <v>45883</v>
      </c>
      <c r="D173" t="inlineStr">
        <is>
          <t>GÄVLEBORGS LÄN</t>
        </is>
      </c>
      <c r="E173" t="inlineStr">
        <is>
          <t>GÄVLE</t>
        </is>
      </c>
      <c r="G173" t="n">
        <v>1.1</v>
      </c>
      <c r="H173" t="n">
        <v>0</v>
      </c>
      <c r="I173" t="n">
        <v>2</v>
      </c>
      <c r="J173" t="n">
        <v>1</v>
      </c>
      <c r="K173" t="n">
        <v>0</v>
      </c>
      <c r="L173" t="n">
        <v>0</v>
      </c>
      <c r="M173" t="n">
        <v>0</v>
      </c>
      <c r="N173" t="n">
        <v>0</v>
      </c>
      <c r="O173" t="n">
        <v>1</v>
      </c>
      <c r="P173" t="n">
        <v>0</v>
      </c>
      <c r="Q173" t="n">
        <v>3</v>
      </c>
      <c r="R173" s="2" t="inlineStr">
        <is>
          <t>Asppraktbagge
Aspvedgnagare
Jättesvampmal</t>
        </is>
      </c>
      <c r="S173">
        <f>HYPERLINK("https://klasma.github.io/Logging_2180/artfynd/A 64533-2023 artfynd.xlsx", "A 64533-2023")</f>
        <v/>
      </c>
      <c r="T173">
        <f>HYPERLINK("https://klasma.github.io/Logging_2180/kartor/A 64533-2023 karta.png", "A 64533-2023")</f>
        <v/>
      </c>
      <c r="V173">
        <f>HYPERLINK("https://klasma.github.io/Logging_2180/klagomål/A 64533-2023 FSC-klagomål.docx", "A 64533-2023")</f>
        <v/>
      </c>
      <c r="W173">
        <f>HYPERLINK("https://klasma.github.io/Logging_2180/klagomålsmail/A 64533-2023 FSC-klagomål mail.docx", "A 64533-2023")</f>
        <v/>
      </c>
      <c r="X173">
        <f>HYPERLINK("https://klasma.github.io/Logging_2180/tillsyn/A 64533-2023 tillsynsbegäran.docx", "A 64533-2023")</f>
        <v/>
      </c>
      <c r="Y173">
        <f>HYPERLINK("https://klasma.github.io/Logging_2180/tillsynsmail/A 64533-2023 tillsynsbegäran mail.docx", "A 64533-2023")</f>
        <v/>
      </c>
    </row>
    <row r="174" ht="15" customHeight="1">
      <c r="A174" t="inlineStr">
        <is>
          <t>A 46244-2024</t>
        </is>
      </c>
      <c r="B174" s="1" t="n">
        <v>45581.59032407407</v>
      </c>
      <c r="C174" s="1" t="n">
        <v>45883</v>
      </c>
      <c r="D174" t="inlineStr">
        <is>
          <t>GÄVLEBORGS LÄN</t>
        </is>
      </c>
      <c r="E174" t="inlineStr">
        <is>
          <t>LJUSDAL</t>
        </is>
      </c>
      <c r="F174" t="inlineStr">
        <is>
          <t>Sveaskog</t>
        </is>
      </c>
      <c r="G174" t="n">
        <v>5.8</v>
      </c>
      <c r="H174" t="n">
        <v>0</v>
      </c>
      <c r="I174" t="n">
        <v>1</v>
      </c>
      <c r="J174" t="n">
        <v>2</v>
      </c>
      <c r="K174" t="n">
        <v>0</v>
      </c>
      <c r="L174" t="n">
        <v>0</v>
      </c>
      <c r="M174" t="n">
        <v>0</v>
      </c>
      <c r="N174" t="n">
        <v>0</v>
      </c>
      <c r="O174" t="n">
        <v>2</v>
      </c>
      <c r="P174" t="n">
        <v>0</v>
      </c>
      <c r="Q174" t="n">
        <v>3</v>
      </c>
      <c r="R174" s="2" t="inlineStr">
        <is>
          <t>Motaggsvamp
Skrovlig taggsvamp
Dropptaggsvamp</t>
        </is>
      </c>
      <c r="S174">
        <f>HYPERLINK("https://klasma.github.io/Logging_2161/artfynd/A 46244-2024 artfynd.xlsx", "A 46244-2024")</f>
        <v/>
      </c>
      <c r="T174">
        <f>HYPERLINK("https://klasma.github.io/Logging_2161/kartor/A 46244-2024 karta.png", "A 46244-2024")</f>
        <v/>
      </c>
      <c r="V174">
        <f>HYPERLINK("https://klasma.github.io/Logging_2161/klagomål/A 46244-2024 FSC-klagomål.docx", "A 46244-2024")</f>
        <v/>
      </c>
      <c r="W174">
        <f>HYPERLINK("https://klasma.github.io/Logging_2161/klagomålsmail/A 46244-2024 FSC-klagomål mail.docx", "A 46244-2024")</f>
        <v/>
      </c>
      <c r="X174">
        <f>HYPERLINK("https://klasma.github.io/Logging_2161/tillsyn/A 46244-2024 tillsynsbegäran.docx", "A 46244-2024")</f>
        <v/>
      </c>
      <c r="Y174">
        <f>HYPERLINK("https://klasma.github.io/Logging_2161/tillsynsmail/A 46244-2024 tillsynsbegäran mail.docx", "A 46244-2024")</f>
        <v/>
      </c>
    </row>
    <row r="175" ht="15" customHeight="1">
      <c r="A175" t="inlineStr">
        <is>
          <t>A 43259-2021</t>
        </is>
      </c>
      <c r="B175" s="1" t="n">
        <v>44432</v>
      </c>
      <c r="C175" s="1" t="n">
        <v>45883</v>
      </c>
      <c r="D175" t="inlineStr">
        <is>
          <t>GÄVLEBORGS LÄN</t>
        </is>
      </c>
      <c r="E175" t="inlineStr">
        <is>
          <t>BOLLNÄS</t>
        </is>
      </c>
      <c r="G175" t="n">
        <v>3.8</v>
      </c>
      <c r="H175" t="n">
        <v>2</v>
      </c>
      <c r="I175" t="n">
        <v>1</v>
      </c>
      <c r="J175" t="n">
        <v>1</v>
      </c>
      <c r="K175" t="n">
        <v>1</v>
      </c>
      <c r="L175" t="n">
        <v>0</v>
      </c>
      <c r="M175" t="n">
        <v>0</v>
      </c>
      <c r="N175" t="n">
        <v>0</v>
      </c>
      <c r="O175" t="n">
        <v>2</v>
      </c>
      <c r="P175" t="n">
        <v>1</v>
      </c>
      <c r="Q175" t="n">
        <v>3</v>
      </c>
      <c r="R175" s="2" t="inlineStr">
        <is>
          <t>Knärot
Brunlångöra
Grönpyrola</t>
        </is>
      </c>
      <c r="S175">
        <f>HYPERLINK("https://klasma.github.io/Logging_2183/artfynd/A 43259-2021 artfynd.xlsx", "A 43259-2021")</f>
        <v/>
      </c>
      <c r="T175">
        <f>HYPERLINK("https://klasma.github.io/Logging_2183/kartor/A 43259-2021 karta.png", "A 43259-2021")</f>
        <v/>
      </c>
      <c r="U175">
        <f>HYPERLINK("https://klasma.github.io/Logging_2183/knärot/A 43259-2021 karta knärot.png", "A 43259-2021")</f>
        <v/>
      </c>
      <c r="V175">
        <f>HYPERLINK("https://klasma.github.io/Logging_2183/klagomål/A 43259-2021 FSC-klagomål.docx", "A 43259-2021")</f>
        <v/>
      </c>
      <c r="W175">
        <f>HYPERLINK("https://klasma.github.io/Logging_2183/klagomålsmail/A 43259-2021 FSC-klagomål mail.docx", "A 43259-2021")</f>
        <v/>
      </c>
      <c r="X175">
        <f>HYPERLINK("https://klasma.github.io/Logging_2183/tillsyn/A 43259-2021 tillsynsbegäran.docx", "A 43259-2021")</f>
        <v/>
      </c>
      <c r="Y175">
        <f>HYPERLINK("https://klasma.github.io/Logging_2183/tillsynsmail/A 43259-2021 tillsynsbegäran mail.docx", "A 43259-2021")</f>
        <v/>
      </c>
    </row>
    <row r="176" ht="15" customHeight="1">
      <c r="A176" t="inlineStr">
        <is>
          <t>A 36196-2023</t>
        </is>
      </c>
      <c r="B176" s="1" t="n">
        <v>45149</v>
      </c>
      <c r="C176" s="1" t="n">
        <v>45883</v>
      </c>
      <c r="D176" t="inlineStr">
        <is>
          <t>GÄVLEBORGS LÄN</t>
        </is>
      </c>
      <c r="E176" t="inlineStr">
        <is>
          <t>HUDIKSVALL</t>
        </is>
      </c>
      <c r="F176" t="inlineStr">
        <is>
          <t>Holmen skog AB</t>
        </is>
      </c>
      <c r="G176" t="n">
        <v>11.8</v>
      </c>
      <c r="H176" t="n">
        <v>1</v>
      </c>
      <c r="I176" t="n">
        <v>0</v>
      </c>
      <c r="J176" t="n">
        <v>2</v>
      </c>
      <c r="K176" t="n">
        <v>1</v>
      </c>
      <c r="L176" t="n">
        <v>0</v>
      </c>
      <c r="M176" t="n">
        <v>0</v>
      </c>
      <c r="N176" t="n">
        <v>0</v>
      </c>
      <c r="O176" t="n">
        <v>3</v>
      </c>
      <c r="P176" t="n">
        <v>1</v>
      </c>
      <c r="Q176" t="n">
        <v>3</v>
      </c>
      <c r="R176" s="2" t="inlineStr">
        <is>
          <t>Knärot
Rosenticka
Ullticka</t>
        </is>
      </c>
      <c r="S176">
        <f>HYPERLINK("https://klasma.github.io/Logging_2184/artfynd/A 36196-2023 artfynd.xlsx", "A 36196-2023")</f>
        <v/>
      </c>
      <c r="T176">
        <f>HYPERLINK("https://klasma.github.io/Logging_2184/kartor/A 36196-2023 karta.png", "A 36196-2023")</f>
        <v/>
      </c>
      <c r="U176">
        <f>HYPERLINK("https://klasma.github.io/Logging_2184/knärot/A 36196-2023 karta knärot.png", "A 36196-2023")</f>
        <v/>
      </c>
      <c r="V176">
        <f>HYPERLINK("https://klasma.github.io/Logging_2184/klagomål/A 36196-2023 FSC-klagomål.docx", "A 36196-2023")</f>
        <v/>
      </c>
      <c r="W176">
        <f>HYPERLINK("https://klasma.github.io/Logging_2184/klagomålsmail/A 36196-2023 FSC-klagomål mail.docx", "A 36196-2023")</f>
        <v/>
      </c>
      <c r="X176">
        <f>HYPERLINK("https://klasma.github.io/Logging_2184/tillsyn/A 36196-2023 tillsynsbegäran.docx", "A 36196-2023")</f>
        <v/>
      </c>
      <c r="Y176">
        <f>HYPERLINK("https://klasma.github.io/Logging_2184/tillsynsmail/A 36196-2023 tillsynsbegäran mail.docx", "A 36196-2023")</f>
        <v/>
      </c>
    </row>
    <row r="177" ht="15" customHeight="1">
      <c r="A177" t="inlineStr">
        <is>
          <t>A 20931-2025</t>
        </is>
      </c>
      <c r="B177" s="1" t="n">
        <v>45777.42643518518</v>
      </c>
      <c r="C177" s="1" t="n">
        <v>45883</v>
      </c>
      <c r="D177" t="inlineStr">
        <is>
          <t>GÄVLEBORGS LÄN</t>
        </is>
      </c>
      <c r="E177" t="inlineStr">
        <is>
          <t>OVANÅKER</t>
        </is>
      </c>
      <c r="F177" t="inlineStr">
        <is>
          <t>Sveaskog</t>
        </is>
      </c>
      <c r="G177" t="n">
        <v>17.4</v>
      </c>
      <c r="H177" t="n">
        <v>1</v>
      </c>
      <c r="I177" t="n">
        <v>0</v>
      </c>
      <c r="J177" t="n">
        <v>2</v>
      </c>
      <c r="K177" t="n">
        <v>0</v>
      </c>
      <c r="L177" t="n">
        <v>0</v>
      </c>
      <c r="M177" t="n">
        <v>0</v>
      </c>
      <c r="N177" t="n">
        <v>0</v>
      </c>
      <c r="O177" t="n">
        <v>2</v>
      </c>
      <c r="P177" t="n">
        <v>0</v>
      </c>
      <c r="Q177" t="n">
        <v>3</v>
      </c>
      <c r="R177" s="2" t="inlineStr">
        <is>
          <t>Garnlav
Lunglav
Nattviol</t>
        </is>
      </c>
      <c r="S177">
        <f>HYPERLINK("https://klasma.github.io/Logging_2121/artfynd/A 20931-2025 artfynd.xlsx", "A 20931-2025")</f>
        <v/>
      </c>
      <c r="T177">
        <f>HYPERLINK("https://klasma.github.io/Logging_2121/kartor/A 20931-2025 karta.png", "A 20931-2025")</f>
        <v/>
      </c>
      <c r="V177">
        <f>HYPERLINK("https://klasma.github.io/Logging_2121/klagomål/A 20931-2025 FSC-klagomål.docx", "A 20931-2025")</f>
        <v/>
      </c>
      <c r="W177">
        <f>HYPERLINK("https://klasma.github.io/Logging_2121/klagomålsmail/A 20931-2025 FSC-klagomål mail.docx", "A 20931-2025")</f>
        <v/>
      </c>
      <c r="X177">
        <f>HYPERLINK("https://klasma.github.io/Logging_2121/tillsyn/A 20931-2025 tillsynsbegäran.docx", "A 20931-2025")</f>
        <v/>
      </c>
      <c r="Y177">
        <f>HYPERLINK("https://klasma.github.io/Logging_2121/tillsynsmail/A 20931-2025 tillsynsbegäran mail.docx", "A 20931-2025")</f>
        <v/>
      </c>
    </row>
    <row r="178" ht="15" customHeight="1">
      <c r="A178" t="inlineStr">
        <is>
          <t>A 44451-2024</t>
        </is>
      </c>
      <c r="B178" s="1" t="n">
        <v>45574</v>
      </c>
      <c r="C178" s="1" t="n">
        <v>45883</v>
      </c>
      <c r="D178" t="inlineStr">
        <is>
          <t>GÄVLEBORGS LÄN</t>
        </is>
      </c>
      <c r="E178" t="inlineStr">
        <is>
          <t>LJUSDAL</t>
        </is>
      </c>
      <c r="G178" t="n">
        <v>1.4</v>
      </c>
      <c r="H178" t="n">
        <v>1</v>
      </c>
      <c r="I178" t="n">
        <v>1</v>
      </c>
      <c r="J178" t="n">
        <v>2</v>
      </c>
      <c r="K178" t="n">
        <v>0</v>
      </c>
      <c r="L178" t="n">
        <v>0</v>
      </c>
      <c r="M178" t="n">
        <v>0</v>
      </c>
      <c r="N178" t="n">
        <v>0</v>
      </c>
      <c r="O178" t="n">
        <v>2</v>
      </c>
      <c r="P178" t="n">
        <v>0</v>
      </c>
      <c r="Q178" t="n">
        <v>3</v>
      </c>
      <c r="R178" s="2" t="inlineStr">
        <is>
          <t>Kolflarnlav
Vedflamlav
Plattlummer</t>
        </is>
      </c>
      <c r="S178">
        <f>HYPERLINK("https://klasma.github.io/Logging_2161/artfynd/A 44451-2024 artfynd.xlsx", "A 44451-2024")</f>
        <v/>
      </c>
      <c r="T178">
        <f>HYPERLINK("https://klasma.github.io/Logging_2161/kartor/A 44451-2024 karta.png", "A 44451-2024")</f>
        <v/>
      </c>
      <c r="V178">
        <f>HYPERLINK("https://klasma.github.io/Logging_2161/klagomål/A 44451-2024 FSC-klagomål.docx", "A 44451-2024")</f>
        <v/>
      </c>
      <c r="W178">
        <f>HYPERLINK("https://klasma.github.io/Logging_2161/klagomålsmail/A 44451-2024 FSC-klagomål mail.docx", "A 44451-2024")</f>
        <v/>
      </c>
      <c r="X178">
        <f>HYPERLINK("https://klasma.github.io/Logging_2161/tillsyn/A 44451-2024 tillsynsbegäran.docx", "A 44451-2024")</f>
        <v/>
      </c>
      <c r="Y178">
        <f>HYPERLINK("https://klasma.github.io/Logging_2161/tillsynsmail/A 44451-2024 tillsynsbegäran mail.docx", "A 44451-2024")</f>
        <v/>
      </c>
    </row>
    <row r="179" ht="15" customHeight="1">
      <c r="A179" t="inlineStr">
        <is>
          <t>A 19770-2025</t>
        </is>
      </c>
      <c r="B179" s="1" t="n">
        <v>45771</v>
      </c>
      <c r="C179" s="1" t="n">
        <v>45883</v>
      </c>
      <c r="D179" t="inlineStr">
        <is>
          <t>GÄVLEBORGS LÄN</t>
        </is>
      </c>
      <c r="E179" t="inlineStr">
        <is>
          <t>LJUSDAL</t>
        </is>
      </c>
      <c r="F179" t="inlineStr">
        <is>
          <t>Bergvik skog väst AB</t>
        </is>
      </c>
      <c r="G179" t="n">
        <v>3.7</v>
      </c>
      <c r="H179" t="n">
        <v>1</v>
      </c>
      <c r="I179" t="n">
        <v>0</v>
      </c>
      <c r="J179" t="n">
        <v>3</v>
      </c>
      <c r="K179" t="n">
        <v>0</v>
      </c>
      <c r="L179" t="n">
        <v>0</v>
      </c>
      <c r="M179" t="n">
        <v>0</v>
      </c>
      <c r="N179" t="n">
        <v>0</v>
      </c>
      <c r="O179" t="n">
        <v>3</v>
      </c>
      <c r="P179" t="n">
        <v>0</v>
      </c>
      <c r="Q179" t="n">
        <v>3</v>
      </c>
      <c r="R179" s="2" t="inlineStr">
        <is>
          <t>Garnlav
Lunglav
Tretåig hackspett</t>
        </is>
      </c>
      <c r="S179">
        <f>HYPERLINK("https://klasma.github.io/Logging_2161/artfynd/A 19770-2025 artfynd.xlsx", "A 19770-2025")</f>
        <v/>
      </c>
      <c r="T179">
        <f>HYPERLINK("https://klasma.github.io/Logging_2161/kartor/A 19770-2025 karta.png", "A 19770-2025")</f>
        <v/>
      </c>
      <c r="U179">
        <f>HYPERLINK("https://klasma.github.io/Logging_2161/knärot/A 19770-2025 karta knärot.png", "A 19770-2025")</f>
        <v/>
      </c>
      <c r="V179">
        <f>HYPERLINK("https://klasma.github.io/Logging_2161/klagomål/A 19770-2025 FSC-klagomål.docx", "A 19770-2025")</f>
        <v/>
      </c>
      <c r="W179">
        <f>HYPERLINK("https://klasma.github.io/Logging_2161/klagomålsmail/A 19770-2025 FSC-klagomål mail.docx", "A 19770-2025")</f>
        <v/>
      </c>
      <c r="X179">
        <f>HYPERLINK("https://klasma.github.io/Logging_2161/tillsyn/A 19770-2025 tillsynsbegäran.docx", "A 19770-2025")</f>
        <v/>
      </c>
      <c r="Y179">
        <f>HYPERLINK("https://klasma.github.io/Logging_2161/tillsynsmail/A 19770-2025 tillsynsbegäran mail.docx", "A 19770-2025")</f>
        <v/>
      </c>
      <c r="Z179">
        <f>HYPERLINK("https://klasma.github.io/Logging_2161/fåglar/A 19770-2025 prioriterade fågelarter.docx", "A 19770-2025")</f>
        <v/>
      </c>
    </row>
    <row r="180" ht="15" customHeight="1">
      <c r="A180" t="inlineStr">
        <is>
          <t>A 23643-2025</t>
        </is>
      </c>
      <c r="B180" s="1" t="n">
        <v>45792.68582175926</v>
      </c>
      <c r="C180" s="1" t="n">
        <v>45883</v>
      </c>
      <c r="D180" t="inlineStr">
        <is>
          <t>GÄVLEBORGS LÄN</t>
        </is>
      </c>
      <c r="E180" t="inlineStr">
        <is>
          <t>LJUSDAL</t>
        </is>
      </c>
      <c r="F180" t="inlineStr">
        <is>
          <t>Sveaskog</t>
        </is>
      </c>
      <c r="G180" t="n">
        <v>23.8</v>
      </c>
      <c r="H180" t="n">
        <v>0</v>
      </c>
      <c r="I180" t="n">
        <v>0</v>
      </c>
      <c r="J180" t="n">
        <v>3</v>
      </c>
      <c r="K180" t="n">
        <v>0</v>
      </c>
      <c r="L180" t="n">
        <v>0</v>
      </c>
      <c r="M180" t="n">
        <v>0</v>
      </c>
      <c r="N180" t="n">
        <v>0</v>
      </c>
      <c r="O180" t="n">
        <v>3</v>
      </c>
      <c r="P180" t="n">
        <v>0</v>
      </c>
      <c r="Q180" t="n">
        <v>3</v>
      </c>
      <c r="R180" s="2" t="inlineStr">
        <is>
          <t>Kolflarnlav
Lunglav
Vedflamlav</t>
        </is>
      </c>
      <c r="S180">
        <f>HYPERLINK("https://klasma.github.io/Logging_2161/artfynd/A 23643-2025 artfynd.xlsx", "A 23643-2025")</f>
        <v/>
      </c>
      <c r="T180">
        <f>HYPERLINK("https://klasma.github.io/Logging_2161/kartor/A 23643-2025 karta.png", "A 23643-2025")</f>
        <v/>
      </c>
      <c r="V180">
        <f>HYPERLINK("https://klasma.github.io/Logging_2161/klagomål/A 23643-2025 FSC-klagomål.docx", "A 23643-2025")</f>
        <v/>
      </c>
      <c r="W180">
        <f>HYPERLINK("https://klasma.github.io/Logging_2161/klagomålsmail/A 23643-2025 FSC-klagomål mail.docx", "A 23643-2025")</f>
        <v/>
      </c>
      <c r="X180">
        <f>HYPERLINK("https://klasma.github.io/Logging_2161/tillsyn/A 23643-2025 tillsynsbegäran.docx", "A 23643-2025")</f>
        <v/>
      </c>
      <c r="Y180">
        <f>HYPERLINK("https://klasma.github.io/Logging_2161/tillsynsmail/A 23643-2025 tillsynsbegäran mail.docx", "A 23643-2025")</f>
        <v/>
      </c>
    </row>
    <row r="181" ht="15" customHeight="1">
      <c r="A181" t="inlineStr">
        <is>
          <t>A 72433-2021</t>
        </is>
      </c>
      <c r="B181" s="1" t="n">
        <v>44545</v>
      </c>
      <c r="C181" s="1" t="n">
        <v>45883</v>
      </c>
      <c r="D181" t="inlineStr">
        <is>
          <t>GÄVLEBORGS LÄN</t>
        </is>
      </c>
      <c r="E181" t="inlineStr">
        <is>
          <t>NORDANSTIG</t>
        </is>
      </c>
      <c r="G181" t="n">
        <v>6.1</v>
      </c>
      <c r="H181" t="n">
        <v>3</v>
      </c>
      <c r="I181" t="n">
        <v>0</v>
      </c>
      <c r="J181" t="n">
        <v>1</v>
      </c>
      <c r="K181" t="n">
        <v>0</v>
      </c>
      <c r="L181" t="n">
        <v>0</v>
      </c>
      <c r="M181" t="n">
        <v>0</v>
      </c>
      <c r="N181" t="n">
        <v>0</v>
      </c>
      <c r="O181" t="n">
        <v>1</v>
      </c>
      <c r="P181" t="n">
        <v>0</v>
      </c>
      <c r="Q181" t="n">
        <v>3</v>
      </c>
      <c r="R181" s="2" t="inlineStr">
        <is>
          <t>Järpe
Grönsiska
Tjäder</t>
        </is>
      </c>
      <c r="S181">
        <f>HYPERLINK("https://klasma.github.io/Logging_2132/artfynd/A 72433-2021 artfynd.xlsx", "A 72433-2021")</f>
        <v/>
      </c>
      <c r="T181">
        <f>HYPERLINK("https://klasma.github.io/Logging_2132/kartor/A 72433-2021 karta.png", "A 72433-2021")</f>
        <v/>
      </c>
      <c r="V181">
        <f>HYPERLINK("https://klasma.github.io/Logging_2132/klagomål/A 72433-2021 FSC-klagomål.docx", "A 72433-2021")</f>
        <v/>
      </c>
      <c r="W181">
        <f>HYPERLINK("https://klasma.github.io/Logging_2132/klagomålsmail/A 72433-2021 FSC-klagomål mail.docx", "A 72433-2021")</f>
        <v/>
      </c>
      <c r="X181">
        <f>HYPERLINK("https://klasma.github.io/Logging_2132/tillsyn/A 72433-2021 tillsynsbegäran.docx", "A 72433-2021")</f>
        <v/>
      </c>
      <c r="Y181">
        <f>HYPERLINK("https://klasma.github.io/Logging_2132/tillsynsmail/A 72433-2021 tillsynsbegäran mail.docx", "A 72433-2021")</f>
        <v/>
      </c>
      <c r="Z181">
        <f>HYPERLINK("https://klasma.github.io/Logging_2132/fåglar/A 72433-2021 prioriterade fågelarter.docx", "A 72433-2021")</f>
        <v/>
      </c>
    </row>
    <row r="182" ht="15" customHeight="1">
      <c r="A182" t="inlineStr">
        <is>
          <t>A 12105-2023</t>
        </is>
      </c>
      <c r="B182" s="1" t="n">
        <v>44998</v>
      </c>
      <c r="C182" s="1" t="n">
        <v>45883</v>
      </c>
      <c r="D182" t="inlineStr">
        <is>
          <t>GÄVLEBORGS LÄN</t>
        </is>
      </c>
      <c r="E182" t="inlineStr">
        <is>
          <t>LJUSDAL</t>
        </is>
      </c>
      <c r="G182" t="n">
        <v>11.7</v>
      </c>
      <c r="H182" t="n">
        <v>1</v>
      </c>
      <c r="I182" t="n">
        <v>2</v>
      </c>
      <c r="J182" t="n">
        <v>0</v>
      </c>
      <c r="K182" t="n">
        <v>1</v>
      </c>
      <c r="L182" t="n">
        <v>0</v>
      </c>
      <c r="M182" t="n">
        <v>0</v>
      </c>
      <c r="N182" t="n">
        <v>0</v>
      </c>
      <c r="O182" t="n">
        <v>1</v>
      </c>
      <c r="P182" t="n">
        <v>1</v>
      </c>
      <c r="Q182" t="n">
        <v>3</v>
      </c>
      <c r="R182" s="2" t="inlineStr">
        <is>
          <t>Knärot
Korallblylav
Mörk husmossa</t>
        </is>
      </c>
      <c r="S182">
        <f>HYPERLINK("https://klasma.github.io/Logging_2161/artfynd/A 12105-2023 artfynd.xlsx", "A 12105-2023")</f>
        <v/>
      </c>
      <c r="T182">
        <f>HYPERLINK("https://klasma.github.io/Logging_2161/kartor/A 12105-2023 karta.png", "A 12105-2023")</f>
        <v/>
      </c>
      <c r="U182">
        <f>HYPERLINK("https://klasma.github.io/Logging_2161/knärot/A 12105-2023 karta knärot.png", "A 12105-2023")</f>
        <v/>
      </c>
      <c r="V182">
        <f>HYPERLINK("https://klasma.github.io/Logging_2161/klagomål/A 12105-2023 FSC-klagomål.docx", "A 12105-2023")</f>
        <v/>
      </c>
      <c r="W182">
        <f>HYPERLINK("https://klasma.github.io/Logging_2161/klagomålsmail/A 12105-2023 FSC-klagomål mail.docx", "A 12105-2023")</f>
        <v/>
      </c>
      <c r="X182">
        <f>HYPERLINK("https://klasma.github.io/Logging_2161/tillsyn/A 12105-2023 tillsynsbegäran.docx", "A 12105-2023")</f>
        <v/>
      </c>
      <c r="Y182">
        <f>HYPERLINK("https://klasma.github.io/Logging_2161/tillsynsmail/A 12105-2023 tillsynsbegäran mail.docx", "A 12105-2023")</f>
        <v/>
      </c>
    </row>
    <row r="183" ht="15" customHeight="1">
      <c r="A183" t="inlineStr">
        <is>
          <t>A 24606-2025</t>
        </is>
      </c>
      <c r="B183" s="1" t="n">
        <v>45798.57554398148</v>
      </c>
      <c r="C183" s="1" t="n">
        <v>45883</v>
      </c>
      <c r="D183" t="inlineStr">
        <is>
          <t>GÄVLEBORGS LÄN</t>
        </is>
      </c>
      <c r="E183" t="inlineStr">
        <is>
          <t>SÖDERHAMN</t>
        </is>
      </c>
      <c r="G183" t="n">
        <v>2.2</v>
      </c>
      <c r="H183" t="n">
        <v>1</v>
      </c>
      <c r="I183" t="n">
        <v>0</v>
      </c>
      <c r="J183" t="n">
        <v>2</v>
      </c>
      <c r="K183" t="n">
        <v>1</v>
      </c>
      <c r="L183" t="n">
        <v>0</v>
      </c>
      <c r="M183" t="n">
        <v>0</v>
      </c>
      <c r="N183" t="n">
        <v>0</v>
      </c>
      <c r="O183" t="n">
        <v>3</v>
      </c>
      <c r="P183" t="n">
        <v>1</v>
      </c>
      <c r="Q183" t="n">
        <v>3</v>
      </c>
      <c r="R183" s="2" t="inlineStr">
        <is>
          <t>Knärot
Rosenticka
Ullticka</t>
        </is>
      </c>
      <c r="S183">
        <f>HYPERLINK("https://klasma.github.io/Logging_2182/artfynd/A 24606-2025 artfynd.xlsx", "A 24606-2025")</f>
        <v/>
      </c>
      <c r="T183">
        <f>HYPERLINK("https://klasma.github.io/Logging_2182/kartor/A 24606-2025 karta.png", "A 24606-2025")</f>
        <v/>
      </c>
      <c r="U183">
        <f>HYPERLINK("https://klasma.github.io/Logging_2182/knärot/A 24606-2025 karta knärot.png", "A 24606-2025")</f>
        <v/>
      </c>
      <c r="V183">
        <f>HYPERLINK("https://klasma.github.io/Logging_2182/klagomål/A 24606-2025 FSC-klagomål.docx", "A 24606-2025")</f>
        <v/>
      </c>
      <c r="W183">
        <f>HYPERLINK("https://klasma.github.io/Logging_2182/klagomålsmail/A 24606-2025 FSC-klagomål mail.docx", "A 24606-2025")</f>
        <v/>
      </c>
      <c r="X183">
        <f>HYPERLINK("https://klasma.github.io/Logging_2182/tillsyn/A 24606-2025 tillsynsbegäran.docx", "A 24606-2025")</f>
        <v/>
      </c>
      <c r="Y183">
        <f>HYPERLINK("https://klasma.github.io/Logging_2182/tillsynsmail/A 24606-2025 tillsynsbegäran mail.docx", "A 24606-2025")</f>
        <v/>
      </c>
    </row>
    <row r="184" ht="15" customHeight="1">
      <c r="A184" t="inlineStr">
        <is>
          <t>A 77-2025</t>
        </is>
      </c>
      <c r="B184" s="1" t="n">
        <v>45659.44060185185</v>
      </c>
      <c r="C184" s="1" t="n">
        <v>45883</v>
      </c>
      <c r="D184" t="inlineStr">
        <is>
          <t>GÄVLEBORGS LÄN</t>
        </is>
      </c>
      <c r="E184" t="inlineStr">
        <is>
          <t>LJUSDAL</t>
        </is>
      </c>
      <c r="F184" t="inlineStr">
        <is>
          <t>Allmännings- och besparingsskogar</t>
        </is>
      </c>
      <c r="G184" t="n">
        <v>15.6</v>
      </c>
      <c r="H184" t="n">
        <v>2</v>
      </c>
      <c r="I184" t="n">
        <v>0</v>
      </c>
      <c r="J184" t="n">
        <v>2</v>
      </c>
      <c r="K184" t="n">
        <v>1</v>
      </c>
      <c r="L184" t="n">
        <v>0</v>
      </c>
      <c r="M184" t="n">
        <v>0</v>
      </c>
      <c r="N184" t="n">
        <v>0</v>
      </c>
      <c r="O184" t="n">
        <v>3</v>
      </c>
      <c r="P184" t="n">
        <v>1</v>
      </c>
      <c r="Q184" t="n">
        <v>3</v>
      </c>
      <c r="R184" s="2" t="inlineStr">
        <is>
          <t>Knärot
Garnlav
Tretåig hackspett</t>
        </is>
      </c>
      <c r="S184">
        <f>HYPERLINK("https://klasma.github.io/Logging_2161/artfynd/A 77-2025 artfynd.xlsx", "A 77-2025")</f>
        <v/>
      </c>
      <c r="T184">
        <f>HYPERLINK("https://klasma.github.io/Logging_2161/kartor/A 77-2025 karta.png", "A 77-2025")</f>
        <v/>
      </c>
      <c r="U184">
        <f>HYPERLINK("https://klasma.github.io/Logging_2161/knärot/A 77-2025 karta knärot.png", "A 77-2025")</f>
        <v/>
      </c>
      <c r="V184">
        <f>HYPERLINK("https://klasma.github.io/Logging_2161/klagomål/A 77-2025 FSC-klagomål.docx", "A 77-2025")</f>
        <v/>
      </c>
      <c r="W184">
        <f>HYPERLINK("https://klasma.github.io/Logging_2161/klagomålsmail/A 77-2025 FSC-klagomål mail.docx", "A 77-2025")</f>
        <v/>
      </c>
      <c r="X184">
        <f>HYPERLINK("https://klasma.github.io/Logging_2161/tillsyn/A 77-2025 tillsynsbegäran.docx", "A 77-2025")</f>
        <v/>
      </c>
      <c r="Y184">
        <f>HYPERLINK("https://klasma.github.io/Logging_2161/tillsynsmail/A 77-2025 tillsynsbegäran mail.docx", "A 77-2025")</f>
        <v/>
      </c>
      <c r="Z184">
        <f>HYPERLINK("https://klasma.github.io/Logging_2161/fåglar/A 77-2025 prioriterade fågelarter.docx", "A 77-2025")</f>
        <v/>
      </c>
    </row>
    <row r="185" ht="15" customHeight="1">
      <c r="A185" t="inlineStr">
        <is>
          <t>A 21474-2023</t>
        </is>
      </c>
      <c r="B185" s="1" t="n">
        <v>45063.47291666667</v>
      </c>
      <c r="C185" s="1" t="n">
        <v>45883</v>
      </c>
      <c r="D185" t="inlineStr">
        <is>
          <t>GÄVLEBORGS LÄN</t>
        </is>
      </c>
      <c r="E185" t="inlineStr">
        <is>
          <t>LJUSDAL</t>
        </is>
      </c>
      <c r="F185" t="inlineStr">
        <is>
          <t>Sveaskog</t>
        </is>
      </c>
      <c r="G185" t="n">
        <v>4.3</v>
      </c>
      <c r="H185" t="n">
        <v>2</v>
      </c>
      <c r="I185" t="n">
        <v>0</v>
      </c>
      <c r="J185" t="n">
        <v>1</v>
      </c>
      <c r="K185" t="n">
        <v>1</v>
      </c>
      <c r="L185" t="n">
        <v>0</v>
      </c>
      <c r="M185" t="n">
        <v>0</v>
      </c>
      <c r="N185" t="n">
        <v>0</v>
      </c>
      <c r="O185" t="n">
        <v>2</v>
      </c>
      <c r="P185" t="n">
        <v>1</v>
      </c>
      <c r="Q185" t="n">
        <v>3</v>
      </c>
      <c r="R185" s="2" t="inlineStr">
        <is>
          <t>Knärot
Garnlav
Tjäder</t>
        </is>
      </c>
      <c r="S185">
        <f>HYPERLINK("https://klasma.github.io/Logging_2161/artfynd/A 21474-2023 artfynd.xlsx", "A 21474-2023")</f>
        <v/>
      </c>
      <c r="T185">
        <f>HYPERLINK("https://klasma.github.io/Logging_2161/kartor/A 21474-2023 karta.png", "A 21474-2023")</f>
        <v/>
      </c>
      <c r="U185">
        <f>HYPERLINK("https://klasma.github.io/Logging_2161/knärot/A 21474-2023 karta knärot.png", "A 21474-2023")</f>
        <v/>
      </c>
      <c r="V185">
        <f>HYPERLINK("https://klasma.github.io/Logging_2161/klagomål/A 21474-2023 FSC-klagomål.docx", "A 21474-2023")</f>
        <v/>
      </c>
      <c r="W185">
        <f>HYPERLINK("https://klasma.github.io/Logging_2161/klagomålsmail/A 21474-2023 FSC-klagomål mail.docx", "A 21474-2023")</f>
        <v/>
      </c>
      <c r="X185">
        <f>HYPERLINK("https://klasma.github.io/Logging_2161/tillsyn/A 21474-2023 tillsynsbegäran.docx", "A 21474-2023")</f>
        <v/>
      </c>
      <c r="Y185">
        <f>HYPERLINK("https://klasma.github.io/Logging_2161/tillsynsmail/A 21474-2023 tillsynsbegäran mail.docx", "A 21474-2023")</f>
        <v/>
      </c>
      <c r="Z185">
        <f>HYPERLINK("https://klasma.github.io/Logging_2161/fåglar/A 21474-2023 prioriterade fågelarter.docx", "A 21474-2023")</f>
        <v/>
      </c>
    </row>
    <row r="186" ht="15" customHeight="1">
      <c r="A186" t="inlineStr">
        <is>
          <t>A 34324-2025</t>
        </is>
      </c>
      <c r="B186" s="1" t="n">
        <v>45846.43172453704</v>
      </c>
      <c r="C186" s="1" t="n">
        <v>45883</v>
      </c>
      <c r="D186" t="inlineStr">
        <is>
          <t>GÄVLEBORGS LÄN</t>
        </is>
      </c>
      <c r="E186" t="inlineStr">
        <is>
          <t>LJUSDAL</t>
        </is>
      </c>
      <c r="F186" t="inlineStr">
        <is>
          <t>Bergvik skog väst AB</t>
        </is>
      </c>
      <c r="G186" t="n">
        <v>1.7</v>
      </c>
      <c r="H186" t="n">
        <v>0</v>
      </c>
      <c r="I186" t="n">
        <v>0</v>
      </c>
      <c r="J186" t="n">
        <v>3</v>
      </c>
      <c r="K186" t="n">
        <v>0</v>
      </c>
      <c r="L186" t="n">
        <v>0</v>
      </c>
      <c r="M186" t="n">
        <v>0</v>
      </c>
      <c r="N186" t="n">
        <v>0</v>
      </c>
      <c r="O186" t="n">
        <v>3</v>
      </c>
      <c r="P186" t="n">
        <v>0</v>
      </c>
      <c r="Q186" t="n">
        <v>3</v>
      </c>
      <c r="R186" s="2" t="inlineStr">
        <is>
          <t>Blanksvart spiklav
Kolflarnlav
Nordtagging</t>
        </is>
      </c>
      <c r="S186">
        <f>HYPERLINK("https://klasma.github.io/Logging_2161/artfynd/A 34324-2025 artfynd.xlsx", "A 34324-2025")</f>
        <v/>
      </c>
      <c r="T186">
        <f>HYPERLINK("https://klasma.github.io/Logging_2161/kartor/A 34324-2025 karta.png", "A 34324-2025")</f>
        <v/>
      </c>
      <c r="V186">
        <f>HYPERLINK("https://klasma.github.io/Logging_2161/klagomål/A 34324-2025 FSC-klagomål.docx", "A 34324-2025")</f>
        <v/>
      </c>
      <c r="W186">
        <f>HYPERLINK("https://klasma.github.io/Logging_2161/klagomålsmail/A 34324-2025 FSC-klagomål mail.docx", "A 34324-2025")</f>
        <v/>
      </c>
      <c r="X186">
        <f>HYPERLINK("https://klasma.github.io/Logging_2161/tillsyn/A 34324-2025 tillsynsbegäran.docx", "A 34324-2025")</f>
        <v/>
      </c>
      <c r="Y186">
        <f>HYPERLINK("https://klasma.github.io/Logging_2161/tillsynsmail/A 34324-2025 tillsynsbegäran mail.docx", "A 34324-2025")</f>
        <v/>
      </c>
    </row>
    <row r="187" ht="15" customHeight="1">
      <c r="A187" t="inlineStr">
        <is>
          <t>A 12843-2024</t>
        </is>
      </c>
      <c r="B187" s="1" t="n">
        <v>45384.79018518519</v>
      </c>
      <c r="C187" s="1" t="n">
        <v>45883</v>
      </c>
      <c r="D187" t="inlineStr">
        <is>
          <t>GÄVLEBORGS LÄN</t>
        </is>
      </c>
      <c r="E187" t="inlineStr">
        <is>
          <t>HUDIKSVALL</t>
        </is>
      </c>
      <c r="F187" t="inlineStr">
        <is>
          <t>Holmen skog AB</t>
        </is>
      </c>
      <c r="G187" t="n">
        <v>23.4</v>
      </c>
      <c r="H187" t="n">
        <v>3</v>
      </c>
      <c r="I187" t="n">
        <v>1</v>
      </c>
      <c r="J187" t="n">
        <v>0</v>
      </c>
      <c r="K187" t="n">
        <v>0</v>
      </c>
      <c r="L187" t="n">
        <v>0</v>
      </c>
      <c r="M187" t="n">
        <v>0</v>
      </c>
      <c r="N187" t="n">
        <v>0</v>
      </c>
      <c r="O187" t="n">
        <v>0</v>
      </c>
      <c r="P187" t="n">
        <v>0</v>
      </c>
      <c r="Q187" t="n">
        <v>3</v>
      </c>
      <c r="R187" s="2" t="inlineStr">
        <is>
          <t>Spindelblomster
Fläcknycklar
Revlummer</t>
        </is>
      </c>
      <c r="S187">
        <f>HYPERLINK("https://klasma.github.io/Logging_2184/artfynd/A 12843-2024 artfynd.xlsx", "A 12843-2024")</f>
        <v/>
      </c>
      <c r="T187">
        <f>HYPERLINK("https://klasma.github.io/Logging_2184/kartor/A 12843-2024 karta.png", "A 12843-2024")</f>
        <v/>
      </c>
      <c r="V187">
        <f>HYPERLINK("https://klasma.github.io/Logging_2184/klagomål/A 12843-2024 FSC-klagomål.docx", "A 12843-2024")</f>
        <v/>
      </c>
      <c r="W187">
        <f>HYPERLINK("https://klasma.github.io/Logging_2184/klagomålsmail/A 12843-2024 FSC-klagomål mail.docx", "A 12843-2024")</f>
        <v/>
      </c>
      <c r="X187">
        <f>HYPERLINK("https://klasma.github.io/Logging_2184/tillsyn/A 12843-2024 tillsynsbegäran.docx", "A 12843-2024")</f>
        <v/>
      </c>
      <c r="Y187">
        <f>HYPERLINK("https://klasma.github.io/Logging_2184/tillsynsmail/A 12843-2024 tillsynsbegäran mail.docx", "A 12843-2024")</f>
        <v/>
      </c>
    </row>
    <row r="188" ht="15" customHeight="1">
      <c r="A188" t="inlineStr">
        <is>
          <t>A 34376-2025</t>
        </is>
      </c>
      <c r="B188" s="1" t="n">
        <v>45846.53386574074</v>
      </c>
      <c r="C188" s="1" t="n">
        <v>45883</v>
      </c>
      <c r="D188" t="inlineStr">
        <is>
          <t>GÄVLEBORGS LÄN</t>
        </is>
      </c>
      <c r="E188" t="inlineStr">
        <is>
          <t>LJUSDAL</t>
        </is>
      </c>
      <c r="F188" t="inlineStr">
        <is>
          <t>Bergvik skog väst AB</t>
        </is>
      </c>
      <c r="G188" t="n">
        <v>0.8</v>
      </c>
      <c r="H188" t="n">
        <v>0</v>
      </c>
      <c r="I188" t="n">
        <v>1</v>
      </c>
      <c r="J188" t="n">
        <v>2</v>
      </c>
      <c r="K188" t="n">
        <v>0</v>
      </c>
      <c r="L188" t="n">
        <v>0</v>
      </c>
      <c r="M188" t="n">
        <v>0</v>
      </c>
      <c r="N188" t="n">
        <v>0</v>
      </c>
      <c r="O188" t="n">
        <v>2</v>
      </c>
      <c r="P188" t="n">
        <v>0</v>
      </c>
      <c r="Q188" t="n">
        <v>3</v>
      </c>
      <c r="R188" s="2" t="inlineStr">
        <is>
          <t>Garnlav
Vedskivlav
Dropptaggsvamp</t>
        </is>
      </c>
      <c r="S188">
        <f>HYPERLINK("https://klasma.github.io/Logging_2161/artfynd/A 34376-2025 artfynd.xlsx", "A 34376-2025")</f>
        <v/>
      </c>
      <c r="T188">
        <f>HYPERLINK("https://klasma.github.io/Logging_2161/kartor/A 34376-2025 karta.png", "A 34376-2025")</f>
        <v/>
      </c>
      <c r="V188">
        <f>HYPERLINK("https://klasma.github.io/Logging_2161/klagomål/A 34376-2025 FSC-klagomål.docx", "A 34376-2025")</f>
        <v/>
      </c>
      <c r="W188">
        <f>HYPERLINK("https://klasma.github.io/Logging_2161/klagomålsmail/A 34376-2025 FSC-klagomål mail.docx", "A 34376-2025")</f>
        <v/>
      </c>
      <c r="X188">
        <f>HYPERLINK("https://klasma.github.io/Logging_2161/tillsyn/A 34376-2025 tillsynsbegäran.docx", "A 34376-2025")</f>
        <v/>
      </c>
      <c r="Y188">
        <f>HYPERLINK("https://klasma.github.io/Logging_2161/tillsynsmail/A 34376-2025 tillsynsbegäran mail.docx", "A 34376-2025")</f>
        <v/>
      </c>
    </row>
    <row r="189" ht="15" customHeight="1">
      <c r="A189" t="inlineStr">
        <is>
          <t>A 26606-2025</t>
        </is>
      </c>
      <c r="B189" s="1" t="n">
        <v>45809.8856712963</v>
      </c>
      <c r="C189" s="1" t="n">
        <v>45883</v>
      </c>
      <c r="D189" t="inlineStr">
        <is>
          <t>GÄVLEBORGS LÄN</t>
        </is>
      </c>
      <c r="E189" t="inlineStr">
        <is>
          <t>LJUSDAL</t>
        </is>
      </c>
      <c r="G189" t="n">
        <v>11.1</v>
      </c>
      <c r="H189" t="n">
        <v>0</v>
      </c>
      <c r="I189" t="n">
        <v>0</v>
      </c>
      <c r="J189" t="n">
        <v>3</v>
      </c>
      <c r="K189" t="n">
        <v>0</v>
      </c>
      <c r="L189" t="n">
        <v>0</v>
      </c>
      <c r="M189" t="n">
        <v>0</v>
      </c>
      <c r="N189" t="n">
        <v>0</v>
      </c>
      <c r="O189" t="n">
        <v>3</v>
      </c>
      <c r="P189" t="n">
        <v>0</v>
      </c>
      <c r="Q189" t="n">
        <v>3</v>
      </c>
      <c r="R189" s="2" t="inlineStr">
        <is>
          <t>Garnlav
Talltaggsvamp
Vedskivlav</t>
        </is>
      </c>
      <c r="S189">
        <f>HYPERLINK("https://klasma.github.io/Logging_2161/artfynd/A 26606-2025 artfynd.xlsx", "A 26606-2025")</f>
        <v/>
      </c>
      <c r="T189">
        <f>HYPERLINK("https://klasma.github.io/Logging_2161/kartor/A 26606-2025 karta.png", "A 26606-2025")</f>
        <v/>
      </c>
      <c r="V189">
        <f>HYPERLINK("https://klasma.github.io/Logging_2161/klagomål/A 26606-2025 FSC-klagomål.docx", "A 26606-2025")</f>
        <v/>
      </c>
      <c r="W189">
        <f>HYPERLINK("https://klasma.github.io/Logging_2161/klagomålsmail/A 26606-2025 FSC-klagomål mail.docx", "A 26606-2025")</f>
        <v/>
      </c>
      <c r="X189">
        <f>HYPERLINK("https://klasma.github.io/Logging_2161/tillsyn/A 26606-2025 tillsynsbegäran.docx", "A 26606-2025")</f>
        <v/>
      </c>
      <c r="Y189">
        <f>HYPERLINK("https://klasma.github.io/Logging_2161/tillsynsmail/A 26606-2025 tillsynsbegäran mail.docx", "A 26606-2025")</f>
        <v/>
      </c>
    </row>
    <row r="190" ht="15" customHeight="1">
      <c r="A190" t="inlineStr">
        <is>
          <t>A 17701-2025</t>
        </is>
      </c>
      <c r="B190" s="1" t="n">
        <v>45758</v>
      </c>
      <c r="C190" s="1" t="n">
        <v>45883</v>
      </c>
      <c r="D190" t="inlineStr">
        <is>
          <t>GÄVLEBORGS LÄN</t>
        </is>
      </c>
      <c r="E190" t="inlineStr">
        <is>
          <t>LJUSDAL</t>
        </is>
      </c>
      <c r="F190" t="inlineStr">
        <is>
          <t>Kyrkan</t>
        </is>
      </c>
      <c r="G190" t="n">
        <v>3.5</v>
      </c>
      <c r="H190" t="n">
        <v>2</v>
      </c>
      <c r="I190" t="n">
        <v>0</v>
      </c>
      <c r="J190" t="n">
        <v>0</v>
      </c>
      <c r="K190" t="n">
        <v>2</v>
      </c>
      <c r="L190" t="n">
        <v>0</v>
      </c>
      <c r="M190" t="n">
        <v>0</v>
      </c>
      <c r="N190" t="n">
        <v>0</v>
      </c>
      <c r="O190" t="n">
        <v>2</v>
      </c>
      <c r="P190" t="n">
        <v>2</v>
      </c>
      <c r="Q190" t="n">
        <v>3</v>
      </c>
      <c r="R190" s="2" t="inlineStr">
        <is>
          <t>Knärot
Rynkskinn
Tjäder</t>
        </is>
      </c>
      <c r="S190">
        <f>HYPERLINK("https://klasma.github.io/Logging_2161/artfynd/A 17701-2025 artfynd.xlsx", "A 17701-2025")</f>
        <v/>
      </c>
      <c r="T190">
        <f>HYPERLINK("https://klasma.github.io/Logging_2161/kartor/A 17701-2025 karta.png", "A 17701-2025")</f>
        <v/>
      </c>
      <c r="U190">
        <f>HYPERLINK("https://klasma.github.io/Logging_2161/knärot/A 17701-2025 karta knärot.png", "A 17701-2025")</f>
        <v/>
      </c>
      <c r="V190">
        <f>HYPERLINK("https://klasma.github.io/Logging_2161/klagomål/A 17701-2025 FSC-klagomål.docx", "A 17701-2025")</f>
        <v/>
      </c>
      <c r="W190">
        <f>HYPERLINK("https://klasma.github.io/Logging_2161/klagomålsmail/A 17701-2025 FSC-klagomål mail.docx", "A 17701-2025")</f>
        <v/>
      </c>
      <c r="X190">
        <f>HYPERLINK("https://klasma.github.io/Logging_2161/tillsyn/A 17701-2025 tillsynsbegäran.docx", "A 17701-2025")</f>
        <v/>
      </c>
      <c r="Y190">
        <f>HYPERLINK("https://klasma.github.io/Logging_2161/tillsynsmail/A 17701-2025 tillsynsbegäran mail.docx", "A 17701-2025")</f>
        <v/>
      </c>
      <c r="Z190">
        <f>HYPERLINK("https://klasma.github.io/Logging_2161/fåglar/A 17701-2025 prioriterade fågelarter.docx", "A 17701-2025")</f>
        <v/>
      </c>
    </row>
    <row r="191" ht="15" customHeight="1">
      <c r="A191" t="inlineStr">
        <is>
          <t>A 17707-2025</t>
        </is>
      </c>
      <c r="B191" s="1" t="n">
        <v>45758</v>
      </c>
      <c r="C191" s="1" t="n">
        <v>45883</v>
      </c>
      <c r="D191" t="inlineStr">
        <is>
          <t>GÄVLEBORGS LÄN</t>
        </is>
      </c>
      <c r="E191" t="inlineStr">
        <is>
          <t>LJUSDAL</t>
        </is>
      </c>
      <c r="F191" t="inlineStr">
        <is>
          <t>Kyrkan</t>
        </is>
      </c>
      <c r="G191" t="n">
        <v>7.2</v>
      </c>
      <c r="H191" t="n">
        <v>2</v>
      </c>
      <c r="I191" t="n">
        <v>2</v>
      </c>
      <c r="J191" t="n">
        <v>0</v>
      </c>
      <c r="K191" t="n">
        <v>1</v>
      </c>
      <c r="L191" t="n">
        <v>0</v>
      </c>
      <c r="M191" t="n">
        <v>0</v>
      </c>
      <c r="N191" t="n">
        <v>0</v>
      </c>
      <c r="O191" t="n">
        <v>1</v>
      </c>
      <c r="P191" t="n">
        <v>1</v>
      </c>
      <c r="Q191" t="n">
        <v>3</v>
      </c>
      <c r="R191" s="2" t="inlineStr">
        <is>
          <t>Knärot
Grönpyrola
Plattlummer</t>
        </is>
      </c>
      <c r="S191">
        <f>HYPERLINK("https://klasma.github.io/Logging_2161/artfynd/A 17707-2025 artfynd.xlsx", "A 17707-2025")</f>
        <v/>
      </c>
      <c r="T191">
        <f>HYPERLINK("https://klasma.github.io/Logging_2161/kartor/A 17707-2025 karta.png", "A 17707-2025")</f>
        <v/>
      </c>
      <c r="U191">
        <f>HYPERLINK("https://klasma.github.io/Logging_2161/knärot/A 17707-2025 karta knärot.png", "A 17707-2025")</f>
        <v/>
      </c>
      <c r="V191">
        <f>HYPERLINK("https://klasma.github.io/Logging_2161/klagomål/A 17707-2025 FSC-klagomål.docx", "A 17707-2025")</f>
        <v/>
      </c>
      <c r="W191">
        <f>HYPERLINK("https://klasma.github.io/Logging_2161/klagomålsmail/A 17707-2025 FSC-klagomål mail.docx", "A 17707-2025")</f>
        <v/>
      </c>
      <c r="X191">
        <f>HYPERLINK("https://klasma.github.io/Logging_2161/tillsyn/A 17707-2025 tillsynsbegäran.docx", "A 17707-2025")</f>
        <v/>
      </c>
      <c r="Y191">
        <f>HYPERLINK("https://klasma.github.io/Logging_2161/tillsynsmail/A 17707-2025 tillsynsbegäran mail.docx", "A 17707-2025")</f>
        <v/>
      </c>
    </row>
    <row r="192" ht="15" customHeight="1">
      <c r="A192" t="inlineStr">
        <is>
          <t>A 27859-2025</t>
        </is>
      </c>
      <c r="B192" s="1" t="n">
        <v>45817.41498842592</v>
      </c>
      <c r="C192" s="1" t="n">
        <v>45883</v>
      </c>
      <c r="D192" t="inlineStr">
        <is>
          <t>GÄVLEBORGS LÄN</t>
        </is>
      </c>
      <c r="E192" t="inlineStr">
        <is>
          <t>OVANÅKER</t>
        </is>
      </c>
      <c r="F192" t="inlineStr">
        <is>
          <t>Bergvik skog väst AB</t>
        </is>
      </c>
      <c r="G192" t="n">
        <v>26.5</v>
      </c>
      <c r="H192" t="n">
        <v>0</v>
      </c>
      <c r="I192" t="n">
        <v>0</v>
      </c>
      <c r="J192" t="n">
        <v>3</v>
      </c>
      <c r="K192" t="n">
        <v>0</v>
      </c>
      <c r="L192" t="n">
        <v>0</v>
      </c>
      <c r="M192" t="n">
        <v>0</v>
      </c>
      <c r="N192" t="n">
        <v>0</v>
      </c>
      <c r="O192" t="n">
        <v>3</v>
      </c>
      <c r="P192" t="n">
        <v>0</v>
      </c>
      <c r="Q192" t="n">
        <v>3</v>
      </c>
      <c r="R192" s="2" t="inlineStr">
        <is>
          <t>Kolflarnlav
Mörk kolflarnlav
Vedskivlav</t>
        </is>
      </c>
      <c r="S192">
        <f>HYPERLINK("https://klasma.github.io/Logging_2121/artfynd/A 27859-2025 artfynd.xlsx", "A 27859-2025")</f>
        <v/>
      </c>
      <c r="T192">
        <f>HYPERLINK("https://klasma.github.io/Logging_2121/kartor/A 27859-2025 karta.png", "A 27859-2025")</f>
        <v/>
      </c>
      <c r="V192">
        <f>HYPERLINK("https://klasma.github.io/Logging_2121/klagomål/A 27859-2025 FSC-klagomål.docx", "A 27859-2025")</f>
        <v/>
      </c>
      <c r="W192">
        <f>HYPERLINK("https://klasma.github.io/Logging_2121/klagomålsmail/A 27859-2025 FSC-klagomål mail.docx", "A 27859-2025")</f>
        <v/>
      </c>
      <c r="X192">
        <f>HYPERLINK("https://klasma.github.io/Logging_2121/tillsyn/A 27859-2025 tillsynsbegäran.docx", "A 27859-2025")</f>
        <v/>
      </c>
      <c r="Y192">
        <f>HYPERLINK("https://klasma.github.io/Logging_2121/tillsynsmail/A 27859-2025 tillsynsbegäran mail.docx", "A 27859-2025")</f>
        <v/>
      </c>
    </row>
    <row r="193" ht="15" customHeight="1">
      <c r="A193" t="inlineStr">
        <is>
          <t>A 35610-2025</t>
        </is>
      </c>
      <c r="B193" s="1" t="n">
        <v>45859.35157407408</v>
      </c>
      <c r="C193" s="1" t="n">
        <v>45883</v>
      </c>
      <c r="D193" t="inlineStr">
        <is>
          <t>GÄVLEBORGS LÄN</t>
        </is>
      </c>
      <c r="E193" t="inlineStr">
        <is>
          <t>OCKELBO</t>
        </is>
      </c>
      <c r="F193" t="inlineStr">
        <is>
          <t>Bergvik skog väst AB</t>
        </is>
      </c>
      <c r="G193" t="n">
        <v>8.4</v>
      </c>
      <c r="H193" t="n">
        <v>0</v>
      </c>
      <c r="I193" t="n">
        <v>1</v>
      </c>
      <c r="J193" t="n">
        <v>2</v>
      </c>
      <c r="K193" t="n">
        <v>0</v>
      </c>
      <c r="L193" t="n">
        <v>0</v>
      </c>
      <c r="M193" t="n">
        <v>0</v>
      </c>
      <c r="N193" t="n">
        <v>0</v>
      </c>
      <c r="O193" t="n">
        <v>2</v>
      </c>
      <c r="P193" t="n">
        <v>0</v>
      </c>
      <c r="Q193" t="n">
        <v>3</v>
      </c>
      <c r="R193" s="2" t="inlineStr">
        <is>
          <t>Garnlav
Vedskivlav
Dropptaggsvamp</t>
        </is>
      </c>
      <c r="S193">
        <f>HYPERLINK("https://klasma.github.io/Logging_2101/artfynd/A 35610-2025 artfynd.xlsx", "A 35610-2025")</f>
        <v/>
      </c>
      <c r="T193">
        <f>HYPERLINK("https://klasma.github.io/Logging_2101/kartor/A 35610-2025 karta.png", "A 35610-2025")</f>
        <v/>
      </c>
      <c r="V193">
        <f>HYPERLINK("https://klasma.github.io/Logging_2101/klagomål/A 35610-2025 FSC-klagomål.docx", "A 35610-2025")</f>
        <v/>
      </c>
      <c r="W193">
        <f>HYPERLINK("https://klasma.github.io/Logging_2101/klagomålsmail/A 35610-2025 FSC-klagomål mail.docx", "A 35610-2025")</f>
        <v/>
      </c>
      <c r="X193">
        <f>HYPERLINK("https://klasma.github.io/Logging_2101/tillsyn/A 35610-2025 tillsynsbegäran.docx", "A 35610-2025")</f>
        <v/>
      </c>
      <c r="Y193">
        <f>HYPERLINK("https://klasma.github.io/Logging_2101/tillsynsmail/A 35610-2025 tillsynsbegäran mail.docx", "A 35610-2025")</f>
        <v/>
      </c>
    </row>
    <row r="194" ht="15" customHeight="1">
      <c r="A194" t="inlineStr">
        <is>
          <t>A 35739-2025</t>
        </is>
      </c>
      <c r="B194" s="1" t="n">
        <v>45860.524375</v>
      </c>
      <c r="C194" s="1" t="n">
        <v>45883</v>
      </c>
      <c r="D194" t="inlineStr">
        <is>
          <t>GÄVLEBORGS LÄN</t>
        </is>
      </c>
      <c r="E194" t="inlineStr">
        <is>
          <t>LJUSDAL</t>
        </is>
      </c>
      <c r="F194" t="inlineStr">
        <is>
          <t>Bergvik skog väst AB</t>
        </is>
      </c>
      <c r="G194" t="n">
        <v>11</v>
      </c>
      <c r="H194" t="n">
        <v>1</v>
      </c>
      <c r="I194" t="n">
        <v>0</v>
      </c>
      <c r="J194" t="n">
        <v>2</v>
      </c>
      <c r="K194" t="n">
        <v>0</v>
      </c>
      <c r="L194" t="n">
        <v>0</v>
      </c>
      <c r="M194" t="n">
        <v>0</v>
      </c>
      <c r="N194" t="n">
        <v>0</v>
      </c>
      <c r="O194" t="n">
        <v>2</v>
      </c>
      <c r="P194" t="n">
        <v>0</v>
      </c>
      <c r="Q194" t="n">
        <v>3</v>
      </c>
      <c r="R194" s="2" t="inlineStr">
        <is>
          <t>Garnlav
Lunglav
Revlummer</t>
        </is>
      </c>
      <c r="S194">
        <f>HYPERLINK("https://klasma.github.io/Logging_2161/artfynd/A 35739-2025 artfynd.xlsx", "A 35739-2025")</f>
        <v/>
      </c>
      <c r="T194">
        <f>HYPERLINK("https://klasma.github.io/Logging_2161/kartor/A 35739-2025 karta.png", "A 35739-2025")</f>
        <v/>
      </c>
      <c r="V194">
        <f>HYPERLINK("https://klasma.github.io/Logging_2161/klagomål/A 35739-2025 FSC-klagomål.docx", "A 35739-2025")</f>
        <v/>
      </c>
      <c r="W194">
        <f>HYPERLINK("https://klasma.github.io/Logging_2161/klagomålsmail/A 35739-2025 FSC-klagomål mail.docx", "A 35739-2025")</f>
        <v/>
      </c>
      <c r="X194">
        <f>HYPERLINK("https://klasma.github.io/Logging_2161/tillsyn/A 35739-2025 tillsynsbegäran.docx", "A 35739-2025")</f>
        <v/>
      </c>
      <c r="Y194">
        <f>HYPERLINK("https://klasma.github.io/Logging_2161/tillsynsmail/A 35739-2025 tillsynsbegäran mail.docx", "A 35739-2025")</f>
        <v/>
      </c>
    </row>
    <row r="195" ht="15" customHeight="1">
      <c r="A195" t="inlineStr">
        <is>
          <t>A 28866-2025</t>
        </is>
      </c>
      <c r="B195" s="1" t="n">
        <v>45820</v>
      </c>
      <c r="C195" s="1" t="n">
        <v>45883</v>
      </c>
      <c r="D195" t="inlineStr">
        <is>
          <t>GÄVLEBORGS LÄN</t>
        </is>
      </c>
      <c r="E195" t="inlineStr">
        <is>
          <t>LJUSDAL</t>
        </is>
      </c>
      <c r="F195" t="inlineStr">
        <is>
          <t>Bergvik skog väst AB</t>
        </is>
      </c>
      <c r="G195" t="n">
        <v>4.6</v>
      </c>
      <c r="H195" t="n">
        <v>2</v>
      </c>
      <c r="I195" t="n">
        <v>0</v>
      </c>
      <c r="J195" t="n">
        <v>3</v>
      </c>
      <c r="K195" t="n">
        <v>0</v>
      </c>
      <c r="L195" t="n">
        <v>0</v>
      </c>
      <c r="M195" t="n">
        <v>0</v>
      </c>
      <c r="N195" t="n">
        <v>0</v>
      </c>
      <c r="O195" t="n">
        <v>3</v>
      </c>
      <c r="P195" t="n">
        <v>0</v>
      </c>
      <c r="Q195" t="n">
        <v>3</v>
      </c>
      <c r="R195" s="2" t="inlineStr">
        <is>
          <t>Garnlav
Järpe
Talltita</t>
        </is>
      </c>
      <c r="S195">
        <f>HYPERLINK("https://klasma.github.io/Logging_2161/artfynd/A 28866-2025 artfynd.xlsx", "A 28866-2025")</f>
        <v/>
      </c>
      <c r="T195">
        <f>HYPERLINK("https://klasma.github.io/Logging_2161/kartor/A 28866-2025 karta.png", "A 28866-2025")</f>
        <v/>
      </c>
      <c r="V195">
        <f>HYPERLINK("https://klasma.github.io/Logging_2161/klagomål/A 28866-2025 FSC-klagomål.docx", "A 28866-2025")</f>
        <v/>
      </c>
      <c r="W195">
        <f>HYPERLINK("https://klasma.github.io/Logging_2161/klagomålsmail/A 28866-2025 FSC-klagomål mail.docx", "A 28866-2025")</f>
        <v/>
      </c>
      <c r="X195">
        <f>HYPERLINK("https://klasma.github.io/Logging_2161/tillsyn/A 28866-2025 tillsynsbegäran.docx", "A 28866-2025")</f>
        <v/>
      </c>
      <c r="Y195">
        <f>HYPERLINK("https://klasma.github.io/Logging_2161/tillsynsmail/A 28866-2025 tillsynsbegäran mail.docx", "A 28866-2025")</f>
        <v/>
      </c>
      <c r="Z195">
        <f>HYPERLINK("https://klasma.github.io/Logging_2161/fåglar/A 28866-2025 prioriterade fågelarter.docx", "A 28866-2025")</f>
        <v/>
      </c>
    </row>
    <row r="196" ht="15" customHeight="1">
      <c r="A196" t="inlineStr">
        <is>
          <t>A 29239-2025</t>
        </is>
      </c>
      <c r="B196" s="1" t="n">
        <v>45824.35663194444</v>
      </c>
      <c r="C196" s="1" t="n">
        <v>45883</v>
      </c>
      <c r="D196" t="inlineStr">
        <is>
          <t>GÄVLEBORGS LÄN</t>
        </is>
      </c>
      <c r="E196" t="inlineStr">
        <is>
          <t>LJUSDAL</t>
        </is>
      </c>
      <c r="F196" t="inlineStr">
        <is>
          <t>Bergvik skog väst AB</t>
        </is>
      </c>
      <c r="G196" t="n">
        <v>12.1</v>
      </c>
      <c r="H196" t="n">
        <v>0</v>
      </c>
      <c r="I196" t="n">
        <v>1</v>
      </c>
      <c r="J196" t="n">
        <v>2</v>
      </c>
      <c r="K196" t="n">
        <v>0</v>
      </c>
      <c r="L196" t="n">
        <v>0</v>
      </c>
      <c r="M196" t="n">
        <v>0</v>
      </c>
      <c r="N196" t="n">
        <v>0</v>
      </c>
      <c r="O196" t="n">
        <v>2</v>
      </c>
      <c r="P196" t="n">
        <v>0</v>
      </c>
      <c r="Q196" t="n">
        <v>3</v>
      </c>
      <c r="R196" s="2" t="inlineStr">
        <is>
          <t>Garnlav
Ullticka
Vedticka</t>
        </is>
      </c>
      <c r="S196">
        <f>HYPERLINK("https://klasma.github.io/Logging_2161/artfynd/A 29239-2025 artfynd.xlsx", "A 29239-2025")</f>
        <v/>
      </c>
      <c r="T196">
        <f>HYPERLINK("https://klasma.github.io/Logging_2161/kartor/A 29239-2025 karta.png", "A 29239-2025")</f>
        <v/>
      </c>
      <c r="V196">
        <f>HYPERLINK("https://klasma.github.io/Logging_2161/klagomål/A 29239-2025 FSC-klagomål.docx", "A 29239-2025")</f>
        <v/>
      </c>
      <c r="W196">
        <f>HYPERLINK("https://klasma.github.io/Logging_2161/klagomålsmail/A 29239-2025 FSC-klagomål mail.docx", "A 29239-2025")</f>
        <v/>
      </c>
      <c r="X196">
        <f>HYPERLINK("https://klasma.github.io/Logging_2161/tillsyn/A 29239-2025 tillsynsbegäran.docx", "A 29239-2025")</f>
        <v/>
      </c>
      <c r="Y196">
        <f>HYPERLINK("https://klasma.github.io/Logging_2161/tillsynsmail/A 29239-2025 tillsynsbegäran mail.docx", "A 29239-2025")</f>
        <v/>
      </c>
    </row>
    <row r="197" ht="15" customHeight="1">
      <c r="A197" t="inlineStr">
        <is>
          <t>A 29661-2025</t>
        </is>
      </c>
      <c r="B197" s="1" t="n">
        <v>45825</v>
      </c>
      <c r="C197" s="1" t="n">
        <v>45883</v>
      </c>
      <c r="D197" t="inlineStr">
        <is>
          <t>GÄVLEBORGS LÄN</t>
        </is>
      </c>
      <c r="E197" t="inlineStr">
        <is>
          <t>GÄVLE</t>
        </is>
      </c>
      <c r="F197" t="inlineStr">
        <is>
          <t>Bergvik skog väst AB</t>
        </is>
      </c>
      <c r="G197" t="n">
        <v>10.1</v>
      </c>
      <c r="H197" t="n">
        <v>0</v>
      </c>
      <c r="I197" t="n">
        <v>0</v>
      </c>
      <c r="J197" t="n">
        <v>3</v>
      </c>
      <c r="K197" t="n">
        <v>0</v>
      </c>
      <c r="L197" t="n">
        <v>0</v>
      </c>
      <c r="M197" t="n">
        <v>0</v>
      </c>
      <c r="N197" t="n">
        <v>0</v>
      </c>
      <c r="O197" t="n">
        <v>3</v>
      </c>
      <c r="P197" t="n">
        <v>0</v>
      </c>
      <c r="Q197" t="n">
        <v>3</v>
      </c>
      <c r="R197" s="2" t="inlineStr">
        <is>
          <t>Kalkkärrsgrynsnäcka
Skogsklocka
Tandsnäcka</t>
        </is>
      </c>
      <c r="S197">
        <f>HYPERLINK("https://klasma.github.io/Logging_2180/artfynd/A 29661-2025 artfynd.xlsx", "A 29661-2025")</f>
        <v/>
      </c>
      <c r="T197">
        <f>HYPERLINK("https://klasma.github.io/Logging_2180/kartor/A 29661-2025 karta.png", "A 29661-2025")</f>
        <v/>
      </c>
      <c r="V197">
        <f>HYPERLINK("https://klasma.github.io/Logging_2180/klagomål/A 29661-2025 FSC-klagomål.docx", "A 29661-2025")</f>
        <v/>
      </c>
      <c r="W197">
        <f>HYPERLINK("https://klasma.github.io/Logging_2180/klagomålsmail/A 29661-2025 FSC-klagomål mail.docx", "A 29661-2025")</f>
        <v/>
      </c>
      <c r="X197">
        <f>HYPERLINK("https://klasma.github.io/Logging_2180/tillsyn/A 29661-2025 tillsynsbegäran.docx", "A 29661-2025")</f>
        <v/>
      </c>
      <c r="Y197">
        <f>HYPERLINK("https://klasma.github.io/Logging_2180/tillsynsmail/A 29661-2025 tillsynsbegäran mail.docx", "A 29661-2025")</f>
        <v/>
      </c>
    </row>
    <row r="198" ht="15" customHeight="1">
      <c r="A198" t="inlineStr">
        <is>
          <t>A 29626-2025</t>
        </is>
      </c>
      <c r="B198" s="1" t="n">
        <v>45825</v>
      </c>
      <c r="C198" s="1" t="n">
        <v>45883</v>
      </c>
      <c r="D198" t="inlineStr">
        <is>
          <t>GÄVLEBORGS LÄN</t>
        </is>
      </c>
      <c r="E198" t="inlineStr">
        <is>
          <t>GÄVLE</t>
        </is>
      </c>
      <c r="F198" t="inlineStr">
        <is>
          <t>Bergvik skog väst AB</t>
        </is>
      </c>
      <c r="G198" t="n">
        <v>22.2</v>
      </c>
      <c r="H198" t="n">
        <v>2</v>
      </c>
      <c r="I198" t="n">
        <v>0</v>
      </c>
      <c r="J198" t="n">
        <v>2</v>
      </c>
      <c r="K198" t="n">
        <v>0</v>
      </c>
      <c r="L198" t="n">
        <v>0</v>
      </c>
      <c r="M198" t="n">
        <v>0</v>
      </c>
      <c r="N198" t="n">
        <v>0</v>
      </c>
      <c r="O198" t="n">
        <v>2</v>
      </c>
      <c r="P198" t="n">
        <v>0</v>
      </c>
      <c r="Q198" t="n">
        <v>3</v>
      </c>
      <c r="R198" s="2" t="inlineStr">
        <is>
          <t>Brunklöver
Höstlåsbräken
Mattlummer</t>
        </is>
      </c>
      <c r="S198">
        <f>HYPERLINK("https://klasma.github.io/Logging_2180/artfynd/A 29626-2025 artfynd.xlsx", "A 29626-2025")</f>
        <v/>
      </c>
      <c r="T198">
        <f>HYPERLINK("https://klasma.github.io/Logging_2180/kartor/A 29626-2025 karta.png", "A 29626-2025")</f>
        <v/>
      </c>
      <c r="V198">
        <f>HYPERLINK("https://klasma.github.io/Logging_2180/klagomål/A 29626-2025 FSC-klagomål.docx", "A 29626-2025")</f>
        <v/>
      </c>
      <c r="W198">
        <f>HYPERLINK("https://klasma.github.io/Logging_2180/klagomålsmail/A 29626-2025 FSC-klagomål mail.docx", "A 29626-2025")</f>
        <v/>
      </c>
      <c r="X198">
        <f>HYPERLINK("https://klasma.github.io/Logging_2180/tillsyn/A 29626-2025 tillsynsbegäran.docx", "A 29626-2025")</f>
        <v/>
      </c>
      <c r="Y198">
        <f>HYPERLINK("https://klasma.github.io/Logging_2180/tillsynsmail/A 29626-2025 tillsynsbegäran mail.docx", "A 29626-2025")</f>
        <v/>
      </c>
    </row>
    <row r="199" ht="15" customHeight="1">
      <c r="A199" t="inlineStr">
        <is>
          <t>A 30295-2025</t>
        </is>
      </c>
      <c r="B199" s="1" t="n">
        <v>45827.47322916667</v>
      </c>
      <c r="C199" s="1" t="n">
        <v>45883</v>
      </c>
      <c r="D199" t="inlineStr">
        <is>
          <t>GÄVLEBORGS LÄN</t>
        </is>
      </c>
      <c r="E199" t="inlineStr">
        <is>
          <t>LJUSDAL</t>
        </is>
      </c>
      <c r="F199" t="inlineStr">
        <is>
          <t>Sveaskog</t>
        </is>
      </c>
      <c r="G199" t="n">
        <v>9.1</v>
      </c>
      <c r="H199" t="n">
        <v>0</v>
      </c>
      <c r="I199" t="n">
        <v>0</v>
      </c>
      <c r="J199" t="n">
        <v>3</v>
      </c>
      <c r="K199" t="n">
        <v>0</v>
      </c>
      <c r="L199" t="n">
        <v>0</v>
      </c>
      <c r="M199" t="n">
        <v>0</v>
      </c>
      <c r="N199" t="n">
        <v>0</v>
      </c>
      <c r="O199" t="n">
        <v>3</v>
      </c>
      <c r="P199" t="n">
        <v>0</v>
      </c>
      <c r="Q199" t="n">
        <v>3</v>
      </c>
      <c r="R199" s="2" t="inlineStr">
        <is>
          <t>Garnlav
Kolflarnlav
Lunglav</t>
        </is>
      </c>
      <c r="S199">
        <f>HYPERLINK("https://klasma.github.io/Logging_2161/artfynd/A 30295-2025 artfynd.xlsx", "A 30295-2025")</f>
        <v/>
      </c>
      <c r="T199">
        <f>HYPERLINK("https://klasma.github.io/Logging_2161/kartor/A 30295-2025 karta.png", "A 30295-2025")</f>
        <v/>
      </c>
      <c r="V199">
        <f>HYPERLINK("https://klasma.github.io/Logging_2161/klagomål/A 30295-2025 FSC-klagomål.docx", "A 30295-2025")</f>
        <v/>
      </c>
      <c r="W199">
        <f>HYPERLINK("https://klasma.github.io/Logging_2161/klagomålsmail/A 30295-2025 FSC-klagomål mail.docx", "A 30295-2025")</f>
        <v/>
      </c>
      <c r="X199">
        <f>HYPERLINK("https://klasma.github.io/Logging_2161/tillsyn/A 30295-2025 tillsynsbegäran.docx", "A 30295-2025")</f>
        <v/>
      </c>
      <c r="Y199">
        <f>HYPERLINK("https://klasma.github.io/Logging_2161/tillsynsmail/A 30295-2025 tillsynsbegäran mail.docx", "A 30295-2025")</f>
        <v/>
      </c>
    </row>
    <row r="200" ht="15" customHeight="1">
      <c r="A200" t="inlineStr">
        <is>
          <t>A 34590-2021</t>
        </is>
      </c>
      <c r="B200" s="1" t="n">
        <v>44382</v>
      </c>
      <c r="C200" s="1" t="n">
        <v>45883</v>
      </c>
      <c r="D200" t="inlineStr">
        <is>
          <t>GÄVLEBORGS LÄN</t>
        </is>
      </c>
      <c r="E200" t="inlineStr">
        <is>
          <t>BOLLNÄS</t>
        </is>
      </c>
      <c r="F200" t="inlineStr">
        <is>
          <t>Bergvik skog väst AB</t>
        </is>
      </c>
      <c r="G200" t="n">
        <v>5.6</v>
      </c>
      <c r="H200" t="n">
        <v>2</v>
      </c>
      <c r="I200" t="n">
        <v>1</v>
      </c>
      <c r="J200" t="n">
        <v>0</v>
      </c>
      <c r="K200" t="n">
        <v>0</v>
      </c>
      <c r="L200" t="n">
        <v>0</v>
      </c>
      <c r="M200" t="n">
        <v>0</v>
      </c>
      <c r="N200" t="n">
        <v>0</v>
      </c>
      <c r="O200" t="n">
        <v>0</v>
      </c>
      <c r="P200" t="n">
        <v>0</v>
      </c>
      <c r="Q200" t="n">
        <v>3</v>
      </c>
      <c r="R200" s="2" t="inlineStr">
        <is>
          <t>Tibast
Brudsporre
Fläcknycklar</t>
        </is>
      </c>
      <c r="S200">
        <f>HYPERLINK("https://klasma.github.io/Logging_2183/artfynd/A 34590-2021 artfynd.xlsx", "A 34590-2021")</f>
        <v/>
      </c>
      <c r="T200">
        <f>HYPERLINK("https://klasma.github.io/Logging_2183/kartor/A 34590-2021 karta.png", "A 34590-2021")</f>
        <v/>
      </c>
      <c r="V200">
        <f>HYPERLINK("https://klasma.github.io/Logging_2183/klagomål/A 34590-2021 FSC-klagomål.docx", "A 34590-2021")</f>
        <v/>
      </c>
      <c r="W200">
        <f>HYPERLINK("https://klasma.github.io/Logging_2183/klagomålsmail/A 34590-2021 FSC-klagomål mail.docx", "A 34590-2021")</f>
        <v/>
      </c>
      <c r="X200">
        <f>HYPERLINK("https://klasma.github.io/Logging_2183/tillsyn/A 34590-2021 tillsynsbegäran.docx", "A 34590-2021")</f>
        <v/>
      </c>
      <c r="Y200">
        <f>HYPERLINK("https://klasma.github.io/Logging_2183/tillsynsmail/A 34590-2021 tillsynsbegäran mail.docx", "A 34590-2021")</f>
        <v/>
      </c>
    </row>
    <row r="201" ht="15" customHeight="1">
      <c r="A201" t="inlineStr">
        <is>
          <t>A 36621-2024</t>
        </is>
      </c>
      <c r="B201" s="1" t="n">
        <v>45537.58864583333</v>
      </c>
      <c r="C201" s="1" t="n">
        <v>45883</v>
      </c>
      <c r="D201" t="inlineStr">
        <is>
          <t>GÄVLEBORGS LÄN</t>
        </is>
      </c>
      <c r="E201" t="inlineStr">
        <is>
          <t>LJUSDAL</t>
        </is>
      </c>
      <c r="F201" t="inlineStr">
        <is>
          <t>Sveaskog</t>
        </is>
      </c>
      <c r="G201" t="n">
        <v>2.9</v>
      </c>
      <c r="H201" t="n">
        <v>0</v>
      </c>
      <c r="I201" t="n">
        <v>0</v>
      </c>
      <c r="J201" t="n">
        <v>3</v>
      </c>
      <c r="K201" t="n">
        <v>0</v>
      </c>
      <c r="L201" t="n">
        <v>0</v>
      </c>
      <c r="M201" t="n">
        <v>0</v>
      </c>
      <c r="N201" t="n">
        <v>0</v>
      </c>
      <c r="O201" t="n">
        <v>3</v>
      </c>
      <c r="P201" t="n">
        <v>0</v>
      </c>
      <c r="Q201" t="n">
        <v>3</v>
      </c>
      <c r="R201" s="2" t="inlineStr">
        <is>
          <t>Kolflarnlav
Lunglav
Mörk kolflarnlav</t>
        </is>
      </c>
      <c r="S201">
        <f>HYPERLINK("https://klasma.github.io/Logging_2161/artfynd/A 36621-2024 artfynd.xlsx", "A 36621-2024")</f>
        <v/>
      </c>
      <c r="T201">
        <f>HYPERLINK("https://klasma.github.io/Logging_2161/kartor/A 36621-2024 karta.png", "A 36621-2024")</f>
        <v/>
      </c>
      <c r="V201">
        <f>HYPERLINK("https://klasma.github.io/Logging_2161/klagomål/A 36621-2024 FSC-klagomål.docx", "A 36621-2024")</f>
        <v/>
      </c>
      <c r="W201">
        <f>HYPERLINK("https://klasma.github.io/Logging_2161/klagomålsmail/A 36621-2024 FSC-klagomål mail.docx", "A 36621-2024")</f>
        <v/>
      </c>
      <c r="X201">
        <f>HYPERLINK("https://klasma.github.io/Logging_2161/tillsyn/A 36621-2024 tillsynsbegäran.docx", "A 36621-2024")</f>
        <v/>
      </c>
      <c r="Y201">
        <f>HYPERLINK("https://klasma.github.io/Logging_2161/tillsynsmail/A 36621-2024 tillsynsbegäran mail.docx", "A 36621-2024")</f>
        <v/>
      </c>
    </row>
    <row r="202" ht="15" customHeight="1">
      <c r="A202" t="inlineStr">
        <is>
          <t>A 56788-2023</t>
        </is>
      </c>
      <c r="B202" s="1" t="n">
        <v>45244</v>
      </c>
      <c r="C202" s="1" t="n">
        <v>45883</v>
      </c>
      <c r="D202" t="inlineStr">
        <is>
          <t>GÄVLEBORGS LÄN</t>
        </is>
      </c>
      <c r="E202" t="inlineStr">
        <is>
          <t>LJUSDAL</t>
        </is>
      </c>
      <c r="F202" t="inlineStr">
        <is>
          <t>Sveaskog</t>
        </is>
      </c>
      <c r="G202" t="n">
        <v>2.2</v>
      </c>
      <c r="H202" t="n">
        <v>2</v>
      </c>
      <c r="I202" t="n">
        <v>0</v>
      </c>
      <c r="J202" t="n">
        <v>2</v>
      </c>
      <c r="K202" t="n">
        <v>1</v>
      </c>
      <c r="L202" t="n">
        <v>0</v>
      </c>
      <c r="M202" t="n">
        <v>0</v>
      </c>
      <c r="N202" t="n">
        <v>0</v>
      </c>
      <c r="O202" t="n">
        <v>3</v>
      </c>
      <c r="P202" t="n">
        <v>1</v>
      </c>
      <c r="Q202" t="n">
        <v>3</v>
      </c>
      <c r="R202" s="2" t="inlineStr">
        <is>
          <t>Knärot
Garnlav
Järpe</t>
        </is>
      </c>
      <c r="S202">
        <f>HYPERLINK("https://klasma.github.io/Logging_2161/artfynd/A 56788-2023 artfynd.xlsx", "A 56788-2023")</f>
        <v/>
      </c>
      <c r="T202">
        <f>HYPERLINK("https://klasma.github.io/Logging_2161/kartor/A 56788-2023 karta.png", "A 56788-2023")</f>
        <v/>
      </c>
      <c r="U202">
        <f>HYPERLINK("https://klasma.github.io/Logging_2161/knärot/A 56788-2023 karta knärot.png", "A 56788-2023")</f>
        <v/>
      </c>
      <c r="V202">
        <f>HYPERLINK("https://klasma.github.io/Logging_2161/klagomål/A 56788-2023 FSC-klagomål.docx", "A 56788-2023")</f>
        <v/>
      </c>
      <c r="W202">
        <f>HYPERLINK("https://klasma.github.io/Logging_2161/klagomålsmail/A 56788-2023 FSC-klagomål mail.docx", "A 56788-2023")</f>
        <v/>
      </c>
      <c r="X202">
        <f>HYPERLINK("https://klasma.github.io/Logging_2161/tillsyn/A 56788-2023 tillsynsbegäran.docx", "A 56788-2023")</f>
        <v/>
      </c>
      <c r="Y202">
        <f>HYPERLINK("https://klasma.github.io/Logging_2161/tillsynsmail/A 56788-2023 tillsynsbegäran mail.docx", "A 56788-2023")</f>
        <v/>
      </c>
      <c r="Z202">
        <f>HYPERLINK("https://klasma.github.io/Logging_2161/fåglar/A 56788-2023 prioriterade fågelarter.docx", "A 56788-2023")</f>
        <v/>
      </c>
    </row>
    <row r="203" ht="15" customHeight="1">
      <c r="A203" t="inlineStr">
        <is>
          <t>A 32536-2025</t>
        </is>
      </c>
      <c r="B203" s="1" t="n">
        <v>45838.49390046296</v>
      </c>
      <c r="C203" s="1" t="n">
        <v>45883</v>
      </c>
      <c r="D203" t="inlineStr">
        <is>
          <t>GÄVLEBORGS LÄN</t>
        </is>
      </c>
      <c r="E203" t="inlineStr">
        <is>
          <t>LJUSDAL</t>
        </is>
      </c>
      <c r="F203" t="inlineStr">
        <is>
          <t>Sveaskog</t>
        </is>
      </c>
      <c r="G203" t="n">
        <v>4.6</v>
      </c>
      <c r="H203" t="n">
        <v>0</v>
      </c>
      <c r="I203" t="n">
        <v>0</v>
      </c>
      <c r="J203" t="n">
        <v>3</v>
      </c>
      <c r="K203" t="n">
        <v>0</v>
      </c>
      <c r="L203" t="n">
        <v>0</v>
      </c>
      <c r="M203" t="n">
        <v>0</v>
      </c>
      <c r="N203" t="n">
        <v>0</v>
      </c>
      <c r="O203" t="n">
        <v>3</v>
      </c>
      <c r="P203" t="n">
        <v>0</v>
      </c>
      <c r="Q203" t="n">
        <v>3</v>
      </c>
      <c r="R203" s="2" t="inlineStr">
        <is>
          <t>Kolflarnlav
Lunglav
Vedflamlav</t>
        </is>
      </c>
      <c r="S203">
        <f>HYPERLINK("https://klasma.github.io/Logging_2161/artfynd/A 32536-2025 artfynd.xlsx", "A 32536-2025")</f>
        <v/>
      </c>
      <c r="T203">
        <f>HYPERLINK("https://klasma.github.io/Logging_2161/kartor/A 32536-2025 karta.png", "A 32536-2025")</f>
        <v/>
      </c>
      <c r="V203">
        <f>HYPERLINK("https://klasma.github.io/Logging_2161/klagomål/A 32536-2025 FSC-klagomål.docx", "A 32536-2025")</f>
        <v/>
      </c>
      <c r="W203">
        <f>HYPERLINK("https://klasma.github.io/Logging_2161/klagomålsmail/A 32536-2025 FSC-klagomål mail.docx", "A 32536-2025")</f>
        <v/>
      </c>
      <c r="X203">
        <f>HYPERLINK("https://klasma.github.io/Logging_2161/tillsyn/A 32536-2025 tillsynsbegäran.docx", "A 32536-2025")</f>
        <v/>
      </c>
      <c r="Y203">
        <f>HYPERLINK("https://klasma.github.io/Logging_2161/tillsynsmail/A 32536-2025 tillsynsbegäran mail.docx", "A 32536-2025")</f>
        <v/>
      </c>
    </row>
    <row r="204" ht="15" customHeight="1">
      <c r="A204" t="inlineStr">
        <is>
          <t>A 37835-2025</t>
        </is>
      </c>
      <c r="B204" s="1" t="n">
        <v>45881.42501157407</v>
      </c>
      <c r="C204" s="1" t="n">
        <v>45883</v>
      </c>
      <c r="D204" t="inlineStr">
        <is>
          <t>GÄVLEBORGS LÄN</t>
        </is>
      </c>
      <c r="E204" t="inlineStr">
        <is>
          <t>LJUSDAL</t>
        </is>
      </c>
      <c r="F204" t="inlineStr">
        <is>
          <t>Bergvik skog väst AB</t>
        </is>
      </c>
      <c r="G204" t="n">
        <v>2.3</v>
      </c>
      <c r="H204" t="n">
        <v>1</v>
      </c>
      <c r="I204" t="n">
        <v>0</v>
      </c>
      <c r="J204" t="n">
        <v>3</v>
      </c>
      <c r="K204" t="n">
        <v>0</v>
      </c>
      <c r="L204" t="n">
        <v>0</v>
      </c>
      <c r="M204" t="n">
        <v>0</v>
      </c>
      <c r="N204" t="n">
        <v>0</v>
      </c>
      <c r="O204" t="n">
        <v>3</v>
      </c>
      <c r="P204" t="n">
        <v>0</v>
      </c>
      <c r="Q204" t="n">
        <v>3</v>
      </c>
      <c r="R204" s="2" t="inlineStr">
        <is>
          <t>Garnlav
Lunglav
Talltita</t>
        </is>
      </c>
      <c r="S204">
        <f>HYPERLINK("https://klasma.github.io/Logging_2161/artfynd/A 37835-2025 artfynd.xlsx", "A 37835-2025")</f>
        <v/>
      </c>
      <c r="T204">
        <f>HYPERLINK("https://klasma.github.io/Logging_2161/kartor/A 37835-2025 karta.png", "A 37835-2025")</f>
        <v/>
      </c>
      <c r="V204">
        <f>HYPERLINK("https://klasma.github.io/Logging_2161/klagomål/A 37835-2025 FSC-klagomål.docx", "A 37835-2025")</f>
        <v/>
      </c>
      <c r="W204">
        <f>HYPERLINK("https://klasma.github.io/Logging_2161/klagomålsmail/A 37835-2025 FSC-klagomål mail.docx", "A 37835-2025")</f>
        <v/>
      </c>
      <c r="X204">
        <f>HYPERLINK("https://klasma.github.io/Logging_2161/tillsyn/A 37835-2025 tillsynsbegäran.docx", "A 37835-2025")</f>
        <v/>
      </c>
      <c r="Y204">
        <f>HYPERLINK("https://klasma.github.io/Logging_2161/tillsynsmail/A 37835-2025 tillsynsbegäran mail.docx", "A 37835-2025")</f>
        <v/>
      </c>
      <c r="Z204">
        <f>HYPERLINK("https://klasma.github.io/Logging_2161/fåglar/A 37835-2025 prioriterade fågelarter.docx", "A 37835-2025")</f>
        <v/>
      </c>
    </row>
    <row r="205" ht="15" customHeight="1">
      <c r="A205" t="inlineStr">
        <is>
          <t>A 32818-2025</t>
        </is>
      </c>
      <c r="B205" s="1" t="n">
        <v>45839.53280092592</v>
      </c>
      <c r="C205" s="1" t="n">
        <v>45883</v>
      </c>
      <c r="D205" t="inlineStr">
        <is>
          <t>GÄVLEBORGS LÄN</t>
        </is>
      </c>
      <c r="E205" t="inlineStr">
        <is>
          <t>LJUSDAL</t>
        </is>
      </c>
      <c r="F205" t="inlineStr">
        <is>
          <t>Sveaskog</t>
        </is>
      </c>
      <c r="G205" t="n">
        <v>2.8</v>
      </c>
      <c r="H205" t="n">
        <v>1</v>
      </c>
      <c r="I205" t="n">
        <v>0</v>
      </c>
      <c r="J205" t="n">
        <v>2</v>
      </c>
      <c r="K205" t="n">
        <v>0</v>
      </c>
      <c r="L205" t="n">
        <v>0</v>
      </c>
      <c r="M205" t="n">
        <v>0</v>
      </c>
      <c r="N205" t="n">
        <v>0</v>
      </c>
      <c r="O205" t="n">
        <v>2</v>
      </c>
      <c r="P205" t="n">
        <v>0</v>
      </c>
      <c r="Q205" t="n">
        <v>3</v>
      </c>
      <c r="R205" s="2" t="inlineStr">
        <is>
          <t>Kolflarnlav
Lunglav
Fläcknycklar</t>
        </is>
      </c>
      <c r="S205">
        <f>HYPERLINK("https://klasma.github.io/Logging_2161/artfynd/A 32818-2025 artfynd.xlsx", "A 32818-2025")</f>
        <v/>
      </c>
      <c r="T205">
        <f>HYPERLINK("https://klasma.github.io/Logging_2161/kartor/A 32818-2025 karta.png", "A 32818-2025")</f>
        <v/>
      </c>
      <c r="V205">
        <f>HYPERLINK("https://klasma.github.io/Logging_2161/klagomål/A 32818-2025 FSC-klagomål.docx", "A 32818-2025")</f>
        <v/>
      </c>
      <c r="W205">
        <f>HYPERLINK("https://klasma.github.io/Logging_2161/klagomålsmail/A 32818-2025 FSC-klagomål mail.docx", "A 32818-2025")</f>
        <v/>
      </c>
      <c r="X205">
        <f>HYPERLINK("https://klasma.github.io/Logging_2161/tillsyn/A 32818-2025 tillsynsbegäran.docx", "A 32818-2025")</f>
        <v/>
      </c>
      <c r="Y205">
        <f>HYPERLINK("https://klasma.github.io/Logging_2161/tillsynsmail/A 32818-2025 tillsynsbegäran mail.docx", "A 32818-2025")</f>
        <v/>
      </c>
    </row>
    <row r="206" ht="15" customHeight="1">
      <c r="A206" t="inlineStr">
        <is>
          <t>A 49922-2021</t>
        </is>
      </c>
      <c r="B206" s="1" t="n">
        <v>44455</v>
      </c>
      <c r="C206" s="1" t="n">
        <v>45883</v>
      </c>
      <c r="D206" t="inlineStr">
        <is>
          <t>GÄVLEBORGS LÄN</t>
        </is>
      </c>
      <c r="E206" t="inlineStr">
        <is>
          <t>HUDIKSVALL</t>
        </is>
      </c>
      <c r="G206" t="n">
        <v>4.5</v>
      </c>
      <c r="H206" t="n">
        <v>0</v>
      </c>
      <c r="I206" t="n">
        <v>3</v>
      </c>
      <c r="J206" t="n">
        <v>0</v>
      </c>
      <c r="K206" t="n">
        <v>0</v>
      </c>
      <c r="L206" t="n">
        <v>0</v>
      </c>
      <c r="M206" t="n">
        <v>0</v>
      </c>
      <c r="N206" t="n">
        <v>0</v>
      </c>
      <c r="O206" t="n">
        <v>0</v>
      </c>
      <c r="P206" t="n">
        <v>0</v>
      </c>
      <c r="Q206" t="n">
        <v>3</v>
      </c>
      <c r="R206" s="2" t="inlineStr">
        <is>
          <t>Kattfotslav
Korallblylav
Skinnlav</t>
        </is>
      </c>
      <c r="S206">
        <f>HYPERLINK("https://klasma.github.io/Logging_2184/artfynd/A 49922-2021 artfynd.xlsx", "A 49922-2021")</f>
        <v/>
      </c>
      <c r="T206">
        <f>HYPERLINK("https://klasma.github.io/Logging_2184/kartor/A 49922-2021 karta.png", "A 49922-2021")</f>
        <v/>
      </c>
      <c r="V206">
        <f>HYPERLINK("https://klasma.github.io/Logging_2184/klagomål/A 49922-2021 FSC-klagomål.docx", "A 49922-2021")</f>
        <v/>
      </c>
      <c r="W206">
        <f>HYPERLINK("https://klasma.github.io/Logging_2184/klagomålsmail/A 49922-2021 FSC-klagomål mail.docx", "A 49922-2021")</f>
        <v/>
      </c>
      <c r="X206">
        <f>HYPERLINK("https://klasma.github.io/Logging_2184/tillsyn/A 49922-2021 tillsynsbegäran.docx", "A 49922-2021")</f>
        <v/>
      </c>
      <c r="Y206">
        <f>HYPERLINK("https://klasma.github.io/Logging_2184/tillsynsmail/A 49922-2021 tillsynsbegäran mail.docx", "A 49922-2021")</f>
        <v/>
      </c>
    </row>
    <row r="207" ht="15" customHeight="1">
      <c r="A207" t="inlineStr">
        <is>
          <t>A 58515-2021</t>
        </is>
      </c>
      <c r="B207" s="1" t="n">
        <v>44488.65100694444</v>
      </c>
      <c r="C207" s="1" t="n">
        <v>45883</v>
      </c>
      <c r="D207" t="inlineStr">
        <is>
          <t>GÄVLEBORGS LÄN</t>
        </is>
      </c>
      <c r="E207" t="inlineStr">
        <is>
          <t>BOLLNÄS</t>
        </is>
      </c>
      <c r="G207" t="n">
        <v>1.1</v>
      </c>
      <c r="H207" t="n">
        <v>1</v>
      </c>
      <c r="I207" t="n">
        <v>0</v>
      </c>
      <c r="J207" t="n">
        <v>2</v>
      </c>
      <c r="K207" t="n">
        <v>1</v>
      </c>
      <c r="L207" t="n">
        <v>0</v>
      </c>
      <c r="M207" t="n">
        <v>0</v>
      </c>
      <c r="N207" t="n">
        <v>0</v>
      </c>
      <c r="O207" t="n">
        <v>3</v>
      </c>
      <c r="P207" t="n">
        <v>1</v>
      </c>
      <c r="Q207" t="n">
        <v>3</v>
      </c>
      <c r="R207" s="2" t="inlineStr">
        <is>
          <t>Knärot
Rosenticka
Ullticka</t>
        </is>
      </c>
      <c r="S207">
        <f>HYPERLINK("https://klasma.github.io/Logging_2183/artfynd/A 58515-2021 artfynd.xlsx", "A 58515-2021")</f>
        <v/>
      </c>
      <c r="T207">
        <f>HYPERLINK("https://klasma.github.io/Logging_2183/kartor/A 58515-2021 karta.png", "A 58515-2021")</f>
        <v/>
      </c>
      <c r="U207">
        <f>HYPERLINK("https://klasma.github.io/Logging_2183/knärot/A 58515-2021 karta knärot.png", "A 58515-2021")</f>
        <v/>
      </c>
      <c r="V207">
        <f>HYPERLINK("https://klasma.github.io/Logging_2183/klagomål/A 58515-2021 FSC-klagomål.docx", "A 58515-2021")</f>
        <v/>
      </c>
      <c r="W207">
        <f>HYPERLINK("https://klasma.github.io/Logging_2183/klagomålsmail/A 58515-2021 FSC-klagomål mail.docx", "A 58515-2021")</f>
        <v/>
      </c>
      <c r="X207">
        <f>HYPERLINK("https://klasma.github.io/Logging_2183/tillsyn/A 58515-2021 tillsynsbegäran.docx", "A 58515-2021")</f>
        <v/>
      </c>
      <c r="Y207">
        <f>HYPERLINK("https://klasma.github.io/Logging_2183/tillsynsmail/A 58515-2021 tillsynsbegäran mail.docx", "A 58515-2021")</f>
        <v/>
      </c>
    </row>
    <row r="208" ht="15" customHeight="1">
      <c r="A208" t="inlineStr">
        <is>
          <t>A 44116-2022</t>
        </is>
      </c>
      <c r="B208" s="1" t="n">
        <v>44839</v>
      </c>
      <c r="C208" s="1" t="n">
        <v>45883</v>
      </c>
      <c r="D208" t="inlineStr">
        <is>
          <t>GÄVLEBORGS LÄN</t>
        </is>
      </c>
      <c r="E208" t="inlineStr">
        <is>
          <t>LJUSDAL</t>
        </is>
      </c>
      <c r="F208" t="inlineStr">
        <is>
          <t>Sveaskog</t>
        </is>
      </c>
      <c r="G208" t="n">
        <v>9.199999999999999</v>
      </c>
      <c r="H208" t="n">
        <v>0</v>
      </c>
      <c r="I208" t="n">
        <v>0</v>
      </c>
      <c r="J208" t="n">
        <v>2</v>
      </c>
      <c r="K208" t="n">
        <v>0</v>
      </c>
      <c r="L208" t="n">
        <v>0</v>
      </c>
      <c r="M208" t="n">
        <v>0</v>
      </c>
      <c r="N208" t="n">
        <v>0</v>
      </c>
      <c r="O208" t="n">
        <v>2</v>
      </c>
      <c r="P208" t="n">
        <v>0</v>
      </c>
      <c r="Q208" t="n">
        <v>2</v>
      </c>
      <c r="R208" s="2" t="inlineStr">
        <is>
          <t>Kolflarnlav
Lunglav</t>
        </is>
      </c>
      <c r="S208">
        <f>HYPERLINK("https://klasma.github.io/Logging_2161/artfynd/A 44116-2022 artfynd.xlsx", "A 44116-2022")</f>
        <v/>
      </c>
      <c r="T208">
        <f>HYPERLINK("https://klasma.github.io/Logging_2161/kartor/A 44116-2022 karta.png", "A 44116-2022")</f>
        <v/>
      </c>
      <c r="V208">
        <f>HYPERLINK("https://klasma.github.io/Logging_2161/klagomål/A 44116-2022 FSC-klagomål.docx", "A 44116-2022")</f>
        <v/>
      </c>
      <c r="W208">
        <f>HYPERLINK("https://klasma.github.io/Logging_2161/klagomålsmail/A 44116-2022 FSC-klagomål mail.docx", "A 44116-2022")</f>
        <v/>
      </c>
      <c r="X208">
        <f>HYPERLINK("https://klasma.github.io/Logging_2161/tillsyn/A 44116-2022 tillsynsbegäran.docx", "A 44116-2022")</f>
        <v/>
      </c>
      <c r="Y208">
        <f>HYPERLINK("https://klasma.github.io/Logging_2161/tillsynsmail/A 44116-2022 tillsynsbegäran mail.docx", "A 44116-2022")</f>
        <v/>
      </c>
    </row>
    <row r="209" ht="15" customHeight="1">
      <c r="A209" t="inlineStr">
        <is>
          <t>A 44692-2021</t>
        </is>
      </c>
      <c r="B209" s="1" t="n">
        <v>44438</v>
      </c>
      <c r="C209" s="1" t="n">
        <v>45883</v>
      </c>
      <c r="D209" t="inlineStr">
        <is>
          <t>GÄVLEBORGS LÄN</t>
        </is>
      </c>
      <c r="E209" t="inlineStr">
        <is>
          <t>LJUSDAL</t>
        </is>
      </c>
      <c r="F209" t="inlineStr">
        <is>
          <t>Sveaskog</t>
        </is>
      </c>
      <c r="G209" t="n">
        <v>2.5</v>
      </c>
      <c r="H209" t="n">
        <v>0</v>
      </c>
      <c r="I209" t="n">
        <v>0</v>
      </c>
      <c r="J209" t="n">
        <v>2</v>
      </c>
      <c r="K209" t="n">
        <v>0</v>
      </c>
      <c r="L209" t="n">
        <v>0</v>
      </c>
      <c r="M209" t="n">
        <v>0</v>
      </c>
      <c r="N209" t="n">
        <v>0</v>
      </c>
      <c r="O209" t="n">
        <v>2</v>
      </c>
      <c r="P209" t="n">
        <v>0</v>
      </c>
      <c r="Q209" t="n">
        <v>2</v>
      </c>
      <c r="R209" s="2" t="inlineStr">
        <is>
          <t>Kolflarnlav
Lunglav</t>
        </is>
      </c>
      <c r="S209">
        <f>HYPERLINK("https://klasma.github.io/Logging_2161/artfynd/A 44692-2021 artfynd.xlsx", "A 44692-2021")</f>
        <v/>
      </c>
      <c r="T209">
        <f>HYPERLINK("https://klasma.github.io/Logging_2161/kartor/A 44692-2021 karta.png", "A 44692-2021")</f>
        <v/>
      </c>
      <c r="V209">
        <f>HYPERLINK("https://klasma.github.io/Logging_2161/klagomål/A 44692-2021 FSC-klagomål.docx", "A 44692-2021")</f>
        <v/>
      </c>
      <c r="W209">
        <f>HYPERLINK("https://klasma.github.io/Logging_2161/klagomålsmail/A 44692-2021 FSC-klagomål mail.docx", "A 44692-2021")</f>
        <v/>
      </c>
      <c r="X209">
        <f>HYPERLINK("https://klasma.github.io/Logging_2161/tillsyn/A 44692-2021 tillsynsbegäran.docx", "A 44692-2021")</f>
        <v/>
      </c>
      <c r="Y209">
        <f>HYPERLINK("https://klasma.github.io/Logging_2161/tillsynsmail/A 44692-2021 tillsynsbegäran mail.docx", "A 44692-2021")</f>
        <v/>
      </c>
    </row>
    <row r="210" ht="15" customHeight="1">
      <c r="A210" t="inlineStr">
        <is>
          <t>A 22073-2021</t>
        </is>
      </c>
      <c r="B210" s="1" t="n">
        <v>44323.59449074074</v>
      </c>
      <c r="C210" s="1" t="n">
        <v>45883</v>
      </c>
      <c r="D210" t="inlineStr">
        <is>
          <t>GÄVLEBORGS LÄN</t>
        </is>
      </c>
      <c r="E210" t="inlineStr">
        <is>
          <t>GÄVLE</t>
        </is>
      </c>
      <c r="F210" t="inlineStr">
        <is>
          <t>Bergvik skog öst AB</t>
        </is>
      </c>
      <c r="G210" t="n">
        <v>0.5</v>
      </c>
      <c r="H210" t="n">
        <v>2</v>
      </c>
      <c r="I210" t="n">
        <v>0</v>
      </c>
      <c r="J210" t="n">
        <v>2</v>
      </c>
      <c r="K210" t="n">
        <v>0</v>
      </c>
      <c r="L210" t="n">
        <v>0</v>
      </c>
      <c r="M210" t="n">
        <v>0</v>
      </c>
      <c r="N210" t="n">
        <v>0</v>
      </c>
      <c r="O210" t="n">
        <v>2</v>
      </c>
      <c r="P210" t="n">
        <v>0</v>
      </c>
      <c r="Q210" t="n">
        <v>2</v>
      </c>
      <c r="R210" s="2" t="inlineStr">
        <is>
          <t>Blå kärrhök
Havsörn</t>
        </is>
      </c>
      <c r="S210">
        <f>HYPERLINK("https://klasma.github.io/Logging_2180/artfynd/A 22073-2021 artfynd.xlsx", "A 22073-2021")</f>
        <v/>
      </c>
      <c r="T210">
        <f>HYPERLINK("https://klasma.github.io/Logging_2180/kartor/A 22073-2021 karta.png", "A 22073-2021")</f>
        <v/>
      </c>
      <c r="V210">
        <f>HYPERLINK("https://klasma.github.io/Logging_2180/klagomål/A 22073-2021 FSC-klagomål.docx", "A 22073-2021")</f>
        <v/>
      </c>
      <c r="W210">
        <f>HYPERLINK("https://klasma.github.io/Logging_2180/klagomålsmail/A 22073-2021 FSC-klagomål mail.docx", "A 22073-2021")</f>
        <v/>
      </c>
      <c r="X210">
        <f>HYPERLINK("https://klasma.github.io/Logging_2180/tillsyn/A 22073-2021 tillsynsbegäran.docx", "A 22073-2021")</f>
        <v/>
      </c>
      <c r="Y210">
        <f>HYPERLINK("https://klasma.github.io/Logging_2180/tillsynsmail/A 22073-2021 tillsynsbegäran mail.docx", "A 22073-2021")</f>
        <v/>
      </c>
      <c r="Z210">
        <f>HYPERLINK("https://klasma.github.io/Logging_2180/fåglar/A 22073-2021 prioriterade fågelarter.docx", "A 22073-2021")</f>
        <v/>
      </c>
    </row>
    <row r="211" ht="15" customHeight="1">
      <c r="A211" t="inlineStr">
        <is>
          <t>A 37642-2021</t>
        </is>
      </c>
      <c r="B211" s="1" t="n">
        <v>44400.37202546297</v>
      </c>
      <c r="C211" s="1" t="n">
        <v>45883</v>
      </c>
      <c r="D211" t="inlineStr">
        <is>
          <t>GÄVLEBORGS LÄN</t>
        </is>
      </c>
      <c r="E211" t="inlineStr">
        <is>
          <t>LJUSDAL</t>
        </is>
      </c>
      <c r="F211" t="inlineStr">
        <is>
          <t>Sveaskog</t>
        </is>
      </c>
      <c r="G211" t="n">
        <v>1.9</v>
      </c>
      <c r="H211" t="n">
        <v>1</v>
      </c>
      <c r="I211" t="n">
        <v>0</v>
      </c>
      <c r="J211" t="n">
        <v>1</v>
      </c>
      <c r="K211" t="n">
        <v>1</v>
      </c>
      <c r="L211" t="n">
        <v>0</v>
      </c>
      <c r="M211" t="n">
        <v>0</v>
      </c>
      <c r="N211" t="n">
        <v>0</v>
      </c>
      <c r="O211" t="n">
        <v>2</v>
      </c>
      <c r="P211" t="n">
        <v>1</v>
      </c>
      <c r="Q211" t="n">
        <v>2</v>
      </c>
      <c r="R211" s="2" t="inlineStr">
        <is>
          <t>Knärot
Lunglav</t>
        </is>
      </c>
      <c r="S211">
        <f>HYPERLINK("https://klasma.github.io/Logging_2161/artfynd/A 37642-2021 artfynd.xlsx", "A 37642-2021")</f>
        <v/>
      </c>
      <c r="T211">
        <f>HYPERLINK("https://klasma.github.io/Logging_2161/kartor/A 37642-2021 karta.png", "A 37642-2021")</f>
        <v/>
      </c>
      <c r="U211">
        <f>HYPERLINK("https://klasma.github.io/Logging_2161/knärot/A 37642-2021 karta knärot.png", "A 37642-2021")</f>
        <v/>
      </c>
      <c r="V211">
        <f>HYPERLINK("https://klasma.github.io/Logging_2161/klagomål/A 37642-2021 FSC-klagomål.docx", "A 37642-2021")</f>
        <v/>
      </c>
      <c r="W211">
        <f>HYPERLINK("https://klasma.github.io/Logging_2161/klagomålsmail/A 37642-2021 FSC-klagomål mail.docx", "A 37642-2021")</f>
        <v/>
      </c>
      <c r="X211">
        <f>HYPERLINK("https://klasma.github.io/Logging_2161/tillsyn/A 37642-2021 tillsynsbegäran.docx", "A 37642-2021")</f>
        <v/>
      </c>
      <c r="Y211">
        <f>HYPERLINK("https://klasma.github.io/Logging_2161/tillsynsmail/A 37642-2021 tillsynsbegäran mail.docx", "A 37642-2021")</f>
        <v/>
      </c>
    </row>
    <row r="212" ht="15" customHeight="1">
      <c r="A212" t="inlineStr">
        <is>
          <t>A 42203-2022</t>
        </is>
      </c>
      <c r="B212" s="1" t="n">
        <v>44830.65797453704</v>
      </c>
      <c r="C212" s="1" t="n">
        <v>45883</v>
      </c>
      <c r="D212" t="inlineStr">
        <is>
          <t>GÄVLEBORGS LÄN</t>
        </is>
      </c>
      <c r="E212" t="inlineStr">
        <is>
          <t>HUDIKSVALL</t>
        </is>
      </c>
      <c r="G212" t="n">
        <v>2.3</v>
      </c>
      <c r="H212" t="n">
        <v>2</v>
      </c>
      <c r="I212" t="n">
        <v>0</v>
      </c>
      <c r="J212" t="n">
        <v>0</v>
      </c>
      <c r="K212" t="n">
        <v>0</v>
      </c>
      <c r="L212" t="n">
        <v>0</v>
      </c>
      <c r="M212" t="n">
        <v>0</v>
      </c>
      <c r="N212" t="n">
        <v>0</v>
      </c>
      <c r="O212" t="n">
        <v>0</v>
      </c>
      <c r="P212" t="n">
        <v>0</v>
      </c>
      <c r="Q212" t="n">
        <v>2</v>
      </c>
      <c r="R212" s="2" t="inlineStr">
        <is>
          <t>Fläcknycklar
Revlummer</t>
        </is>
      </c>
      <c r="S212">
        <f>HYPERLINK("https://klasma.github.io/Logging_2184/artfynd/A 42203-2022 artfynd.xlsx", "A 42203-2022")</f>
        <v/>
      </c>
      <c r="T212">
        <f>HYPERLINK("https://klasma.github.io/Logging_2184/kartor/A 42203-2022 karta.png", "A 42203-2022")</f>
        <v/>
      </c>
      <c r="V212">
        <f>HYPERLINK("https://klasma.github.io/Logging_2184/klagomål/A 42203-2022 FSC-klagomål.docx", "A 42203-2022")</f>
        <v/>
      </c>
      <c r="W212">
        <f>HYPERLINK("https://klasma.github.io/Logging_2184/klagomålsmail/A 42203-2022 FSC-klagomål mail.docx", "A 42203-2022")</f>
        <v/>
      </c>
      <c r="X212">
        <f>HYPERLINK("https://klasma.github.io/Logging_2184/tillsyn/A 42203-2022 tillsynsbegäran.docx", "A 42203-2022")</f>
        <v/>
      </c>
      <c r="Y212">
        <f>HYPERLINK("https://klasma.github.io/Logging_2184/tillsynsmail/A 42203-2022 tillsynsbegäran mail.docx", "A 42203-2022")</f>
        <v/>
      </c>
    </row>
    <row r="213" ht="15" customHeight="1">
      <c r="A213" t="inlineStr">
        <is>
          <t>A 35588-2022</t>
        </is>
      </c>
      <c r="B213" s="1" t="n">
        <v>44799</v>
      </c>
      <c r="C213" s="1" t="n">
        <v>45883</v>
      </c>
      <c r="D213" t="inlineStr">
        <is>
          <t>GÄVLEBORGS LÄN</t>
        </is>
      </c>
      <c r="E213" t="inlineStr">
        <is>
          <t>LJUSDAL</t>
        </is>
      </c>
      <c r="F213" t="inlineStr">
        <is>
          <t>Sveaskog</t>
        </is>
      </c>
      <c r="G213" t="n">
        <v>3.4</v>
      </c>
      <c r="H213" t="n">
        <v>0</v>
      </c>
      <c r="I213" t="n">
        <v>0</v>
      </c>
      <c r="J213" t="n">
        <v>2</v>
      </c>
      <c r="K213" t="n">
        <v>0</v>
      </c>
      <c r="L213" t="n">
        <v>0</v>
      </c>
      <c r="M213" t="n">
        <v>0</v>
      </c>
      <c r="N213" t="n">
        <v>0</v>
      </c>
      <c r="O213" t="n">
        <v>2</v>
      </c>
      <c r="P213" t="n">
        <v>0</v>
      </c>
      <c r="Q213" t="n">
        <v>2</v>
      </c>
      <c r="R213" s="2" t="inlineStr">
        <is>
          <t>Garnlav
Lunglav</t>
        </is>
      </c>
      <c r="S213">
        <f>HYPERLINK("https://klasma.github.io/Logging_2161/artfynd/A 35588-2022 artfynd.xlsx", "A 35588-2022")</f>
        <v/>
      </c>
      <c r="T213">
        <f>HYPERLINK("https://klasma.github.io/Logging_2161/kartor/A 35588-2022 karta.png", "A 35588-2022")</f>
        <v/>
      </c>
      <c r="V213">
        <f>HYPERLINK("https://klasma.github.io/Logging_2161/klagomål/A 35588-2022 FSC-klagomål.docx", "A 35588-2022")</f>
        <v/>
      </c>
      <c r="W213">
        <f>HYPERLINK("https://klasma.github.io/Logging_2161/klagomålsmail/A 35588-2022 FSC-klagomål mail.docx", "A 35588-2022")</f>
        <v/>
      </c>
      <c r="X213">
        <f>HYPERLINK("https://klasma.github.io/Logging_2161/tillsyn/A 35588-2022 tillsynsbegäran.docx", "A 35588-2022")</f>
        <v/>
      </c>
      <c r="Y213">
        <f>HYPERLINK("https://klasma.github.io/Logging_2161/tillsynsmail/A 35588-2022 tillsynsbegäran mail.docx", "A 35588-2022")</f>
        <v/>
      </c>
    </row>
    <row r="214" ht="15" customHeight="1">
      <c r="A214" t="inlineStr">
        <is>
          <t>A 13261-2021</t>
        </is>
      </c>
      <c r="B214" s="1" t="n">
        <v>44272</v>
      </c>
      <c r="C214" s="1" t="n">
        <v>45883</v>
      </c>
      <c r="D214" t="inlineStr">
        <is>
          <t>GÄVLEBORGS LÄN</t>
        </is>
      </c>
      <c r="E214" t="inlineStr">
        <is>
          <t>GÄVLE</t>
        </is>
      </c>
      <c r="G214" t="n">
        <v>4.7</v>
      </c>
      <c r="H214" t="n">
        <v>1</v>
      </c>
      <c r="I214" t="n">
        <v>0</v>
      </c>
      <c r="J214" t="n">
        <v>1</v>
      </c>
      <c r="K214" t="n">
        <v>0</v>
      </c>
      <c r="L214" t="n">
        <v>0</v>
      </c>
      <c r="M214" t="n">
        <v>0</v>
      </c>
      <c r="N214" t="n">
        <v>0</v>
      </c>
      <c r="O214" t="n">
        <v>1</v>
      </c>
      <c r="P214" t="n">
        <v>0</v>
      </c>
      <c r="Q214" t="n">
        <v>2</v>
      </c>
      <c r="R214" s="2" t="inlineStr">
        <is>
          <t>Motaggsvamp
Blåsippa</t>
        </is>
      </c>
      <c r="S214">
        <f>HYPERLINK("https://klasma.github.io/Logging_2180/artfynd/A 13261-2021 artfynd.xlsx", "A 13261-2021")</f>
        <v/>
      </c>
      <c r="T214">
        <f>HYPERLINK("https://klasma.github.io/Logging_2180/kartor/A 13261-2021 karta.png", "A 13261-2021")</f>
        <v/>
      </c>
      <c r="V214">
        <f>HYPERLINK("https://klasma.github.io/Logging_2180/klagomål/A 13261-2021 FSC-klagomål.docx", "A 13261-2021")</f>
        <v/>
      </c>
      <c r="W214">
        <f>HYPERLINK("https://klasma.github.io/Logging_2180/klagomålsmail/A 13261-2021 FSC-klagomål mail.docx", "A 13261-2021")</f>
        <v/>
      </c>
      <c r="X214">
        <f>HYPERLINK("https://klasma.github.io/Logging_2180/tillsyn/A 13261-2021 tillsynsbegäran.docx", "A 13261-2021")</f>
        <v/>
      </c>
      <c r="Y214">
        <f>HYPERLINK("https://klasma.github.io/Logging_2180/tillsynsmail/A 13261-2021 tillsynsbegäran mail.docx", "A 13261-2021")</f>
        <v/>
      </c>
    </row>
    <row r="215" ht="15" customHeight="1">
      <c r="A215" t="inlineStr">
        <is>
          <t>A 21765-2021</t>
        </is>
      </c>
      <c r="B215" s="1" t="n">
        <v>44322</v>
      </c>
      <c r="C215" s="1" t="n">
        <v>45883</v>
      </c>
      <c r="D215" t="inlineStr">
        <is>
          <t>GÄVLEBORGS LÄN</t>
        </is>
      </c>
      <c r="E215" t="inlineStr">
        <is>
          <t>LJUSDAL</t>
        </is>
      </c>
      <c r="F215" t="inlineStr">
        <is>
          <t>Sveaskog</t>
        </is>
      </c>
      <c r="G215" t="n">
        <v>1</v>
      </c>
      <c r="H215" t="n">
        <v>2</v>
      </c>
      <c r="I215" t="n">
        <v>0</v>
      </c>
      <c r="J215" t="n">
        <v>2</v>
      </c>
      <c r="K215" t="n">
        <v>0</v>
      </c>
      <c r="L215" t="n">
        <v>0</v>
      </c>
      <c r="M215" t="n">
        <v>0</v>
      </c>
      <c r="N215" t="n">
        <v>0</v>
      </c>
      <c r="O215" t="n">
        <v>2</v>
      </c>
      <c r="P215" t="n">
        <v>0</v>
      </c>
      <c r="Q215" t="n">
        <v>2</v>
      </c>
      <c r="R215" s="2" t="inlineStr">
        <is>
          <t>Stenfalk
Ärtsångare</t>
        </is>
      </c>
      <c r="S215">
        <f>HYPERLINK("https://klasma.github.io/Logging_2161/artfynd/A 21765-2021 artfynd.xlsx", "A 21765-2021")</f>
        <v/>
      </c>
      <c r="T215">
        <f>HYPERLINK("https://klasma.github.io/Logging_2161/kartor/A 21765-2021 karta.png", "A 21765-2021")</f>
        <v/>
      </c>
      <c r="V215">
        <f>HYPERLINK("https://klasma.github.io/Logging_2161/klagomål/A 21765-2021 FSC-klagomål.docx", "A 21765-2021")</f>
        <v/>
      </c>
      <c r="W215">
        <f>HYPERLINK("https://klasma.github.io/Logging_2161/klagomålsmail/A 21765-2021 FSC-klagomål mail.docx", "A 21765-2021")</f>
        <v/>
      </c>
      <c r="X215">
        <f>HYPERLINK("https://klasma.github.io/Logging_2161/tillsyn/A 21765-2021 tillsynsbegäran.docx", "A 21765-2021")</f>
        <v/>
      </c>
      <c r="Y215">
        <f>HYPERLINK("https://klasma.github.io/Logging_2161/tillsynsmail/A 21765-2021 tillsynsbegäran mail.docx", "A 21765-2021")</f>
        <v/>
      </c>
      <c r="Z215">
        <f>HYPERLINK("https://klasma.github.io/Logging_2161/fåglar/A 21765-2021 prioriterade fågelarter.docx", "A 21765-2021")</f>
        <v/>
      </c>
    </row>
    <row r="216" ht="15" customHeight="1">
      <c r="A216" t="inlineStr">
        <is>
          <t>A 67300-2021</t>
        </is>
      </c>
      <c r="B216" s="1" t="n">
        <v>44523.6453125</v>
      </c>
      <c r="C216" s="1" t="n">
        <v>45883</v>
      </c>
      <c r="D216" t="inlineStr">
        <is>
          <t>GÄVLEBORGS LÄN</t>
        </is>
      </c>
      <c r="E216" t="inlineStr">
        <is>
          <t>SÖDERHAMN</t>
        </is>
      </c>
      <c r="G216" t="n">
        <v>9.5</v>
      </c>
      <c r="H216" t="n">
        <v>1</v>
      </c>
      <c r="I216" t="n">
        <v>0</v>
      </c>
      <c r="J216" t="n">
        <v>1</v>
      </c>
      <c r="K216" t="n">
        <v>0</v>
      </c>
      <c r="L216" t="n">
        <v>0</v>
      </c>
      <c r="M216" t="n">
        <v>0</v>
      </c>
      <c r="N216" t="n">
        <v>0</v>
      </c>
      <c r="O216" t="n">
        <v>1</v>
      </c>
      <c r="P216" t="n">
        <v>0</v>
      </c>
      <c r="Q216" t="n">
        <v>2</v>
      </c>
      <c r="R216" s="2" t="inlineStr">
        <is>
          <t>Garnlav
Fläcknycklar</t>
        </is>
      </c>
      <c r="S216">
        <f>HYPERLINK("https://klasma.github.io/Logging_2182/artfynd/A 67300-2021 artfynd.xlsx", "A 67300-2021")</f>
        <v/>
      </c>
      <c r="T216">
        <f>HYPERLINK("https://klasma.github.io/Logging_2182/kartor/A 67300-2021 karta.png", "A 67300-2021")</f>
        <v/>
      </c>
      <c r="V216">
        <f>HYPERLINK("https://klasma.github.io/Logging_2182/klagomål/A 67300-2021 FSC-klagomål.docx", "A 67300-2021")</f>
        <v/>
      </c>
      <c r="W216">
        <f>HYPERLINK("https://klasma.github.io/Logging_2182/klagomålsmail/A 67300-2021 FSC-klagomål mail.docx", "A 67300-2021")</f>
        <v/>
      </c>
      <c r="X216">
        <f>HYPERLINK("https://klasma.github.io/Logging_2182/tillsyn/A 67300-2021 tillsynsbegäran.docx", "A 67300-2021")</f>
        <v/>
      </c>
      <c r="Y216">
        <f>HYPERLINK("https://klasma.github.io/Logging_2182/tillsynsmail/A 67300-2021 tillsynsbegäran mail.docx", "A 67300-2021")</f>
        <v/>
      </c>
    </row>
    <row r="217" ht="15" customHeight="1">
      <c r="A217" t="inlineStr">
        <is>
          <t>A 51330-2022</t>
        </is>
      </c>
      <c r="B217" s="1" t="n">
        <v>44869.30180555556</v>
      </c>
      <c r="C217" s="1" t="n">
        <v>45883</v>
      </c>
      <c r="D217" t="inlineStr">
        <is>
          <t>GÄVLEBORGS LÄN</t>
        </is>
      </c>
      <c r="E217" t="inlineStr">
        <is>
          <t>LJUSDAL</t>
        </is>
      </c>
      <c r="F217" t="inlineStr">
        <is>
          <t>Bergvik skog väst AB</t>
        </is>
      </c>
      <c r="G217" t="n">
        <v>9.199999999999999</v>
      </c>
      <c r="H217" t="n">
        <v>2</v>
      </c>
      <c r="I217" t="n">
        <v>0</v>
      </c>
      <c r="J217" t="n">
        <v>1</v>
      </c>
      <c r="K217" t="n">
        <v>0</v>
      </c>
      <c r="L217" t="n">
        <v>0</v>
      </c>
      <c r="M217" t="n">
        <v>0</v>
      </c>
      <c r="N217" t="n">
        <v>0</v>
      </c>
      <c r="O217" t="n">
        <v>1</v>
      </c>
      <c r="P217" t="n">
        <v>0</v>
      </c>
      <c r="Q217" t="n">
        <v>2</v>
      </c>
      <c r="R217" s="2" t="inlineStr">
        <is>
          <t>Järpe
Orre</t>
        </is>
      </c>
      <c r="S217">
        <f>HYPERLINK("https://klasma.github.io/Logging_2161/artfynd/A 51330-2022 artfynd.xlsx", "A 51330-2022")</f>
        <v/>
      </c>
      <c r="T217">
        <f>HYPERLINK("https://klasma.github.io/Logging_2161/kartor/A 51330-2022 karta.png", "A 51330-2022")</f>
        <v/>
      </c>
      <c r="V217">
        <f>HYPERLINK("https://klasma.github.io/Logging_2161/klagomål/A 51330-2022 FSC-klagomål.docx", "A 51330-2022")</f>
        <v/>
      </c>
      <c r="W217">
        <f>HYPERLINK("https://klasma.github.io/Logging_2161/klagomålsmail/A 51330-2022 FSC-klagomål mail.docx", "A 51330-2022")</f>
        <v/>
      </c>
      <c r="X217">
        <f>HYPERLINK("https://klasma.github.io/Logging_2161/tillsyn/A 51330-2022 tillsynsbegäran.docx", "A 51330-2022")</f>
        <v/>
      </c>
      <c r="Y217">
        <f>HYPERLINK("https://klasma.github.io/Logging_2161/tillsynsmail/A 51330-2022 tillsynsbegäran mail.docx", "A 51330-2022")</f>
        <v/>
      </c>
      <c r="Z217">
        <f>HYPERLINK("https://klasma.github.io/Logging_2161/fåglar/A 51330-2022 prioriterade fågelarter.docx", "A 51330-2022")</f>
        <v/>
      </c>
    </row>
    <row r="218" ht="15" customHeight="1">
      <c r="A218" t="inlineStr">
        <is>
          <t>A 57726-2021</t>
        </is>
      </c>
      <c r="B218" s="1" t="n">
        <v>44484</v>
      </c>
      <c r="C218" s="1" t="n">
        <v>45883</v>
      </c>
      <c r="D218" t="inlineStr">
        <is>
          <t>GÄVLEBORGS LÄN</t>
        </is>
      </c>
      <c r="E218" t="inlineStr">
        <is>
          <t>LJUSDAL</t>
        </is>
      </c>
      <c r="F218" t="inlineStr">
        <is>
          <t>Sveaskog</t>
        </is>
      </c>
      <c r="G218" t="n">
        <v>4.2</v>
      </c>
      <c r="H218" t="n">
        <v>0</v>
      </c>
      <c r="I218" t="n">
        <v>0</v>
      </c>
      <c r="J218" t="n">
        <v>2</v>
      </c>
      <c r="K218" t="n">
        <v>0</v>
      </c>
      <c r="L218" t="n">
        <v>0</v>
      </c>
      <c r="M218" t="n">
        <v>0</v>
      </c>
      <c r="N218" t="n">
        <v>0</v>
      </c>
      <c r="O218" t="n">
        <v>2</v>
      </c>
      <c r="P218" t="n">
        <v>0</v>
      </c>
      <c r="Q218" t="n">
        <v>2</v>
      </c>
      <c r="R218" s="2" t="inlineStr">
        <is>
          <t>Garnlav
Mörk kolflarnlav</t>
        </is>
      </c>
      <c r="S218">
        <f>HYPERLINK("https://klasma.github.io/Logging_2161/artfynd/A 57726-2021 artfynd.xlsx", "A 57726-2021")</f>
        <v/>
      </c>
      <c r="T218">
        <f>HYPERLINK("https://klasma.github.io/Logging_2161/kartor/A 57726-2021 karta.png", "A 57726-2021")</f>
        <v/>
      </c>
      <c r="V218">
        <f>HYPERLINK("https://klasma.github.io/Logging_2161/klagomål/A 57726-2021 FSC-klagomål.docx", "A 57726-2021")</f>
        <v/>
      </c>
      <c r="W218">
        <f>HYPERLINK("https://klasma.github.io/Logging_2161/klagomålsmail/A 57726-2021 FSC-klagomål mail.docx", "A 57726-2021")</f>
        <v/>
      </c>
      <c r="X218">
        <f>HYPERLINK("https://klasma.github.io/Logging_2161/tillsyn/A 57726-2021 tillsynsbegäran.docx", "A 57726-2021")</f>
        <v/>
      </c>
      <c r="Y218">
        <f>HYPERLINK("https://klasma.github.io/Logging_2161/tillsynsmail/A 57726-2021 tillsynsbegäran mail.docx", "A 57726-2021")</f>
        <v/>
      </c>
    </row>
    <row r="219" ht="15" customHeight="1">
      <c r="A219" t="inlineStr">
        <is>
          <t>A 38855-2022</t>
        </is>
      </c>
      <c r="B219" s="1" t="n">
        <v>44816</v>
      </c>
      <c r="C219" s="1" t="n">
        <v>45883</v>
      </c>
      <c r="D219" t="inlineStr">
        <is>
          <t>GÄVLEBORGS LÄN</t>
        </is>
      </c>
      <c r="E219" t="inlineStr">
        <is>
          <t>HOFORS</t>
        </is>
      </c>
      <c r="G219" t="n">
        <v>7.1</v>
      </c>
      <c r="H219" t="n">
        <v>2</v>
      </c>
      <c r="I219" t="n">
        <v>0</v>
      </c>
      <c r="J219" t="n">
        <v>0</v>
      </c>
      <c r="K219" t="n">
        <v>1</v>
      </c>
      <c r="L219" t="n">
        <v>0</v>
      </c>
      <c r="M219" t="n">
        <v>0</v>
      </c>
      <c r="N219" t="n">
        <v>0</v>
      </c>
      <c r="O219" t="n">
        <v>1</v>
      </c>
      <c r="P219" t="n">
        <v>1</v>
      </c>
      <c r="Q219" t="n">
        <v>2</v>
      </c>
      <c r="R219" s="2" t="inlineStr">
        <is>
          <t>Knärot
Blåsippa</t>
        </is>
      </c>
      <c r="S219">
        <f>HYPERLINK("https://klasma.github.io/Logging_2104/artfynd/A 38855-2022 artfynd.xlsx", "A 38855-2022")</f>
        <v/>
      </c>
      <c r="T219">
        <f>HYPERLINK("https://klasma.github.io/Logging_2104/kartor/A 38855-2022 karta.png", "A 38855-2022")</f>
        <v/>
      </c>
      <c r="U219">
        <f>HYPERLINK("https://klasma.github.io/Logging_2104/knärot/A 38855-2022 karta knärot.png", "A 38855-2022")</f>
        <v/>
      </c>
      <c r="V219">
        <f>HYPERLINK("https://klasma.github.io/Logging_2104/klagomål/A 38855-2022 FSC-klagomål.docx", "A 38855-2022")</f>
        <v/>
      </c>
      <c r="W219">
        <f>HYPERLINK("https://klasma.github.io/Logging_2104/klagomålsmail/A 38855-2022 FSC-klagomål mail.docx", "A 38855-2022")</f>
        <v/>
      </c>
      <c r="X219">
        <f>HYPERLINK("https://klasma.github.io/Logging_2104/tillsyn/A 38855-2022 tillsynsbegäran.docx", "A 38855-2022")</f>
        <v/>
      </c>
      <c r="Y219">
        <f>HYPERLINK("https://klasma.github.io/Logging_2104/tillsynsmail/A 38855-2022 tillsynsbegäran mail.docx", "A 38855-2022")</f>
        <v/>
      </c>
    </row>
    <row r="220" ht="15" customHeight="1">
      <c r="A220" t="inlineStr">
        <is>
          <t>A 40023-2021</t>
        </is>
      </c>
      <c r="B220" s="1" t="n">
        <v>44418.43170138889</v>
      </c>
      <c r="C220" s="1" t="n">
        <v>45883</v>
      </c>
      <c r="D220" t="inlineStr">
        <is>
          <t>GÄVLEBORGS LÄN</t>
        </is>
      </c>
      <c r="E220" t="inlineStr">
        <is>
          <t>GÄVLE</t>
        </is>
      </c>
      <c r="F220" t="inlineStr">
        <is>
          <t>Bergvik skog öst AB</t>
        </is>
      </c>
      <c r="G220" t="n">
        <v>2.4</v>
      </c>
      <c r="H220" t="n">
        <v>1</v>
      </c>
      <c r="I220" t="n">
        <v>0</v>
      </c>
      <c r="J220" t="n">
        <v>1</v>
      </c>
      <c r="K220" t="n">
        <v>0</v>
      </c>
      <c r="L220" t="n">
        <v>0</v>
      </c>
      <c r="M220" t="n">
        <v>0</v>
      </c>
      <c r="N220" t="n">
        <v>0</v>
      </c>
      <c r="O220" t="n">
        <v>1</v>
      </c>
      <c r="P220" t="n">
        <v>0</v>
      </c>
      <c r="Q220" t="n">
        <v>2</v>
      </c>
      <c r="R220" s="2" t="inlineStr">
        <is>
          <t>Sumpviol
Tjäder</t>
        </is>
      </c>
      <c r="S220">
        <f>HYPERLINK("https://klasma.github.io/Logging_2180/artfynd/A 40023-2021 artfynd.xlsx", "A 40023-2021")</f>
        <v/>
      </c>
      <c r="T220">
        <f>HYPERLINK("https://klasma.github.io/Logging_2180/kartor/A 40023-2021 karta.png", "A 40023-2021")</f>
        <v/>
      </c>
      <c r="V220">
        <f>HYPERLINK("https://klasma.github.io/Logging_2180/klagomål/A 40023-2021 FSC-klagomål.docx", "A 40023-2021")</f>
        <v/>
      </c>
      <c r="W220">
        <f>HYPERLINK("https://klasma.github.io/Logging_2180/klagomålsmail/A 40023-2021 FSC-klagomål mail.docx", "A 40023-2021")</f>
        <v/>
      </c>
      <c r="X220">
        <f>HYPERLINK("https://klasma.github.io/Logging_2180/tillsyn/A 40023-2021 tillsynsbegäran.docx", "A 40023-2021")</f>
        <v/>
      </c>
      <c r="Y220">
        <f>HYPERLINK("https://klasma.github.io/Logging_2180/tillsynsmail/A 40023-2021 tillsynsbegäran mail.docx", "A 40023-2021")</f>
        <v/>
      </c>
      <c r="Z220">
        <f>HYPERLINK("https://klasma.github.io/Logging_2180/fåglar/A 40023-2021 prioriterade fågelarter.docx", "A 40023-2021")</f>
        <v/>
      </c>
    </row>
    <row r="221" ht="15" customHeight="1">
      <c r="A221" t="inlineStr">
        <is>
          <t>A 23866-2022</t>
        </is>
      </c>
      <c r="B221" s="1" t="n">
        <v>44722</v>
      </c>
      <c r="C221" s="1" t="n">
        <v>45883</v>
      </c>
      <c r="D221" t="inlineStr">
        <is>
          <t>GÄVLEBORGS LÄN</t>
        </is>
      </c>
      <c r="E221" t="inlineStr">
        <is>
          <t>LJUSDAL</t>
        </is>
      </c>
      <c r="F221" t="inlineStr">
        <is>
          <t>Sveaskog</t>
        </is>
      </c>
      <c r="G221" t="n">
        <v>2.5</v>
      </c>
      <c r="H221" t="n">
        <v>1</v>
      </c>
      <c r="I221" t="n">
        <v>0</v>
      </c>
      <c r="J221" t="n">
        <v>1</v>
      </c>
      <c r="K221" t="n">
        <v>1</v>
      </c>
      <c r="L221" t="n">
        <v>0</v>
      </c>
      <c r="M221" t="n">
        <v>0</v>
      </c>
      <c r="N221" t="n">
        <v>0</v>
      </c>
      <c r="O221" t="n">
        <v>2</v>
      </c>
      <c r="P221" t="n">
        <v>1</v>
      </c>
      <c r="Q221" t="n">
        <v>2</v>
      </c>
      <c r="R221" s="2" t="inlineStr">
        <is>
          <t>Knärot
Lunglav</t>
        </is>
      </c>
      <c r="S221">
        <f>HYPERLINK("https://klasma.github.io/Logging_2161/artfynd/A 23866-2022 artfynd.xlsx", "A 23866-2022")</f>
        <v/>
      </c>
      <c r="T221">
        <f>HYPERLINK("https://klasma.github.io/Logging_2161/kartor/A 23866-2022 karta.png", "A 23866-2022")</f>
        <v/>
      </c>
      <c r="U221">
        <f>HYPERLINK("https://klasma.github.io/Logging_2161/knärot/A 23866-2022 karta knärot.png", "A 23866-2022")</f>
        <v/>
      </c>
      <c r="V221">
        <f>HYPERLINK("https://klasma.github.io/Logging_2161/klagomål/A 23866-2022 FSC-klagomål.docx", "A 23866-2022")</f>
        <v/>
      </c>
      <c r="W221">
        <f>HYPERLINK("https://klasma.github.io/Logging_2161/klagomålsmail/A 23866-2022 FSC-klagomål mail.docx", "A 23866-2022")</f>
        <v/>
      </c>
      <c r="X221">
        <f>HYPERLINK("https://klasma.github.io/Logging_2161/tillsyn/A 23866-2022 tillsynsbegäran.docx", "A 23866-2022")</f>
        <v/>
      </c>
      <c r="Y221">
        <f>HYPERLINK("https://klasma.github.io/Logging_2161/tillsynsmail/A 23866-2022 tillsynsbegäran mail.docx", "A 23866-2022")</f>
        <v/>
      </c>
    </row>
    <row r="222" ht="15" customHeight="1">
      <c r="A222" t="inlineStr">
        <is>
          <t>A 2857-2025</t>
        </is>
      </c>
      <c r="B222" s="1" t="n">
        <v>45677.66832175926</v>
      </c>
      <c r="C222" s="1" t="n">
        <v>45883</v>
      </c>
      <c r="D222" t="inlineStr">
        <is>
          <t>GÄVLEBORGS LÄN</t>
        </is>
      </c>
      <c r="E222" t="inlineStr">
        <is>
          <t>SANDVIKEN</t>
        </is>
      </c>
      <c r="G222" t="n">
        <v>1.3</v>
      </c>
      <c r="H222" t="n">
        <v>0</v>
      </c>
      <c r="I222" t="n">
        <v>2</v>
      </c>
      <c r="J222" t="n">
        <v>0</v>
      </c>
      <c r="K222" t="n">
        <v>0</v>
      </c>
      <c r="L222" t="n">
        <v>0</v>
      </c>
      <c r="M222" t="n">
        <v>0</v>
      </c>
      <c r="N222" t="n">
        <v>0</v>
      </c>
      <c r="O222" t="n">
        <v>0</v>
      </c>
      <c r="P222" t="n">
        <v>0</v>
      </c>
      <c r="Q222" t="n">
        <v>2</v>
      </c>
      <c r="R222" s="2" t="inlineStr">
        <is>
          <t>Bronshjon
Thomsons trägnagare</t>
        </is>
      </c>
      <c r="S222">
        <f>HYPERLINK("https://klasma.github.io/Logging_2181/artfynd/A 2857-2025 artfynd.xlsx", "A 2857-2025")</f>
        <v/>
      </c>
      <c r="T222">
        <f>HYPERLINK("https://klasma.github.io/Logging_2181/kartor/A 2857-2025 karta.png", "A 2857-2025")</f>
        <v/>
      </c>
      <c r="V222">
        <f>HYPERLINK("https://klasma.github.io/Logging_2181/klagomål/A 2857-2025 FSC-klagomål.docx", "A 2857-2025")</f>
        <v/>
      </c>
      <c r="W222">
        <f>HYPERLINK("https://klasma.github.io/Logging_2181/klagomålsmail/A 2857-2025 FSC-klagomål mail.docx", "A 2857-2025")</f>
        <v/>
      </c>
      <c r="X222">
        <f>HYPERLINK("https://klasma.github.io/Logging_2181/tillsyn/A 2857-2025 tillsynsbegäran.docx", "A 2857-2025")</f>
        <v/>
      </c>
      <c r="Y222">
        <f>HYPERLINK("https://klasma.github.io/Logging_2181/tillsynsmail/A 2857-2025 tillsynsbegäran mail.docx", "A 2857-2025")</f>
        <v/>
      </c>
    </row>
    <row r="223" ht="15" customHeight="1">
      <c r="A223" t="inlineStr">
        <is>
          <t>A 30941-2024</t>
        </is>
      </c>
      <c r="B223" s="1" t="n">
        <v>45499.33694444445</v>
      </c>
      <c r="C223" s="1" t="n">
        <v>45883</v>
      </c>
      <c r="D223" t="inlineStr">
        <is>
          <t>GÄVLEBORGS LÄN</t>
        </is>
      </c>
      <c r="E223" t="inlineStr">
        <is>
          <t>OVANÅKER</t>
        </is>
      </c>
      <c r="F223" t="inlineStr">
        <is>
          <t>Sveaskog</t>
        </is>
      </c>
      <c r="G223" t="n">
        <v>3.3</v>
      </c>
      <c r="H223" t="n">
        <v>0</v>
      </c>
      <c r="I223" t="n">
        <v>0</v>
      </c>
      <c r="J223" t="n">
        <v>2</v>
      </c>
      <c r="K223" t="n">
        <v>0</v>
      </c>
      <c r="L223" t="n">
        <v>0</v>
      </c>
      <c r="M223" t="n">
        <v>0</v>
      </c>
      <c r="N223" t="n">
        <v>0</v>
      </c>
      <c r="O223" t="n">
        <v>2</v>
      </c>
      <c r="P223" t="n">
        <v>0</v>
      </c>
      <c r="Q223" t="n">
        <v>2</v>
      </c>
      <c r="R223" s="2" t="inlineStr">
        <is>
          <t>Lunglav
Skrovellav</t>
        </is>
      </c>
      <c r="S223">
        <f>HYPERLINK("https://klasma.github.io/Logging_2121/artfynd/A 30941-2024 artfynd.xlsx", "A 30941-2024")</f>
        <v/>
      </c>
      <c r="T223">
        <f>HYPERLINK("https://klasma.github.io/Logging_2121/kartor/A 30941-2024 karta.png", "A 30941-2024")</f>
        <v/>
      </c>
      <c r="V223">
        <f>HYPERLINK("https://klasma.github.io/Logging_2121/klagomål/A 30941-2024 FSC-klagomål.docx", "A 30941-2024")</f>
        <v/>
      </c>
      <c r="W223">
        <f>HYPERLINK("https://klasma.github.io/Logging_2121/klagomålsmail/A 30941-2024 FSC-klagomål mail.docx", "A 30941-2024")</f>
        <v/>
      </c>
      <c r="X223">
        <f>HYPERLINK("https://klasma.github.io/Logging_2121/tillsyn/A 30941-2024 tillsynsbegäran.docx", "A 30941-2024")</f>
        <v/>
      </c>
      <c r="Y223">
        <f>HYPERLINK("https://klasma.github.io/Logging_2121/tillsynsmail/A 30941-2024 tillsynsbegäran mail.docx", "A 30941-2024")</f>
        <v/>
      </c>
    </row>
    <row r="224" ht="15" customHeight="1">
      <c r="A224" t="inlineStr">
        <is>
          <t>A 6473-2024</t>
        </is>
      </c>
      <c r="B224" s="1" t="n">
        <v>45338</v>
      </c>
      <c r="C224" s="1" t="n">
        <v>45883</v>
      </c>
      <c r="D224" t="inlineStr">
        <is>
          <t>GÄVLEBORGS LÄN</t>
        </is>
      </c>
      <c r="E224" t="inlineStr">
        <is>
          <t>GÄVLE</t>
        </is>
      </c>
      <c r="G224" t="n">
        <v>4</v>
      </c>
      <c r="H224" t="n">
        <v>1</v>
      </c>
      <c r="I224" t="n">
        <v>1</v>
      </c>
      <c r="J224" t="n">
        <v>0</v>
      </c>
      <c r="K224" t="n">
        <v>0</v>
      </c>
      <c r="L224" t="n">
        <v>0</v>
      </c>
      <c r="M224" t="n">
        <v>0</v>
      </c>
      <c r="N224" t="n">
        <v>0</v>
      </c>
      <c r="O224" t="n">
        <v>0</v>
      </c>
      <c r="P224" t="n">
        <v>0</v>
      </c>
      <c r="Q224" t="n">
        <v>2</v>
      </c>
      <c r="R224" s="2" t="inlineStr">
        <is>
          <t>Tibast
Nattviol</t>
        </is>
      </c>
      <c r="S224">
        <f>HYPERLINK("https://klasma.github.io/Logging_2180/artfynd/A 6473-2024 artfynd.xlsx", "A 6473-2024")</f>
        <v/>
      </c>
      <c r="T224">
        <f>HYPERLINK("https://klasma.github.io/Logging_2180/kartor/A 6473-2024 karta.png", "A 6473-2024")</f>
        <v/>
      </c>
      <c r="V224">
        <f>HYPERLINK("https://klasma.github.io/Logging_2180/klagomål/A 6473-2024 FSC-klagomål.docx", "A 6473-2024")</f>
        <v/>
      </c>
      <c r="W224">
        <f>HYPERLINK("https://klasma.github.io/Logging_2180/klagomålsmail/A 6473-2024 FSC-klagomål mail.docx", "A 6473-2024")</f>
        <v/>
      </c>
      <c r="X224">
        <f>HYPERLINK("https://klasma.github.io/Logging_2180/tillsyn/A 6473-2024 tillsynsbegäran.docx", "A 6473-2024")</f>
        <v/>
      </c>
      <c r="Y224">
        <f>HYPERLINK("https://klasma.github.io/Logging_2180/tillsynsmail/A 6473-2024 tillsynsbegäran mail.docx", "A 6473-2024")</f>
        <v/>
      </c>
    </row>
    <row r="225" ht="15" customHeight="1">
      <c r="A225" t="inlineStr">
        <is>
          <t>A 60875-2023</t>
        </is>
      </c>
      <c r="B225" s="1" t="n">
        <v>45261.29287037037</v>
      </c>
      <c r="C225" s="1" t="n">
        <v>45883</v>
      </c>
      <c r="D225" t="inlineStr">
        <is>
          <t>GÄVLEBORGS LÄN</t>
        </is>
      </c>
      <c r="E225" t="inlineStr">
        <is>
          <t>NORDANSTIG</t>
        </is>
      </c>
      <c r="F225" t="inlineStr">
        <is>
          <t>Holmen skog AB</t>
        </is>
      </c>
      <c r="G225" t="n">
        <v>1.3</v>
      </c>
      <c r="H225" t="n">
        <v>0</v>
      </c>
      <c r="I225" t="n">
        <v>2</v>
      </c>
      <c r="J225" t="n">
        <v>0</v>
      </c>
      <c r="K225" t="n">
        <v>0</v>
      </c>
      <c r="L225" t="n">
        <v>0</v>
      </c>
      <c r="M225" t="n">
        <v>0</v>
      </c>
      <c r="N225" t="n">
        <v>0</v>
      </c>
      <c r="O225" t="n">
        <v>0</v>
      </c>
      <c r="P225" t="n">
        <v>0</v>
      </c>
      <c r="Q225" t="n">
        <v>2</v>
      </c>
      <c r="R225" s="2" t="inlineStr">
        <is>
          <t>Skogshakmossa
Strutbräken</t>
        </is>
      </c>
      <c r="S225">
        <f>HYPERLINK("https://klasma.github.io/Logging_2132/artfynd/A 60875-2023 artfynd.xlsx", "A 60875-2023")</f>
        <v/>
      </c>
      <c r="T225">
        <f>HYPERLINK("https://klasma.github.io/Logging_2132/kartor/A 60875-2023 karta.png", "A 60875-2023")</f>
        <v/>
      </c>
      <c r="V225">
        <f>HYPERLINK("https://klasma.github.io/Logging_2132/klagomål/A 60875-2023 FSC-klagomål.docx", "A 60875-2023")</f>
        <v/>
      </c>
      <c r="W225">
        <f>HYPERLINK("https://klasma.github.io/Logging_2132/klagomålsmail/A 60875-2023 FSC-klagomål mail.docx", "A 60875-2023")</f>
        <v/>
      </c>
      <c r="X225">
        <f>HYPERLINK("https://klasma.github.io/Logging_2132/tillsyn/A 60875-2023 tillsynsbegäran.docx", "A 60875-2023")</f>
        <v/>
      </c>
      <c r="Y225">
        <f>HYPERLINK("https://klasma.github.io/Logging_2132/tillsynsmail/A 60875-2023 tillsynsbegäran mail.docx", "A 60875-2023")</f>
        <v/>
      </c>
    </row>
    <row r="226" ht="15" customHeight="1">
      <c r="A226" t="inlineStr">
        <is>
          <t>A 23399-2024</t>
        </is>
      </c>
      <c r="B226" s="1" t="n">
        <v>45453</v>
      </c>
      <c r="C226" s="1" t="n">
        <v>45883</v>
      </c>
      <c r="D226" t="inlineStr">
        <is>
          <t>GÄVLEBORGS LÄN</t>
        </is>
      </c>
      <c r="E226" t="inlineStr">
        <is>
          <t>LJUSDAL</t>
        </is>
      </c>
      <c r="G226" t="n">
        <v>1.7</v>
      </c>
      <c r="H226" t="n">
        <v>0</v>
      </c>
      <c r="I226" t="n">
        <v>0</v>
      </c>
      <c r="J226" t="n">
        <v>2</v>
      </c>
      <c r="K226" t="n">
        <v>0</v>
      </c>
      <c r="L226" t="n">
        <v>0</v>
      </c>
      <c r="M226" t="n">
        <v>0</v>
      </c>
      <c r="N226" t="n">
        <v>0</v>
      </c>
      <c r="O226" t="n">
        <v>2</v>
      </c>
      <c r="P226" t="n">
        <v>0</v>
      </c>
      <c r="Q226" t="n">
        <v>2</v>
      </c>
      <c r="R226" s="2" t="inlineStr">
        <is>
          <t>Kolflarnlav
Vedflamlav</t>
        </is>
      </c>
      <c r="S226">
        <f>HYPERLINK("https://klasma.github.io/Logging_2161/artfynd/A 23399-2024 artfynd.xlsx", "A 23399-2024")</f>
        <v/>
      </c>
      <c r="T226">
        <f>HYPERLINK("https://klasma.github.io/Logging_2161/kartor/A 23399-2024 karta.png", "A 23399-2024")</f>
        <v/>
      </c>
      <c r="V226">
        <f>HYPERLINK("https://klasma.github.io/Logging_2161/klagomål/A 23399-2024 FSC-klagomål.docx", "A 23399-2024")</f>
        <v/>
      </c>
      <c r="W226">
        <f>HYPERLINK("https://klasma.github.io/Logging_2161/klagomålsmail/A 23399-2024 FSC-klagomål mail.docx", "A 23399-2024")</f>
        <v/>
      </c>
      <c r="X226">
        <f>HYPERLINK("https://klasma.github.io/Logging_2161/tillsyn/A 23399-2024 tillsynsbegäran.docx", "A 23399-2024")</f>
        <v/>
      </c>
      <c r="Y226">
        <f>HYPERLINK("https://klasma.github.io/Logging_2161/tillsynsmail/A 23399-2024 tillsynsbegäran mail.docx", "A 23399-2024")</f>
        <v/>
      </c>
    </row>
    <row r="227" ht="15" customHeight="1">
      <c r="A227" t="inlineStr">
        <is>
          <t>A 19848-2024</t>
        </is>
      </c>
      <c r="B227" s="1" t="n">
        <v>45433.39409722222</v>
      </c>
      <c r="C227" s="1" t="n">
        <v>45883</v>
      </c>
      <c r="D227" t="inlineStr">
        <is>
          <t>GÄVLEBORGS LÄN</t>
        </is>
      </c>
      <c r="E227" t="inlineStr">
        <is>
          <t>LJUSDAL</t>
        </is>
      </c>
      <c r="F227" t="inlineStr">
        <is>
          <t>Sveaskog</t>
        </is>
      </c>
      <c r="G227" t="n">
        <v>3.1</v>
      </c>
      <c r="H227" t="n">
        <v>0</v>
      </c>
      <c r="I227" t="n">
        <v>0</v>
      </c>
      <c r="J227" t="n">
        <v>2</v>
      </c>
      <c r="K227" t="n">
        <v>0</v>
      </c>
      <c r="L227" t="n">
        <v>0</v>
      </c>
      <c r="M227" t="n">
        <v>0</v>
      </c>
      <c r="N227" t="n">
        <v>0</v>
      </c>
      <c r="O227" t="n">
        <v>2</v>
      </c>
      <c r="P227" t="n">
        <v>0</v>
      </c>
      <c r="Q227" t="n">
        <v>2</v>
      </c>
      <c r="R227" s="2" t="inlineStr">
        <is>
          <t>Kolflarnlav
Lunglav</t>
        </is>
      </c>
      <c r="S227">
        <f>HYPERLINK("https://klasma.github.io/Logging_2161/artfynd/A 19848-2024 artfynd.xlsx", "A 19848-2024")</f>
        <v/>
      </c>
      <c r="T227">
        <f>HYPERLINK("https://klasma.github.io/Logging_2161/kartor/A 19848-2024 karta.png", "A 19848-2024")</f>
        <v/>
      </c>
      <c r="V227">
        <f>HYPERLINK("https://klasma.github.io/Logging_2161/klagomål/A 19848-2024 FSC-klagomål.docx", "A 19848-2024")</f>
        <v/>
      </c>
      <c r="W227">
        <f>HYPERLINK("https://klasma.github.io/Logging_2161/klagomålsmail/A 19848-2024 FSC-klagomål mail.docx", "A 19848-2024")</f>
        <v/>
      </c>
      <c r="X227">
        <f>HYPERLINK("https://klasma.github.io/Logging_2161/tillsyn/A 19848-2024 tillsynsbegäran.docx", "A 19848-2024")</f>
        <v/>
      </c>
      <c r="Y227">
        <f>HYPERLINK("https://klasma.github.io/Logging_2161/tillsynsmail/A 19848-2024 tillsynsbegäran mail.docx", "A 19848-2024")</f>
        <v/>
      </c>
    </row>
    <row r="228" ht="15" customHeight="1">
      <c r="A228" t="inlineStr">
        <is>
          <t>A 18098-2024</t>
        </is>
      </c>
      <c r="B228" s="1" t="n">
        <v>45420</v>
      </c>
      <c r="C228" s="1" t="n">
        <v>45883</v>
      </c>
      <c r="D228" t="inlineStr">
        <is>
          <t>GÄVLEBORGS LÄN</t>
        </is>
      </c>
      <c r="E228" t="inlineStr">
        <is>
          <t>LJUSDAL</t>
        </is>
      </c>
      <c r="F228" t="inlineStr">
        <is>
          <t>Sveaskog</t>
        </is>
      </c>
      <c r="G228" t="n">
        <v>3.3</v>
      </c>
      <c r="H228" t="n">
        <v>1</v>
      </c>
      <c r="I228" t="n">
        <v>0</v>
      </c>
      <c r="J228" t="n">
        <v>2</v>
      </c>
      <c r="K228" t="n">
        <v>0</v>
      </c>
      <c r="L228" t="n">
        <v>0</v>
      </c>
      <c r="M228" t="n">
        <v>0</v>
      </c>
      <c r="N228" t="n">
        <v>0</v>
      </c>
      <c r="O228" t="n">
        <v>2</v>
      </c>
      <c r="P228" t="n">
        <v>0</v>
      </c>
      <c r="Q228" t="n">
        <v>2</v>
      </c>
      <c r="R228" s="2" t="inlineStr">
        <is>
          <t>Kolflarnlav
Varglav</t>
        </is>
      </c>
      <c r="S228">
        <f>HYPERLINK("https://klasma.github.io/Logging_2161/artfynd/A 18098-2024 artfynd.xlsx", "A 18098-2024")</f>
        <v/>
      </c>
      <c r="T228">
        <f>HYPERLINK("https://klasma.github.io/Logging_2161/kartor/A 18098-2024 karta.png", "A 18098-2024")</f>
        <v/>
      </c>
      <c r="V228">
        <f>HYPERLINK("https://klasma.github.io/Logging_2161/klagomål/A 18098-2024 FSC-klagomål.docx", "A 18098-2024")</f>
        <v/>
      </c>
      <c r="W228">
        <f>HYPERLINK("https://klasma.github.io/Logging_2161/klagomålsmail/A 18098-2024 FSC-klagomål mail.docx", "A 18098-2024")</f>
        <v/>
      </c>
      <c r="X228">
        <f>HYPERLINK("https://klasma.github.io/Logging_2161/tillsyn/A 18098-2024 tillsynsbegäran.docx", "A 18098-2024")</f>
        <v/>
      </c>
      <c r="Y228">
        <f>HYPERLINK("https://klasma.github.io/Logging_2161/tillsynsmail/A 18098-2024 tillsynsbegäran mail.docx", "A 18098-2024")</f>
        <v/>
      </c>
    </row>
    <row r="229" ht="15" customHeight="1">
      <c r="A229" t="inlineStr">
        <is>
          <t>A 18103-2024</t>
        </is>
      </c>
      <c r="B229" s="1" t="n">
        <v>45420.48034722222</v>
      </c>
      <c r="C229" s="1" t="n">
        <v>45883</v>
      </c>
      <c r="D229" t="inlineStr">
        <is>
          <t>GÄVLEBORGS LÄN</t>
        </is>
      </c>
      <c r="E229" t="inlineStr">
        <is>
          <t>LJUSDAL</t>
        </is>
      </c>
      <c r="F229" t="inlineStr">
        <is>
          <t>Sveaskog</t>
        </is>
      </c>
      <c r="G229" t="n">
        <v>3.9</v>
      </c>
      <c r="H229" t="n">
        <v>0</v>
      </c>
      <c r="I229" t="n">
        <v>0</v>
      </c>
      <c r="J229" t="n">
        <v>2</v>
      </c>
      <c r="K229" t="n">
        <v>0</v>
      </c>
      <c r="L229" t="n">
        <v>0</v>
      </c>
      <c r="M229" t="n">
        <v>0</v>
      </c>
      <c r="N229" t="n">
        <v>0</v>
      </c>
      <c r="O229" t="n">
        <v>2</v>
      </c>
      <c r="P229" t="n">
        <v>0</v>
      </c>
      <c r="Q229" t="n">
        <v>2</v>
      </c>
      <c r="R229" s="2" t="inlineStr">
        <is>
          <t>Kolflarnlav
Mörk kolflarnlav</t>
        </is>
      </c>
      <c r="S229">
        <f>HYPERLINK("https://klasma.github.io/Logging_2161/artfynd/A 18103-2024 artfynd.xlsx", "A 18103-2024")</f>
        <v/>
      </c>
      <c r="T229">
        <f>HYPERLINK("https://klasma.github.io/Logging_2161/kartor/A 18103-2024 karta.png", "A 18103-2024")</f>
        <v/>
      </c>
      <c r="V229">
        <f>HYPERLINK("https://klasma.github.io/Logging_2161/klagomål/A 18103-2024 FSC-klagomål.docx", "A 18103-2024")</f>
        <v/>
      </c>
      <c r="W229">
        <f>HYPERLINK("https://klasma.github.io/Logging_2161/klagomålsmail/A 18103-2024 FSC-klagomål mail.docx", "A 18103-2024")</f>
        <v/>
      </c>
      <c r="X229">
        <f>HYPERLINK("https://klasma.github.io/Logging_2161/tillsyn/A 18103-2024 tillsynsbegäran.docx", "A 18103-2024")</f>
        <v/>
      </c>
      <c r="Y229">
        <f>HYPERLINK("https://klasma.github.io/Logging_2161/tillsynsmail/A 18103-2024 tillsynsbegäran mail.docx", "A 18103-2024")</f>
        <v/>
      </c>
    </row>
    <row r="230" ht="15" customHeight="1">
      <c r="A230" t="inlineStr">
        <is>
          <t>A 17472-2025</t>
        </is>
      </c>
      <c r="B230" s="1" t="n">
        <v>45757.47945601852</v>
      </c>
      <c r="C230" s="1" t="n">
        <v>45883</v>
      </c>
      <c r="D230" t="inlineStr">
        <is>
          <t>GÄVLEBORGS LÄN</t>
        </is>
      </c>
      <c r="E230" t="inlineStr">
        <is>
          <t>LJUSDAL</t>
        </is>
      </c>
      <c r="F230" t="inlineStr">
        <is>
          <t>Sveaskog</t>
        </is>
      </c>
      <c r="G230" t="n">
        <v>3</v>
      </c>
      <c r="H230" t="n">
        <v>0</v>
      </c>
      <c r="I230" t="n">
        <v>0</v>
      </c>
      <c r="J230" t="n">
        <v>2</v>
      </c>
      <c r="K230" t="n">
        <v>0</v>
      </c>
      <c r="L230" t="n">
        <v>0</v>
      </c>
      <c r="M230" t="n">
        <v>0</v>
      </c>
      <c r="N230" t="n">
        <v>0</v>
      </c>
      <c r="O230" t="n">
        <v>2</v>
      </c>
      <c r="P230" t="n">
        <v>0</v>
      </c>
      <c r="Q230" t="n">
        <v>2</v>
      </c>
      <c r="R230" s="2" t="inlineStr">
        <is>
          <t>Kolflarnlav
Mörk kolflarnlav</t>
        </is>
      </c>
      <c r="S230">
        <f>HYPERLINK("https://klasma.github.io/Logging_2161/artfynd/A 17472-2025 artfynd.xlsx", "A 17472-2025")</f>
        <v/>
      </c>
      <c r="T230">
        <f>HYPERLINK("https://klasma.github.io/Logging_2161/kartor/A 17472-2025 karta.png", "A 17472-2025")</f>
        <v/>
      </c>
      <c r="V230">
        <f>HYPERLINK("https://klasma.github.io/Logging_2161/klagomål/A 17472-2025 FSC-klagomål.docx", "A 17472-2025")</f>
        <v/>
      </c>
      <c r="W230">
        <f>HYPERLINK("https://klasma.github.io/Logging_2161/klagomålsmail/A 17472-2025 FSC-klagomål mail.docx", "A 17472-2025")</f>
        <v/>
      </c>
      <c r="X230">
        <f>HYPERLINK("https://klasma.github.io/Logging_2161/tillsyn/A 17472-2025 tillsynsbegäran.docx", "A 17472-2025")</f>
        <v/>
      </c>
      <c r="Y230">
        <f>HYPERLINK("https://klasma.github.io/Logging_2161/tillsynsmail/A 17472-2025 tillsynsbegäran mail.docx", "A 17472-2025")</f>
        <v/>
      </c>
    </row>
    <row r="231" ht="15" customHeight="1">
      <c r="A231" t="inlineStr">
        <is>
          <t>A 54108-2022</t>
        </is>
      </c>
      <c r="B231" s="1" t="n">
        <v>44881.55616898148</v>
      </c>
      <c r="C231" s="1" t="n">
        <v>45883</v>
      </c>
      <c r="D231" t="inlineStr">
        <is>
          <t>GÄVLEBORGS LÄN</t>
        </is>
      </c>
      <c r="E231" t="inlineStr">
        <is>
          <t>LJUSDAL</t>
        </is>
      </c>
      <c r="F231" t="inlineStr">
        <is>
          <t>Sveaskog</t>
        </is>
      </c>
      <c r="G231" t="n">
        <v>7.9</v>
      </c>
      <c r="H231" t="n">
        <v>0</v>
      </c>
      <c r="I231" t="n">
        <v>1</v>
      </c>
      <c r="J231" t="n">
        <v>1</v>
      </c>
      <c r="K231" t="n">
        <v>0</v>
      </c>
      <c r="L231" t="n">
        <v>0</v>
      </c>
      <c r="M231" t="n">
        <v>0</v>
      </c>
      <c r="N231" t="n">
        <v>0</v>
      </c>
      <c r="O231" t="n">
        <v>1</v>
      </c>
      <c r="P231" t="n">
        <v>0</v>
      </c>
      <c r="Q231" t="n">
        <v>2</v>
      </c>
      <c r="R231" s="2" t="inlineStr">
        <is>
          <t>Kolflarnlav
Dropptaggsvamp</t>
        </is>
      </c>
      <c r="S231">
        <f>HYPERLINK("https://klasma.github.io/Logging_2161/artfynd/A 54108-2022 artfynd.xlsx", "A 54108-2022")</f>
        <v/>
      </c>
      <c r="T231">
        <f>HYPERLINK("https://klasma.github.io/Logging_2161/kartor/A 54108-2022 karta.png", "A 54108-2022")</f>
        <v/>
      </c>
      <c r="V231">
        <f>HYPERLINK("https://klasma.github.io/Logging_2161/klagomål/A 54108-2022 FSC-klagomål.docx", "A 54108-2022")</f>
        <v/>
      </c>
      <c r="W231">
        <f>HYPERLINK("https://klasma.github.io/Logging_2161/klagomålsmail/A 54108-2022 FSC-klagomål mail.docx", "A 54108-2022")</f>
        <v/>
      </c>
      <c r="X231">
        <f>HYPERLINK("https://klasma.github.io/Logging_2161/tillsyn/A 54108-2022 tillsynsbegäran.docx", "A 54108-2022")</f>
        <v/>
      </c>
      <c r="Y231">
        <f>HYPERLINK("https://klasma.github.io/Logging_2161/tillsynsmail/A 54108-2022 tillsynsbegäran mail.docx", "A 54108-2022")</f>
        <v/>
      </c>
    </row>
    <row r="232" ht="15" customHeight="1">
      <c r="A232" t="inlineStr">
        <is>
          <t>A 33608-2024</t>
        </is>
      </c>
      <c r="B232" s="1" t="n">
        <v>45520.3830787037</v>
      </c>
      <c r="C232" s="1" t="n">
        <v>45883</v>
      </c>
      <c r="D232" t="inlineStr">
        <is>
          <t>GÄVLEBORGS LÄN</t>
        </is>
      </c>
      <c r="E232" t="inlineStr">
        <is>
          <t>HUDIKSVALL</t>
        </is>
      </c>
      <c r="F232" t="inlineStr">
        <is>
          <t>Holmen skog AB</t>
        </is>
      </c>
      <c r="G232" t="n">
        <v>19.7</v>
      </c>
      <c r="H232" t="n">
        <v>1</v>
      </c>
      <c r="I232" t="n">
        <v>0</v>
      </c>
      <c r="J232" t="n">
        <v>1</v>
      </c>
      <c r="K232" t="n">
        <v>1</v>
      </c>
      <c r="L232" t="n">
        <v>0</v>
      </c>
      <c r="M232" t="n">
        <v>0</v>
      </c>
      <c r="N232" t="n">
        <v>0</v>
      </c>
      <c r="O232" t="n">
        <v>2</v>
      </c>
      <c r="P232" t="n">
        <v>1</v>
      </c>
      <c r="Q232" t="n">
        <v>2</v>
      </c>
      <c r="R232" s="2" t="inlineStr">
        <is>
          <t>Knärot
Garnlav</t>
        </is>
      </c>
      <c r="S232">
        <f>HYPERLINK("https://klasma.github.io/Logging_2184/artfynd/A 33608-2024 artfynd.xlsx", "A 33608-2024")</f>
        <v/>
      </c>
      <c r="T232">
        <f>HYPERLINK("https://klasma.github.io/Logging_2184/kartor/A 33608-2024 karta.png", "A 33608-2024")</f>
        <v/>
      </c>
      <c r="U232">
        <f>HYPERLINK("https://klasma.github.io/Logging_2184/knärot/A 33608-2024 karta knärot.png", "A 33608-2024")</f>
        <v/>
      </c>
      <c r="V232">
        <f>HYPERLINK("https://klasma.github.io/Logging_2184/klagomål/A 33608-2024 FSC-klagomål.docx", "A 33608-2024")</f>
        <v/>
      </c>
      <c r="W232">
        <f>HYPERLINK("https://klasma.github.io/Logging_2184/klagomålsmail/A 33608-2024 FSC-klagomål mail.docx", "A 33608-2024")</f>
        <v/>
      </c>
      <c r="X232">
        <f>HYPERLINK("https://klasma.github.io/Logging_2184/tillsyn/A 33608-2024 tillsynsbegäran.docx", "A 33608-2024")</f>
        <v/>
      </c>
      <c r="Y232">
        <f>HYPERLINK("https://klasma.github.io/Logging_2184/tillsynsmail/A 33608-2024 tillsynsbegäran mail.docx", "A 33608-2024")</f>
        <v/>
      </c>
    </row>
    <row r="233" ht="15" customHeight="1">
      <c r="A233" t="inlineStr">
        <is>
          <t>A 4081-2024</t>
        </is>
      </c>
      <c r="B233" s="1" t="n">
        <v>45323</v>
      </c>
      <c r="C233" s="1" t="n">
        <v>45883</v>
      </c>
      <c r="D233" t="inlineStr">
        <is>
          <t>GÄVLEBORGS LÄN</t>
        </is>
      </c>
      <c r="E233" t="inlineStr">
        <is>
          <t>OVANÅKER</t>
        </is>
      </c>
      <c r="G233" t="n">
        <v>3.3</v>
      </c>
      <c r="H233" t="n">
        <v>0</v>
      </c>
      <c r="I233" t="n">
        <v>0</v>
      </c>
      <c r="J233" t="n">
        <v>2</v>
      </c>
      <c r="K233" t="n">
        <v>0</v>
      </c>
      <c r="L233" t="n">
        <v>0</v>
      </c>
      <c r="M233" t="n">
        <v>0</v>
      </c>
      <c r="N233" t="n">
        <v>0</v>
      </c>
      <c r="O233" t="n">
        <v>2</v>
      </c>
      <c r="P233" t="n">
        <v>0</v>
      </c>
      <c r="Q233" t="n">
        <v>2</v>
      </c>
      <c r="R233" s="2" t="inlineStr">
        <is>
          <t>Rosenticka
Ullticka</t>
        </is>
      </c>
      <c r="S233">
        <f>HYPERLINK("https://klasma.github.io/Logging_2121/artfynd/A 4081-2024 artfynd.xlsx", "A 4081-2024")</f>
        <v/>
      </c>
      <c r="T233">
        <f>HYPERLINK("https://klasma.github.io/Logging_2121/kartor/A 4081-2024 karta.png", "A 4081-2024")</f>
        <v/>
      </c>
      <c r="V233">
        <f>HYPERLINK("https://klasma.github.io/Logging_2121/klagomål/A 4081-2024 FSC-klagomål.docx", "A 4081-2024")</f>
        <v/>
      </c>
      <c r="W233">
        <f>HYPERLINK("https://klasma.github.io/Logging_2121/klagomålsmail/A 4081-2024 FSC-klagomål mail.docx", "A 4081-2024")</f>
        <v/>
      </c>
      <c r="X233">
        <f>HYPERLINK("https://klasma.github.io/Logging_2121/tillsyn/A 4081-2024 tillsynsbegäran.docx", "A 4081-2024")</f>
        <v/>
      </c>
      <c r="Y233">
        <f>HYPERLINK("https://klasma.github.io/Logging_2121/tillsynsmail/A 4081-2024 tillsynsbegäran mail.docx", "A 4081-2024")</f>
        <v/>
      </c>
    </row>
    <row r="234" ht="15" customHeight="1">
      <c r="A234" t="inlineStr">
        <is>
          <t>A 56538-2022</t>
        </is>
      </c>
      <c r="B234" s="1" t="n">
        <v>44887</v>
      </c>
      <c r="C234" s="1" t="n">
        <v>45883</v>
      </c>
      <c r="D234" t="inlineStr">
        <is>
          <t>GÄVLEBORGS LÄN</t>
        </is>
      </c>
      <c r="E234" t="inlineStr">
        <is>
          <t>GÄVLE</t>
        </is>
      </c>
      <c r="F234" t="inlineStr">
        <is>
          <t>Bergvik skog väst AB</t>
        </is>
      </c>
      <c r="G234" t="n">
        <v>2.1</v>
      </c>
      <c r="H234" t="n">
        <v>1</v>
      </c>
      <c r="I234" t="n">
        <v>1</v>
      </c>
      <c r="J234" t="n">
        <v>0</v>
      </c>
      <c r="K234" t="n">
        <v>0</v>
      </c>
      <c r="L234" t="n">
        <v>0</v>
      </c>
      <c r="M234" t="n">
        <v>0</v>
      </c>
      <c r="N234" t="n">
        <v>0</v>
      </c>
      <c r="O234" t="n">
        <v>0</v>
      </c>
      <c r="P234" t="n">
        <v>0</v>
      </c>
      <c r="Q234" t="n">
        <v>2</v>
      </c>
      <c r="R234" s="2" t="inlineStr">
        <is>
          <t>Dropptaggsvamp
Blåsippa</t>
        </is>
      </c>
      <c r="S234">
        <f>HYPERLINK("https://klasma.github.io/Logging_2180/artfynd/A 56538-2022 artfynd.xlsx", "A 56538-2022")</f>
        <v/>
      </c>
      <c r="T234">
        <f>HYPERLINK("https://klasma.github.io/Logging_2180/kartor/A 56538-2022 karta.png", "A 56538-2022")</f>
        <v/>
      </c>
      <c r="V234">
        <f>HYPERLINK("https://klasma.github.io/Logging_2180/klagomål/A 56538-2022 FSC-klagomål.docx", "A 56538-2022")</f>
        <v/>
      </c>
      <c r="W234">
        <f>HYPERLINK("https://klasma.github.io/Logging_2180/klagomålsmail/A 56538-2022 FSC-klagomål mail.docx", "A 56538-2022")</f>
        <v/>
      </c>
      <c r="X234">
        <f>HYPERLINK("https://klasma.github.io/Logging_2180/tillsyn/A 56538-2022 tillsynsbegäran.docx", "A 56538-2022")</f>
        <v/>
      </c>
      <c r="Y234">
        <f>HYPERLINK("https://klasma.github.io/Logging_2180/tillsynsmail/A 56538-2022 tillsynsbegäran mail.docx", "A 56538-2022")</f>
        <v/>
      </c>
    </row>
    <row r="235" ht="15" customHeight="1">
      <c r="A235" t="inlineStr">
        <is>
          <t>A 17474-2025</t>
        </is>
      </c>
      <c r="B235" s="1" t="n">
        <v>45757.48214120371</v>
      </c>
      <c r="C235" s="1" t="n">
        <v>45883</v>
      </c>
      <c r="D235" t="inlineStr">
        <is>
          <t>GÄVLEBORGS LÄN</t>
        </is>
      </c>
      <c r="E235" t="inlineStr">
        <is>
          <t>LJUSDAL</t>
        </is>
      </c>
      <c r="F235" t="inlineStr">
        <is>
          <t>Sveaskog</t>
        </is>
      </c>
      <c r="G235" t="n">
        <v>9.4</v>
      </c>
      <c r="H235" t="n">
        <v>0</v>
      </c>
      <c r="I235" t="n">
        <v>0</v>
      </c>
      <c r="J235" t="n">
        <v>2</v>
      </c>
      <c r="K235" t="n">
        <v>0</v>
      </c>
      <c r="L235" t="n">
        <v>0</v>
      </c>
      <c r="M235" t="n">
        <v>0</v>
      </c>
      <c r="N235" t="n">
        <v>0</v>
      </c>
      <c r="O235" t="n">
        <v>2</v>
      </c>
      <c r="P235" t="n">
        <v>0</v>
      </c>
      <c r="Q235" t="n">
        <v>2</v>
      </c>
      <c r="R235" s="2" t="inlineStr">
        <is>
          <t>Kolflarnlav
Lunglav</t>
        </is>
      </c>
      <c r="S235">
        <f>HYPERLINK("https://klasma.github.io/Logging_2161/artfynd/A 17474-2025 artfynd.xlsx", "A 17474-2025")</f>
        <v/>
      </c>
      <c r="T235">
        <f>HYPERLINK("https://klasma.github.io/Logging_2161/kartor/A 17474-2025 karta.png", "A 17474-2025")</f>
        <v/>
      </c>
      <c r="V235">
        <f>HYPERLINK("https://klasma.github.io/Logging_2161/klagomål/A 17474-2025 FSC-klagomål.docx", "A 17474-2025")</f>
        <v/>
      </c>
      <c r="W235">
        <f>HYPERLINK("https://klasma.github.io/Logging_2161/klagomålsmail/A 17474-2025 FSC-klagomål mail.docx", "A 17474-2025")</f>
        <v/>
      </c>
      <c r="X235">
        <f>HYPERLINK("https://klasma.github.io/Logging_2161/tillsyn/A 17474-2025 tillsynsbegäran.docx", "A 17474-2025")</f>
        <v/>
      </c>
      <c r="Y235">
        <f>HYPERLINK("https://klasma.github.io/Logging_2161/tillsynsmail/A 17474-2025 tillsynsbegäran mail.docx", "A 17474-2025")</f>
        <v/>
      </c>
    </row>
    <row r="236" ht="15" customHeight="1">
      <c r="A236" t="inlineStr">
        <is>
          <t>A 7608-2023</t>
        </is>
      </c>
      <c r="B236" s="1" t="n">
        <v>44972</v>
      </c>
      <c r="C236" s="1" t="n">
        <v>45883</v>
      </c>
      <c r="D236" t="inlineStr">
        <is>
          <t>GÄVLEBORGS LÄN</t>
        </is>
      </c>
      <c r="E236" t="inlineStr">
        <is>
          <t>NORDANSTIG</t>
        </is>
      </c>
      <c r="F236" t="inlineStr">
        <is>
          <t>Holmen skog AB</t>
        </is>
      </c>
      <c r="G236" t="n">
        <v>13</v>
      </c>
      <c r="H236" t="n">
        <v>0</v>
      </c>
      <c r="I236" t="n">
        <v>1</v>
      </c>
      <c r="J236" t="n">
        <v>1</v>
      </c>
      <c r="K236" t="n">
        <v>0</v>
      </c>
      <c r="L236" t="n">
        <v>0</v>
      </c>
      <c r="M236" t="n">
        <v>0</v>
      </c>
      <c r="N236" t="n">
        <v>0</v>
      </c>
      <c r="O236" t="n">
        <v>1</v>
      </c>
      <c r="P236" t="n">
        <v>0</v>
      </c>
      <c r="Q236" t="n">
        <v>2</v>
      </c>
      <c r="R236" s="2" t="inlineStr">
        <is>
          <t>Tallticka
Mindre märgborre</t>
        </is>
      </c>
      <c r="S236">
        <f>HYPERLINK("https://klasma.github.io/Logging_2132/artfynd/A 7608-2023 artfynd.xlsx", "A 7608-2023")</f>
        <v/>
      </c>
      <c r="T236">
        <f>HYPERLINK("https://klasma.github.io/Logging_2132/kartor/A 7608-2023 karta.png", "A 7608-2023")</f>
        <v/>
      </c>
      <c r="V236">
        <f>HYPERLINK("https://klasma.github.io/Logging_2132/klagomål/A 7608-2023 FSC-klagomål.docx", "A 7608-2023")</f>
        <v/>
      </c>
      <c r="W236">
        <f>HYPERLINK("https://klasma.github.io/Logging_2132/klagomålsmail/A 7608-2023 FSC-klagomål mail.docx", "A 7608-2023")</f>
        <v/>
      </c>
      <c r="X236">
        <f>HYPERLINK("https://klasma.github.io/Logging_2132/tillsyn/A 7608-2023 tillsynsbegäran.docx", "A 7608-2023")</f>
        <v/>
      </c>
      <c r="Y236">
        <f>HYPERLINK("https://klasma.github.io/Logging_2132/tillsynsmail/A 7608-2023 tillsynsbegäran mail.docx", "A 7608-2023")</f>
        <v/>
      </c>
    </row>
    <row r="237" ht="15" customHeight="1">
      <c r="A237" t="inlineStr">
        <is>
          <t>A 20098-2025</t>
        </is>
      </c>
      <c r="B237" s="1" t="n">
        <v>45772.46837962963</v>
      </c>
      <c r="C237" s="1" t="n">
        <v>45883</v>
      </c>
      <c r="D237" t="inlineStr">
        <is>
          <t>GÄVLEBORGS LÄN</t>
        </is>
      </c>
      <c r="E237" t="inlineStr">
        <is>
          <t>LJUSDAL</t>
        </is>
      </c>
      <c r="F237" t="inlineStr">
        <is>
          <t>Sveaskog</t>
        </is>
      </c>
      <c r="G237" t="n">
        <v>14.7</v>
      </c>
      <c r="H237" t="n">
        <v>0</v>
      </c>
      <c r="I237" t="n">
        <v>0</v>
      </c>
      <c r="J237" t="n">
        <v>2</v>
      </c>
      <c r="K237" t="n">
        <v>0</v>
      </c>
      <c r="L237" t="n">
        <v>0</v>
      </c>
      <c r="M237" t="n">
        <v>0</v>
      </c>
      <c r="N237" t="n">
        <v>0</v>
      </c>
      <c r="O237" t="n">
        <v>2</v>
      </c>
      <c r="P237" t="n">
        <v>0</v>
      </c>
      <c r="Q237" t="n">
        <v>2</v>
      </c>
      <c r="R237" s="2" t="inlineStr">
        <is>
          <t>Kolflarnlav
Mörk kolflarnlav</t>
        </is>
      </c>
      <c r="S237">
        <f>HYPERLINK("https://klasma.github.io/Logging_2161/artfynd/A 20098-2025 artfynd.xlsx", "A 20098-2025")</f>
        <v/>
      </c>
      <c r="T237">
        <f>HYPERLINK("https://klasma.github.io/Logging_2161/kartor/A 20098-2025 karta.png", "A 20098-2025")</f>
        <v/>
      </c>
      <c r="V237">
        <f>HYPERLINK("https://klasma.github.io/Logging_2161/klagomål/A 20098-2025 FSC-klagomål.docx", "A 20098-2025")</f>
        <v/>
      </c>
      <c r="W237">
        <f>HYPERLINK("https://klasma.github.io/Logging_2161/klagomålsmail/A 20098-2025 FSC-klagomål mail.docx", "A 20098-2025")</f>
        <v/>
      </c>
      <c r="X237">
        <f>HYPERLINK("https://klasma.github.io/Logging_2161/tillsyn/A 20098-2025 tillsynsbegäran.docx", "A 20098-2025")</f>
        <v/>
      </c>
      <c r="Y237">
        <f>HYPERLINK("https://klasma.github.io/Logging_2161/tillsynsmail/A 20098-2025 tillsynsbegäran mail.docx", "A 20098-2025")</f>
        <v/>
      </c>
    </row>
    <row r="238" ht="15" customHeight="1">
      <c r="A238" t="inlineStr">
        <is>
          <t>A 43503-2020</t>
        </is>
      </c>
      <c r="B238" s="1" t="n">
        <v>44077</v>
      </c>
      <c r="C238" s="1" t="n">
        <v>45883</v>
      </c>
      <c r="D238" t="inlineStr">
        <is>
          <t>GÄVLEBORGS LÄN</t>
        </is>
      </c>
      <c r="E238" t="inlineStr">
        <is>
          <t>HUDIKSVALL</t>
        </is>
      </c>
      <c r="G238" t="n">
        <v>3.3</v>
      </c>
      <c r="H238" t="n">
        <v>1</v>
      </c>
      <c r="I238" t="n">
        <v>0</v>
      </c>
      <c r="J238" t="n">
        <v>1</v>
      </c>
      <c r="K238" t="n">
        <v>1</v>
      </c>
      <c r="L238" t="n">
        <v>0</v>
      </c>
      <c r="M238" t="n">
        <v>0</v>
      </c>
      <c r="N238" t="n">
        <v>0</v>
      </c>
      <c r="O238" t="n">
        <v>2</v>
      </c>
      <c r="P238" t="n">
        <v>1</v>
      </c>
      <c r="Q238" t="n">
        <v>2</v>
      </c>
      <c r="R238" s="2" t="inlineStr">
        <is>
          <t>Knärot
Garnlav</t>
        </is>
      </c>
      <c r="S238">
        <f>HYPERLINK("https://klasma.github.io/Logging_2184/artfynd/A 43503-2020 artfynd.xlsx", "A 43503-2020")</f>
        <v/>
      </c>
      <c r="T238">
        <f>HYPERLINK("https://klasma.github.io/Logging_2184/kartor/A 43503-2020 karta.png", "A 43503-2020")</f>
        <v/>
      </c>
      <c r="U238">
        <f>HYPERLINK("https://klasma.github.io/Logging_2184/knärot/A 43503-2020 karta knärot.png", "A 43503-2020")</f>
        <v/>
      </c>
      <c r="V238">
        <f>HYPERLINK("https://klasma.github.io/Logging_2184/klagomål/A 43503-2020 FSC-klagomål.docx", "A 43503-2020")</f>
        <v/>
      </c>
      <c r="W238">
        <f>HYPERLINK("https://klasma.github.io/Logging_2184/klagomålsmail/A 43503-2020 FSC-klagomål mail.docx", "A 43503-2020")</f>
        <v/>
      </c>
      <c r="X238">
        <f>HYPERLINK("https://klasma.github.io/Logging_2184/tillsyn/A 43503-2020 tillsynsbegäran.docx", "A 43503-2020")</f>
        <v/>
      </c>
      <c r="Y238">
        <f>HYPERLINK("https://klasma.github.io/Logging_2184/tillsynsmail/A 43503-2020 tillsynsbegäran mail.docx", "A 43503-2020")</f>
        <v/>
      </c>
    </row>
    <row r="239" ht="15" customHeight="1">
      <c r="A239" t="inlineStr">
        <is>
          <t>A 36310-2024</t>
        </is>
      </c>
      <c r="B239" s="1" t="n">
        <v>45534.62892361111</v>
      </c>
      <c r="C239" s="1" t="n">
        <v>45883</v>
      </c>
      <c r="D239" t="inlineStr">
        <is>
          <t>GÄVLEBORGS LÄN</t>
        </is>
      </c>
      <c r="E239" t="inlineStr">
        <is>
          <t>NORDANSTIG</t>
        </is>
      </c>
      <c r="F239" t="inlineStr">
        <is>
          <t>Holmen skog AB</t>
        </is>
      </c>
      <c r="G239" t="n">
        <v>6.5</v>
      </c>
      <c r="H239" t="n">
        <v>1</v>
      </c>
      <c r="I239" t="n">
        <v>1</v>
      </c>
      <c r="J239" t="n">
        <v>0</v>
      </c>
      <c r="K239" t="n">
        <v>0</v>
      </c>
      <c r="L239" t="n">
        <v>0</v>
      </c>
      <c r="M239" t="n">
        <v>0</v>
      </c>
      <c r="N239" t="n">
        <v>0</v>
      </c>
      <c r="O239" t="n">
        <v>0</v>
      </c>
      <c r="P239" t="n">
        <v>0</v>
      </c>
      <c r="Q239" t="n">
        <v>2</v>
      </c>
      <c r="R239" s="2" t="inlineStr">
        <is>
          <t>Nästlav
Revlummer</t>
        </is>
      </c>
      <c r="S239">
        <f>HYPERLINK("https://klasma.github.io/Logging_2132/artfynd/A 36310-2024 artfynd.xlsx", "A 36310-2024")</f>
        <v/>
      </c>
      <c r="T239">
        <f>HYPERLINK("https://klasma.github.io/Logging_2132/kartor/A 36310-2024 karta.png", "A 36310-2024")</f>
        <v/>
      </c>
      <c r="V239">
        <f>HYPERLINK("https://klasma.github.io/Logging_2132/klagomål/A 36310-2024 FSC-klagomål.docx", "A 36310-2024")</f>
        <v/>
      </c>
      <c r="W239">
        <f>HYPERLINK("https://klasma.github.io/Logging_2132/klagomålsmail/A 36310-2024 FSC-klagomål mail.docx", "A 36310-2024")</f>
        <v/>
      </c>
      <c r="X239">
        <f>HYPERLINK("https://klasma.github.io/Logging_2132/tillsyn/A 36310-2024 tillsynsbegäran.docx", "A 36310-2024")</f>
        <v/>
      </c>
      <c r="Y239">
        <f>HYPERLINK("https://klasma.github.io/Logging_2132/tillsynsmail/A 36310-2024 tillsynsbegäran mail.docx", "A 36310-2024")</f>
        <v/>
      </c>
    </row>
    <row r="240" ht="15" customHeight="1">
      <c r="A240" t="inlineStr">
        <is>
          <t>A 35350-2024</t>
        </is>
      </c>
      <c r="B240" s="1" t="n">
        <v>45531</v>
      </c>
      <c r="C240" s="1" t="n">
        <v>45883</v>
      </c>
      <c r="D240" t="inlineStr">
        <is>
          <t>GÄVLEBORGS LÄN</t>
        </is>
      </c>
      <c r="E240" t="inlineStr">
        <is>
          <t>OVANÅKER</t>
        </is>
      </c>
      <c r="F240" t="inlineStr">
        <is>
          <t>Sveaskog</t>
        </is>
      </c>
      <c r="G240" t="n">
        <v>3.3</v>
      </c>
      <c r="H240" t="n">
        <v>0</v>
      </c>
      <c r="I240" t="n">
        <v>0</v>
      </c>
      <c r="J240" t="n">
        <v>2</v>
      </c>
      <c r="K240" t="n">
        <v>0</v>
      </c>
      <c r="L240" t="n">
        <v>0</v>
      </c>
      <c r="M240" t="n">
        <v>0</v>
      </c>
      <c r="N240" t="n">
        <v>0</v>
      </c>
      <c r="O240" t="n">
        <v>2</v>
      </c>
      <c r="P240" t="n">
        <v>0</v>
      </c>
      <c r="Q240" t="n">
        <v>2</v>
      </c>
      <c r="R240" s="2" t="inlineStr">
        <is>
          <t>Lunglav
Skrovellav</t>
        </is>
      </c>
      <c r="S240">
        <f>HYPERLINK("https://klasma.github.io/Logging_2121/artfynd/A 35350-2024 artfynd.xlsx", "A 35350-2024")</f>
        <v/>
      </c>
      <c r="T240">
        <f>HYPERLINK("https://klasma.github.io/Logging_2121/kartor/A 35350-2024 karta.png", "A 35350-2024")</f>
        <v/>
      </c>
      <c r="V240">
        <f>HYPERLINK("https://klasma.github.io/Logging_2121/klagomål/A 35350-2024 FSC-klagomål.docx", "A 35350-2024")</f>
        <v/>
      </c>
      <c r="W240">
        <f>HYPERLINK("https://klasma.github.io/Logging_2121/klagomålsmail/A 35350-2024 FSC-klagomål mail.docx", "A 35350-2024")</f>
        <v/>
      </c>
      <c r="X240">
        <f>HYPERLINK("https://klasma.github.io/Logging_2121/tillsyn/A 35350-2024 tillsynsbegäran.docx", "A 35350-2024")</f>
        <v/>
      </c>
      <c r="Y240">
        <f>HYPERLINK("https://klasma.github.io/Logging_2121/tillsynsmail/A 35350-2024 tillsynsbegäran mail.docx", "A 35350-2024")</f>
        <v/>
      </c>
    </row>
    <row r="241" ht="15" customHeight="1">
      <c r="A241" t="inlineStr">
        <is>
          <t>A 34997-2024</t>
        </is>
      </c>
      <c r="B241" s="1" t="n">
        <v>45527.56431712963</v>
      </c>
      <c r="C241" s="1" t="n">
        <v>45883</v>
      </c>
      <c r="D241" t="inlineStr">
        <is>
          <t>GÄVLEBORGS LÄN</t>
        </is>
      </c>
      <c r="E241" t="inlineStr">
        <is>
          <t>LJUSDAL</t>
        </is>
      </c>
      <c r="F241" t="inlineStr">
        <is>
          <t>Sveaskog</t>
        </is>
      </c>
      <c r="G241" t="n">
        <v>5.3</v>
      </c>
      <c r="H241" t="n">
        <v>0</v>
      </c>
      <c r="I241" t="n">
        <v>0</v>
      </c>
      <c r="J241" t="n">
        <v>2</v>
      </c>
      <c r="K241" t="n">
        <v>0</v>
      </c>
      <c r="L241" t="n">
        <v>0</v>
      </c>
      <c r="M241" t="n">
        <v>0</v>
      </c>
      <c r="N241" t="n">
        <v>0</v>
      </c>
      <c r="O241" t="n">
        <v>2</v>
      </c>
      <c r="P241" t="n">
        <v>0</v>
      </c>
      <c r="Q241" t="n">
        <v>2</v>
      </c>
      <c r="R241" s="2" t="inlineStr">
        <is>
          <t>Kolflarnlav
Lunglav</t>
        </is>
      </c>
      <c r="S241">
        <f>HYPERLINK("https://klasma.github.io/Logging_2161/artfynd/A 34997-2024 artfynd.xlsx", "A 34997-2024")</f>
        <v/>
      </c>
      <c r="T241">
        <f>HYPERLINK("https://klasma.github.io/Logging_2161/kartor/A 34997-2024 karta.png", "A 34997-2024")</f>
        <v/>
      </c>
      <c r="V241">
        <f>HYPERLINK("https://klasma.github.io/Logging_2161/klagomål/A 34997-2024 FSC-klagomål.docx", "A 34997-2024")</f>
        <v/>
      </c>
      <c r="W241">
        <f>HYPERLINK("https://klasma.github.io/Logging_2161/klagomålsmail/A 34997-2024 FSC-klagomål mail.docx", "A 34997-2024")</f>
        <v/>
      </c>
      <c r="X241">
        <f>HYPERLINK("https://klasma.github.io/Logging_2161/tillsyn/A 34997-2024 tillsynsbegäran.docx", "A 34997-2024")</f>
        <v/>
      </c>
      <c r="Y241">
        <f>HYPERLINK("https://klasma.github.io/Logging_2161/tillsynsmail/A 34997-2024 tillsynsbegäran mail.docx", "A 34997-2024")</f>
        <v/>
      </c>
    </row>
    <row r="242" ht="15" customHeight="1">
      <c r="A242" t="inlineStr">
        <is>
          <t>A 18986-2024</t>
        </is>
      </c>
      <c r="B242" s="1" t="n">
        <v>45427</v>
      </c>
      <c r="C242" s="1" t="n">
        <v>45883</v>
      </c>
      <c r="D242" t="inlineStr">
        <is>
          <t>GÄVLEBORGS LÄN</t>
        </is>
      </c>
      <c r="E242" t="inlineStr">
        <is>
          <t>LJUSDAL</t>
        </is>
      </c>
      <c r="F242" t="inlineStr">
        <is>
          <t>Sveaskog</t>
        </is>
      </c>
      <c r="G242" t="n">
        <v>5.7</v>
      </c>
      <c r="H242" t="n">
        <v>0</v>
      </c>
      <c r="I242" t="n">
        <v>0</v>
      </c>
      <c r="J242" t="n">
        <v>2</v>
      </c>
      <c r="K242" t="n">
        <v>0</v>
      </c>
      <c r="L242" t="n">
        <v>0</v>
      </c>
      <c r="M242" t="n">
        <v>0</v>
      </c>
      <c r="N242" t="n">
        <v>0</v>
      </c>
      <c r="O242" t="n">
        <v>2</v>
      </c>
      <c r="P242" t="n">
        <v>0</v>
      </c>
      <c r="Q242" t="n">
        <v>2</v>
      </c>
      <c r="R242" s="2" t="inlineStr">
        <is>
          <t>Kolflarnlav
Mörk kolflarnlav</t>
        </is>
      </c>
      <c r="S242">
        <f>HYPERLINK("https://klasma.github.io/Logging_2161/artfynd/A 18986-2024 artfynd.xlsx", "A 18986-2024")</f>
        <v/>
      </c>
      <c r="T242">
        <f>HYPERLINK("https://klasma.github.io/Logging_2161/kartor/A 18986-2024 karta.png", "A 18986-2024")</f>
        <v/>
      </c>
      <c r="V242">
        <f>HYPERLINK("https://klasma.github.io/Logging_2161/klagomål/A 18986-2024 FSC-klagomål.docx", "A 18986-2024")</f>
        <v/>
      </c>
      <c r="W242">
        <f>HYPERLINK("https://klasma.github.io/Logging_2161/klagomålsmail/A 18986-2024 FSC-klagomål mail.docx", "A 18986-2024")</f>
        <v/>
      </c>
      <c r="X242">
        <f>HYPERLINK("https://klasma.github.io/Logging_2161/tillsyn/A 18986-2024 tillsynsbegäran.docx", "A 18986-2024")</f>
        <v/>
      </c>
      <c r="Y242">
        <f>HYPERLINK("https://klasma.github.io/Logging_2161/tillsynsmail/A 18986-2024 tillsynsbegäran mail.docx", "A 18986-2024")</f>
        <v/>
      </c>
    </row>
    <row r="243" ht="15" customHeight="1">
      <c r="A243" t="inlineStr">
        <is>
          <t>A 20247-2025</t>
        </is>
      </c>
      <c r="B243" s="1" t="n">
        <v>45772.7460300926</v>
      </c>
      <c r="C243" s="1" t="n">
        <v>45883</v>
      </c>
      <c r="D243" t="inlineStr">
        <is>
          <t>GÄVLEBORGS LÄN</t>
        </is>
      </c>
      <c r="E243" t="inlineStr">
        <is>
          <t>LJUSDAL</t>
        </is>
      </c>
      <c r="F243" t="inlineStr">
        <is>
          <t>Sveaskog</t>
        </is>
      </c>
      <c r="G243" t="n">
        <v>6</v>
      </c>
      <c r="H243" t="n">
        <v>0</v>
      </c>
      <c r="I243" t="n">
        <v>0</v>
      </c>
      <c r="J243" t="n">
        <v>2</v>
      </c>
      <c r="K243" t="n">
        <v>0</v>
      </c>
      <c r="L243" t="n">
        <v>0</v>
      </c>
      <c r="M243" t="n">
        <v>0</v>
      </c>
      <c r="N243" t="n">
        <v>0</v>
      </c>
      <c r="O243" t="n">
        <v>2</v>
      </c>
      <c r="P243" t="n">
        <v>0</v>
      </c>
      <c r="Q243" t="n">
        <v>2</v>
      </c>
      <c r="R243" s="2" t="inlineStr">
        <is>
          <t>Kolflarnlav
Lunglav</t>
        </is>
      </c>
      <c r="S243">
        <f>HYPERLINK("https://klasma.github.io/Logging_2161/artfynd/A 20247-2025 artfynd.xlsx", "A 20247-2025")</f>
        <v/>
      </c>
      <c r="T243">
        <f>HYPERLINK("https://klasma.github.io/Logging_2161/kartor/A 20247-2025 karta.png", "A 20247-2025")</f>
        <v/>
      </c>
      <c r="V243">
        <f>HYPERLINK("https://klasma.github.io/Logging_2161/klagomål/A 20247-2025 FSC-klagomål.docx", "A 20247-2025")</f>
        <v/>
      </c>
      <c r="W243">
        <f>HYPERLINK("https://klasma.github.io/Logging_2161/klagomålsmail/A 20247-2025 FSC-klagomål mail.docx", "A 20247-2025")</f>
        <v/>
      </c>
      <c r="X243">
        <f>HYPERLINK("https://klasma.github.io/Logging_2161/tillsyn/A 20247-2025 tillsynsbegäran.docx", "A 20247-2025")</f>
        <v/>
      </c>
      <c r="Y243">
        <f>HYPERLINK("https://klasma.github.io/Logging_2161/tillsynsmail/A 20247-2025 tillsynsbegäran mail.docx", "A 20247-2025")</f>
        <v/>
      </c>
    </row>
    <row r="244" ht="15" customHeight="1">
      <c r="A244" t="inlineStr">
        <is>
          <t>A 42624-2024</t>
        </is>
      </c>
      <c r="B244" s="1" t="n">
        <v>45565.85583333333</v>
      </c>
      <c r="C244" s="1" t="n">
        <v>45883</v>
      </c>
      <c r="D244" t="inlineStr">
        <is>
          <t>GÄVLEBORGS LÄN</t>
        </is>
      </c>
      <c r="E244" t="inlineStr">
        <is>
          <t>HUDIKSVALL</t>
        </is>
      </c>
      <c r="G244" t="n">
        <v>1.5</v>
      </c>
      <c r="H244" t="n">
        <v>0</v>
      </c>
      <c r="I244" t="n">
        <v>0</v>
      </c>
      <c r="J244" t="n">
        <v>2</v>
      </c>
      <c r="K244" t="n">
        <v>0</v>
      </c>
      <c r="L244" t="n">
        <v>0</v>
      </c>
      <c r="M244" t="n">
        <v>0</v>
      </c>
      <c r="N244" t="n">
        <v>0</v>
      </c>
      <c r="O244" t="n">
        <v>2</v>
      </c>
      <c r="P244" t="n">
        <v>0</v>
      </c>
      <c r="Q244" t="n">
        <v>2</v>
      </c>
      <c r="R244" s="2" t="inlineStr">
        <is>
          <t>Vedflikmossa
Violettgrå tagellav</t>
        </is>
      </c>
      <c r="S244">
        <f>HYPERLINK("https://klasma.github.io/Logging_2184/artfynd/A 42624-2024 artfynd.xlsx", "A 42624-2024")</f>
        <v/>
      </c>
      <c r="T244">
        <f>HYPERLINK("https://klasma.github.io/Logging_2184/kartor/A 42624-2024 karta.png", "A 42624-2024")</f>
        <v/>
      </c>
      <c r="V244">
        <f>HYPERLINK("https://klasma.github.io/Logging_2184/klagomål/A 42624-2024 FSC-klagomål.docx", "A 42624-2024")</f>
        <v/>
      </c>
      <c r="W244">
        <f>HYPERLINK("https://klasma.github.io/Logging_2184/klagomålsmail/A 42624-2024 FSC-klagomål mail.docx", "A 42624-2024")</f>
        <v/>
      </c>
      <c r="X244">
        <f>HYPERLINK("https://klasma.github.io/Logging_2184/tillsyn/A 42624-2024 tillsynsbegäran.docx", "A 42624-2024")</f>
        <v/>
      </c>
      <c r="Y244">
        <f>HYPERLINK("https://klasma.github.io/Logging_2184/tillsynsmail/A 42624-2024 tillsynsbegäran mail.docx", "A 42624-2024")</f>
        <v/>
      </c>
    </row>
    <row r="245" ht="15" customHeight="1">
      <c r="A245" t="inlineStr">
        <is>
          <t>A 53562-2024</t>
        </is>
      </c>
      <c r="B245" s="1" t="n">
        <v>45614.65710648148</v>
      </c>
      <c r="C245" s="1" t="n">
        <v>45883</v>
      </c>
      <c r="D245" t="inlineStr">
        <is>
          <t>GÄVLEBORGS LÄN</t>
        </is>
      </c>
      <c r="E245" t="inlineStr">
        <is>
          <t>SÖDERHAMN</t>
        </is>
      </c>
      <c r="F245" t="inlineStr">
        <is>
          <t>Bergvik skog väst AB</t>
        </is>
      </c>
      <c r="G245" t="n">
        <v>3.6</v>
      </c>
      <c r="H245" t="n">
        <v>2</v>
      </c>
      <c r="I245" t="n">
        <v>0</v>
      </c>
      <c r="J245" t="n">
        <v>1</v>
      </c>
      <c r="K245" t="n">
        <v>0</v>
      </c>
      <c r="L245" t="n">
        <v>0</v>
      </c>
      <c r="M245" t="n">
        <v>0</v>
      </c>
      <c r="N245" t="n">
        <v>0</v>
      </c>
      <c r="O245" t="n">
        <v>1</v>
      </c>
      <c r="P245" t="n">
        <v>0</v>
      </c>
      <c r="Q245" t="n">
        <v>2</v>
      </c>
      <c r="R245" s="2" t="inlineStr">
        <is>
          <t>Havsörn
Fläcknycklar</t>
        </is>
      </c>
      <c r="S245">
        <f>HYPERLINK("https://klasma.github.io/Logging_2182/artfynd/A 53562-2024 artfynd.xlsx", "A 53562-2024")</f>
        <v/>
      </c>
      <c r="T245">
        <f>HYPERLINK("https://klasma.github.io/Logging_2182/kartor/A 53562-2024 karta.png", "A 53562-2024")</f>
        <v/>
      </c>
      <c r="V245">
        <f>HYPERLINK("https://klasma.github.io/Logging_2182/klagomål/A 53562-2024 FSC-klagomål.docx", "A 53562-2024")</f>
        <v/>
      </c>
      <c r="W245">
        <f>HYPERLINK("https://klasma.github.io/Logging_2182/klagomålsmail/A 53562-2024 FSC-klagomål mail.docx", "A 53562-2024")</f>
        <v/>
      </c>
      <c r="X245">
        <f>HYPERLINK("https://klasma.github.io/Logging_2182/tillsyn/A 53562-2024 tillsynsbegäran.docx", "A 53562-2024")</f>
        <v/>
      </c>
      <c r="Y245">
        <f>HYPERLINK("https://klasma.github.io/Logging_2182/tillsynsmail/A 53562-2024 tillsynsbegäran mail.docx", "A 53562-2024")</f>
        <v/>
      </c>
      <c r="Z245">
        <f>HYPERLINK("https://klasma.github.io/Logging_2182/fåglar/A 53562-2024 prioriterade fågelarter.docx", "A 53562-2024")</f>
        <v/>
      </c>
    </row>
    <row r="246" ht="15" customHeight="1">
      <c r="A246" t="inlineStr">
        <is>
          <t>A 30237-2023</t>
        </is>
      </c>
      <c r="B246" s="1" t="n">
        <v>45110</v>
      </c>
      <c r="C246" s="1" t="n">
        <v>45883</v>
      </c>
      <c r="D246" t="inlineStr">
        <is>
          <t>GÄVLEBORGS LÄN</t>
        </is>
      </c>
      <c r="E246" t="inlineStr">
        <is>
          <t>LJUSDAL</t>
        </is>
      </c>
      <c r="F246" t="inlineStr">
        <is>
          <t>Sveaskog</t>
        </is>
      </c>
      <c r="G246" t="n">
        <v>1.7</v>
      </c>
      <c r="H246" t="n">
        <v>0</v>
      </c>
      <c r="I246" t="n">
        <v>0</v>
      </c>
      <c r="J246" t="n">
        <v>2</v>
      </c>
      <c r="K246" t="n">
        <v>0</v>
      </c>
      <c r="L246" t="n">
        <v>0</v>
      </c>
      <c r="M246" t="n">
        <v>0</v>
      </c>
      <c r="N246" t="n">
        <v>0</v>
      </c>
      <c r="O246" t="n">
        <v>2</v>
      </c>
      <c r="P246" t="n">
        <v>0</v>
      </c>
      <c r="Q246" t="n">
        <v>2</v>
      </c>
      <c r="R246" s="2" t="inlineStr">
        <is>
          <t>Kolflarnlav
Lunglav</t>
        </is>
      </c>
      <c r="S246">
        <f>HYPERLINK("https://klasma.github.io/Logging_2161/artfynd/A 30237-2023 artfynd.xlsx", "A 30237-2023")</f>
        <v/>
      </c>
      <c r="T246">
        <f>HYPERLINK("https://klasma.github.io/Logging_2161/kartor/A 30237-2023 karta.png", "A 30237-2023")</f>
        <v/>
      </c>
      <c r="V246">
        <f>HYPERLINK("https://klasma.github.io/Logging_2161/klagomål/A 30237-2023 FSC-klagomål.docx", "A 30237-2023")</f>
        <v/>
      </c>
      <c r="W246">
        <f>HYPERLINK("https://klasma.github.io/Logging_2161/klagomålsmail/A 30237-2023 FSC-klagomål mail.docx", "A 30237-2023")</f>
        <v/>
      </c>
      <c r="X246">
        <f>HYPERLINK("https://klasma.github.io/Logging_2161/tillsyn/A 30237-2023 tillsynsbegäran.docx", "A 30237-2023")</f>
        <v/>
      </c>
      <c r="Y246">
        <f>HYPERLINK("https://klasma.github.io/Logging_2161/tillsynsmail/A 30237-2023 tillsynsbegäran mail.docx", "A 30237-2023")</f>
        <v/>
      </c>
    </row>
    <row r="247" ht="15" customHeight="1">
      <c r="A247" t="inlineStr">
        <is>
          <t>A 38306-2024</t>
        </is>
      </c>
      <c r="B247" s="1" t="n">
        <v>45545.64211805556</v>
      </c>
      <c r="C247" s="1" t="n">
        <v>45883</v>
      </c>
      <c r="D247" t="inlineStr">
        <is>
          <t>GÄVLEBORGS LÄN</t>
        </is>
      </c>
      <c r="E247" t="inlineStr">
        <is>
          <t>LJUSDAL</t>
        </is>
      </c>
      <c r="F247" t="inlineStr">
        <is>
          <t>Sveaskog</t>
        </is>
      </c>
      <c r="G247" t="n">
        <v>4.1</v>
      </c>
      <c r="H247" t="n">
        <v>0</v>
      </c>
      <c r="I247" t="n">
        <v>0</v>
      </c>
      <c r="J247" t="n">
        <v>2</v>
      </c>
      <c r="K247" t="n">
        <v>0</v>
      </c>
      <c r="L247" t="n">
        <v>0</v>
      </c>
      <c r="M247" t="n">
        <v>0</v>
      </c>
      <c r="N247" t="n">
        <v>0</v>
      </c>
      <c r="O247" t="n">
        <v>2</v>
      </c>
      <c r="P247" t="n">
        <v>0</v>
      </c>
      <c r="Q247" t="n">
        <v>2</v>
      </c>
      <c r="R247" s="2" t="inlineStr">
        <is>
          <t>Garnlav
Lunglav</t>
        </is>
      </c>
      <c r="S247">
        <f>HYPERLINK("https://klasma.github.io/Logging_2161/artfynd/A 38306-2024 artfynd.xlsx", "A 38306-2024")</f>
        <v/>
      </c>
      <c r="T247">
        <f>HYPERLINK("https://klasma.github.io/Logging_2161/kartor/A 38306-2024 karta.png", "A 38306-2024")</f>
        <v/>
      </c>
      <c r="V247">
        <f>HYPERLINK("https://klasma.github.io/Logging_2161/klagomål/A 38306-2024 FSC-klagomål.docx", "A 38306-2024")</f>
        <v/>
      </c>
      <c r="W247">
        <f>HYPERLINK("https://klasma.github.io/Logging_2161/klagomålsmail/A 38306-2024 FSC-klagomål mail.docx", "A 38306-2024")</f>
        <v/>
      </c>
      <c r="X247">
        <f>HYPERLINK("https://klasma.github.io/Logging_2161/tillsyn/A 38306-2024 tillsynsbegäran.docx", "A 38306-2024")</f>
        <v/>
      </c>
      <c r="Y247">
        <f>HYPERLINK("https://klasma.github.io/Logging_2161/tillsynsmail/A 38306-2024 tillsynsbegäran mail.docx", "A 38306-2024")</f>
        <v/>
      </c>
    </row>
    <row r="248" ht="15" customHeight="1">
      <c r="A248" t="inlineStr">
        <is>
          <t>A 18101-2024</t>
        </is>
      </c>
      <c r="B248" s="1" t="n">
        <v>45420</v>
      </c>
      <c r="C248" s="1" t="n">
        <v>45883</v>
      </c>
      <c r="D248" t="inlineStr">
        <is>
          <t>GÄVLEBORGS LÄN</t>
        </is>
      </c>
      <c r="E248" t="inlineStr">
        <is>
          <t>LJUSDAL</t>
        </is>
      </c>
      <c r="F248" t="inlineStr">
        <is>
          <t>Sveaskog</t>
        </is>
      </c>
      <c r="G248" t="n">
        <v>2.8</v>
      </c>
      <c r="H248" t="n">
        <v>0</v>
      </c>
      <c r="I248" t="n">
        <v>0</v>
      </c>
      <c r="J248" t="n">
        <v>2</v>
      </c>
      <c r="K248" t="n">
        <v>0</v>
      </c>
      <c r="L248" t="n">
        <v>0</v>
      </c>
      <c r="M248" t="n">
        <v>0</v>
      </c>
      <c r="N248" t="n">
        <v>0</v>
      </c>
      <c r="O248" t="n">
        <v>2</v>
      </c>
      <c r="P248" t="n">
        <v>0</v>
      </c>
      <c r="Q248" t="n">
        <v>2</v>
      </c>
      <c r="R248" s="2" t="inlineStr">
        <is>
          <t>Kolflarnlav
Mörk kolflarnlav</t>
        </is>
      </c>
      <c r="S248">
        <f>HYPERLINK("https://klasma.github.io/Logging_2161/artfynd/A 18101-2024 artfynd.xlsx", "A 18101-2024")</f>
        <v/>
      </c>
      <c r="T248">
        <f>HYPERLINK("https://klasma.github.io/Logging_2161/kartor/A 18101-2024 karta.png", "A 18101-2024")</f>
        <v/>
      </c>
      <c r="V248">
        <f>HYPERLINK("https://klasma.github.io/Logging_2161/klagomål/A 18101-2024 FSC-klagomål.docx", "A 18101-2024")</f>
        <v/>
      </c>
      <c r="W248">
        <f>HYPERLINK("https://klasma.github.io/Logging_2161/klagomålsmail/A 18101-2024 FSC-klagomål mail.docx", "A 18101-2024")</f>
        <v/>
      </c>
      <c r="X248">
        <f>HYPERLINK("https://klasma.github.io/Logging_2161/tillsyn/A 18101-2024 tillsynsbegäran.docx", "A 18101-2024")</f>
        <v/>
      </c>
      <c r="Y248">
        <f>HYPERLINK("https://klasma.github.io/Logging_2161/tillsynsmail/A 18101-2024 tillsynsbegäran mail.docx", "A 18101-2024")</f>
        <v/>
      </c>
    </row>
    <row r="249" ht="15" customHeight="1">
      <c r="A249" t="inlineStr">
        <is>
          <t>A 45270-2024</t>
        </is>
      </c>
      <c r="B249" s="1" t="n">
        <v>45576.35777777778</v>
      </c>
      <c r="C249" s="1" t="n">
        <v>45883</v>
      </c>
      <c r="D249" t="inlineStr">
        <is>
          <t>GÄVLEBORGS LÄN</t>
        </is>
      </c>
      <c r="E249" t="inlineStr">
        <is>
          <t>LJUSDAL</t>
        </is>
      </c>
      <c r="F249" t="inlineStr">
        <is>
          <t>Sveaskog</t>
        </is>
      </c>
      <c r="G249" t="n">
        <v>5</v>
      </c>
      <c r="H249" t="n">
        <v>0</v>
      </c>
      <c r="I249" t="n">
        <v>0</v>
      </c>
      <c r="J249" t="n">
        <v>2</v>
      </c>
      <c r="K249" t="n">
        <v>0</v>
      </c>
      <c r="L249" t="n">
        <v>0</v>
      </c>
      <c r="M249" t="n">
        <v>0</v>
      </c>
      <c r="N249" t="n">
        <v>0</v>
      </c>
      <c r="O249" t="n">
        <v>2</v>
      </c>
      <c r="P249" t="n">
        <v>0</v>
      </c>
      <c r="Q249" t="n">
        <v>2</v>
      </c>
      <c r="R249" s="2" t="inlineStr">
        <is>
          <t>Kolflarnlav
Mörk kolflarnlav</t>
        </is>
      </c>
      <c r="S249">
        <f>HYPERLINK("https://klasma.github.io/Logging_2161/artfynd/A 45270-2024 artfynd.xlsx", "A 45270-2024")</f>
        <v/>
      </c>
      <c r="T249">
        <f>HYPERLINK("https://klasma.github.io/Logging_2161/kartor/A 45270-2024 karta.png", "A 45270-2024")</f>
        <v/>
      </c>
      <c r="V249">
        <f>HYPERLINK("https://klasma.github.io/Logging_2161/klagomål/A 45270-2024 FSC-klagomål.docx", "A 45270-2024")</f>
        <v/>
      </c>
      <c r="W249">
        <f>HYPERLINK("https://klasma.github.io/Logging_2161/klagomålsmail/A 45270-2024 FSC-klagomål mail.docx", "A 45270-2024")</f>
        <v/>
      </c>
      <c r="X249">
        <f>HYPERLINK("https://klasma.github.io/Logging_2161/tillsyn/A 45270-2024 tillsynsbegäran.docx", "A 45270-2024")</f>
        <v/>
      </c>
      <c r="Y249">
        <f>HYPERLINK("https://klasma.github.io/Logging_2161/tillsynsmail/A 45270-2024 tillsynsbegäran mail.docx", "A 45270-2024")</f>
        <v/>
      </c>
    </row>
    <row r="250" ht="15" customHeight="1">
      <c r="A250" t="inlineStr">
        <is>
          <t>A 27011-2024</t>
        </is>
      </c>
      <c r="B250" s="1" t="n">
        <v>45471.40319444444</v>
      </c>
      <c r="C250" s="1" t="n">
        <v>45883</v>
      </c>
      <c r="D250" t="inlineStr">
        <is>
          <t>GÄVLEBORGS LÄN</t>
        </is>
      </c>
      <c r="E250" t="inlineStr">
        <is>
          <t>BOLLNÄS</t>
        </is>
      </c>
      <c r="F250" t="inlineStr">
        <is>
          <t>Sveaskog</t>
        </is>
      </c>
      <c r="G250" t="n">
        <v>4.1</v>
      </c>
      <c r="H250" t="n">
        <v>2</v>
      </c>
      <c r="I250" t="n">
        <v>1</v>
      </c>
      <c r="J250" t="n">
        <v>0</v>
      </c>
      <c r="K250" t="n">
        <v>1</v>
      </c>
      <c r="L250" t="n">
        <v>0</v>
      </c>
      <c r="M250" t="n">
        <v>0</v>
      </c>
      <c r="N250" t="n">
        <v>0</v>
      </c>
      <c r="O250" t="n">
        <v>1</v>
      </c>
      <c r="P250" t="n">
        <v>1</v>
      </c>
      <c r="Q250" t="n">
        <v>2</v>
      </c>
      <c r="R250" s="2" t="inlineStr">
        <is>
          <t>Knärot
Korallrot</t>
        </is>
      </c>
      <c r="S250">
        <f>HYPERLINK("https://klasma.github.io/Logging_2183/artfynd/A 27011-2024 artfynd.xlsx", "A 27011-2024")</f>
        <v/>
      </c>
      <c r="T250">
        <f>HYPERLINK("https://klasma.github.io/Logging_2183/kartor/A 27011-2024 karta.png", "A 27011-2024")</f>
        <v/>
      </c>
      <c r="U250">
        <f>HYPERLINK("https://klasma.github.io/Logging_2183/knärot/A 27011-2024 karta knärot.png", "A 27011-2024")</f>
        <v/>
      </c>
      <c r="V250">
        <f>HYPERLINK("https://klasma.github.io/Logging_2183/klagomål/A 27011-2024 FSC-klagomål.docx", "A 27011-2024")</f>
        <v/>
      </c>
      <c r="W250">
        <f>HYPERLINK("https://klasma.github.io/Logging_2183/klagomålsmail/A 27011-2024 FSC-klagomål mail.docx", "A 27011-2024")</f>
        <v/>
      </c>
      <c r="X250">
        <f>HYPERLINK("https://klasma.github.io/Logging_2183/tillsyn/A 27011-2024 tillsynsbegäran.docx", "A 27011-2024")</f>
        <v/>
      </c>
      <c r="Y250">
        <f>HYPERLINK("https://klasma.github.io/Logging_2183/tillsynsmail/A 27011-2024 tillsynsbegäran mail.docx", "A 27011-2024")</f>
        <v/>
      </c>
    </row>
    <row r="251" ht="15" customHeight="1">
      <c r="A251" t="inlineStr">
        <is>
          <t>A 19180-2024</t>
        </is>
      </c>
      <c r="B251" s="1" t="n">
        <v>45428</v>
      </c>
      <c r="C251" s="1" t="n">
        <v>45883</v>
      </c>
      <c r="D251" t="inlineStr">
        <is>
          <t>GÄVLEBORGS LÄN</t>
        </is>
      </c>
      <c r="E251" t="inlineStr">
        <is>
          <t>OVANÅKER</t>
        </is>
      </c>
      <c r="G251" t="n">
        <v>4.1</v>
      </c>
      <c r="H251" t="n">
        <v>0</v>
      </c>
      <c r="I251" t="n">
        <v>0</v>
      </c>
      <c r="J251" t="n">
        <v>2</v>
      </c>
      <c r="K251" t="n">
        <v>0</v>
      </c>
      <c r="L251" t="n">
        <v>0</v>
      </c>
      <c r="M251" t="n">
        <v>0</v>
      </c>
      <c r="N251" t="n">
        <v>0</v>
      </c>
      <c r="O251" t="n">
        <v>2</v>
      </c>
      <c r="P251" t="n">
        <v>0</v>
      </c>
      <c r="Q251" t="n">
        <v>2</v>
      </c>
      <c r="R251" s="2" t="inlineStr">
        <is>
          <t>Kolflarnlav
Vedskivlav</t>
        </is>
      </c>
      <c r="S251">
        <f>HYPERLINK("https://klasma.github.io/Logging_2121/artfynd/A 19180-2024 artfynd.xlsx", "A 19180-2024")</f>
        <v/>
      </c>
      <c r="T251">
        <f>HYPERLINK("https://klasma.github.io/Logging_2121/kartor/A 19180-2024 karta.png", "A 19180-2024")</f>
        <v/>
      </c>
      <c r="V251">
        <f>HYPERLINK("https://klasma.github.io/Logging_2121/klagomål/A 19180-2024 FSC-klagomål.docx", "A 19180-2024")</f>
        <v/>
      </c>
      <c r="W251">
        <f>HYPERLINK("https://klasma.github.io/Logging_2121/klagomålsmail/A 19180-2024 FSC-klagomål mail.docx", "A 19180-2024")</f>
        <v/>
      </c>
      <c r="X251">
        <f>HYPERLINK("https://klasma.github.io/Logging_2121/tillsyn/A 19180-2024 tillsynsbegäran.docx", "A 19180-2024")</f>
        <v/>
      </c>
      <c r="Y251">
        <f>HYPERLINK("https://klasma.github.io/Logging_2121/tillsynsmail/A 19180-2024 tillsynsbegäran mail.docx", "A 19180-2024")</f>
        <v/>
      </c>
    </row>
    <row r="252" ht="15" customHeight="1">
      <c r="A252" t="inlineStr">
        <is>
          <t>A 62767-2022</t>
        </is>
      </c>
      <c r="B252" s="1" t="n">
        <v>44884</v>
      </c>
      <c r="C252" s="1" t="n">
        <v>45883</v>
      </c>
      <c r="D252" t="inlineStr">
        <is>
          <t>GÄVLEBORGS LÄN</t>
        </is>
      </c>
      <c r="E252" t="inlineStr">
        <is>
          <t>NORDANSTIG</t>
        </is>
      </c>
      <c r="F252" t="inlineStr">
        <is>
          <t>SCA</t>
        </is>
      </c>
      <c r="G252" t="n">
        <v>13.3</v>
      </c>
      <c r="H252" t="n">
        <v>2</v>
      </c>
      <c r="I252" t="n">
        <v>1</v>
      </c>
      <c r="J252" t="n">
        <v>0</v>
      </c>
      <c r="K252" t="n">
        <v>0</v>
      </c>
      <c r="L252" t="n">
        <v>0</v>
      </c>
      <c r="M252" t="n">
        <v>0</v>
      </c>
      <c r="N252" t="n">
        <v>0</v>
      </c>
      <c r="O252" t="n">
        <v>0</v>
      </c>
      <c r="P252" t="n">
        <v>0</v>
      </c>
      <c r="Q252" t="n">
        <v>2</v>
      </c>
      <c r="R252" s="2" t="inlineStr">
        <is>
          <t>Skogsknipprot
Törnskata</t>
        </is>
      </c>
      <c r="S252">
        <f>HYPERLINK("https://klasma.github.io/Logging_2132/artfynd/A 62767-2022 artfynd.xlsx", "A 62767-2022")</f>
        <v/>
      </c>
      <c r="T252">
        <f>HYPERLINK("https://klasma.github.io/Logging_2132/kartor/A 62767-2022 karta.png", "A 62767-2022")</f>
        <v/>
      </c>
      <c r="V252">
        <f>HYPERLINK("https://klasma.github.io/Logging_2132/klagomål/A 62767-2022 FSC-klagomål.docx", "A 62767-2022")</f>
        <v/>
      </c>
      <c r="W252">
        <f>HYPERLINK("https://klasma.github.io/Logging_2132/klagomålsmail/A 62767-2022 FSC-klagomål mail.docx", "A 62767-2022")</f>
        <v/>
      </c>
      <c r="X252">
        <f>HYPERLINK("https://klasma.github.io/Logging_2132/tillsyn/A 62767-2022 tillsynsbegäran.docx", "A 62767-2022")</f>
        <v/>
      </c>
      <c r="Y252">
        <f>HYPERLINK("https://klasma.github.io/Logging_2132/tillsynsmail/A 62767-2022 tillsynsbegäran mail.docx", "A 62767-2022")</f>
        <v/>
      </c>
      <c r="Z252">
        <f>HYPERLINK("https://klasma.github.io/Logging_2132/fåglar/A 62767-2022 prioriterade fågelarter.docx", "A 62767-2022")</f>
        <v/>
      </c>
    </row>
    <row r="253" ht="15" customHeight="1">
      <c r="A253" t="inlineStr">
        <is>
          <t>A 46247-2024</t>
        </is>
      </c>
      <c r="B253" s="1" t="n">
        <v>45581.59246527778</v>
      </c>
      <c r="C253" s="1" t="n">
        <v>45883</v>
      </c>
      <c r="D253" t="inlineStr">
        <is>
          <t>GÄVLEBORGS LÄN</t>
        </is>
      </c>
      <c r="E253" t="inlineStr">
        <is>
          <t>LJUSDAL</t>
        </is>
      </c>
      <c r="F253" t="inlineStr">
        <is>
          <t>Sveaskog</t>
        </is>
      </c>
      <c r="G253" t="n">
        <v>3</v>
      </c>
      <c r="H253" t="n">
        <v>0</v>
      </c>
      <c r="I253" t="n">
        <v>1</v>
      </c>
      <c r="J253" t="n">
        <v>1</v>
      </c>
      <c r="K253" t="n">
        <v>0</v>
      </c>
      <c r="L253" t="n">
        <v>0</v>
      </c>
      <c r="M253" t="n">
        <v>0</v>
      </c>
      <c r="N253" t="n">
        <v>0</v>
      </c>
      <c r="O253" t="n">
        <v>1</v>
      </c>
      <c r="P253" t="n">
        <v>0</v>
      </c>
      <c r="Q253" t="n">
        <v>2</v>
      </c>
      <c r="R253" s="2" t="inlineStr">
        <is>
          <t>Garnlav
Dropptaggsvamp</t>
        </is>
      </c>
      <c r="S253">
        <f>HYPERLINK("https://klasma.github.io/Logging_2161/artfynd/A 46247-2024 artfynd.xlsx", "A 46247-2024")</f>
        <v/>
      </c>
      <c r="T253">
        <f>HYPERLINK("https://klasma.github.io/Logging_2161/kartor/A 46247-2024 karta.png", "A 46247-2024")</f>
        <v/>
      </c>
      <c r="V253">
        <f>HYPERLINK("https://klasma.github.io/Logging_2161/klagomål/A 46247-2024 FSC-klagomål.docx", "A 46247-2024")</f>
        <v/>
      </c>
      <c r="W253">
        <f>HYPERLINK("https://klasma.github.io/Logging_2161/klagomålsmail/A 46247-2024 FSC-klagomål mail.docx", "A 46247-2024")</f>
        <v/>
      </c>
      <c r="X253">
        <f>HYPERLINK("https://klasma.github.io/Logging_2161/tillsyn/A 46247-2024 tillsynsbegäran.docx", "A 46247-2024")</f>
        <v/>
      </c>
      <c r="Y253">
        <f>HYPERLINK("https://klasma.github.io/Logging_2161/tillsynsmail/A 46247-2024 tillsynsbegäran mail.docx", "A 46247-2024")</f>
        <v/>
      </c>
    </row>
    <row r="254" ht="15" customHeight="1">
      <c r="A254" t="inlineStr">
        <is>
          <t>A 30885-2024</t>
        </is>
      </c>
      <c r="B254" s="1" t="n">
        <v>45498.37140046297</v>
      </c>
      <c r="C254" s="1" t="n">
        <v>45883</v>
      </c>
      <c r="D254" t="inlineStr">
        <is>
          <t>GÄVLEBORGS LÄN</t>
        </is>
      </c>
      <c r="E254" t="inlineStr">
        <is>
          <t>LJUSDAL</t>
        </is>
      </c>
      <c r="F254" t="inlineStr">
        <is>
          <t>Sveaskog</t>
        </is>
      </c>
      <c r="G254" t="n">
        <v>11.2</v>
      </c>
      <c r="H254" t="n">
        <v>1</v>
      </c>
      <c r="I254" t="n">
        <v>1</v>
      </c>
      <c r="J254" t="n">
        <v>1</v>
      </c>
      <c r="K254" t="n">
        <v>0</v>
      </c>
      <c r="L254" t="n">
        <v>0</v>
      </c>
      <c r="M254" t="n">
        <v>0</v>
      </c>
      <c r="N254" t="n">
        <v>0</v>
      </c>
      <c r="O254" t="n">
        <v>1</v>
      </c>
      <c r="P254" t="n">
        <v>0</v>
      </c>
      <c r="Q254" t="n">
        <v>2</v>
      </c>
      <c r="R254" s="2" t="inlineStr">
        <is>
          <t>Kolflarnlav
Plattlummer</t>
        </is>
      </c>
      <c r="S254">
        <f>HYPERLINK("https://klasma.github.io/Logging_2161/artfynd/A 30885-2024 artfynd.xlsx", "A 30885-2024")</f>
        <v/>
      </c>
      <c r="T254">
        <f>HYPERLINK("https://klasma.github.io/Logging_2161/kartor/A 30885-2024 karta.png", "A 30885-2024")</f>
        <v/>
      </c>
      <c r="V254">
        <f>HYPERLINK("https://klasma.github.io/Logging_2161/klagomål/A 30885-2024 FSC-klagomål.docx", "A 30885-2024")</f>
        <v/>
      </c>
      <c r="W254">
        <f>HYPERLINK("https://klasma.github.io/Logging_2161/klagomålsmail/A 30885-2024 FSC-klagomål mail.docx", "A 30885-2024")</f>
        <v/>
      </c>
      <c r="X254">
        <f>HYPERLINK("https://klasma.github.io/Logging_2161/tillsyn/A 30885-2024 tillsynsbegäran.docx", "A 30885-2024")</f>
        <v/>
      </c>
      <c r="Y254">
        <f>HYPERLINK("https://klasma.github.io/Logging_2161/tillsynsmail/A 30885-2024 tillsynsbegäran mail.docx", "A 30885-2024")</f>
        <v/>
      </c>
    </row>
    <row r="255" ht="15" customHeight="1">
      <c r="A255" t="inlineStr">
        <is>
          <t>A 11000-2025</t>
        </is>
      </c>
      <c r="B255" s="1" t="n">
        <v>45723.44207175926</v>
      </c>
      <c r="C255" s="1" t="n">
        <v>45883</v>
      </c>
      <c r="D255" t="inlineStr">
        <is>
          <t>GÄVLEBORGS LÄN</t>
        </is>
      </c>
      <c r="E255" t="inlineStr">
        <is>
          <t>LJUSDAL</t>
        </is>
      </c>
      <c r="F255" t="inlineStr">
        <is>
          <t>Sveaskog</t>
        </is>
      </c>
      <c r="G255" t="n">
        <v>10.8</v>
      </c>
      <c r="H255" t="n">
        <v>1</v>
      </c>
      <c r="I255" t="n">
        <v>0</v>
      </c>
      <c r="J255" t="n">
        <v>1</v>
      </c>
      <c r="K255" t="n">
        <v>0</v>
      </c>
      <c r="L255" t="n">
        <v>0</v>
      </c>
      <c r="M255" t="n">
        <v>0</v>
      </c>
      <c r="N255" t="n">
        <v>0</v>
      </c>
      <c r="O255" t="n">
        <v>1</v>
      </c>
      <c r="P255" t="n">
        <v>0</v>
      </c>
      <c r="Q255" t="n">
        <v>2</v>
      </c>
      <c r="R255" s="2" t="inlineStr">
        <is>
          <t>Garnlav
Fläcknycklar</t>
        </is>
      </c>
      <c r="S255">
        <f>HYPERLINK("https://klasma.github.io/Logging_2161/artfynd/A 11000-2025 artfynd.xlsx", "A 11000-2025")</f>
        <v/>
      </c>
      <c r="T255">
        <f>HYPERLINK("https://klasma.github.io/Logging_2161/kartor/A 11000-2025 karta.png", "A 11000-2025")</f>
        <v/>
      </c>
      <c r="V255">
        <f>HYPERLINK("https://klasma.github.io/Logging_2161/klagomål/A 11000-2025 FSC-klagomål.docx", "A 11000-2025")</f>
        <v/>
      </c>
      <c r="W255">
        <f>HYPERLINK("https://klasma.github.io/Logging_2161/klagomålsmail/A 11000-2025 FSC-klagomål mail.docx", "A 11000-2025")</f>
        <v/>
      </c>
      <c r="X255">
        <f>HYPERLINK("https://klasma.github.io/Logging_2161/tillsyn/A 11000-2025 tillsynsbegäran.docx", "A 11000-2025")</f>
        <v/>
      </c>
      <c r="Y255">
        <f>HYPERLINK("https://klasma.github.io/Logging_2161/tillsynsmail/A 11000-2025 tillsynsbegäran mail.docx", "A 11000-2025")</f>
        <v/>
      </c>
    </row>
    <row r="256" ht="15" customHeight="1">
      <c r="A256" t="inlineStr">
        <is>
          <t>A 6288-2025</t>
        </is>
      </c>
      <c r="B256" s="1" t="n">
        <v>45698.64865740741</v>
      </c>
      <c r="C256" s="1" t="n">
        <v>45883</v>
      </c>
      <c r="D256" t="inlineStr">
        <is>
          <t>GÄVLEBORGS LÄN</t>
        </is>
      </c>
      <c r="E256" t="inlineStr">
        <is>
          <t>OVANÅKER</t>
        </is>
      </c>
      <c r="G256" t="n">
        <v>2.6</v>
      </c>
      <c r="H256" t="n">
        <v>0</v>
      </c>
      <c r="I256" t="n">
        <v>1</v>
      </c>
      <c r="J256" t="n">
        <v>1</v>
      </c>
      <c r="K256" t="n">
        <v>0</v>
      </c>
      <c r="L256" t="n">
        <v>0</v>
      </c>
      <c r="M256" t="n">
        <v>0</v>
      </c>
      <c r="N256" t="n">
        <v>0</v>
      </c>
      <c r="O256" t="n">
        <v>1</v>
      </c>
      <c r="P256" t="n">
        <v>0</v>
      </c>
      <c r="Q256" t="n">
        <v>2</v>
      </c>
      <c r="R256" s="2" t="inlineStr">
        <is>
          <t>Stiftgelélav
Skinnlav</t>
        </is>
      </c>
      <c r="S256">
        <f>HYPERLINK("https://klasma.github.io/Logging_2121/artfynd/A 6288-2025 artfynd.xlsx", "A 6288-2025")</f>
        <v/>
      </c>
      <c r="T256">
        <f>HYPERLINK("https://klasma.github.io/Logging_2121/kartor/A 6288-2025 karta.png", "A 6288-2025")</f>
        <v/>
      </c>
      <c r="V256">
        <f>HYPERLINK("https://klasma.github.io/Logging_2121/klagomål/A 6288-2025 FSC-klagomål.docx", "A 6288-2025")</f>
        <v/>
      </c>
      <c r="W256">
        <f>HYPERLINK("https://klasma.github.io/Logging_2121/klagomålsmail/A 6288-2025 FSC-klagomål mail.docx", "A 6288-2025")</f>
        <v/>
      </c>
      <c r="X256">
        <f>HYPERLINK("https://klasma.github.io/Logging_2121/tillsyn/A 6288-2025 tillsynsbegäran.docx", "A 6288-2025")</f>
        <v/>
      </c>
      <c r="Y256">
        <f>HYPERLINK("https://klasma.github.io/Logging_2121/tillsynsmail/A 6288-2025 tillsynsbegäran mail.docx", "A 6288-2025")</f>
        <v/>
      </c>
    </row>
    <row r="257" ht="15" customHeight="1">
      <c r="A257" t="inlineStr">
        <is>
          <t>A 47230-2024</t>
        </is>
      </c>
      <c r="B257" s="1" t="n">
        <v>45586</v>
      </c>
      <c r="C257" s="1" t="n">
        <v>45883</v>
      </c>
      <c r="D257" t="inlineStr">
        <is>
          <t>GÄVLEBORGS LÄN</t>
        </is>
      </c>
      <c r="E257" t="inlineStr">
        <is>
          <t>LJUSDAL</t>
        </is>
      </c>
      <c r="F257" t="inlineStr">
        <is>
          <t>Sveaskog</t>
        </is>
      </c>
      <c r="G257" t="n">
        <v>16.1</v>
      </c>
      <c r="H257" t="n">
        <v>0</v>
      </c>
      <c r="I257" t="n">
        <v>0</v>
      </c>
      <c r="J257" t="n">
        <v>2</v>
      </c>
      <c r="K257" t="n">
        <v>0</v>
      </c>
      <c r="L257" t="n">
        <v>0</v>
      </c>
      <c r="M257" t="n">
        <v>0</v>
      </c>
      <c r="N257" t="n">
        <v>0</v>
      </c>
      <c r="O257" t="n">
        <v>2</v>
      </c>
      <c r="P257" t="n">
        <v>0</v>
      </c>
      <c r="Q257" t="n">
        <v>2</v>
      </c>
      <c r="R257" s="2" t="inlineStr">
        <is>
          <t>Grantaggsvamp
Lunglav</t>
        </is>
      </c>
      <c r="S257">
        <f>HYPERLINK("https://klasma.github.io/Logging_2161/artfynd/A 47230-2024 artfynd.xlsx", "A 47230-2024")</f>
        <v/>
      </c>
      <c r="T257">
        <f>HYPERLINK("https://klasma.github.io/Logging_2161/kartor/A 47230-2024 karta.png", "A 47230-2024")</f>
        <v/>
      </c>
      <c r="V257">
        <f>HYPERLINK("https://klasma.github.io/Logging_2161/klagomål/A 47230-2024 FSC-klagomål.docx", "A 47230-2024")</f>
        <v/>
      </c>
      <c r="W257">
        <f>HYPERLINK("https://klasma.github.io/Logging_2161/klagomålsmail/A 47230-2024 FSC-klagomål mail.docx", "A 47230-2024")</f>
        <v/>
      </c>
      <c r="X257">
        <f>HYPERLINK("https://klasma.github.io/Logging_2161/tillsyn/A 47230-2024 tillsynsbegäran.docx", "A 47230-2024")</f>
        <v/>
      </c>
      <c r="Y257">
        <f>HYPERLINK("https://klasma.github.io/Logging_2161/tillsynsmail/A 47230-2024 tillsynsbegäran mail.docx", "A 47230-2024")</f>
        <v/>
      </c>
    </row>
    <row r="258" ht="15" customHeight="1">
      <c r="A258" t="inlineStr">
        <is>
          <t>A 28422-2024</t>
        </is>
      </c>
      <c r="B258" s="1" t="n">
        <v>45477</v>
      </c>
      <c r="C258" s="1" t="n">
        <v>45883</v>
      </c>
      <c r="D258" t="inlineStr">
        <is>
          <t>GÄVLEBORGS LÄN</t>
        </is>
      </c>
      <c r="E258" t="inlineStr">
        <is>
          <t>LJUSDAL</t>
        </is>
      </c>
      <c r="F258" t="inlineStr">
        <is>
          <t>Allmännings- och besparingsskogar</t>
        </is>
      </c>
      <c r="G258" t="n">
        <v>11.9</v>
      </c>
      <c r="H258" t="n">
        <v>0</v>
      </c>
      <c r="I258" t="n">
        <v>0</v>
      </c>
      <c r="J258" t="n">
        <v>2</v>
      </c>
      <c r="K258" t="n">
        <v>0</v>
      </c>
      <c r="L258" t="n">
        <v>0</v>
      </c>
      <c r="M258" t="n">
        <v>0</v>
      </c>
      <c r="N258" t="n">
        <v>0</v>
      </c>
      <c r="O258" t="n">
        <v>2</v>
      </c>
      <c r="P258" t="n">
        <v>0</v>
      </c>
      <c r="Q258" t="n">
        <v>2</v>
      </c>
      <c r="R258" s="2" t="inlineStr">
        <is>
          <t>Garnlav
Lunglav</t>
        </is>
      </c>
      <c r="S258">
        <f>HYPERLINK("https://klasma.github.io/Logging_2161/artfynd/A 28422-2024 artfynd.xlsx", "A 28422-2024")</f>
        <v/>
      </c>
      <c r="T258">
        <f>HYPERLINK("https://klasma.github.io/Logging_2161/kartor/A 28422-2024 karta.png", "A 28422-2024")</f>
        <v/>
      </c>
      <c r="V258">
        <f>HYPERLINK("https://klasma.github.io/Logging_2161/klagomål/A 28422-2024 FSC-klagomål.docx", "A 28422-2024")</f>
        <v/>
      </c>
      <c r="W258">
        <f>HYPERLINK("https://klasma.github.io/Logging_2161/klagomålsmail/A 28422-2024 FSC-klagomål mail.docx", "A 28422-2024")</f>
        <v/>
      </c>
      <c r="X258">
        <f>HYPERLINK("https://klasma.github.io/Logging_2161/tillsyn/A 28422-2024 tillsynsbegäran.docx", "A 28422-2024")</f>
        <v/>
      </c>
      <c r="Y258">
        <f>HYPERLINK("https://klasma.github.io/Logging_2161/tillsynsmail/A 28422-2024 tillsynsbegäran mail.docx", "A 28422-2024")</f>
        <v/>
      </c>
    </row>
    <row r="259" ht="15" customHeight="1">
      <c r="A259" t="inlineStr">
        <is>
          <t>A 23504-2023</t>
        </is>
      </c>
      <c r="B259" s="1" t="n">
        <v>45076</v>
      </c>
      <c r="C259" s="1" t="n">
        <v>45883</v>
      </c>
      <c r="D259" t="inlineStr">
        <is>
          <t>GÄVLEBORGS LÄN</t>
        </is>
      </c>
      <c r="E259" t="inlineStr">
        <is>
          <t>BOLLNÄS</t>
        </is>
      </c>
      <c r="F259" t="inlineStr">
        <is>
          <t>Sveaskog</t>
        </is>
      </c>
      <c r="G259" t="n">
        <v>11.6</v>
      </c>
      <c r="H259" t="n">
        <v>2</v>
      </c>
      <c r="I259" t="n">
        <v>0</v>
      </c>
      <c r="J259" t="n">
        <v>0</v>
      </c>
      <c r="K259" t="n">
        <v>0</v>
      </c>
      <c r="L259" t="n">
        <v>0</v>
      </c>
      <c r="M259" t="n">
        <v>0</v>
      </c>
      <c r="N259" t="n">
        <v>0</v>
      </c>
      <c r="O259" t="n">
        <v>0</v>
      </c>
      <c r="P259" t="n">
        <v>0</v>
      </c>
      <c r="Q259" t="n">
        <v>2</v>
      </c>
      <c r="R259" s="2" t="inlineStr">
        <is>
          <t>Lavskrika
Fläcknycklar</t>
        </is>
      </c>
      <c r="S259">
        <f>HYPERLINK("https://klasma.github.io/Logging_2183/artfynd/A 23504-2023 artfynd.xlsx", "A 23504-2023")</f>
        <v/>
      </c>
      <c r="T259">
        <f>HYPERLINK("https://klasma.github.io/Logging_2183/kartor/A 23504-2023 karta.png", "A 23504-2023")</f>
        <v/>
      </c>
      <c r="V259">
        <f>HYPERLINK("https://klasma.github.io/Logging_2183/klagomål/A 23504-2023 FSC-klagomål.docx", "A 23504-2023")</f>
        <v/>
      </c>
      <c r="W259">
        <f>HYPERLINK("https://klasma.github.io/Logging_2183/klagomålsmail/A 23504-2023 FSC-klagomål mail.docx", "A 23504-2023")</f>
        <v/>
      </c>
      <c r="X259">
        <f>HYPERLINK("https://klasma.github.io/Logging_2183/tillsyn/A 23504-2023 tillsynsbegäran.docx", "A 23504-2023")</f>
        <v/>
      </c>
      <c r="Y259">
        <f>HYPERLINK("https://klasma.github.io/Logging_2183/tillsynsmail/A 23504-2023 tillsynsbegäran mail.docx", "A 23504-2023")</f>
        <v/>
      </c>
      <c r="Z259">
        <f>HYPERLINK("https://klasma.github.io/Logging_2183/fåglar/A 23504-2023 prioriterade fågelarter.docx", "A 23504-2023")</f>
        <v/>
      </c>
    </row>
    <row r="260" ht="15" customHeight="1">
      <c r="A260" t="inlineStr">
        <is>
          <t>A 60541-2022</t>
        </is>
      </c>
      <c r="B260" s="1" t="n">
        <v>44911</v>
      </c>
      <c r="C260" s="1" t="n">
        <v>45883</v>
      </c>
      <c r="D260" t="inlineStr">
        <is>
          <t>GÄVLEBORGS LÄN</t>
        </is>
      </c>
      <c r="E260" t="inlineStr">
        <is>
          <t>LJUSDAL</t>
        </is>
      </c>
      <c r="F260" t="inlineStr">
        <is>
          <t>Bergvik skog väst AB</t>
        </is>
      </c>
      <c r="G260" t="n">
        <v>5.4</v>
      </c>
      <c r="H260" t="n">
        <v>2</v>
      </c>
      <c r="I260" t="n">
        <v>0</v>
      </c>
      <c r="J260" t="n">
        <v>0</v>
      </c>
      <c r="K260" t="n">
        <v>0</v>
      </c>
      <c r="L260" t="n">
        <v>0</v>
      </c>
      <c r="M260" t="n">
        <v>0</v>
      </c>
      <c r="N260" t="n">
        <v>0</v>
      </c>
      <c r="O260" t="n">
        <v>0</v>
      </c>
      <c r="P260" t="n">
        <v>0</v>
      </c>
      <c r="Q260" t="n">
        <v>2</v>
      </c>
      <c r="R260" s="2" t="inlineStr">
        <is>
          <t>Orre
Pärluggla</t>
        </is>
      </c>
      <c r="S260">
        <f>HYPERLINK("https://klasma.github.io/Logging_2161/artfynd/A 60541-2022 artfynd.xlsx", "A 60541-2022")</f>
        <v/>
      </c>
      <c r="T260">
        <f>HYPERLINK("https://klasma.github.io/Logging_2161/kartor/A 60541-2022 karta.png", "A 60541-2022")</f>
        <v/>
      </c>
      <c r="V260">
        <f>HYPERLINK("https://klasma.github.io/Logging_2161/klagomål/A 60541-2022 FSC-klagomål.docx", "A 60541-2022")</f>
        <v/>
      </c>
      <c r="W260">
        <f>HYPERLINK("https://klasma.github.io/Logging_2161/klagomålsmail/A 60541-2022 FSC-klagomål mail.docx", "A 60541-2022")</f>
        <v/>
      </c>
      <c r="X260">
        <f>HYPERLINK("https://klasma.github.io/Logging_2161/tillsyn/A 60541-2022 tillsynsbegäran.docx", "A 60541-2022")</f>
        <v/>
      </c>
      <c r="Y260">
        <f>HYPERLINK("https://klasma.github.io/Logging_2161/tillsynsmail/A 60541-2022 tillsynsbegäran mail.docx", "A 60541-2022")</f>
        <v/>
      </c>
      <c r="Z260">
        <f>HYPERLINK("https://klasma.github.io/Logging_2161/fåglar/A 60541-2022 prioriterade fågelarter.docx", "A 60541-2022")</f>
        <v/>
      </c>
    </row>
    <row r="261" ht="15" customHeight="1">
      <c r="A261" t="inlineStr">
        <is>
          <t>A 23483-2025</t>
        </is>
      </c>
      <c r="B261" s="1" t="n">
        <v>45792.46190972222</v>
      </c>
      <c r="C261" s="1" t="n">
        <v>45883</v>
      </c>
      <c r="D261" t="inlineStr">
        <is>
          <t>GÄVLEBORGS LÄN</t>
        </is>
      </c>
      <c r="E261" t="inlineStr">
        <is>
          <t>LJUSDAL</t>
        </is>
      </c>
      <c r="F261" t="inlineStr">
        <is>
          <t>Sveaskog</t>
        </is>
      </c>
      <c r="G261" t="n">
        <v>3.6</v>
      </c>
      <c r="H261" t="n">
        <v>0</v>
      </c>
      <c r="I261" t="n">
        <v>0</v>
      </c>
      <c r="J261" t="n">
        <v>2</v>
      </c>
      <c r="K261" t="n">
        <v>0</v>
      </c>
      <c r="L261" t="n">
        <v>0</v>
      </c>
      <c r="M261" t="n">
        <v>0</v>
      </c>
      <c r="N261" t="n">
        <v>0</v>
      </c>
      <c r="O261" t="n">
        <v>2</v>
      </c>
      <c r="P261" t="n">
        <v>0</v>
      </c>
      <c r="Q261" t="n">
        <v>2</v>
      </c>
      <c r="R261" s="2" t="inlineStr">
        <is>
          <t>Kolflarnlav
Lunglav</t>
        </is>
      </c>
      <c r="S261">
        <f>HYPERLINK("https://klasma.github.io/Logging_2161/artfynd/A 23483-2025 artfynd.xlsx", "A 23483-2025")</f>
        <v/>
      </c>
      <c r="T261">
        <f>HYPERLINK("https://klasma.github.io/Logging_2161/kartor/A 23483-2025 karta.png", "A 23483-2025")</f>
        <v/>
      </c>
      <c r="V261">
        <f>HYPERLINK("https://klasma.github.io/Logging_2161/klagomål/A 23483-2025 FSC-klagomål.docx", "A 23483-2025")</f>
        <v/>
      </c>
      <c r="W261">
        <f>HYPERLINK("https://klasma.github.io/Logging_2161/klagomålsmail/A 23483-2025 FSC-klagomål mail.docx", "A 23483-2025")</f>
        <v/>
      </c>
      <c r="X261">
        <f>HYPERLINK("https://klasma.github.io/Logging_2161/tillsyn/A 23483-2025 tillsynsbegäran.docx", "A 23483-2025")</f>
        <v/>
      </c>
      <c r="Y261">
        <f>HYPERLINK("https://klasma.github.io/Logging_2161/tillsynsmail/A 23483-2025 tillsynsbegäran mail.docx", "A 23483-2025")</f>
        <v/>
      </c>
    </row>
    <row r="262" ht="15" customHeight="1">
      <c r="A262" t="inlineStr">
        <is>
          <t>A 39889-2024</t>
        </is>
      </c>
      <c r="B262" s="1" t="n">
        <v>45553</v>
      </c>
      <c r="C262" s="1" t="n">
        <v>45883</v>
      </c>
      <c r="D262" t="inlineStr">
        <is>
          <t>GÄVLEBORGS LÄN</t>
        </is>
      </c>
      <c r="E262" t="inlineStr">
        <is>
          <t>LJUSDAL</t>
        </is>
      </c>
      <c r="F262" t="inlineStr">
        <is>
          <t>Sveaskog</t>
        </is>
      </c>
      <c r="G262" t="n">
        <v>1.5</v>
      </c>
      <c r="H262" t="n">
        <v>1</v>
      </c>
      <c r="I262" t="n">
        <v>0</v>
      </c>
      <c r="J262" t="n">
        <v>1</v>
      </c>
      <c r="K262" t="n">
        <v>1</v>
      </c>
      <c r="L262" t="n">
        <v>0</v>
      </c>
      <c r="M262" t="n">
        <v>0</v>
      </c>
      <c r="N262" t="n">
        <v>0</v>
      </c>
      <c r="O262" t="n">
        <v>2</v>
      </c>
      <c r="P262" t="n">
        <v>1</v>
      </c>
      <c r="Q262" t="n">
        <v>2</v>
      </c>
      <c r="R262" s="2" t="inlineStr">
        <is>
          <t>Knärot
Ullticka</t>
        </is>
      </c>
      <c r="S262">
        <f>HYPERLINK("https://klasma.github.io/Logging_2161/artfynd/A 39889-2024 artfynd.xlsx", "A 39889-2024")</f>
        <v/>
      </c>
      <c r="T262">
        <f>HYPERLINK("https://klasma.github.io/Logging_2161/kartor/A 39889-2024 karta.png", "A 39889-2024")</f>
        <v/>
      </c>
      <c r="U262">
        <f>HYPERLINK("https://klasma.github.io/Logging_2161/knärot/A 39889-2024 karta knärot.png", "A 39889-2024")</f>
        <v/>
      </c>
      <c r="V262">
        <f>HYPERLINK("https://klasma.github.io/Logging_2161/klagomål/A 39889-2024 FSC-klagomål.docx", "A 39889-2024")</f>
        <v/>
      </c>
      <c r="W262">
        <f>HYPERLINK("https://klasma.github.io/Logging_2161/klagomålsmail/A 39889-2024 FSC-klagomål mail.docx", "A 39889-2024")</f>
        <v/>
      </c>
      <c r="X262">
        <f>HYPERLINK("https://klasma.github.io/Logging_2161/tillsyn/A 39889-2024 tillsynsbegäran.docx", "A 39889-2024")</f>
        <v/>
      </c>
      <c r="Y262">
        <f>HYPERLINK("https://klasma.github.io/Logging_2161/tillsynsmail/A 39889-2024 tillsynsbegäran mail.docx", "A 39889-2024")</f>
        <v/>
      </c>
    </row>
    <row r="263" ht="15" customHeight="1">
      <c r="A263" t="inlineStr">
        <is>
          <t>A 39528-2021</t>
        </is>
      </c>
      <c r="B263" s="1" t="n">
        <v>44415</v>
      </c>
      <c r="C263" s="1" t="n">
        <v>45883</v>
      </c>
      <c r="D263" t="inlineStr">
        <is>
          <t>GÄVLEBORGS LÄN</t>
        </is>
      </c>
      <c r="E263" t="inlineStr">
        <is>
          <t>HUDIKSVALL</t>
        </is>
      </c>
      <c r="G263" t="n">
        <v>5.2</v>
      </c>
      <c r="H263" t="n">
        <v>1</v>
      </c>
      <c r="I263" t="n">
        <v>1</v>
      </c>
      <c r="J263" t="n">
        <v>0</v>
      </c>
      <c r="K263" t="n">
        <v>1</v>
      </c>
      <c r="L263" t="n">
        <v>0</v>
      </c>
      <c r="M263" t="n">
        <v>0</v>
      </c>
      <c r="N263" t="n">
        <v>0</v>
      </c>
      <c r="O263" t="n">
        <v>1</v>
      </c>
      <c r="P263" t="n">
        <v>1</v>
      </c>
      <c r="Q263" t="n">
        <v>2</v>
      </c>
      <c r="R263" s="2" t="inlineStr">
        <is>
          <t>Knärot
Stuplav</t>
        </is>
      </c>
      <c r="S263">
        <f>HYPERLINK("https://klasma.github.io/Logging_2184/artfynd/A 39528-2021 artfynd.xlsx", "A 39528-2021")</f>
        <v/>
      </c>
      <c r="T263">
        <f>HYPERLINK("https://klasma.github.io/Logging_2184/kartor/A 39528-2021 karta.png", "A 39528-2021")</f>
        <v/>
      </c>
      <c r="U263">
        <f>HYPERLINK("https://klasma.github.io/Logging_2184/knärot/A 39528-2021 karta knärot.png", "A 39528-2021")</f>
        <v/>
      </c>
      <c r="V263">
        <f>HYPERLINK("https://klasma.github.io/Logging_2184/klagomål/A 39528-2021 FSC-klagomål.docx", "A 39528-2021")</f>
        <v/>
      </c>
      <c r="W263">
        <f>HYPERLINK("https://klasma.github.io/Logging_2184/klagomålsmail/A 39528-2021 FSC-klagomål mail.docx", "A 39528-2021")</f>
        <v/>
      </c>
      <c r="X263">
        <f>HYPERLINK("https://klasma.github.io/Logging_2184/tillsyn/A 39528-2021 tillsynsbegäran.docx", "A 39528-2021")</f>
        <v/>
      </c>
      <c r="Y263">
        <f>HYPERLINK("https://klasma.github.io/Logging_2184/tillsynsmail/A 39528-2021 tillsynsbegäran mail.docx", "A 39528-2021")</f>
        <v/>
      </c>
    </row>
    <row r="264" ht="15" customHeight="1">
      <c r="A264" t="inlineStr">
        <is>
          <t>A 24608-2025</t>
        </is>
      </c>
      <c r="B264" s="1" t="n">
        <v>45798.57803240741</v>
      </c>
      <c r="C264" s="1" t="n">
        <v>45883</v>
      </c>
      <c r="D264" t="inlineStr">
        <is>
          <t>GÄVLEBORGS LÄN</t>
        </is>
      </c>
      <c r="E264" t="inlineStr">
        <is>
          <t>SÖDERHAMN</t>
        </is>
      </c>
      <c r="G264" t="n">
        <v>1</v>
      </c>
      <c r="H264" t="n">
        <v>0</v>
      </c>
      <c r="I264" t="n">
        <v>0</v>
      </c>
      <c r="J264" t="n">
        <v>2</v>
      </c>
      <c r="K264" t="n">
        <v>0</v>
      </c>
      <c r="L264" t="n">
        <v>0</v>
      </c>
      <c r="M264" t="n">
        <v>0</v>
      </c>
      <c r="N264" t="n">
        <v>0</v>
      </c>
      <c r="O264" t="n">
        <v>2</v>
      </c>
      <c r="P264" t="n">
        <v>0</v>
      </c>
      <c r="Q264" t="n">
        <v>2</v>
      </c>
      <c r="R264" s="2" t="inlineStr">
        <is>
          <t>Rosenticka
Ullticka</t>
        </is>
      </c>
      <c r="S264">
        <f>HYPERLINK("https://klasma.github.io/Logging_2182/artfynd/A 24608-2025 artfynd.xlsx", "A 24608-2025")</f>
        <v/>
      </c>
      <c r="T264">
        <f>HYPERLINK("https://klasma.github.io/Logging_2182/kartor/A 24608-2025 karta.png", "A 24608-2025")</f>
        <v/>
      </c>
      <c r="U264">
        <f>HYPERLINK("https://klasma.github.io/Logging_2182/knärot/A 24608-2025 karta knärot.png", "A 24608-2025")</f>
        <v/>
      </c>
      <c r="V264">
        <f>HYPERLINK("https://klasma.github.io/Logging_2182/klagomål/A 24608-2025 FSC-klagomål.docx", "A 24608-2025")</f>
        <v/>
      </c>
      <c r="W264">
        <f>HYPERLINK("https://klasma.github.io/Logging_2182/klagomålsmail/A 24608-2025 FSC-klagomål mail.docx", "A 24608-2025")</f>
        <v/>
      </c>
      <c r="X264">
        <f>HYPERLINK("https://klasma.github.io/Logging_2182/tillsyn/A 24608-2025 tillsynsbegäran.docx", "A 24608-2025")</f>
        <v/>
      </c>
      <c r="Y264">
        <f>HYPERLINK("https://klasma.github.io/Logging_2182/tillsynsmail/A 24608-2025 tillsynsbegäran mail.docx", "A 24608-2025")</f>
        <v/>
      </c>
    </row>
    <row r="265" ht="15" customHeight="1">
      <c r="A265" t="inlineStr">
        <is>
          <t>A 24949-2025</t>
        </is>
      </c>
      <c r="B265" s="1" t="n">
        <v>45799.56797453704</v>
      </c>
      <c r="C265" s="1" t="n">
        <v>45883</v>
      </c>
      <c r="D265" t="inlineStr">
        <is>
          <t>GÄVLEBORGS LÄN</t>
        </is>
      </c>
      <c r="E265" t="inlineStr">
        <is>
          <t>LJUSDAL</t>
        </is>
      </c>
      <c r="F265" t="inlineStr">
        <is>
          <t>Sveaskog</t>
        </is>
      </c>
      <c r="G265" t="n">
        <v>3</v>
      </c>
      <c r="H265" t="n">
        <v>0</v>
      </c>
      <c r="I265" t="n">
        <v>0</v>
      </c>
      <c r="J265" t="n">
        <v>2</v>
      </c>
      <c r="K265" t="n">
        <v>0</v>
      </c>
      <c r="L265" t="n">
        <v>0</v>
      </c>
      <c r="M265" t="n">
        <v>0</v>
      </c>
      <c r="N265" t="n">
        <v>0</v>
      </c>
      <c r="O265" t="n">
        <v>2</v>
      </c>
      <c r="P265" t="n">
        <v>0</v>
      </c>
      <c r="Q265" t="n">
        <v>2</v>
      </c>
      <c r="R265" s="2" t="inlineStr">
        <is>
          <t>Kolflarnlav
Vedflamlav</t>
        </is>
      </c>
      <c r="S265">
        <f>HYPERLINK("https://klasma.github.io/Logging_2161/artfynd/A 24949-2025 artfynd.xlsx", "A 24949-2025")</f>
        <v/>
      </c>
      <c r="T265">
        <f>HYPERLINK("https://klasma.github.io/Logging_2161/kartor/A 24949-2025 karta.png", "A 24949-2025")</f>
        <v/>
      </c>
      <c r="V265">
        <f>HYPERLINK("https://klasma.github.io/Logging_2161/klagomål/A 24949-2025 FSC-klagomål.docx", "A 24949-2025")</f>
        <v/>
      </c>
      <c r="W265">
        <f>HYPERLINK("https://klasma.github.io/Logging_2161/klagomålsmail/A 24949-2025 FSC-klagomål mail.docx", "A 24949-2025")</f>
        <v/>
      </c>
      <c r="X265">
        <f>HYPERLINK("https://klasma.github.io/Logging_2161/tillsyn/A 24949-2025 tillsynsbegäran.docx", "A 24949-2025")</f>
        <v/>
      </c>
      <c r="Y265">
        <f>HYPERLINK("https://klasma.github.io/Logging_2161/tillsynsmail/A 24949-2025 tillsynsbegäran mail.docx", "A 24949-2025")</f>
        <v/>
      </c>
    </row>
    <row r="266" ht="15" customHeight="1">
      <c r="A266" t="inlineStr">
        <is>
          <t>A 13026-2022</t>
        </is>
      </c>
      <c r="B266" s="1" t="n">
        <v>44643</v>
      </c>
      <c r="C266" s="1" t="n">
        <v>45883</v>
      </c>
      <c r="D266" t="inlineStr">
        <is>
          <t>GÄVLEBORGS LÄN</t>
        </is>
      </c>
      <c r="E266" t="inlineStr">
        <is>
          <t>NORDANSTIG</t>
        </is>
      </c>
      <c r="G266" t="n">
        <v>17.3</v>
      </c>
      <c r="H266" t="n">
        <v>1</v>
      </c>
      <c r="I266" t="n">
        <v>0</v>
      </c>
      <c r="J266" t="n">
        <v>2</v>
      </c>
      <c r="K266" t="n">
        <v>0</v>
      </c>
      <c r="L266" t="n">
        <v>0</v>
      </c>
      <c r="M266" t="n">
        <v>0</v>
      </c>
      <c r="N266" t="n">
        <v>0</v>
      </c>
      <c r="O266" t="n">
        <v>2</v>
      </c>
      <c r="P266" t="n">
        <v>0</v>
      </c>
      <c r="Q266" t="n">
        <v>2</v>
      </c>
      <c r="R266" s="2" t="inlineStr">
        <is>
          <t>Garnlav
Talltita</t>
        </is>
      </c>
      <c r="S266">
        <f>HYPERLINK("https://klasma.github.io/Logging_2132/artfynd/A 13026-2022 artfynd.xlsx", "A 13026-2022")</f>
        <v/>
      </c>
      <c r="T266">
        <f>HYPERLINK("https://klasma.github.io/Logging_2132/kartor/A 13026-2022 karta.png", "A 13026-2022")</f>
        <v/>
      </c>
      <c r="V266">
        <f>HYPERLINK("https://klasma.github.io/Logging_2132/klagomål/A 13026-2022 FSC-klagomål.docx", "A 13026-2022")</f>
        <v/>
      </c>
      <c r="W266">
        <f>HYPERLINK("https://klasma.github.io/Logging_2132/klagomålsmail/A 13026-2022 FSC-klagomål mail.docx", "A 13026-2022")</f>
        <v/>
      </c>
      <c r="X266">
        <f>HYPERLINK("https://klasma.github.io/Logging_2132/tillsyn/A 13026-2022 tillsynsbegäran.docx", "A 13026-2022")</f>
        <v/>
      </c>
      <c r="Y266">
        <f>HYPERLINK("https://klasma.github.io/Logging_2132/tillsynsmail/A 13026-2022 tillsynsbegäran mail.docx", "A 13026-2022")</f>
        <v/>
      </c>
      <c r="Z266">
        <f>HYPERLINK("https://klasma.github.io/Logging_2132/fåglar/A 13026-2022 prioriterade fågelarter.docx", "A 13026-2022")</f>
        <v/>
      </c>
    </row>
    <row r="267" ht="15" customHeight="1">
      <c r="A267" t="inlineStr">
        <is>
          <t>A 31053-2024</t>
        </is>
      </c>
      <c r="B267" s="1" t="n">
        <v>45502.36028935185</v>
      </c>
      <c r="C267" s="1" t="n">
        <v>45883</v>
      </c>
      <c r="D267" t="inlineStr">
        <is>
          <t>GÄVLEBORGS LÄN</t>
        </is>
      </c>
      <c r="E267" t="inlineStr">
        <is>
          <t>NORDANSTIG</t>
        </is>
      </c>
      <c r="F267" t="inlineStr">
        <is>
          <t>Holmen skog AB</t>
        </is>
      </c>
      <c r="G267" t="n">
        <v>5.5</v>
      </c>
      <c r="H267" t="n">
        <v>1</v>
      </c>
      <c r="I267" t="n">
        <v>1</v>
      </c>
      <c r="J267" t="n">
        <v>0</v>
      </c>
      <c r="K267" t="n">
        <v>0</v>
      </c>
      <c r="L267" t="n">
        <v>0</v>
      </c>
      <c r="M267" t="n">
        <v>0</v>
      </c>
      <c r="N267" t="n">
        <v>0</v>
      </c>
      <c r="O267" t="n">
        <v>0</v>
      </c>
      <c r="P267" t="n">
        <v>0</v>
      </c>
      <c r="Q267" t="n">
        <v>2</v>
      </c>
      <c r="R267" s="2" t="inlineStr">
        <is>
          <t>Smal svampklubba
Fläcknycklar</t>
        </is>
      </c>
      <c r="S267">
        <f>HYPERLINK("https://klasma.github.io/Logging_2132/artfynd/A 31053-2024 artfynd.xlsx", "A 31053-2024")</f>
        <v/>
      </c>
      <c r="T267">
        <f>HYPERLINK("https://klasma.github.io/Logging_2132/kartor/A 31053-2024 karta.png", "A 31053-2024")</f>
        <v/>
      </c>
      <c r="V267">
        <f>HYPERLINK("https://klasma.github.io/Logging_2132/klagomål/A 31053-2024 FSC-klagomål.docx", "A 31053-2024")</f>
        <v/>
      </c>
      <c r="W267">
        <f>HYPERLINK("https://klasma.github.io/Logging_2132/klagomålsmail/A 31053-2024 FSC-klagomål mail.docx", "A 31053-2024")</f>
        <v/>
      </c>
      <c r="X267">
        <f>HYPERLINK("https://klasma.github.io/Logging_2132/tillsyn/A 31053-2024 tillsynsbegäran.docx", "A 31053-2024")</f>
        <v/>
      </c>
      <c r="Y267">
        <f>HYPERLINK("https://klasma.github.io/Logging_2132/tillsynsmail/A 31053-2024 tillsynsbegäran mail.docx", "A 31053-2024")</f>
        <v/>
      </c>
    </row>
    <row r="268" ht="15" customHeight="1">
      <c r="A268" t="inlineStr">
        <is>
          <t>A 33367-2025</t>
        </is>
      </c>
      <c r="B268" s="1" t="n">
        <v>45841.38859953704</v>
      </c>
      <c r="C268" s="1" t="n">
        <v>45883</v>
      </c>
      <c r="D268" t="inlineStr">
        <is>
          <t>GÄVLEBORGS LÄN</t>
        </is>
      </c>
      <c r="E268" t="inlineStr">
        <is>
          <t>OCKELBO</t>
        </is>
      </c>
      <c r="G268" t="n">
        <v>1.7</v>
      </c>
      <c r="H268" t="n">
        <v>1</v>
      </c>
      <c r="I268" t="n">
        <v>0</v>
      </c>
      <c r="J268" t="n">
        <v>1</v>
      </c>
      <c r="K268" t="n">
        <v>0</v>
      </c>
      <c r="L268" t="n">
        <v>0</v>
      </c>
      <c r="M268" t="n">
        <v>0</v>
      </c>
      <c r="N268" t="n">
        <v>0</v>
      </c>
      <c r="O268" t="n">
        <v>1</v>
      </c>
      <c r="P268" t="n">
        <v>0</v>
      </c>
      <c r="Q268" t="n">
        <v>2</v>
      </c>
      <c r="R268" s="2" t="inlineStr">
        <is>
          <t>Vedskivlav
Tjäder</t>
        </is>
      </c>
      <c r="S268">
        <f>HYPERLINK("https://klasma.github.io/Logging_2101/artfynd/A 33367-2025 artfynd.xlsx", "A 33367-2025")</f>
        <v/>
      </c>
      <c r="T268">
        <f>HYPERLINK("https://klasma.github.io/Logging_2101/kartor/A 33367-2025 karta.png", "A 33367-2025")</f>
        <v/>
      </c>
      <c r="V268">
        <f>HYPERLINK("https://klasma.github.io/Logging_2101/klagomål/A 33367-2025 FSC-klagomål.docx", "A 33367-2025")</f>
        <v/>
      </c>
      <c r="W268">
        <f>HYPERLINK("https://klasma.github.io/Logging_2101/klagomålsmail/A 33367-2025 FSC-klagomål mail.docx", "A 33367-2025")</f>
        <v/>
      </c>
      <c r="X268">
        <f>HYPERLINK("https://klasma.github.io/Logging_2101/tillsyn/A 33367-2025 tillsynsbegäran.docx", "A 33367-2025")</f>
        <v/>
      </c>
      <c r="Y268">
        <f>HYPERLINK("https://klasma.github.io/Logging_2101/tillsynsmail/A 33367-2025 tillsynsbegäran mail.docx", "A 33367-2025")</f>
        <v/>
      </c>
      <c r="Z268">
        <f>HYPERLINK("https://klasma.github.io/Logging_2101/fåglar/A 33367-2025 prioriterade fågelarter.docx", "A 33367-2025")</f>
        <v/>
      </c>
    </row>
    <row r="269" ht="15" customHeight="1">
      <c r="A269" t="inlineStr">
        <is>
          <t>A 33332-2025</t>
        </is>
      </c>
      <c r="B269" s="1" t="n">
        <v>45841.35319444445</v>
      </c>
      <c r="C269" s="1" t="n">
        <v>45883</v>
      </c>
      <c r="D269" t="inlineStr">
        <is>
          <t>GÄVLEBORGS LÄN</t>
        </is>
      </c>
      <c r="E269" t="inlineStr">
        <is>
          <t>LJUSDAL</t>
        </is>
      </c>
      <c r="F269" t="inlineStr">
        <is>
          <t>Sveaskog</t>
        </is>
      </c>
      <c r="G269" t="n">
        <v>22.3</v>
      </c>
      <c r="H269" t="n">
        <v>1</v>
      </c>
      <c r="I269" t="n">
        <v>0</v>
      </c>
      <c r="J269" t="n">
        <v>1</v>
      </c>
      <c r="K269" t="n">
        <v>0</v>
      </c>
      <c r="L269" t="n">
        <v>0</v>
      </c>
      <c r="M269" t="n">
        <v>0</v>
      </c>
      <c r="N269" t="n">
        <v>0</v>
      </c>
      <c r="O269" t="n">
        <v>1</v>
      </c>
      <c r="P269" t="n">
        <v>0</v>
      </c>
      <c r="Q269" t="n">
        <v>2</v>
      </c>
      <c r="R269" s="2" t="inlineStr">
        <is>
          <t>Lunglav
Fläcknycklar</t>
        </is>
      </c>
      <c r="S269">
        <f>HYPERLINK("https://klasma.github.io/Logging_2161/artfynd/A 33332-2025 artfynd.xlsx", "A 33332-2025")</f>
        <v/>
      </c>
      <c r="T269">
        <f>HYPERLINK("https://klasma.github.io/Logging_2161/kartor/A 33332-2025 karta.png", "A 33332-2025")</f>
        <v/>
      </c>
      <c r="V269">
        <f>HYPERLINK("https://klasma.github.io/Logging_2161/klagomål/A 33332-2025 FSC-klagomål.docx", "A 33332-2025")</f>
        <v/>
      </c>
      <c r="W269">
        <f>HYPERLINK("https://klasma.github.io/Logging_2161/klagomålsmail/A 33332-2025 FSC-klagomål mail.docx", "A 33332-2025")</f>
        <v/>
      </c>
      <c r="X269">
        <f>HYPERLINK("https://klasma.github.io/Logging_2161/tillsyn/A 33332-2025 tillsynsbegäran.docx", "A 33332-2025")</f>
        <v/>
      </c>
      <c r="Y269">
        <f>HYPERLINK("https://klasma.github.io/Logging_2161/tillsynsmail/A 33332-2025 tillsynsbegäran mail.docx", "A 33332-2025")</f>
        <v/>
      </c>
    </row>
    <row r="270" ht="15" customHeight="1">
      <c r="A270" t="inlineStr">
        <is>
          <t>A 15365-2023</t>
        </is>
      </c>
      <c r="B270" s="1" t="n">
        <v>45019</v>
      </c>
      <c r="C270" s="1" t="n">
        <v>45883</v>
      </c>
      <c r="D270" t="inlineStr">
        <is>
          <t>GÄVLEBORGS LÄN</t>
        </is>
      </c>
      <c r="E270" t="inlineStr">
        <is>
          <t>GÄVLE</t>
        </is>
      </c>
      <c r="G270" t="n">
        <v>55.2</v>
      </c>
      <c r="H270" t="n">
        <v>2</v>
      </c>
      <c r="I270" t="n">
        <v>0</v>
      </c>
      <c r="J270" t="n">
        <v>0</v>
      </c>
      <c r="K270" t="n">
        <v>1</v>
      </c>
      <c r="L270" t="n">
        <v>0</v>
      </c>
      <c r="M270" t="n">
        <v>0</v>
      </c>
      <c r="N270" t="n">
        <v>0</v>
      </c>
      <c r="O270" t="n">
        <v>1</v>
      </c>
      <c r="P270" t="n">
        <v>1</v>
      </c>
      <c r="Q270" t="n">
        <v>2</v>
      </c>
      <c r="R270" s="2" t="inlineStr">
        <is>
          <t>Knärot
Kopparödla</t>
        </is>
      </c>
      <c r="S270">
        <f>HYPERLINK("https://klasma.github.io/Logging_2180/artfynd/A 15365-2023 artfynd.xlsx", "A 15365-2023")</f>
        <v/>
      </c>
      <c r="T270">
        <f>HYPERLINK("https://klasma.github.io/Logging_2180/kartor/A 15365-2023 karta.png", "A 15365-2023")</f>
        <v/>
      </c>
      <c r="U270">
        <f>HYPERLINK("https://klasma.github.io/Logging_2180/knärot/A 15365-2023 karta knärot.png", "A 15365-2023")</f>
        <v/>
      </c>
      <c r="V270">
        <f>HYPERLINK("https://klasma.github.io/Logging_2180/klagomål/A 15365-2023 FSC-klagomål.docx", "A 15365-2023")</f>
        <v/>
      </c>
      <c r="W270">
        <f>HYPERLINK("https://klasma.github.io/Logging_2180/klagomålsmail/A 15365-2023 FSC-klagomål mail.docx", "A 15365-2023")</f>
        <v/>
      </c>
      <c r="X270">
        <f>HYPERLINK("https://klasma.github.io/Logging_2180/tillsyn/A 15365-2023 tillsynsbegäran.docx", "A 15365-2023")</f>
        <v/>
      </c>
      <c r="Y270">
        <f>HYPERLINK("https://klasma.github.io/Logging_2180/tillsynsmail/A 15365-2023 tillsynsbegäran mail.docx", "A 15365-2023")</f>
        <v/>
      </c>
    </row>
    <row r="271" ht="15" customHeight="1">
      <c r="A271" t="inlineStr">
        <is>
          <t>A 18546-2024</t>
        </is>
      </c>
      <c r="B271" s="1" t="n">
        <v>45425.6449537037</v>
      </c>
      <c r="C271" s="1" t="n">
        <v>45883</v>
      </c>
      <c r="D271" t="inlineStr">
        <is>
          <t>GÄVLEBORGS LÄN</t>
        </is>
      </c>
      <c r="E271" t="inlineStr">
        <is>
          <t>SÖDERHAMN</t>
        </is>
      </c>
      <c r="F271" t="inlineStr">
        <is>
          <t>Bergvik skog väst AB</t>
        </is>
      </c>
      <c r="G271" t="n">
        <v>1.7</v>
      </c>
      <c r="H271" t="n">
        <v>2</v>
      </c>
      <c r="I271" t="n">
        <v>1</v>
      </c>
      <c r="J271" t="n">
        <v>1</v>
      </c>
      <c r="K271" t="n">
        <v>0</v>
      </c>
      <c r="L271" t="n">
        <v>0</v>
      </c>
      <c r="M271" t="n">
        <v>0</v>
      </c>
      <c r="N271" t="n">
        <v>0</v>
      </c>
      <c r="O271" t="n">
        <v>1</v>
      </c>
      <c r="P271" t="n">
        <v>0</v>
      </c>
      <c r="Q271" t="n">
        <v>2</v>
      </c>
      <c r="R271" s="2" t="inlineStr">
        <is>
          <t>Spillkråka
Grön sköldmossa</t>
        </is>
      </c>
      <c r="S271">
        <f>HYPERLINK("https://klasma.github.io/Logging_2182/artfynd/A 18546-2024 artfynd.xlsx", "A 18546-2024")</f>
        <v/>
      </c>
      <c r="T271">
        <f>HYPERLINK("https://klasma.github.io/Logging_2182/kartor/A 18546-2024 karta.png", "A 18546-2024")</f>
        <v/>
      </c>
      <c r="V271">
        <f>HYPERLINK("https://klasma.github.io/Logging_2182/klagomål/A 18546-2024 FSC-klagomål.docx", "A 18546-2024")</f>
        <v/>
      </c>
      <c r="W271">
        <f>HYPERLINK("https://klasma.github.io/Logging_2182/klagomålsmail/A 18546-2024 FSC-klagomål mail.docx", "A 18546-2024")</f>
        <v/>
      </c>
      <c r="X271">
        <f>HYPERLINK("https://klasma.github.io/Logging_2182/tillsyn/A 18546-2024 tillsynsbegäran.docx", "A 18546-2024")</f>
        <v/>
      </c>
      <c r="Y271">
        <f>HYPERLINK("https://klasma.github.io/Logging_2182/tillsynsmail/A 18546-2024 tillsynsbegäran mail.docx", "A 18546-2024")</f>
        <v/>
      </c>
      <c r="Z271">
        <f>HYPERLINK("https://klasma.github.io/Logging_2182/fåglar/A 18546-2024 prioriterade fågelarter.docx", "A 18546-2024")</f>
        <v/>
      </c>
    </row>
    <row r="272" ht="15" customHeight="1">
      <c r="A272" t="inlineStr">
        <is>
          <t>A 49956-2024</t>
        </is>
      </c>
      <c r="B272" s="1" t="n">
        <v>45597.61802083333</v>
      </c>
      <c r="C272" s="1" t="n">
        <v>45883</v>
      </c>
      <c r="D272" t="inlineStr">
        <is>
          <t>GÄVLEBORGS LÄN</t>
        </is>
      </c>
      <c r="E272" t="inlineStr">
        <is>
          <t>LJUSDAL</t>
        </is>
      </c>
      <c r="G272" t="n">
        <v>1.3</v>
      </c>
      <c r="H272" t="n">
        <v>1</v>
      </c>
      <c r="I272" t="n">
        <v>0</v>
      </c>
      <c r="J272" t="n">
        <v>1</v>
      </c>
      <c r="K272" t="n">
        <v>0</v>
      </c>
      <c r="L272" t="n">
        <v>0</v>
      </c>
      <c r="M272" t="n">
        <v>0</v>
      </c>
      <c r="N272" t="n">
        <v>0</v>
      </c>
      <c r="O272" t="n">
        <v>1</v>
      </c>
      <c r="P272" t="n">
        <v>0</v>
      </c>
      <c r="Q272" t="n">
        <v>2</v>
      </c>
      <c r="R272" s="2" t="inlineStr">
        <is>
          <t>Garnlav
Kungsfågel</t>
        </is>
      </c>
      <c r="S272">
        <f>HYPERLINK("https://klasma.github.io/Logging_2161/artfynd/A 49956-2024 artfynd.xlsx", "A 49956-2024")</f>
        <v/>
      </c>
      <c r="T272">
        <f>HYPERLINK("https://klasma.github.io/Logging_2161/kartor/A 49956-2024 karta.png", "A 49956-2024")</f>
        <v/>
      </c>
      <c r="V272">
        <f>HYPERLINK("https://klasma.github.io/Logging_2161/klagomål/A 49956-2024 FSC-klagomål.docx", "A 49956-2024")</f>
        <v/>
      </c>
      <c r="W272">
        <f>HYPERLINK("https://klasma.github.io/Logging_2161/klagomålsmail/A 49956-2024 FSC-klagomål mail.docx", "A 49956-2024")</f>
        <v/>
      </c>
      <c r="X272">
        <f>HYPERLINK("https://klasma.github.io/Logging_2161/tillsyn/A 49956-2024 tillsynsbegäran.docx", "A 49956-2024")</f>
        <v/>
      </c>
      <c r="Y272">
        <f>HYPERLINK("https://klasma.github.io/Logging_2161/tillsynsmail/A 49956-2024 tillsynsbegäran mail.docx", "A 49956-2024")</f>
        <v/>
      </c>
      <c r="Z272">
        <f>HYPERLINK("https://klasma.github.io/Logging_2161/fåglar/A 49956-2024 prioriterade fågelarter.docx", "A 49956-2024")</f>
        <v/>
      </c>
    </row>
    <row r="273" ht="15" customHeight="1">
      <c r="A273" t="inlineStr">
        <is>
          <t>A 42056-2023</t>
        </is>
      </c>
      <c r="B273" s="1" t="n">
        <v>45177</v>
      </c>
      <c r="C273" s="1" t="n">
        <v>45883</v>
      </c>
      <c r="D273" t="inlineStr">
        <is>
          <t>GÄVLEBORGS LÄN</t>
        </is>
      </c>
      <c r="E273" t="inlineStr">
        <is>
          <t>OVANÅKER</t>
        </is>
      </c>
      <c r="G273" t="n">
        <v>14.7</v>
      </c>
      <c r="H273" t="n">
        <v>0</v>
      </c>
      <c r="I273" t="n">
        <v>1</v>
      </c>
      <c r="J273" t="n">
        <v>1</v>
      </c>
      <c r="K273" t="n">
        <v>0</v>
      </c>
      <c r="L273" t="n">
        <v>0</v>
      </c>
      <c r="M273" t="n">
        <v>0</v>
      </c>
      <c r="N273" t="n">
        <v>0</v>
      </c>
      <c r="O273" t="n">
        <v>1</v>
      </c>
      <c r="P273" t="n">
        <v>0</v>
      </c>
      <c r="Q273" t="n">
        <v>2</v>
      </c>
      <c r="R273" s="2" t="inlineStr">
        <is>
          <t>Lunglav
Korallblylav</t>
        </is>
      </c>
      <c r="S273">
        <f>HYPERLINK("https://klasma.github.io/Logging_2121/artfynd/A 42056-2023 artfynd.xlsx", "A 42056-2023")</f>
        <v/>
      </c>
      <c r="T273">
        <f>HYPERLINK("https://klasma.github.io/Logging_2121/kartor/A 42056-2023 karta.png", "A 42056-2023")</f>
        <v/>
      </c>
      <c r="V273">
        <f>HYPERLINK("https://klasma.github.io/Logging_2121/klagomål/A 42056-2023 FSC-klagomål.docx", "A 42056-2023")</f>
        <v/>
      </c>
      <c r="W273">
        <f>HYPERLINK("https://klasma.github.io/Logging_2121/klagomålsmail/A 42056-2023 FSC-klagomål mail.docx", "A 42056-2023")</f>
        <v/>
      </c>
      <c r="X273">
        <f>HYPERLINK("https://klasma.github.io/Logging_2121/tillsyn/A 42056-2023 tillsynsbegäran.docx", "A 42056-2023")</f>
        <v/>
      </c>
      <c r="Y273">
        <f>HYPERLINK("https://klasma.github.io/Logging_2121/tillsynsmail/A 42056-2023 tillsynsbegäran mail.docx", "A 42056-2023")</f>
        <v/>
      </c>
    </row>
    <row r="274" ht="15" customHeight="1">
      <c r="A274" t="inlineStr">
        <is>
          <t>A 26817-2025</t>
        </is>
      </c>
      <c r="B274" s="1" t="n">
        <v>45810.63600694444</v>
      </c>
      <c r="C274" s="1" t="n">
        <v>45883</v>
      </c>
      <c r="D274" t="inlineStr">
        <is>
          <t>GÄVLEBORGS LÄN</t>
        </is>
      </c>
      <c r="E274" t="inlineStr">
        <is>
          <t>LJUSDAL</t>
        </is>
      </c>
      <c r="F274" t="inlineStr">
        <is>
          <t>SCA</t>
        </is>
      </c>
      <c r="G274" t="n">
        <v>4.4</v>
      </c>
      <c r="H274" t="n">
        <v>2</v>
      </c>
      <c r="I274" t="n">
        <v>1</v>
      </c>
      <c r="J274" t="n">
        <v>0</v>
      </c>
      <c r="K274" t="n">
        <v>0</v>
      </c>
      <c r="L274" t="n">
        <v>0</v>
      </c>
      <c r="M274" t="n">
        <v>0</v>
      </c>
      <c r="N274" t="n">
        <v>0</v>
      </c>
      <c r="O274" t="n">
        <v>0</v>
      </c>
      <c r="P274" t="n">
        <v>0</v>
      </c>
      <c r="Q274" t="n">
        <v>2</v>
      </c>
      <c r="R274" s="2" t="inlineStr">
        <is>
          <t>Plattlummer
Nattviol</t>
        </is>
      </c>
      <c r="S274">
        <f>HYPERLINK("https://klasma.github.io/Logging_2161/artfynd/A 26817-2025 artfynd.xlsx", "A 26817-2025")</f>
        <v/>
      </c>
      <c r="T274">
        <f>HYPERLINK("https://klasma.github.io/Logging_2161/kartor/A 26817-2025 karta.png", "A 26817-2025")</f>
        <v/>
      </c>
      <c r="V274">
        <f>HYPERLINK("https://klasma.github.io/Logging_2161/klagomål/A 26817-2025 FSC-klagomål.docx", "A 26817-2025")</f>
        <v/>
      </c>
      <c r="W274">
        <f>HYPERLINK("https://klasma.github.io/Logging_2161/klagomålsmail/A 26817-2025 FSC-klagomål mail.docx", "A 26817-2025")</f>
        <v/>
      </c>
      <c r="X274">
        <f>HYPERLINK("https://klasma.github.io/Logging_2161/tillsyn/A 26817-2025 tillsynsbegäran.docx", "A 26817-2025")</f>
        <v/>
      </c>
      <c r="Y274">
        <f>HYPERLINK("https://klasma.github.io/Logging_2161/tillsynsmail/A 26817-2025 tillsynsbegäran mail.docx", "A 26817-2025")</f>
        <v/>
      </c>
    </row>
    <row r="275" ht="15" customHeight="1">
      <c r="A275" t="inlineStr">
        <is>
          <t>A 990-2025</t>
        </is>
      </c>
      <c r="B275" s="1" t="n">
        <v>45666.4440625</v>
      </c>
      <c r="C275" s="1" t="n">
        <v>45883</v>
      </c>
      <c r="D275" t="inlineStr">
        <is>
          <t>GÄVLEBORGS LÄN</t>
        </is>
      </c>
      <c r="E275" t="inlineStr">
        <is>
          <t>LJUSDAL</t>
        </is>
      </c>
      <c r="F275" t="inlineStr">
        <is>
          <t>Sveaskog</t>
        </is>
      </c>
      <c r="G275" t="n">
        <v>2.1</v>
      </c>
      <c r="H275" t="n">
        <v>1</v>
      </c>
      <c r="I275" t="n">
        <v>0</v>
      </c>
      <c r="J275" t="n">
        <v>1</v>
      </c>
      <c r="K275" t="n">
        <v>1</v>
      </c>
      <c r="L275" t="n">
        <v>0</v>
      </c>
      <c r="M275" t="n">
        <v>0</v>
      </c>
      <c r="N275" t="n">
        <v>0</v>
      </c>
      <c r="O275" t="n">
        <v>2</v>
      </c>
      <c r="P275" t="n">
        <v>1</v>
      </c>
      <c r="Q275" t="n">
        <v>2</v>
      </c>
      <c r="R275" s="2" t="inlineStr">
        <is>
          <t>Knärot
Lunglav</t>
        </is>
      </c>
      <c r="S275">
        <f>HYPERLINK("https://klasma.github.io/Logging_2161/artfynd/A 990-2025 artfynd.xlsx", "A 990-2025")</f>
        <v/>
      </c>
      <c r="T275">
        <f>HYPERLINK("https://klasma.github.io/Logging_2161/kartor/A 990-2025 karta.png", "A 990-2025")</f>
        <v/>
      </c>
      <c r="U275">
        <f>HYPERLINK("https://klasma.github.io/Logging_2161/knärot/A 990-2025 karta knärot.png", "A 990-2025")</f>
        <v/>
      </c>
      <c r="V275">
        <f>HYPERLINK("https://klasma.github.io/Logging_2161/klagomål/A 990-2025 FSC-klagomål.docx", "A 990-2025")</f>
        <v/>
      </c>
      <c r="W275">
        <f>HYPERLINK("https://klasma.github.io/Logging_2161/klagomålsmail/A 990-2025 FSC-klagomål mail.docx", "A 990-2025")</f>
        <v/>
      </c>
      <c r="X275">
        <f>HYPERLINK("https://klasma.github.io/Logging_2161/tillsyn/A 990-2025 tillsynsbegäran.docx", "A 990-2025")</f>
        <v/>
      </c>
      <c r="Y275">
        <f>HYPERLINK("https://klasma.github.io/Logging_2161/tillsynsmail/A 990-2025 tillsynsbegäran mail.docx", "A 990-2025")</f>
        <v/>
      </c>
    </row>
    <row r="276" ht="15" customHeight="1">
      <c r="A276" t="inlineStr">
        <is>
          <t>A 26415-2025</t>
        </is>
      </c>
      <c r="B276" s="1" t="n">
        <v>45807.361875</v>
      </c>
      <c r="C276" s="1" t="n">
        <v>45883</v>
      </c>
      <c r="D276" t="inlineStr">
        <is>
          <t>GÄVLEBORGS LÄN</t>
        </is>
      </c>
      <c r="E276" t="inlineStr">
        <is>
          <t>LJUSDAL</t>
        </is>
      </c>
      <c r="F276" t="inlineStr">
        <is>
          <t>Naturvårdsverket</t>
        </is>
      </c>
      <c r="G276" t="n">
        <v>16.2</v>
      </c>
      <c r="H276" t="n">
        <v>2</v>
      </c>
      <c r="I276" t="n">
        <v>0</v>
      </c>
      <c r="J276" t="n">
        <v>1</v>
      </c>
      <c r="K276" t="n">
        <v>0</v>
      </c>
      <c r="L276" t="n">
        <v>0</v>
      </c>
      <c r="M276" t="n">
        <v>0</v>
      </c>
      <c r="N276" t="n">
        <v>0</v>
      </c>
      <c r="O276" t="n">
        <v>1</v>
      </c>
      <c r="P276" t="n">
        <v>0</v>
      </c>
      <c r="Q276" t="n">
        <v>2</v>
      </c>
      <c r="R276" s="2" t="inlineStr">
        <is>
          <t>Spillkråka
Revlummer</t>
        </is>
      </c>
      <c r="S276">
        <f>HYPERLINK("https://klasma.github.io/Logging_2161/artfynd/A 26415-2025 artfynd.xlsx", "A 26415-2025")</f>
        <v/>
      </c>
      <c r="T276">
        <f>HYPERLINK("https://klasma.github.io/Logging_2161/kartor/A 26415-2025 karta.png", "A 26415-2025")</f>
        <v/>
      </c>
      <c r="V276">
        <f>HYPERLINK("https://klasma.github.io/Logging_2161/klagomål/A 26415-2025 FSC-klagomål.docx", "A 26415-2025")</f>
        <v/>
      </c>
      <c r="W276">
        <f>HYPERLINK("https://klasma.github.io/Logging_2161/klagomålsmail/A 26415-2025 FSC-klagomål mail.docx", "A 26415-2025")</f>
        <v/>
      </c>
      <c r="X276">
        <f>HYPERLINK("https://klasma.github.io/Logging_2161/tillsyn/A 26415-2025 tillsynsbegäran.docx", "A 26415-2025")</f>
        <v/>
      </c>
      <c r="Y276">
        <f>HYPERLINK("https://klasma.github.io/Logging_2161/tillsynsmail/A 26415-2025 tillsynsbegäran mail.docx", "A 26415-2025")</f>
        <v/>
      </c>
      <c r="Z276">
        <f>HYPERLINK("https://klasma.github.io/Logging_2161/fåglar/A 26415-2025 prioriterade fågelarter.docx", "A 26415-2025")</f>
        <v/>
      </c>
    </row>
    <row r="277" ht="15" customHeight="1">
      <c r="A277" t="inlineStr">
        <is>
          <t>A 10623-2025</t>
        </is>
      </c>
      <c r="B277" s="1" t="n">
        <v>45721</v>
      </c>
      <c r="C277" s="1" t="n">
        <v>45883</v>
      </c>
      <c r="D277" t="inlineStr">
        <is>
          <t>GÄVLEBORGS LÄN</t>
        </is>
      </c>
      <c r="E277" t="inlineStr">
        <is>
          <t>SANDVIKEN</t>
        </is>
      </c>
      <c r="F277" t="inlineStr">
        <is>
          <t>Bergvik skog öst AB</t>
        </is>
      </c>
      <c r="G277" t="n">
        <v>4.6</v>
      </c>
      <c r="H277" t="n">
        <v>2</v>
      </c>
      <c r="I277" t="n">
        <v>0</v>
      </c>
      <c r="J277" t="n">
        <v>0</v>
      </c>
      <c r="K277" t="n">
        <v>1</v>
      </c>
      <c r="L277" t="n">
        <v>0</v>
      </c>
      <c r="M277" t="n">
        <v>0</v>
      </c>
      <c r="N277" t="n">
        <v>0</v>
      </c>
      <c r="O277" t="n">
        <v>1</v>
      </c>
      <c r="P277" t="n">
        <v>1</v>
      </c>
      <c r="Q277" t="n">
        <v>2</v>
      </c>
      <c r="R277" s="2" t="inlineStr">
        <is>
          <t>Knärot
Revlummer</t>
        </is>
      </c>
      <c r="S277">
        <f>HYPERLINK("https://klasma.github.io/Logging_2181/artfynd/A 10623-2025 artfynd.xlsx", "A 10623-2025")</f>
        <v/>
      </c>
      <c r="T277">
        <f>HYPERLINK("https://klasma.github.io/Logging_2181/kartor/A 10623-2025 karta.png", "A 10623-2025")</f>
        <v/>
      </c>
      <c r="U277">
        <f>HYPERLINK("https://klasma.github.io/Logging_2181/knärot/A 10623-2025 karta knärot.png", "A 10623-2025")</f>
        <v/>
      </c>
      <c r="V277">
        <f>HYPERLINK("https://klasma.github.io/Logging_2181/klagomål/A 10623-2025 FSC-klagomål.docx", "A 10623-2025")</f>
        <v/>
      </c>
      <c r="W277">
        <f>HYPERLINK("https://klasma.github.io/Logging_2181/klagomålsmail/A 10623-2025 FSC-klagomål mail.docx", "A 10623-2025")</f>
        <v/>
      </c>
      <c r="X277">
        <f>HYPERLINK("https://klasma.github.io/Logging_2181/tillsyn/A 10623-2025 tillsynsbegäran.docx", "A 10623-2025")</f>
        <v/>
      </c>
      <c r="Y277">
        <f>HYPERLINK("https://klasma.github.io/Logging_2181/tillsynsmail/A 10623-2025 tillsynsbegäran mail.docx", "A 10623-2025")</f>
        <v/>
      </c>
    </row>
    <row r="278" ht="15" customHeight="1">
      <c r="A278" t="inlineStr">
        <is>
          <t>A 27122-2025</t>
        </is>
      </c>
      <c r="B278" s="1" t="n">
        <v>45811.77063657407</v>
      </c>
      <c r="C278" s="1" t="n">
        <v>45883</v>
      </c>
      <c r="D278" t="inlineStr">
        <is>
          <t>GÄVLEBORGS LÄN</t>
        </is>
      </c>
      <c r="E278" t="inlineStr">
        <is>
          <t>LJUSDAL</t>
        </is>
      </c>
      <c r="F278" t="inlineStr">
        <is>
          <t>Sveaskog</t>
        </is>
      </c>
      <c r="G278" t="n">
        <v>1.9</v>
      </c>
      <c r="H278" t="n">
        <v>0</v>
      </c>
      <c r="I278" t="n">
        <v>0</v>
      </c>
      <c r="J278" t="n">
        <v>2</v>
      </c>
      <c r="K278" t="n">
        <v>0</v>
      </c>
      <c r="L278" t="n">
        <v>0</v>
      </c>
      <c r="M278" t="n">
        <v>0</v>
      </c>
      <c r="N278" t="n">
        <v>0</v>
      </c>
      <c r="O278" t="n">
        <v>2</v>
      </c>
      <c r="P278" t="n">
        <v>0</v>
      </c>
      <c r="Q278" t="n">
        <v>2</v>
      </c>
      <c r="R278" s="2" t="inlineStr">
        <is>
          <t>Lunglav
Skrovellav</t>
        </is>
      </c>
      <c r="S278">
        <f>HYPERLINK("https://klasma.github.io/Logging_2161/artfynd/A 27122-2025 artfynd.xlsx", "A 27122-2025")</f>
        <v/>
      </c>
      <c r="T278">
        <f>HYPERLINK("https://klasma.github.io/Logging_2161/kartor/A 27122-2025 karta.png", "A 27122-2025")</f>
        <v/>
      </c>
      <c r="V278">
        <f>HYPERLINK("https://klasma.github.io/Logging_2161/klagomål/A 27122-2025 FSC-klagomål.docx", "A 27122-2025")</f>
        <v/>
      </c>
      <c r="W278">
        <f>HYPERLINK("https://klasma.github.io/Logging_2161/klagomålsmail/A 27122-2025 FSC-klagomål mail.docx", "A 27122-2025")</f>
        <v/>
      </c>
      <c r="X278">
        <f>HYPERLINK("https://klasma.github.io/Logging_2161/tillsyn/A 27122-2025 tillsynsbegäran.docx", "A 27122-2025")</f>
        <v/>
      </c>
      <c r="Y278">
        <f>HYPERLINK("https://klasma.github.io/Logging_2161/tillsynsmail/A 27122-2025 tillsynsbegäran mail.docx", "A 27122-2025")</f>
        <v/>
      </c>
    </row>
    <row r="279" ht="15" customHeight="1">
      <c r="A279" t="inlineStr">
        <is>
          <t>A 27882-2025</t>
        </is>
      </c>
      <c r="B279" s="1" t="n">
        <v>45817.44679398148</v>
      </c>
      <c r="C279" s="1" t="n">
        <v>45883</v>
      </c>
      <c r="D279" t="inlineStr">
        <is>
          <t>GÄVLEBORGS LÄN</t>
        </is>
      </c>
      <c r="E279" t="inlineStr">
        <is>
          <t>LJUSDAL</t>
        </is>
      </c>
      <c r="F279" t="inlineStr">
        <is>
          <t>Sveaskog</t>
        </is>
      </c>
      <c r="G279" t="n">
        <v>7.1</v>
      </c>
      <c r="H279" t="n">
        <v>1</v>
      </c>
      <c r="I279" t="n">
        <v>0</v>
      </c>
      <c r="J279" t="n">
        <v>1</v>
      </c>
      <c r="K279" t="n">
        <v>1</v>
      </c>
      <c r="L279" t="n">
        <v>0</v>
      </c>
      <c r="M279" t="n">
        <v>0</v>
      </c>
      <c r="N279" t="n">
        <v>0</v>
      </c>
      <c r="O279" t="n">
        <v>2</v>
      </c>
      <c r="P279" t="n">
        <v>1</v>
      </c>
      <c r="Q279" t="n">
        <v>2</v>
      </c>
      <c r="R279" s="2" t="inlineStr">
        <is>
          <t>Doftticka
Lunglav</t>
        </is>
      </c>
      <c r="S279">
        <f>HYPERLINK("https://klasma.github.io/Logging_2161/artfynd/A 27882-2025 artfynd.xlsx", "A 27882-2025")</f>
        <v/>
      </c>
      <c r="T279">
        <f>HYPERLINK("https://klasma.github.io/Logging_2161/kartor/A 27882-2025 karta.png", "A 27882-2025")</f>
        <v/>
      </c>
      <c r="V279">
        <f>HYPERLINK("https://klasma.github.io/Logging_2161/klagomål/A 27882-2025 FSC-klagomål.docx", "A 27882-2025")</f>
        <v/>
      </c>
      <c r="W279">
        <f>HYPERLINK("https://klasma.github.io/Logging_2161/klagomålsmail/A 27882-2025 FSC-klagomål mail.docx", "A 27882-2025")</f>
        <v/>
      </c>
      <c r="X279">
        <f>HYPERLINK("https://klasma.github.io/Logging_2161/tillsyn/A 27882-2025 tillsynsbegäran.docx", "A 27882-2025")</f>
        <v/>
      </c>
      <c r="Y279">
        <f>HYPERLINK("https://klasma.github.io/Logging_2161/tillsynsmail/A 27882-2025 tillsynsbegäran mail.docx", "A 27882-2025")</f>
        <v/>
      </c>
    </row>
    <row r="280" ht="15" customHeight="1">
      <c r="A280" t="inlineStr">
        <is>
          <t>A 30364-2022</t>
        </is>
      </c>
      <c r="B280" s="1" t="n">
        <v>44760.60001157408</v>
      </c>
      <c r="C280" s="1" t="n">
        <v>45883</v>
      </c>
      <c r="D280" t="inlineStr">
        <is>
          <t>GÄVLEBORGS LÄN</t>
        </is>
      </c>
      <c r="E280" t="inlineStr">
        <is>
          <t>OVANÅKER</t>
        </is>
      </c>
      <c r="F280" t="inlineStr">
        <is>
          <t>Bergvik skog öst AB</t>
        </is>
      </c>
      <c r="G280" t="n">
        <v>1.9</v>
      </c>
      <c r="H280" t="n">
        <v>1</v>
      </c>
      <c r="I280" t="n">
        <v>1</v>
      </c>
      <c r="J280" t="n">
        <v>0</v>
      </c>
      <c r="K280" t="n">
        <v>0</v>
      </c>
      <c r="L280" t="n">
        <v>0</v>
      </c>
      <c r="M280" t="n">
        <v>0</v>
      </c>
      <c r="N280" t="n">
        <v>0</v>
      </c>
      <c r="O280" t="n">
        <v>0</v>
      </c>
      <c r="P280" t="n">
        <v>0</v>
      </c>
      <c r="Q280" t="n">
        <v>2</v>
      </c>
      <c r="R280" s="2" t="inlineStr">
        <is>
          <t>Skinnlav
Blåsippa</t>
        </is>
      </c>
      <c r="S280">
        <f>HYPERLINK("https://klasma.github.io/Logging_2121/artfynd/A 30364-2022 artfynd.xlsx", "A 30364-2022")</f>
        <v/>
      </c>
      <c r="T280">
        <f>HYPERLINK("https://klasma.github.io/Logging_2121/kartor/A 30364-2022 karta.png", "A 30364-2022")</f>
        <v/>
      </c>
      <c r="V280">
        <f>HYPERLINK("https://klasma.github.io/Logging_2121/klagomål/A 30364-2022 FSC-klagomål.docx", "A 30364-2022")</f>
        <v/>
      </c>
      <c r="W280">
        <f>HYPERLINK("https://klasma.github.io/Logging_2121/klagomålsmail/A 30364-2022 FSC-klagomål mail.docx", "A 30364-2022")</f>
        <v/>
      </c>
      <c r="X280">
        <f>HYPERLINK("https://klasma.github.io/Logging_2121/tillsyn/A 30364-2022 tillsynsbegäran.docx", "A 30364-2022")</f>
        <v/>
      </c>
      <c r="Y280">
        <f>HYPERLINK("https://klasma.github.io/Logging_2121/tillsynsmail/A 30364-2022 tillsynsbegäran mail.docx", "A 30364-2022")</f>
        <v/>
      </c>
    </row>
    <row r="281" ht="15" customHeight="1">
      <c r="A281" t="inlineStr">
        <is>
          <t>A 32502-2023</t>
        </is>
      </c>
      <c r="B281" s="1" t="n">
        <v>45121</v>
      </c>
      <c r="C281" s="1" t="n">
        <v>45883</v>
      </c>
      <c r="D281" t="inlineStr">
        <is>
          <t>GÄVLEBORGS LÄN</t>
        </is>
      </c>
      <c r="E281" t="inlineStr">
        <is>
          <t>LJUSDAL</t>
        </is>
      </c>
      <c r="F281" t="inlineStr">
        <is>
          <t>Sveaskog</t>
        </is>
      </c>
      <c r="G281" t="n">
        <v>9.199999999999999</v>
      </c>
      <c r="H281" t="n">
        <v>0</v>
      </c>
      <c r="I281" t="n">
        <v>1</v>
      </c>
      <c r="J281" t="n">
        <v>1</v>
      </c>
      <c r="K281" t="n">
        <v>0</v>
      </c>
      <c r="L281" t="n">
        <v>0</v>
      </c>
      <c r="M281" t="n">
        <v>0</v>
      </c>
      <c r="N281" t="n">
        <v>0</v>
      </c>
      <c r="O281" t="n">
        <v>1</v>
      </c>
      <c r="P281" t="n">
        <v>0</v>
      </c>
      <c r="Q281" t="n">
        <v>2</v>
      </c>
      <c r="R281" s="2" t="inlineStr">
        <is>
          <t>Garnlav
Dropptaggsvamp</t>
        </is>
      </c>
      <c r="S281">
        <f>HYPERLINK("https://klasma.github.io/Logging_2161/artfynd/A 32502-2023 artfynd.xlsx", "A 32502-2023")</f>
        <v/>
      </c>
      <c r="T281">
        <f>HYPERLINK("https://klasma.github.io/Logging_2161/kartor/A 32502-2023 karta.png", "A 32502-2023")</f>
        <v/>
      </c>
      <c r="V281">
        <f>HYPERLINK("https://klasma.github.io/Logging_2161/klagomål/A 32502-2023 FSC-klagomål.docx", "A 32502-2023")</f>
        <v/>
      </c>
      <c r="W281">
        <f>HYPERLINK("https://klasma.github.io/Logging_2161/klagomålsmail/A 32502-2023 FSC-klagomål mail.docx", "A 32502-2023")</f>
        <v/>
      </c>
      <c r="X281">
        <f>HYPERLINK("https://klasma.github.io/Logging_2161/tillsyn/A 32502-2023 tillsynsbegäran.docx", "A 32502-2023")</f>
        <v/>
      </c>
      <c r="Y281">
        <f>HYPERLINK("https://klasma.github.io/Logging_2161/tillsynsmail/A 32502-2023 tillsynsbegäran mail.docx", "A 32502-2023")</f>
        <v/>
      </c>
    </row>
    <row r="282" ht="15" customHeight="1">
      <c r="A282" t="inlineStr">
        <is>
          <t>A 13727-2025</t>
        </is>
      </c>
      <c r="B282" s="1" t="n">
        <v>45737.38288194445</v>
      </c>
      <c r="C282" s="1" t="n">
        <v>45883</v>
      </c>
      <c r="D282" t="inlineStr">
        <is>
          <t>GÄVLEBORGS LÄN</t>
        </is>
      </c>
      <c r="E282" t="inlineStr">
        <is>
          <t>GÄVLE</t>
        </is>
      </c>
      <c r="F282" t="inlineStr">
        <is>
          <t>Bergvik skog öst AB</t>
        </is>
      </c>
      <c r="G282" t="n">
        <v>7.6</v>
      </c>
      <c r="H282" t="n">
        <v>1</v>
      </c>
      <c r="I282" t="n">
        <v>0</v>
      </c>
      <c r="J282" t="n">
        <v>2</v>
      </c>
      <c r="K282" t="n">
        <v>0</v>
      </c>
      <c r="L282" t="n">
        <v>0</v>
      </c>
      <c r="M282" t="n">
        <v>0</v>
      </c>
      <c r="N282" t="n">
        <v>0</v>
      </c>
      <c r="O282" t="n">
        <v>2</v>
      </c>
      <c r="P282" t="n">
        <v>0</v>
      </c>
      <c r="Q282" t="n">
        <v>2</v>
      </c>
      <c r="R282" s="2" t="inlineStr">
        <is>
          <t>Järpe
Ullticka</t>
        </is>
      </c>
      <c r="S282">
        <f>HYPERLINK("https://klasma.github.io/Logging_2180/artfynd/A 13727-2025 artfynd.xlsx", "A 13727-2025")</f>
        <v/>
      </c>
      <c r="T282">
        <f>HYPERLINK("https://klasma.github.io/Logging_2180/kartor/A 13727-2025 karta.png", "A 13727-2025")</f>
        <v/>
      </c>
      <c r="V282">
        <f>HYPERLINK("https://klasma.github.io/Logging_2180/klagomål/A 13727-2025 FSC-klagomål.docx", "A 13727-2025")</f>
        <v/>
      </c>
      <c r="W282">
        <f>HYPERLINK("https://klasma.github.io/Logging_2180/klagomålsmail/A 13727-2025 FSC-klagomål mail.docx", "A 13727-2025")</f>
        <v/>
      </c>
      <c r="X282">
        <f>HYPERLINK("https://klasma.github.io/Logging_2180/tillsyn/A 13727-2025 tillsynsbegäran.docx", "A 13727-2025")</f>
        <v/>
      </c>
      <c r="Y282">
        <f>HYPERLINK("https://klasma.github.io/Logging_2180/tillsynsmail/A 13727-2025 tillsynsbegäran mail.docx", "A 13727-2025")</f>
        <v/>
      </c>
      <c r="Z282">
        <f>HYPERLINK("https://klasma.github.io/Logging_2180/fåglar/A 13727-2025 prioriterade fågelarter.docx", "A 13727-2025")</f>
        <v/>
      </c>
    </row>
    <row r="283" ht="15" customHeight="1">
      <c r="A283" t="inlineStr">
        <is>
          <t>A 31078-2025</t>
        </is>
      </c>
      <c r="B283" s="1" t="n">
        <v>45832.5844212963</v>
      </c>
      <c r="C283" s="1" t="n">
        <v>45883</v>
      </c>
      <c r="D283" t="inlineStr">
        <is>
          <t>GÄVLEBORGS LÄN</t>
        </is>
      </c>
      <c r="E283" t="inlineStr">
        <is>
          <t>LJUSDAL</t>
        </is>
      </c>
      <c r="F283" t="inlineStr">
        <is>
          <t>Allmännings- och besparingsskogar</t>
        </is>
      </c>
      <c r="G283" t="n">
        <v>2.9</v>
      </c>
      <c r="H283" t="n">
        <v>1</v>
      </c>
      <c r="I283" t="n">
        <v>1</v>
      </c>
      <c r="J283" t="n">
        <v>1</v>
      </c>
      <c r="K283" t="n">
        <v>0</v>
      </c>
      <c r="L283" t="n">
        <v>0</v>
      </c>
      <c r="M283" t="n">
        <v>0</v>
      </c>
      <c r="N283" t="n">
        <v>0</v>
      </c>
      <c r="O283" t="n">
        <v>1</v>
      </c>
      <c r="P283" t="n">
        <v>0</v>
      </c>
      <c r="Q283" t="n">
        <v>2</v>
      </c>
      <c r="R283" s="2" t="inlineStr">
        <is>
          <t>Garnlav
Spindelblomster</t>
        </is>
      </c>
      <c r="S283">
        <f>HYPERLINK("https://klasma.github.io/Logging_2161/artfynd/A 31078-2025 artfynd.xlsx", "A 31078-2025")</f>
        <v/>
      </c>
      <c r="T283">
        <f>HYPERLINK("https://klasma.github.io/Logging_2161/kartor/A 31078-2025 karta.png", "A 31078-2025")</f>
        <v/>
      </c>
      <c r="V283">
        <f>HYPERLINK("https://klasma.github.io/Logging_2161/klagomål/A 31078-2025 FSC-klagomål.docx", "A 31078-2025")</f>
        <v/>
      </c>
      <c r="W283">
        <f>HYPERLINK("https://klasma.github.io/Logging_2161/klagomålsmail/A 31078-2025 FSC-klagomål mail.docx", "A 31078-2025")</f>
        <v/>
      </c>
      <c r="X283">
        <f>HYPERLINK("https://klasma.github.io/Logging_2161/tillsyn/A 31078-2025 tillsynsbegäran.docx", "A 31078-2025")</f>
        <v/>
      </c>
      <c r="Y283">
        <f>HYPERLINK("https://klasma.github.io/Logging_2161/tillsynsmail/A 31078-2025 tillsynsbegäran mail.docx", "A 31078-2025")</f>
        <v/>
      </c>
    </row>
    <row r="284" ht="15" customHeight="1">
      <c r="A284" t="inlineStr">
        <is>
          <t>A 25992-2023</t>
        </is>
      </c>
      <c r="B284" s="1" t="n">
        <v>45090</v>
      </c>
      <c r="C284" s="1" t="n">
        <v>45883</v>
      </c>
      <c r="D284" t="inlineStr">
        <is>
          <t>GÄVLEBORGS LÄN</t>
        </is>
      </c>
      <c r="E284" t="inlineStr">
        <is>
          <t>LJUSDAL</t>
        </is>
      </c>
      <c r="G284" t="n">
        <v>3.8</v>
      </c>
      <c r="H284" t="n">
        <v>2</v>
      </c>
      <c r="I284" t="n">
        <v>0</v>
      </c>
      <c r="J284" t="n">
        <v>0</v>
      </c>
      <c r="K284" t="n">
        <v>0</v>
      </c>
      <c r="L284" t="n">
        <v>0</v>
      </c>
      <c r="M284" t="n">
        <v>0</v>
      </c>
      <c r="N284" t="n">
        <v>0</v>
      </c>
      <c r="O284" t="n">
        <v>0</v>
      </c>
      <c r="P284" t="n">
        <v>0</v>
      </c>
      <c r="Q284" t="n">
        <v>2</v>
      </c>
      <c r="R284" s="2" t="inlineStr">
        <is>
          <t>Järnsparv
Blåsippa</t>
        </is>
      </c>
      <c r="S284">
        <f>HYPERLINK("https://klasma.github.io/Logging_2161/artfynd/A 25992-2023 artfynd.xlsx", "A 25992-2023")</f>
        <v/>
      </c>
      <c r="T284">
        <f>HYPERLINK("https://klasma.github.io/Logging_2161/kartor/A 25992-2023 karta.png", "A 25992-2023")</f>
        <v/>
      </c>
      <c r="V284">
        <f>HYPERLINK("https://klasma.github.io/Logging_2161/klagomål/A 25992-2023 FSC-klagomål.docx", "A 25992-2023")</f>
        <v/>
      </c>
      <c r="W284">
        <f>HYPERLINK("https://klasma.github.io/Logging_2161/klagomålsmail/A 25992-2023 FSC-klagomål mail.docx", "A 25992-2023")</f>
        <v/>
      </c>
      <c r="X284">
        <f>HYPERLINK("https://klasma.github.io/Logging_2161/tillsyn/A 25992-2023 tillsynsbegäran.docx", "A 25992-2023")</f>
        <v/>
      </c>
      <c r="Y284">
        <f>HYPERLINK("https://klasma.github.io/Logging_2161/tillsynsmail/A 25992-2023 tillsynsbegäran mail.docx", "A 25992-2023")</f>
        <v/>
      </c>
      <c r="Z284">
        <f>HYPERLINK("https://klasma.github.io/Logging_2161/fåglar/A 25992-2023 prioriterade fågelarter.docx", "A 25992-2023")</f>
        <v/>
      </c>
    </row>
    <row r="285" ht="15" customHeight="1">
      <c r="A285" t="inlineStr">
        <is>
          <t>A 26325-2023</t>
        </is>
      </c>
      <c r="B285" s="1" t="n">
        <v>45091</v>
      </c>
      <c r="C285" s="1" t="n">
        <v>45883</v>
      </c>
      <c r="D285" t="inlineStr">
        <is>
          <t>GÄVLEBORGS LÄN</t>
        </is>
      </c>
      <c r="E285" t="inlineStr">
        <is>
          <t>NORDANSTIG</t>
        </is>
      </c>
      <c r="F285" t="inlineStr">
        <is>
          <t>Holmen skog AB</t>
        </is>
      </c>
      <c r="G285" t="n">
        <v>9.9</v>
      </c>
      <c r="H285" t="n">
        <v>0</v>
      </c>
      <c r="I285" t="n">
        <v>0</v>
      </c>
      <c r="J285" t="n">
        <v>1</v>
      </c>
      <c r="K285" t="n">
        <v>1</v>
      </c>
      <c r="L285" t="n">
        <v>0</v>
      </c>
      <c r="M285" t="n">
        <v>0</v>
      </c>
      <c r="N285" t="n">
        <v>0</v>
      </c>
      <c r="O285" t="n">
        <v>2</v>
      </c>
      <c r="P285" t="n">
        <v>1</v>
      </c>
      <c r="Q285" t="n">
        <v>2</v>
      </c>
      <c r="R285" s="2" t="inlineStr">
        <is>
          <t>Ringlav
Rosenticka</t>
        </is>
      </c>
      <c r="S285">
        <f>HYPERLINK("https://klasma.github.io/Logging_2132/artfynd/A 26325-2023 artfynd.xlsx", "A 26325-2023")</f>
        <v/>
      </c>
      <c r="T285">
        <f>HYPERLINK("https://klasma.github.io/Logging_2132/kartor/A 26325-2023 karta.png", "A 26325-2023")</f>
        <v/>
      </c>
      <c r="V285">
        <f>HYPERLINK("https://klasma.github.io/Logging_2132/klagomål/A 26325-2023 FSC-klagomål.docx", "A 26325-2023")</f>
        <v/>
      </c>
      <c r="W285">
        <f>HYPERLINK("https://klasma.github.io/Logging_2132/klagomålsmail/A 26325-2023 FSC-klagomål mail.docx", "A 26325-2023")</f>
        <v/>
      </c>
      <c r="X285">
        <f>HYPERLINK("https://klasma.github.io/Logging_2132/tillsyn/A 26325-2023 tillsynsbegäran.docx", "A 26325-2023")</f>
        <v/>
      </c>
      <c r="Y285">
        <f>HYPERLINK("https://klasma.github.io/Logging_2132/tillsynsmail/A 26325-2023 tillsynsbegäran mail.docx", "A 26325-2023")</f>
        <v/>
      </c>
    </row>
    <row r="286" ht="15" customHeight="1">
      <c r="A286" t="inlineStr">
        <is>
          <t>A 31062-2025</t>
        </is>
      </c>
      <c r="B286" s="1" t="n">
        <v>45832.57438657407</v>
      </c>
      <c r="C286" s="1" t="n">
        <v>45883</v>
      </c>
      <c r="D286" t="inlineStr">
        <is>
          <t>GÄVLEBORGS LÄN</t>
        </is>
      </c>
      <c r="E286" t="inlineStr">
        <is>
          <t>LJUSDAL</t>
        </is>
      </c>
      <c r="F286" t="inlineStr">
        <is>
          <t>Allmännings- och besparingsskogar</t>
        </is>
      </c>
      <c r="G286" t="n">
        <v>8.4</v>
      </c>
      <c r="H286" t="n">
        <v>2</v>
      </c>
      <c r="I286" t="n">
        <v>1</v>
      </c>
      <c r="J286" t="n">
        <v>0</v>
      </c>
      <c r="K286" t="n">
        <v>0</v>
      </c>
      <c r="L286" t="n">
        <v>0</v>
      </c>
      <c r="M286" t="n">
        <v>0</v>
      </c>
      <c r="N286" t="n">
        <v>0</v>
      </c>
      <c r="O286" t="n">
        <v>0</v>
      </c>
      <c r="P286" t="n">
        <v>0</v>
      </c>
      <c r="Q286" t="n">
        <v>2</v>
      </c>
      <c r="R286" s="2" t="inlineStr">
        <is>
          <t>Spindelblomster
Fläcknycklar</t>
        </is>
      </c>
      <c r="S286">
        <f>HYPERLINK("https://klasma.github.io/Logging_2161/artfynd/A 31062-2025 artfynd.xlsx", "A 31062-2025")</f>
        <v/>
      </c>
      <c r="T286">
        <f>HYPERLINK("https://klasma.github.io/Logging_2161/kartor/A 31062-2025 karta.png", "A 31062-2025")</f>
        <v/>
      </c>
      <c r="V286">
        <f>HYPERLINK("https://klasma.github.io/Logging_2161/klagomål/A 31062-2025 FSC-klagomål.docx", "A 31062-2025")</f>
        <v/>
      </c>
      <c r="W286">
        <f>HYPERLINK("https://klasma.github.io/Logging_2161/klagomålsmail/A 31062-2025 FSC-klagomål mail.docx", "A 31062-2025")</f>
        <v/>
      </c>
      <c r="X286">
        <f>HYPERLINK("https://klasma.github.io/Logging_2161/tillsyn/A 31062-2025 tillsynsbegäran.docx", "A 31062-2025")</f>
        <v/>
      </c>
      <c r="Y286">
        <f>HYPERLINK("https://klasma.github.io/Logging_2161/tillsynsmail/A 31062-2025 tillsynsbegäran mail.docx", "A 31062-2025")</f>
        <v/>
      </c>
    </row>
    <row r="287" ht="15" customHeight="1">
      <c r="A287" t="inlineStr">
        <is>
          <t>A 30530-2025</t>
        </is>
      </c>
      <c r="B287" s="1" t="n">
        <v>45831.36056712963</v>
      </c>
      <c r="C287" s="1" t="n">
        <v>45883</v>
      </c>
      <c r="D287" t="inlineStr">
        <is>
          <t>GÄVLEBORGS LÄN</t>
        </is>
      </c>
      <c r="E287" t="inlineStr">
        <is>
          <t>LJUSDAL</t>
        </is>
      </c>
      <c r="F287" t="inlineStr">
        <is>
          <t>Sveaskog</t>
        </is>
      </c>
      <c r="G287" t="n">
        <v>5</v>
      </c>
      <c r="H287" t="n">
        <v>1</v>
      </c>
      <c r="I287" t="n">
        <v>2</v>
      </c>
      <c r="J287" t="n">
        <v>0</v>
      </c>
      <c r="K287" t="n">
        <v>0</v>
      </c>
      <c r="L287" t="n">
        <v>0</v>
      </c>
      <c r="M287" t="n">
        <v>0</v>
      </c>
      <c r="N287" t="n">
        <v>0</v>
      </c>
      <c r="O287" t="n">
        <v>0</v>
      </c>
      <c r="P287" t="n">
        <v>0</v>
      </c>
      <c r="Q287" t="n">
        <v>2</v>
      </c>
      <c r="R287" s="2" t="inlineStr">
        <is>
          <t>Dropptaggsvamp
Tvåblad</t>
        </is>
      </c>
      <c r="S287">
        <f>HYPERLINK("https://klasma.github.io/Logging_2161/artfynd/A 30530-2025 artfynd.xlsx", "A 30530-2025")</f>
        <v/>
      </c>
      <c r="T287">
        <f>HYPERLINK("https://klasma.github.io/Logging_2161/kartor/A 30530-2025 karta.png", "A 30530-2025")</f>
        <v/>
      </c>
      <c r="V287">
        <f>HYPERLINK("https://klasma.github.io/Logging_2161/klagomål/A 30530-2025 FSC-klagomål.docx", "A 30530-2025")</f>
        <v/>
      </c>
      <c r="W287">
        <f>HYPERLINK("https://klasma.github.io/Logging_2161/klagomålsmail/A 30530-2025 FSC-klagomål mail.docx", "A 30530-2025")</f>
        <v/>
      </c>
      <c r="X287">
        <f>HYPERLINK("https://klasma.github.io/Logging_2161/tillsyn/A 30530-2025 tillsynsbegäran.docx", "A 30530-2025")</f>
        <v/>
      </c>
      <c r="Y287">
        <f>HYPERLINK("https://klasma.github.io/Logging_2161/tillsynsmail/A 30530-2025 tillsynsbegäran mail.docx", "A 30530-2025")</f>
        <v/>
      </c>
    </row>
    <row r="288" ht="15" customHeight="1">
      <c r="A288" t="inlineStr">
        <is>
          <t>A 36759-2025</t>
        </is>
      </c>
      <c r="B288" s="1" t="n">
        <v>45873.5665625</v>
      </c>
      <c r="C288" s="1" t="n">
        <v>45883</v>
      </c>
      <c r="D288" t="inlineStr">
        <is>
          <t>GÄVLEBORGS LÄN</t>
        </is>
      </c>
      <c r="E288" t="inlineStr">
        <is>
          <t>OVANÅKER</t>
        </is>
      </c>
      <c r="F288" t="inlineStr">
        <is>
          <t>Bergvik skog väst AB</t>
        </is>
      </c>
      <c r="G288" t="n">
        <v>20.7</v>
      </c>
      <c r="H288" t="n">
        <v>2</v>
      </c>
      <c r="I288" t="n">
        <v>0</v>
      </c>
      <c r="J288" t="n">
        <v>2</v>
      </c>
      <c r="K288" t="n">
        <v>0</v>
      </c>
      <c r="L288" t="n">
        <v>0</v>
      </c>
      <c r="M288" t="n">
        <v>0</v>
      </c>
      <c r="N288" t="n">
        <v>0</v>
      </c>
      <c r="O288" t="n">
        <v>2</v>
      </c>
      <c r="P288" t="n">
        <v>0</v>
      </c>
      <c r="Q288" t="n">
        <v>2</v>
      </c>
      <c r="R288" s="2" t="inlineStr">
        <is>
          <t>Slaguggla
Spillkråka</t>
        </is>
      </c>
      <c r="S288">
        <f>HYPERLINK("https://klasma.github.io/Logging_2121/artfynd/A 36759-2025 artfynd.xlsx", "A 36759-2025")</f>
        <v/>
      </c>
      <c r="T288">
        <f>HYPERLINK("https://klasma.github.io/Logging_2121/kartor/A 36759-2025 karta.png", "A 36759-2025")</f>
        <v/>
      </c>
      <c r="V288">
        <f>HYPERLINK("https://klasma.github.io/Logging_2121/klagomål/A 36759-2025 FSC-klagomål.docx", "A 36759-2025")</f>
        <v/>
      </c>
      <c r="W288">
        <f>HYPERLINK("https://klasma.github.io/Logging_2121/klagomålsmail/A 36759-2025 FSC-klagomål mail.docx", "A 36759-2025")</f>
        <v/>
      </c>
      <c r="X288">
        <f>HYPERLINK("https://klasma.github.io/Logging_2121/tillsyn/A 36759-2025 tillsynsbegäran.docx", "A 36759-2025")</f>
        <v/>
      </c>
      <c r="Y288">
        <f>HYPERLINK("https://klasma.github.io/Logging_2121/tillsynsmail/A 36759-2025 tillsynsbegäran mail.docx", "A 36759-2025")</f>
        <v/>
      </c>
      <c r="Z288">
        <f>HYPERLINK("https://klasma.github.io/Logging_2121/fåglar/A 36759-2025 prioriterade fågelarter.docx", "A 36759-2025")</f>
        <v/>
      </c>
    </row>
    <row r="289" ht="15" customHeight="1">
      <c r="A289" t="inlineStr">
        <is>
          <t>A 31740-2025</t>
        </is>
      </c>
      <c r="B289" s="1" t="n">
        <v>45834.47508101852</v>
      </c>
      <c r="C289" s="1" t="n">
        <v>45883</v>
      </c>
      <c r="D289" t="inlineStr">
        <is>
          <t>GÄVLEBORGS LÄN</t>
        </is>
      </c>
      <c r="E289" t="inlineStr">
        <is>
          <t>LJUSDAL</t>
        </is>
      </c>
      <c r="F289" t="inlineStr">
        <is>
          <t>Allmännings- och besparingsskogar</t>
        </is>
      </c>
      <c r="G289" t="n">
        <v>7.3</v>
      </c>
      <c r="H289" t="n">
        <v>0</v>
      </c>
      <c r="I289" t="n">
        <v>0</v>
      </c>
      <c r="J289" t="n">
        <v>2</v>
      </c>
      <c r="K289" t="n">
        <v>0</v>
      </c>
      <c r="L289" t="n">
        <v>0</v>
      </c>
      <c r="M289" t="n">
        <v>0</v>
      </c>
      <c r="N289" t="n">
        <v>0</v>
      </c>
      <c r="O289" t="n">
        <v>2</v>
      </c>
      <c r="P289" t="n">
        <v>0</v>
      </c>
      <c r="Q289" t="n">
        <v>2</v>
      </c>
      <c r="R289" s="2" t="inlineStr">
        <is>
          <t>Garnlav
Vedskivlav</t>
        </is>
      </c>
      <c r="S289">
        <f>HYPERLINK("https://klasma.github.io/Logging_2161/artfynd/A 31740-2025 artfynd.xlsx", "A 31740-2025")</f>
        <v/>
      </c>
      <c r="T289">
        <f>HYPERLINK("https://klasma.github.io/Logging_2161/kartor/A 31740-2025 karta.png", "A 31740-2025")</f>
        <v/>
      </c>
      <c r="V289">
        <f>HYPERLINK("https://klasma.github.io/Logging_2161/klagomål/A 31740-2025 FSC-klagomål.docx", "A 31740-2025")</f>
        <v/>
      </c>
      <c r="W289">
        <f>HYPERLINK("https://klasma.github.io/Logging_2161/klagomålsmail/A 31740-2025 FSC-klagomål mail.docx", "A 31740-2025")</f>
        <v/>
      </c>
      <c r="X289">
        <f>HYPERLINK("https://klasma.github.io/Logging_2161/tillsyn/A 31740-2025 tillsynsbegäran.docx", "A 31740-2025")</f>
        <v/>
      </c>
      <c r="Y289">
        <f>HYPERLINK("https://klasma.github.io/Logging_2161/tillsynsmail/A 31740-2025 tillsynsbegäran mail.docx", "A 31740-2025")</f>
        <v/>
      </c>
    </row>
    <row r="290" ht="15" customHeight="1">
      <c r="A290" t="inlineStr">
        <is>
          <t>A 38035-2025</t>
        </is>
      </c>
      <c r="B290" s="1" t="n">
        <v>45882.3721875</v>
      </c>
      <c r="C290" s="1" t="n">
        <v>45883</v>
      </c>
      <c r="D290" t="inlineStr">
        <is>
          <t>GÄVLEBORGS LÄN</t>
        </is>
      </c>
      <c r="E290" t="inlineStr">
        <is>
          <t>OCKELBO</t>
        </is>
      </c>
      <c r="F290" t="inlineStr">
        <is>
          <t>Bergvik skog väst AB</t>
        </is>
      </c>
      <c r="G290" t="n">
        <v>6.5</v>
      </c>
      <c r="H290" t="n">
        <v>0</v>
      </c>
      <c r="I290" t="n">
        <v>2</v>
      </c>
      <c r="J290" t="n">
        <v>0</v>
      </c>
      <c r="K290" t="n">
        <v>0</v>
      </c>
      <c r="L290" t="n">
        <v>0</v>
      </c>
      <c r="M290" t="n">
        <v>0</v>
      </c>
      <c r="N290" t="n">
        <v>0</v>
      </c>
      <c r="O290" t="n">
        <v>0</v>
      </c>
      <c r="P290" t="n">
        <v>0</v>
      </c>
      <c r="Q290" t="n">
        <v>2</v>
      </c>
      <c r="R290" s="2" t="inlineStr">
        <is>
          <t>Blomkålssvamp
Grönpyrola</t>
        </is>
      </c>
      <c r="S290">
        <f>HYPERLINK("https://klasma.github.io/Logging_2101/artfynd/A 38035-2025 artfynd.xlsx", "A 38035-2025")</f>
        <v/>
      </c>
      <c r="T290">
        <f>HYPERLINK("https://klasma.github.io/Logging_2101/kartor/A 38035-2025 karta.png", "A 38035-2025")</f>
        <v/>
      </c>
      <c r="V290">
        <f>HYPERLINK("https://klasma.github.io/Logging_2101/klagomål/A 38035-2025 FSC-klagomål.docx", "A 38035-2025")</f>
        <v/>
      </c>
      <c r="W290">
        <f>HYPERLINK("https://klasma.github.io/Logging_2101/klagomålsmail/A 38035-2025 FSC-klagomål mail.docx", "A 38035-2025")</f>
        <v/>
      </c>
      <c r="X290">
        <f>HYPERLINK("https://klasma.github.io/Logging_2101/tillsyn/A 38035-2025 tillsynsbegäran.docx", "A 38035-2025")</f>
        <v/>
      </c>
      <c r="Y290">
        <f>HYPERLINK("https://klasma.github.io/Logging_2101/tillsynsmail/A 38035-2025 tillsynsbegäran mail.docx", "A 38035-2025")</f>
        <v/>
      </c>
    </row>
    <row r="291" ht="15" customHeight="1">
      <c r="A291" t="inlineStr">
        <is>
          <t>A 26527-2023</t>
        </is>
      </c>
      <c r="B291" s="1" t="n">
        <v>45092.56577546296</v>
      </c>
      <c r="C291" s="1" t="n">
        <v>45883</v>
      </c>
      <c r="D291" t="inlineStr">
        <is>
          <t>GÄVLEBORGS LÄN</t>
        </is>
      </c>
      <c r="E291" t="inlineStr">
        <is>
          <t>LJUSDAL</t>
        </is>
      </c>
      <c r="F291" t="inlineStr">
        <is>
          <t>Sveaskog</t>
        </is>
      </c>
      <c r="G291" t="n">
        <v>2.8</v>
      </c>
      <c r="H291" t="n">
        <v>0</v>
      </c>
      <c r="I291" t="n">
        <v>1</v>
      </c>
      <c r="J291" t="n">
        <v>1</v>
      </c>
      <c r="K291" t="n">
        <v>0</v>
      </c>
      <c r="L291" t="n">
        <v>0</v>
      </c>
      <c r="M291" t="n">
        <v>0</v>
      </c>
      <c r="N291" t="n">
        <v>0</v>
      </c>
      <c r="O291" t="n">
        <v>1</v>
      </c>
      <c r="P291" t="n">
        <v>0</v>
      </c>
      <c r="Q291" t="n">
        <v>2</v>
      </c>
      <c r="R291" s="2" t="inlineStr">
        <is>
          <t>Garnlav
Stuplav</t>
        </is>
      </c>
      <c r="S291">
        <f>HYPERLINK("https://klasma.github.io/Logging_2161/artfynd/A 26527-2023 artfynd.xlsx", "A 26527-2023")</f>
        <v/>
      </c>
      <c r="T291">
        <f>HYPERLINK("https://klasma.github.io/Logging_2161/kartor/A 26527-2023 karta.png", "A 26527-2023")</f>
        <v/>
      </c>
      <c r="V291">
        <f>HYPERLINK("https://klasma.github.io/Logging_2161/klagomål/A 26527-2023 FSC-klagomål.docx", "A 26527-2023")</f>
        <v/>
      </c>
      <c r="W291">
        <f>HYPERLINK("https://klasma.github.io/Logging_2161/klagomålsmail/A 26527-2023 FSC-klagomål mail.docx", "A 26527-2023")</f>
        <v/>
      </c>
      <c r="X291">
        <f>HYPERLINK("https://klasma.github.io/Logging_2161/tillsyn/A 26527-2023 tillsynsbegäran.docx", "A 26527-2023")</f>
        <v/>
      </c>
      <c r="Y291">
        <f>HYPERLINK("https://klasma.github.io/Logging_2161/tillsynsmail/A 26527-2023 tillsynsbegäran mail.docx", "A 26527-2023")</f>
        <v/>
      </c>
    </row>
    <row r="292" ht="15" customHeight="1">
      <c r="A292" t="inlineStr">
        <is>
          <t>A 20710-2023</t>
        </is>
      </c>
      <c r="B292" s="1" t="n">
        <v>45058</v>
      </c>
      <c r="C292" s="1" t="n">
        <v>45883</v>
      </c>
      <c r="D292" t="inlineStr">
        <is>
          <t>GÄVLEBORGS LÄN</t>
        </is>
      </c>
      <c r="E292" t="inlineStr">
        <is>
          <t>BOLLNÄS</t>
        </is>
      </c>
      <c r="G292" t="n">
        <v>8.800000000000001</v>
      </c>
      <c r="H292" t="n">
        <v>2</v>
      </c>
      <c r="I292" t="n">
        <v>0</v>
      </c>
      <c r="J292" t="n">
        <v>0</v>
      </c>
      <c r="K292" t="n">
        <v>1</v>
      </c>
      <c r="L292" t="n">
        <v>0</v>
      </c>
      <c r="M292" t="n">
        <v>0</v>
      </c>
      <c r="N292" t="n">
        <v>0</v>
      </c>
      <c r="O292" t="n">
        <v>1</v>
      </c>
      <c r="P292" t="n">
        <v>1</v>
      </c>
      <c r="Q292" t="n">
        <v>2</v>
      </c>
      <c r="R292" s="2" t="inlineStr">
        <is>
          <t>Knärot
Lavskrika</t>
        </is>
      </c>
      <c r="S292">
        <f>HYPERLINK("https://klasma.github.io/Logging_2183/artfynd/A 20710-2023 artfynd.xlsx", "A 20710-2023")</f>
        <v/>
      </c>
      <c r="T292">
        <f>HYPERLINK("https://klasma.github.io/Logging_2183/kartor/A 20710-2023 karta.png", "A 20710-2023")</f>
        <v/>
      </c>
      <c r="U292">
        <f>HYPERLINK("https://klasma.github.io/Logging_2183/knärot/A 20710-2023 karta knärot.png", "A 20710-2023")</f>
        <v/>
      </c>
      <c r="V292">
        <f>HYPERLINK("https://klasma.github.io/Logging_2183/klagomål/A 20710-2023 FSC-klagomål.docx", "A 20710-2023")</f>
        <v/>
      </c>
      <c r="W292">
        <f>HYPERLINK("https://klasma.github.io/Logging_2183/klagomålsmail/A 20710-2023 FSC-klagomål mail.docx", "A 20710-2023")</f>
        <v/>
      </c>
      <c r="X292">
        <f>HYPERLINK("https://klasma.github.io/Logging_2183/tillsyn/A 20710-2023 tillsynsbegäran.docx", "A 20710-2023")</f>
        <v/>
      </c>
      <c r="Y292">
        <f>HYPERLINK("https://klasma.github.io/Logging_2183/tillsynsmail/A 20710-2023 tillsynsbegäran mail.docx", "A 20710-2023")</f>
        <v/>
      </c>
      <c r="Z292">
        <f>HYPERLINK("https://klasma.github.io/Logging_2183/fåglar/A 20710-2023 prioriterade fågelarter.docx", "A 20710-2023")</f>
        <v/>
      </c>
    </row>
    <row r="293" ht="15" customHeight="1">
      <c r="A293" t="inlineStr">
        <is>
          <t>A 47483-2021</t>
        </is>
      </c>
      <c r="B293" s="1" t="n">
        <v>44447</v>
      </c>
      <c r="C293" s="1" t="n">
        <v>45883</v>
      </c>
      <c r="D293" t="inlineStr">
        <is>
          <t>GÄVLEBORGS LÄN</t>
        </is>
      </c>
      <c r="E293" t="inlineStr">
        <is>
          <t>HOFORS</t>
        </is>
      </c>
      <c r="G293" t="n">
        <v>6.9</v>
      </c>
      <c r="H293" t="n">
        <v>1</v>
      </c>
      <c r="I293" t="n">
        <v>1</v>
      </c>
      <c r="J293" t="n">
        <v>0</v>
      </c>
      <c r="K293" t="n">
        <v>1</v>
      </c>
      <c r="L293" t="n">
        <v>0</v>
      </c>
      <c r="M293" t="n">
        <v>0</v>
      </c>
      <c r="N293" t="n">
        <v>0</v>
      </c>
      <c r="O293" t="n">
        <v>1</v>
      </c>
      <c r="P293" t="n">
        <v>1</v>
      </c>
      <c r="Q293" t="n">
        <v>2</v>
      </c>
      <c r="R293" s="2" t="inlineStr">
        <is>
          <t>Knärot
Mindre märgborre</t>
        </is>
      </c>
      <c r="S293">
        <f>HYPERLINK("https://klasma.github.io/Logging_2104/artfynd/A 47483-2021 artfynd.xlsx", "A 47483-2021")</f>
        <v/>
      </c>
      <c r="T293">
        <f>HYPERLINK("https://klasma.github.io/Logging_2104/kartor/A 47483-2021 karta.png", "A 47483-2021")</f>
        <v/>
      </c>
      <c r="U293">
        <f>HYPERLINK("https://klasma.github.io/Logging_2104/knärot/A 47483-2021 karta knärot.png", "A 47483-2021")</f>
        <v/>
      </c>
      <c r="V293">
        <f>HYPERLINK("https://klasma.github.io/Logging_2104/klagomål/A 47483-2021 FSC-klagomål.docx", "A 47483-2021")</f>
        <v/>
      </c>
      <c r="W293">
        <f>HYPERLINK("https://klasma.github.io/Logging_2104/klagomålsmail/A 47483-2021 FSC-klagomål mail.docx", "A 47483-2021")</f>
        <v/>
      </c>
      <c r="X293">
        <f>HYPERLINK("https://klasma.github.io/Logging_2104/tillsyn/A 47483-2021 tillsynsbegäran.docx", "A 47483-2021")</f>
        <v/>
      </c>
      <c r="Y293">
        <f>HYPERLINK("https://klasma.github.io/Logging_2104/tillsynsmail/A 47483-2021 tillsynsbegäran mail.docx", "A 47483-2021")</f>
        <v/>
      </c>
    </row>
    <row r="294" ht="15" customHeight="1">
      <c r="A294" t="inlineStr">
        <is>
          <t>A 64567-2023</t>
        </is>
      </c>
      <c r="B294" s="1" t="n">
        <v>45281</v>
      </c>
      <c r="C294" s="1" t="n">
        <v>45883</v>
      </c>
      <c r="D294" t="inlineStr">
        <is>
          <t>GÄVLEBORGS LÄN</t>
        </is>
      </c>
      <c r="E294" t="inlineStr">
        <is>
          <t>GÄVLE</t>
        </is>
      </c>
      <c r="G294" t="n">
        <v>2.6</v>
      </c>
      <c r="H294" t="n">
        <v>0</v>
      </c>
      <c r="I294" t="n">
        <v>1</v>
      </c>
      <c r="J294" t="n">
        <v>0</v>
      </c>
      <c r="K294" t="n">
        <v>0</v>
      </c>
      <c r="L294" t="n">
        <v>1</v>
      </c>
      <c r="M294" t="n">
        <v>0</v>
      </c>
      <c r="N294" t="n">
        <v>0</v>
      </c>
      <c r="O294" t="n">
        <v>1</v>
      </c>
      <c r="P294" t="n">
        <v>1</v>
      </c>
      <c r="Q294" t="n">
        <v>2</v>
      </c>
      <c r="R294" s="2" t="inlineStr">
        <is>
          <t>Ask
Jättesvampmal</t>
        </is>
      </c>
      <c r="S294">
        <f>HYPERLINK("https://klasma.github.io/Logging_2180/artfynd/A 64567-2023 artfynd.xlsx", "A 64567-2023")</f>
        <v/>
      </c>
      <c r="T294">
        <f>HYPERLINK("https://klasma.github.io/Logging_2180/kartor/A 64567-2023 karta.png", "A 64567-2023")</f>
        <v/>
      </c>
      <c r="V294">
        <f>HYPERLINK("https://klasma.github.io/Logging_2180/klagomål/A 64567-2023 FSC-klagomål.docx", "A 64567-2023")</f>
        <v/>
      </c>
      <c r="W294">
        <f>HYPERLINK("https://klasma.github.io/Logging_2180/klagomålsmail/A 64567-2023 FSC-klagomål mail.docx", "A 64567-2023")</f>
        <v/>
      </c>
      <c r="X294">
        <f>HYPERLINK("https://klasma.github.io/Logging_2180/tillsyn/A 64567-2023 tillsynsbegäran.docx", "A 64567-2023")</f>
        <v/>
      </c>
      <c r="Y294">
        <f>HYPERLINK("https://klasma.github.io/Logging_2180/tillsynsmail/A 64567-2023 tillsynsbegäran mail.docx", "A 64567-2023")</f>
        <v/>
      </c>
    </row>
    <row r="295" ht="15" customHeight="1">
      <c r="A295" t="inlineStr">
        <is>
          <t>A 43381-2020</t>
        </is>
      </c>
      <c r="B295" s="1" t="n">
        <v>44081</v>
      </c>
      <c r="C295" s="1" t="n">
        <v>45883</v>
      </c>
      <c r="D295" t="inlineStr">
        <is>
          <t>GÄVLEBORGS LÄN</t>
        </is>
      </c>
      <c r="E295" t="inlineStr">
        <is>
          <t>BOLLNÄS</t>
        </is>
      </c>
      <c r="F295" t="inlineStr">
        <is>
          <t>Sveaskog</t>
        </is>
      </c>
      <c r="G295" t="n">
        <v>3.3</v>
      </c>
      <c r="H295" t="n">
        <v>0</v>
      </c>
      <c r="I295" t="n">
        <v>0</v>
      </c>
      <c r="J295" t="n">
        <v>1</v>
      </c>
      <c r="K295" t="n">
        <v>0</v>
      </c>
      <c r="L295" t="n">
        <v>0</v>
      </c>
      <c r="M295" t="n">
        <v>0</v>
      </c>
      <c r="N295" t="n">
        <v>0</v>
      </c>
      <c r="O295" t="n">
        <v>1</v>
      </c>
      <c r="P295" t="n">
        <v>0</v>
      </c>
      <c r="Q295" t="n">
        <v>1</v>
      </c>
      <c r="R295" s="2" t="inlineStr">
        <is>
          <t>Tallticka</t>
        </is>
      </c>
      <c r="S295">
        <f>HYPERLINK("https://klasma.github.io/Logging_2183/artfynd/A 43381-2020 artfynd.xlsx", "A 43381-2020")</f>
        <v/>
      </c>
      <c r="T295">
        <f>HYPERLINK("https://klasma.github.io/Logging_2183/kartor/A 43381-2020 karta.png", "A 43381-2020")</f>
        <v/>
      </c>
      <c r="V295">
        <f>HYPERLINK("https://klasma.github.io/Logging_2183/klagomål/A 43381-2020 FSC-klagomål.docx", "A 43381-2020")</f>
        <v/>
      </c>
      <c r="W295">
        <f>HYPERLINK("https://klasma.github.io/Logging_2183/klagomålsmail/A 43381-2020 FSC-klagomål mail.docx", "A 43381-2020")</f>
        <v/>
      </c>
      <c r="X295">
        <f>HYPERLINK("https://klasma.github.io/Logging_2183/tillsyn/A 43381-2020 tillsynsbegäran.docx", "A 43381-2020")</f>
        <v/>
      </c>
      <c r="Y295">
        <f>HYPERLINK("https://klasma.github.io/Logging_2183/tillsynsmail/A 43381-2020 tillsynsbegäran mail.docx", "A 43381-2020")</f>
        <v/>
      </c>
    </row>
    <row r="296" ht="15" customHeight="1">
      <c r="A296" t="inlineStr">
        <is>
          <t>A 27966-2022</t>
        </is>
      </c>
      <c r="B296" s="1" t="n">
        <v>44744</v>
      </c>
      <c r="C296" s="1" t="n">
        <v>45883</v>
      </c>
      <c r="D296" t="inlineStr">
        <is>
          <t>GÄVLEBORGS LÄN</t>
        </is>
      </c>
      <c r="E296" t="inlineStr">
        <is>
          <t>SANDVIKEN</t>
        </is>
      </c>
      <c r="G296" t="n">
        <v>2.6</v>
      </c>
      <c r="H296" t="n">
        <v>0</v>
      </c>
      <c r="I296" t="n">
        <v>0</v>
      </c>
      <c r="J296" t="n">
        <v>1</v>
      </c>
      <c r="K296" t="n">
        <v>0</v>
      </c>
      <c r="L296" t="n">
        <v>0</v>
      </c>
      <c r="M296" t="n">
        <v>0</v>
      </c>
      <c r="N296" t="n">
        <v>0</v>
      </c>
      <c r="O296" t="n">
        <v>1</v>
      </c>
      <c r="P296" t="n">
        <v>0</v>
      </c>
      <c r="Q296" t="n">
        <v>1</v>
      </c>
      <c r="R296" s="2" t="inlineStr">
        <is>
          <t>Kortskaftad ärgspik</t>
        </is>
      </c>
      <c r="S296">
        <f>HYPERLINK("https://klasma.github.io/Logging_2181/artfynd/A 27966-2022 artfynd.xlsx", "A 27966-2022")</f>
        <v/>
      </c>
      <c r="T296">
        <f>HYPERLINK("https://klasma.github.io/Logging_2181/kartor/A 27966-2022 karta.png", "A 27966-2022")</f>
        <v/>
      </c>
      <c r="V296">
        <f>HYPERLINK("https://klasma.github.io/Logging_2181/klagomål/A 27966-2022 FSC-klagomål.docx", "A 27966-2022")</f>
        <v/>
      </c>
      <c r="W296">
        <f>HYPERLINK("https://klasma.github.io/Logging_2181/klagomålsmail/A 27966-2022 FSC-klagomål mail.docx", "A 27966-2022")</f>
        <v/>
      </c>
      <c r="X296">
        <f>HYPERLINK("https://klasma.github.io/Logging_2181/tillsyn/A 27966-2022 tillsynsbegäran.docx", "A 27966-2022")</f>
        <v/>
      </c>
      <c r="Y296">
        <f>HYPERLINK("https://klasma.github.io/Logging_2181/tillsynsmail/A 27966-2022 tillsynsbegäran mail.docx", "A 27966-2022")</f>
        <v/>
      </c>
    </row>
    <row r="297" ht="15" customHeight="1">
      <c r="A297" t="inlineStr">
        <is>
          <t>A 38115-2021</t>
        </is>
      </c>
      <c r="B297" s="1" t="n">
        <v>44405</v>
      </c>
      <c r="C297" s="1" t="n">
        <v>45883</v>
      </c>
      <c r="D297" t="inlineStr">
        <is>
          <t>GÄVLEBORGS LÄN</t>
        </is>
      </c>
      <c r="E297" t="inlineStr">
        <is>
          <t>LJUSDAL</t>
        </is>
      </c>
      <c r="F297" t="inlineStr">
        <is>
          <t>Sveaskog</t>
        </is>
      </c>
      <c r="G297" t="n">
        <v>2.7</v>
      </c>
      <c r="H297" t="n">
        <v>1</v>
      </c>
      <c r="I297" t="n">
        <v>0</v>
      </c>
      <c r="J297" t="n">
        <v>0</v>
      </c>
      <c r="K297" t="n">
        <v>1</v>
      </c>
      <c r="L297" t="n">
        <v>0</v>
      </c>
      <c r="M297" t="n">
        <v>0</v>
      </c>
      <c r="N297" t="n">
        <v>0</v>
      </c>
      <c r="O297" t="n">
        <v>1</v>
      </c>
      <c r="P297" t="n">
        <v>1</v>
      </c>
      <c r="Q297" t="n">
        <v>1</v>
      </c>
      <c r="R297" s="2" t="inlineStr">
        <is>
          <t>Knärot</t>
        </is>
      </c>
      <c r="S297">
        <f>HYPERLINK("https://klasma.github.io/Logging_2161/artfynd/A 38115-2021 artfynd.xlsx", "A 38115-2021")</f>
        <v/>
      </c>
      <c r="T297">
        <f>HYPERLINK("https://klasma.github.io/Logging_2161/kartor/A 38115-2021 karta.png", "A 38115-2021")</f>
        <v/>
      </c>
      <c r="U297">
        <f>HYPERLINK("https://klasma.github.io/Logging_2161/knärot/A 38115-2021 karta knärot.png", "A 38115-2021")</f>
        <v/>
      </c>
      <c r="V297">
        <f>HYPERLINK("https://klasma.github.io/Logging_2161/klagomål/A 38115-2021 FSC-klagomål.docx", "A 38115-2021")</f>
        <v/>
      </c>
      <c r="W297">
        <f>HYPERLINK("https://klasma.github.io/Logging_2161/klagomålsmail/A 38115-2021 FSC-klagomål mail.docx", "A 38115-2021")</f>
        <v/>
      </c>
      <c r="X297">
        <f>HYPERLINK("https://klasma.github.io/Logging_2161/tillsyn/A 38115-2021 tillsynsbegäran.docx", "A 38115-2021")</f>
        <v/>
      </c>
      <c r="Y297">
        <f>HYPERLINK("https://klasma.github.io/Logging_2161/tillsynsmail/A 38115-2021 tillsynsbegäran mail.docx", "A 38115-2021")</f>
        <v/>
      </c>
    </row>
    <row r="298" ht="15" customHeight="1">
      <c r="A298" t="inlineStr">
        <is>
          <t>A 59065-2020</t>
        </is>
      </c>
      <c r="B298" s="1" t="n">
        <v>44147</v>
      </c>
      <c r="C298" s="1" t="n">
        <v>45883</v>
      </c>
      <c r="D298" t="inlineStr">
        <is>
          <t>GÄVLEBORGS LÄN</t>
        </is>
      </c>
      <c r="E298" t="inlineStr">
        <is>
          <t>SANDVIKEN</t>
        </is>
      </c>
      <c r="G298" t="n">
        <v>2</v>
      </c>
      <c r="H298" t="n">
        <v>1</v>
      </c>
      <c r="I298" t="n">
        <v>0</v>
      </c>
      <c r="J298" t="n">
        <v>0</v>
      </c>
      <c r="K298" t="n">
        <v>0</v>
      </c>
      <c r="L298" t="n">
        <v>0</v>
      </c>
      <c r="M298" t="n">
        <v>0</v>
      </c>
      <c r="N298" t="n">
        <v>0</v>
      </c>
      <c r="O298" t="n">
        <v>0</v>
      </c>
      <c r="P298" t="n">
        <v>0</v>
      </c>
      <c r="Q298" t="n">
        <v>1</v>
      </c>
      <c r="R298" s="2" t="inlineStr">
        <is>
          <t>Trädlärka</t>
        </is>
      </c>
      <c r="S298">
        <f>HYPERLINK("https://klasma.github.io/Logging_2181/artfynd/A 59065-2020 artfynd.xlsx", "A 59065-2020")</f>
        <v/>
      </c>
      <c r="T298">
        <f>HYPERLINK("https://klasma.github.io/Logging_2181/kartor/A 59065-2020 karta.png", "A 59065-2020")</f>
        <v/>
      </c>
      <c r="V298">
        <f>HYPERLINK("https://klasma.github.io/Logging_2181/klagomål/A 59065-2020 FSC-klagomål.docx", "A 59065-2020")</f>
        <v/>
      </c>
      <c r="W298">
        <f>HYPERLINK("https://klasma.github.io/Logging_2181/klagomålsmail/A 59065-2020 FSC-klagomål mail.docx", "A 59065-2020")</f>
        <v/>
      </c>
      <c r="X298">
        <f>HYPERLINK("https://klasma.github.io/Logging_2181/tillsyn/A 59065-2020 tillsynsbegäran.docx", "A 59065-2020")</f>
        <v/>
      </c>
      <c r="Y298">
        <f>HYPERLINK("https://klasma.github.io/Logging_2181/tillsynsmail/A 59065-2020 tillsynsbegäran mail.docx", "A 59065-2020")</f>
        <v/>
      </c>
      <c r="Z298">
        <f>HYPERLINK("https://klasma.github.io/Logging_2181/fåglar/A 59065-2020 prioriterade fågelarter.docx", "A 59065-2020")</f>
        <v/>
      </c>
    </row>
    <row r="299" ht="15" customHeight="1">
      <c r="A299" t="inlineStr">
        <is>
          <t>A 60615-2021</t>
        </is>
      </c>
      <c r="B299" s="1" t="n">
        <v>44496.58844907407</v>
      </c>
      <c r="C299" s="1" t="n">
        <v>45883</v>
      </c>
      <c r="D299" t="inlineStr">
        <is>
          <t>GÄVLEBORGS LÄN</t>
        </is>
      </c>
      <c r="E299" t="inlineStr">
        <is>
          <t>OCKELBO</t>
        </is>
      </c>
      <c r="F299" t="inlineStr">
        <is>
          <t>Bergvik skog väst AB</t>
        </is>
      </c>
      <c r="G299" t="n">
        <v>1.4</v>
      </c>
      <c r="H299" t="n">
        <v>1</v>
      </c>
      <c r="I299" t="n">
        <v>0</v>
      </c>
      <c r="J299" t="n">
        <v>0</v>
      </c>
      <c r="K299" t="n">
        <v>0</v>
      </c>
      <c r="L299" t="n">
        <v>0</v>
      </c>
      <c r="M299" t="n">
        <v>0</v>
      </c>
      <c r="N299" t="n">
        <v>0</v>
      </c>
      <c r="O299" t="n">
        <v>0</v>
      </c>
      <c r="P299" t="n">
        <v>0</v>
      </c>
      <c r="Q299" t="n">
        <v>1</v>
      </c>
      <c r="R299" s="2" t="inlineStr">
        <is>
          <t>Vanlig padda</t>
        </is>
      </c>
      <c r="S299">
        <f>HYPERLINK("https://klasma.github.io/Logging_2101/artfynd/A 60615-2021 artfynd.xlsx", "A 60615-2021")</f>
        <v/>
      </c>
      <c r="T299">
        <f>HYPERLINK("https://klasma.github.io/Logging_2101/kartor/A 60615-2021 karta.png", "A 60615-2021")</f>
        <v/>
      </c>
      <c r="V299">
        <f>HYPERLINK("https://klasma.github.io/Logging_2101/klagomål/A 60615-2021 FSC-klagomål.docx", "A 60615-2021")</f>
        <v/>
      </c>
      <c r="W299">
        <f>HYPERLINK("https://klasma.github.io/Logging_2101/klagomålsmail/A 60615-2021 FSC-klagomål mail.docx", "A 60615-2021")</f>
        <v/>
      </c>
      <c r="X299">
        <f>HYPERLINK("https://klasma.github.io/Logging_2101/tillsyn/A 60615-2021 tillsynsbegäran.docx", "A 60615-2021")</f>
        <v/>
      </c>
      <c r="Y299">
        <f>HYPERLINK("https://klasma.github.io/Logging_2101/tillsynsmail/A 60615-2021 tillsynsbegäran mail.docx", "A 60615-2021")</f>
        <v/>
      </c>
    </row>
    <row r="300" ht="15" customHeight="1">
      <c r="A300" t="inlineStr">
        <is>
          <t>A 23857-2022</t>
        </is>
      </c>
      <c r="B300" s="1" t="n">
        <v>44722.54952546296</v>
      </c>
      <c r="C300" s="1" t="n">
        <v>45883</v>
      </c>
      <c r="D300" t="inlineStr">
        <is>
          <t>GÄVLEBORGS LÄN</t>
        </is>
      </c>
      <c r="E300" t="inlineStr">
        <is>
          <t>LJUSDAL</t>
        </is>
      </c>
      <c r="F300" t="inlineStr">
        <is>
          <t>Sveaskog</t>
        </is>
      </c>
      <c r="G300" t="n">
        <v>5.5</v>
      </c>
      <c r="H300" t="n">
        <v>0</v>
      </c>
      <c r="I300" t="n">
        <v>0</v>
      </c>
      <c r="J300" t="n">
        <v>1</v>
      </c>
      <c r="K300" t="n">
        <v>0</v>
      </c>
      <c r="L300" t="n">
        <v>0</v>
      </c>
      <c r="M300" t="n">
        <v>0</v>
      </c>
      <c r="N300" t="n">
        <v>0</v>
      </c>
      <c r="O300" t="n">
        <v>1</v>
      </c>
      <c r="P300" t="n">
        <v>0</v>
      </c>
      <c r="Q300" t="n">
        <v>1</v>
      </c>
      <c r="R300" s="2" t="inlineStr">
        <is>
          <t>Lunglav</t>
        </is>
      </c>
      <c r="S300">
        <f>HYPERLINK("https://klasma.github.io/Logging_2161/artfynd/A 23857-2022 artfynd.xlsx", "A 23857-2022")</f>
        <v/>
      </c>
      <c r="T300">
        <f>HYPERLINK("https://klasma.github.io/Logging_2161/kartor/A 23857-2022 karta.png", "A 23857-2022")</f>
        <v/>
      </c>
      <c r="V300">
        <f>HYPERLINK("https://klasma.github.io/Logging_2161/klagomål/A 23857-2022 FSC-klagomål.docx", "A 23857-2022")</f>
        <v/>
      </c>
      <c r="W300">
        <f>HYPERLINK("https://klasma.github.io/Logging_2161/klagomålsmail/A 23857-2022 FSC-klagomål mail.docx", "A 23857-2022")</f>
        <v/>
      </c>
      <c r="X300">
        <f>HYPERLINK("https://klasma.github.io/Logging_2161/tillsyn/A 23857-2022 tillsynsbegäran.docx", "A 23857-2022")</f>
        <v/>
      </c>
      <c r="Y300">
        <f>HYPERLINK("https://klasma.github.io/Logging_2161/tillsynsmail/A 23857-2022 tillsynsbegäran mail.docx", "A 23857-2022")</f>
        <v/>
      </c>
    </row>
    <row r="301" ht="15" customHeight="1">
      <c r="A301" t="inlineStr">
        <is>
          <t>A 40597-2020</t>
        </is>
      </c>
      <c r="B301" s="1" t="n">
        <v>44069</v>
      </c>
      <c r="C301" s="1" t="n">
        <v>45883</v>
      </c>
      <c r="D301" t="inlineStr">
        <is>
          <t>GÄVLEBORGS LÄN</t>
        </is>
      </c>
      <c r="E301" t="inlineStr">
        <is>
          <t>LJUSDAL</t>
        </is>
      </c>
      <c r="F301" t="inlineStr">
        <is>
          <t>Sveaskog</t>
        </is>
      </c>
      <c r="G301" t="n">
        <v>9.5</v>
      </c>
      <c r="H301" t="n">
        <v>0</v>
      </c>
      <c r="I301" t="n">
        <v>0</v>
      </c>
      <c r="J301" t="n">
        <v>1</v>
      </c>
      <c r="K301" t="n">
        <v>0</v>
      </c>
      <c r="L301" t="n">
        <v>0</v>
      </c>
      <c r="M301" t="n">
        <v>0</v>
      </c>
      <c r="N301" t="n">
        <v>0</v>
      </c>
      <c r="O301" t="n">
        <v>1</v>
      </c>
      <c r="P301" t="n">
        <v>0</v>
      </c>
      <c r="Q301" t="n">
        <v>1</v>
      </c>
      <c r="R301" s="2" t="inlineStr">
        <is>
          <t>Lunglav</t>
        </is>
      </c>
      <c r="S301">
        <f>HYPERLINK("https://klasma.github.io/Logging_2161/artfynd/A 40597-2020 artfynd.xlsx", "A 40597-2020")</f>
        <v/>
      </c>
      <c r="T301">
        <f>HYPERLINK("https://klasma.github.io/Logging_2161/kartor/A 40597-2020 karta.png", "A 40597-2020")</f>
        <v/>
      </c>
      <c r="V301">
        <f>HYPERLINK("https://klasma.github.io/Logging_2161/klagomål/A 40597-2020 FSC-klagomål.docx", "A 40597-2020")</f>
        <v/>
      </c>
      <c r="W301">
        <f>HYPERLINK("https://klasma.github.io/Logging_2161/klagomålsmail/A 40597-2020 FSC-klagomål mail.docx", "A 40597-2020")</f>
        <v/>
      </c>
      <c r="X301">
        <f>HYPERLINK("https://klasma.github.io/Logging_2161/tillsyn/A 40597-2020 tillsynsbegäran.docx", "A 40597-2020")</f>
        <v/>
      </c>
      <c r="Y301">
        <f>HYPERLINK("https://klasma.github.io/Logging_2161/tillsynsmail/A 40597-2020 tillsynsbegäran mail.docx", "A 40597-2020")</f>
        <v/>
      </c>
    </row>
    <row r="302" ht="15" customHeight="1">
      <c r="A302" t="inlineStr">
        <is>
          <t>A 65637-2020</t>
        </is>
      </c>
      <c r="B302" s="1" t="n">
        <v>44174</v>
      </c>
      <c r="C302" s="1" t="n">
        <v>45883</v>
      </c>
      <c r="D302" t="inlineStr">
        <is>
          <t>GÄVLEBORGS LÄN</t>
        </is>
      </c>
      <c r="E302" t="inlineStr">
        <is>
          <t>HUDIKSVALL</t>
        </is>
      </c>
      <c r="F302" t="inlineStr">
        <is>
          <t>Sveaskog</t>
        </is>
      </c>
      <c r="G302" t="n">
        <v>4.8</v>
      </c>
      <c r="H302" t="n">
        <v>0</v>
      </c>
      <c r="I302" t="n">
        <v>0</v>
      </c>
      <c r="J302" t="n">
        <v>0</v>
      </c>
      <c r="K302" t="n">
        <v>1</v>
      </c>
      <c r="L302" t="n">
        <v>0</v>
      </c>
      <c r="M302" t="n">
        <v>0</v>
      </c>
      <c r="N302" t="n">
        <v>0</v>
      </c>
      <c r="O302" t="n">
        <v>1</v>
      </c>
      <c r="P302" t="n">
        <v>1</v>
      </c>
      <c r="Q302" t="n">
        <v>1</v>
      </c>
      <c r="R302" s="2" t="inlineStr">
        <is>
          <t>Vippfibbla</t>
        </is>
      </c>
      <c r="S302">
        <f>HYPERLINK("https://klasma.github.io/Logging_2184/artfynd/A 65637-2020 artfynd.xlsx", "A 65637-2020")</f>
        <v/>
      </c>
      <c r="T302">
        <f>HYPERLINK("https://klasma.github.io/Logging_2184/kartor/A 65637-2020 karta.png", "A 65637-2020")</f>
        <v/>
      </c>
      <c r="V302">
        <f>HYPERLINK("https://klasma.github.io/Logging_2184/klagomål/A 65637-2020 FSC-klagomål.docx", "A 65637-2020")</f>
        <v/>
      </c>
      <c r="W302">
        <f>HYPERLINK("https://klasma.github.io/Logging_2184/klagomålsmail/A 65637-2020 FSC-klagomål mail.docx", "A 65637-2020")</f>
        <v/>
      </c>
      <c r="X302">
        <f>HYPERLINK("https://klasma.github.io/Logging_2184/tillsyn/A 65637-2020 tillsynsbegäran.docx", "A 65637-2020")</f>
        <v/>
      </c>
      <c r="Y302">
        <f>HYPERLINK("https://klasma.github.io/Logging_2184/tillsynsmail/A 65637-2020 tillsynsbegäran mail.docx", "A 65637-2020")</f>
        <v/>
      </c>
    </row>
    <row r="303" ht="15" customHeight="1">
      <c r="A303" t="inlineStr">
        <is>
          <t>A 53487-2022</t>
        </is>
      </c>
      <c r="B303" s="1" t="n">
        <v>44879.56619212963</v>
      </c>
      <c r="C303" s="1" t="n">
        <v>45883</v>
      </c>
      <c r="D303" t="inlineStr">
        <is>
          <t>GÄVLEBORGS LÄN</t>
        </is>
      </c>
      <c r="E303" t="inlineStr">
        <is>
          <t>LJUSDAL</t>
        </is>
      </c>
      <c r="G303" t="n">
        <v>1.7</v>
      </c>
      <c r="H303" t="n">
        <v>0</v>
      </c>
      <c r="I303" t="n">
        <v>0</v>
      </c>
      <c r="J303" t="n">
        <v>1</v>
      </c>
      <c r="K303" t="n">
        <v>0</v>
      </c>
      <c r="L303" t="n">
        <v>0</v>
      </c>
      <c r="M303" t="n">
        <v>0</v>
      </c>
      <c r="N303" t="n">
        <v>0</v>
      </c>
      <c r="O303" t="n">
        <v>1</v>
      </c>
      <c r="P303" t="n">
        <v>0</v>
      </c>
      <c r="Q303" t="n">
        <v>1</v>
      </c>
      <c r="R303" s="2" t="inlineStr">
        <is>
          <t>Garnlav</t>
        </is>
      </c>
      <c r="S303">
        <f>HYPERLINK("https://klasma.github.io/Logging_2161/artfynd/A 53487-2022 artfynd.xlsx", "A 53487-2022")</f>
        <v/>
      </c>
      <c r="T303">
        <f>HYPERLINK("https://klasma.github.io/Logging_2161/kartor/A 53487-2022 karta.png", "A 53487-2022")</f>
        <v/>
      </c>
      <c r="V303">
        <f>HYPERLINK("https://klasma.github.io/Logging_2161/klagomål/A 53487-2022 FSC-klagomål.docx", "A 53487-2022")</f>
        <v/>
      </c>
      <c r="W303">
        <f>HYPERLINK("https://klasma.github.io/Logging_2161/klagomålsmail/A 53487-2022 FSC-klagomål mail.docx", "A 53487-2022")</f>
        <v/>
      </c>
      <c r="X303">
        <f>HYPERLINK("https://klasma.github.io/Logging_2161/tillsyn/A 53487-2022 tillsynsbegäran.docx", "A 53487-2022")</f>
        <v/>
      </c>
      <c r="Y303">
        <f>HYPERLINK("https://klasma.github.io/Logging_2161/tillsynsmail/A 53487-2022 tillsynsbegäran mail.docx", "A 53487-2022")</f>
        <v/>
      </c>
    </row>
    <row r="304" ht="15" customHeight="1">
      <c r="A304" t="inlineStr">
        <is>
          <t>A 44694-2021</t>
        </is>
      </c>
      <c r="B304" s="1" t="n">
        <v>44438</v>
      </c>
      <c r="C304" s="1" t="n">
        <v>45883</v>
      </c>
      <c r="D304" t="inlineStr">
        <is>
          <t>GÄVLEBORGS LÄN</t>
        </is>
      </c>
      <c r="E304" t="inlineStr">
        <is>
          <t>LJUSDAL</t>
        </is>
      </c>
      <c r="F304" t="inlineStr">
        <is>
          <t>Sveaskog</t>
        </is>
      </c>
      <c r="G304" t="n">
        <v>3.2</v>
      </c>
      <c r="H304" t="n">
        <v>0</v>
      </c>
      <c r="I304" t="n">
        <v>0</v>
      </c>
      <c r="J304" t="n">
        <v>1</v>
      </c>
      <c r="K304" t="n">
        <v>0</v>
      </c>
      <c r="L304" t="n">
        <v>0</v>
      </c>
      <c r="M304" t="n">
        <v>0</v>
      </c>
      <c r="N304" t="n">
        <v>0</v>
      </c>
      <c r="O304" t="n">
        <v>1</v>
      </c>
      <c r="P304" t="n">
        <v>0</v>
      </c>
      <c r="Q304" t="n">
        <v>1</v>
      </c>
      <c r="R304" s="2" t="inlineStr">
        <is>
          <t>Granticka</t>
        </is>
      </c>
      <c r="S304">
        <f>HYPERLINK("https://klasma.github.io/Logging_2161/artfynd/A 44694-2021 artfynd.xlsx", "A 44694-2021")</f>
        <v/>
      </c>
      <c r="T304">
        <f>HYPERLINK("https://klasma.github.io/Logging_2161/kartor/A 44694-2021 karta.png", "A 44694-2021")</f>
        <v/>
      </c>
      <c r="V304">
        <f>HYPERLINK("https://klasma.github.io/Logging_2161/klagomål/A 44694-2021 FSC-klagomål.docx", "A 44694-2021")</f>
        <v/>
      </c>
      <c r="W304">
        <f>HYPERLINK("https://klasma.github.io/Logging_2161/klagomålsmail/A 44694-2021 FSC-klagomål mail.docx", "A 44694-2021")</f>
        <v/>
      </c>
      <c r="X304">
        <f>HYPERLINK("https://klasma.github.io/Logging_2161/tillsyn/A 44694-2021 tillsynsbegäran.docx", "A 44694-2021")</f>
        <v/>
      </c>
      <c r="Y304">
        <f>HYPERLINK("https://klasma.github.io/Logging_2161/tillsynsmail/A 44694-2021 tillsynsbegäran mail.docx", "A 44694-2021")</f>
        <v/>
      </c>
    </row>
    <row r="305" ht="15" customHeight="1">
      <c r="A305" t="inlineStr">
        <is>
          <t>A 34345-2022</t>
        </is>
      </c>
      <c r="B305" s="1" t="n">
        <v>44792</v>
      </c>
      <c r="C305" s="1" t="n">
        <v>45883</v>
      </c>
      <c r="D305" t="inlineStr">
        <is>
          <t>GÄVLEBORGS LÄN</t>
        </is>
      </c>
      <c r="E305" t="inlineStr">
        <is>
          <t>HUDIKSVALL</t>
        </is>
      </c>
      <c r="F305" t="inlineStr">
        <is>
          <t>Holmen skog AB</t>
        </is>
      </c>
      <c r="G305" t="n">
        <v>4.4</v>
      </c>
      <c r="H305" t="n">
        <v>0</v>
      </c>
      <c r="I305" t="n">
        <v>1</v>
      </c>
      <c r="J305" t="n">
        <v>0</v>
      </c>
      <c r="K305" t="n">
        <v>0</v>
      </c>
      <c r="L305" t="n">
        <v>0</v>
      </c>
      <c r="M305" t="n">
        <v>0</v>
      </c>
      <c r="N305" t="n">
        <v>0</v>
      </c>
      <c r="O305" t="n">
        <v>0</v>
      </c>
      <c r="P305" t="n">
        <v>0</v>
      </c>
      <c r="Q305" t="n">
        <v>1</v>
      </c>
      <c r="R305" s="2" t="inlineStr">
        <is>
          <t>Stuplav</t>
        </is>
      </c>
      <c r="S305">
        <f>HYPERLINK("https://klasma.github.io/Logging_2184/artfynd/A 34345-2022 artfynd.xlsx", "A 34345-2022")</f>
        <v/>
      </c>
      <c r="T305">
        <f>HYPERLINK("https://klasma.github.io/Logging_2184/kartor/A 34345-2022 karta.png", "A 34345-2022")</f>
        <v/>
      </c>
      <c r="V305">
        <f>HYPERLINK("https://klasma.github.io/Logging_2184/klagomål/A 34345-2022 FSC-klagomål.docx", "A 34345-2022")</f>
        <v/>
      </c>
      <c r="W305">
        <f>HYPERLINK("https://klasma.github.io/Logging_2184/klagomålsmail/A 34345-2022 FSC-klagomål mail.docx", "A 34345-2022")</f>
        <v/>
      </c>
      <c r="X305">
        <f>HYPERLINK("https://klasma.github.io/Logging_2184/tillsyn/A 34345-2022 tillsynsbegäran.docx", "A 34345-2022")</f>
        <v/>
      </c>
      <c r="Y305">
        <f>HYPERLINK("https://klasma.github.io/Logging_2184/tillsynsmail/A 34345-2022 tillsynsbegäran mail.docx", "A 34345-2022")</f>
        <v/>
      </c>
    </row>
    <row r="306" ht="15" customHeight="1">
      <c r="A306" t="inlineStr">
        <is>
          <t>A 74349-2021</t>
        </is>
      </c>
      <c r="B306" s="1" t="n">
        <v>44559.54373842593</v>
      </c>
      <c r="C306" s="1" t="n">
        <v>45883</v>
      </c>
      <c r="D306" t="inlineStr">
        <is>
          <t>GÄVLEBORGS LÄN</t>
        </is>
      </c>
      <c r="E306" t="inlineStr">
        <is>
          <t>HOFORS</t>
        </is>
      </c>
      <c r="G306" t="n">
        <v>1.3</v>
      </c>
      <c r="H306" t="n">
        <v>0</v>
      </c>
      <c r="I306" t="n">
        <v>0</v>
      </c>
      <c r="J306" t="n">
        <v>1</v>
      </c>
      <c r="K306" t="n">
        <v>0</v>
      </c>
      <c r="L306" t="n">
        <v>0</v>
      </c>
      <c r="M306" t="n">
        <v>0</v>
      </c>
      <c r="N306" t="n">
        <v>0</v>
      </c>
      <c r="O306" t="n">
        <v>1</v>
      </c>
      <c r="P306" t="n">
        <v>0</v>
      </c>
      <c r="Q306" t="n">
        <v>1</v>
      </c>
      <c r="R306" s="2" t="inlineStr">
        <is>
          <t>Brunklöver</t>
        </is>
      </c>
      <c r="S306">
        <f>HYPERLINK("https://klasma.github.io/Logging_2104/artfynd/A 74349-2021 artfynd.xlsx", "A 74349-2021")</f>
        <v/>
      </c>
      <c r="T306">
        <f>HYPERLINK("https://klasma.github.io/Logging_2104/kartor/A 74349-2021 karta.png", "A 74349-2021")</f>
        <v/>
      </c>
      <c r="V306">
        <f>HYPERLINK("https://klasma.github.io/Logging_2104/klagomål/A 74349-2021 FSC-klagomål.docx", "A 74349-2021")</f>
        <v/>
      </c>
      <c r="W306">
        <f>HYPERLINK("https://klasma.github.io/Logging_2104/klagomålsmail/A 74349-2021 FSC-klagomål mail.docx", "A 74349-2021")</f>
        <v/>
      </c>
      <c r="X306">
        <f>HYPERLINK("https://klasma.github.io/Logging_2104/tillsyn/A 74349-2021 tillsynsbegäran.docx", "A 74349-2021")</f>
        <v/>
      </c>
      <c r="Y306">
        <f>HYPERLINK("https://klasma.github.io/Logging_2104/tillsynsmail/A 74349-2021 tillsynsbegäran mail.docx", "A 74349-2021")</f>
        <v/>
      </c>
    </row>
    <row r="307" ht="15" customHeight="1">
      <c r="A307" t="inlineStr">
        <is>
          <t>A 30954-2021</t>
        </is>
      </c>
      <c r="B307" s="1" t="n">
        <v>44365</v>
      </c>
      <c r="C307" s="1" t="n">
        <v>45883</v>
      </c>
      <c r="D307" t="inlineStr">
        <is>
          <t>GÄVLEBORGS LÄN</t>
        </is>
      </c>
      <c r="E307" t="inlineStr">
        <is>
          <t>OVANÅKER</t>
        </is>
      </c>
      <c r="F307" t="inlineStr">
        <is>
          <t>Sveaskog</t>
        </is>
      </c>
      <c r="G307" t="n">
        <v>2.7</v>
      </c>
      <c r="H307" t="n">
        <v>0</v>
      </c>
      <c r="I307" t="n">
        <v>1</v>
      </c>
      <c r="J307" t="n">
        <v>0</v>
      </c>
      <c r="K307" t="n">
        <v>0</v>
      </c>
      <c r="L307" t="n">
        <v>0</v>
      </c>
      <c r="M307" t="n">
        <v>0</v>
      </c>
      <c r="N307" t="n">
        <v>0</v>
      </c>
      <c r="O307" t="n">
        <v>0</v>
      </c>
      <c r="P307" t="n">
        <v>0</v>
      </c>
      <c r="Q307" t="n">
        <v>1</v>
      </c>
      <c r="R307" s="2" t="inlineStr">
        <is>
          <t>Dropptaggsvamp</t>
        </is>
      </c>
      <c r="S307">
        <f>HYPERLINK("https://klasma.github.io/Logging_2121/artfynd/A 30954-2021 artfynd.xlsx", "A 30954-2021")</f>
        <v/>
      </c>
      <c r="T307">
        <f>HYPERLINK("https://klasma.github.io/Logging_2121/kartor/A 30954-2021 karta.png", "A 30954-2021")</f>
        <v/>
      </c>
      <c r="V307">
        <f>HYPERLINK("https://klasma.github.io/Logging_2121/klagomål/A 30954-2021 FSC-klagomål.docx", "A 30954-2021")</f>
        <v/>
      </c>
      <c r="W307">
        <f>HYPERLINK("https://klasma.github.io/Logging_2121/klagomålsmail/A 30954-2021 FSC-klagomål mail.docx", "A 30954-2021")</f>
        <v/>
      </c>
      <c r="X307">
        <f>HYPERLINK("https://klasma.github.io/Logging_2121/tillsyn/A 30954-2021 tillsynsbegäran.docx", "A 30954-2021")</f>
        <v/>
      </c>
      <c r="Y307">
        <f>HYPERLINK("https://klasma.github.io/Logging_2121/tillsynsmail/A 30954-2021 tillsynsbegäran mail.docx", "A 30954-2021")</f>
        <v/>
      </c>
    </row>
    <row r="308" ht="15" customHeight="1">
      <c r="A308" t="inlineStr">
        <is>
          <t>A 56589-2021</t>
        </is>
      </c>
      <c r="B308" s="1" t="n">
        <v>44480</v>
      </c>
      <c r="C308" s="1" t="n">
        <v>45883</v>
      </c>
      <c r="D308" t="inlineStr">
        <is>
          <t>GÄVLEBORGS LÄN</t>
        </is>
      </c>
      <c r="E308" t="inlineStr">
        <is>
          <t>LJUSDAL</t>
        </is>
      </c>
      <c r="G308" t="n">
        <v>11.4</v>
      </c>
      <c r="H308" t="n">
        <v>1</v>
      </c>
      <c r="I308" t="n">
        <v>0</v>
      </c>
      <c r="J308" t="n">
        <v>0</v>
      </c>
      <c r="K308" t="n">
        <v>1</v>
      </c>
      <c r="L308" t="n">
        <v>0</v>
      </c>
      <c r="M308" t="n">
        <v>0</v>
      </c>
      <c r="N308" t="n">
        <v>0</v>
      </c>
      <c r="O308" t="n">
        <v>1</v>
      </c>
      <c r="P308" t="n">
        <v>1</v>
      </c>
      <c r="Q308" t="n">
        <v>1</v>
      </c>
      <c r="R308" s="2" t="inlineStr">
        <is>
          <t>Tallbit</t>
        </is>
      </c>
      <c r="S308">
        <f>HYPERLINK("https://klasma.github.io/Logging_2161/artfynd/A 56589-2021 artfynd.xlsx", "A 56589-2021")</f>
        <v/>
      </c>
      <c r="T308">
        <f>HYPERLINK("https://klasma.github.io/Logging_2161/kartor/A 56589-2021 karta.png", "A 56589-2021")</f>
        <v/>
      </c>
      <c r="V308">
        <f>HYPERLINK("https://klasma.github.io/Logging_2161/klagomål/A 56589-2021 FSC-klagomål.docx", "A 56589-2021")</f>
        <v/>
      </c>
      <c r="W308">
        <f>HYPERLINK("https://klasma.github.io/Logging_2161/klagomålsmail/A 56589-2021 FSC-klagomål mail.docx", "A 56589-2021")</f>
        <v/>
      </c>
      <c r="X308">
        <f>HYPERLINK("https://klasma.github.io/Logging_2161/tillsyn/A 56589-2021 tillsynsbegäran.docx", "A 56589-2021")</f>
        <v/>
      </c>
      <c r="Y308">
        <f>HYPERLINK("https://klasma.github.io/Logging_2161/tillsynsmail/A 56589-2021 tillsynsbegäran mail.docx", "A 56589-2021")</f>
        <v/>
      </c>
      <c r="Z308">
        <f>HYPERLINK("https://klasma.github.io/Logging_2161/fåglar/A 56589-2021 prioriterade fågelarter.docx", "A 56589-2021")</f>
        <v/>
      </c>
    </row>
    <row r="309" ht="15" customHeight="1">
      <c r="A309" t="inlineStr">
        <is>
          <t>A 68162-2021</t>
        </is>
      </c>
      <c r="B309" s="1" t="n">
        <v>44526</v>
      </c>
      <c r="C309" s="1" t="n">
        <v>45883</v>
      </c>
      <c r="D309" t="inlineStr">
        <is>
          <t>GÄVLEBORGS LÄN</t>
        </is>
      </c>
      <c r="E309" t="inlineStr">
        <is>
          <t>HUDIKSVALL</t>
        </is>
      </c>
      <c r="G309" t="n">
        <v>1.1</v>
      </c>
      <c r="H309" t="n">
        <v>1</v>
      </c>
      <c r="I309" t="n">
        <v>0</v>
      </c>
      <c r="J309" t="n">
        <v>0</v>
      </c>
      <c r="K309" t="n">
        <v>0</v>
      </c>
      <c r="L309" t="n">
        <v>0</v>
      </c>
      <c r="M309" t="n">
        <v>0</v>
      </c>
      <c r="N309" t="n">
        <v>0</v>
      </c>
      <c r="O309" t="n">
        <v>0</v>
      </c>
      <c r="P309" t="n">
        <v>0</v>
      </c>
      <c r="Q309" t="n">
        <v>1</v>
      </c>
      <c r="R309" s="2" t="inlineStr">
        <is>
          <t>Större vattensalamander</t>
        </is>
      </c>
      <c r="S309">
        <f>HYPERLINK("https://klasma.github.io/Logging_2184/artfynd/A 68162-2021 artfynd.xlsx", "A 68162-2021")</f>
        <v/>
      </c>
      <c r="T309">
        <f>HYPERLINK("https://klasma.github.io/Logging_2184/kartor/A 68162-2021 karta.png", "A 68162-2021")</f>
        <v/>
      </c>
      <c r="V309">
        <f>HYPERLINK("https://klasma.github.io/Logging_2184/klagomål/A 68162-2021 FSC-klagomål.docx", "A 68162-2021")</f>
        <v/>
      </c>
      <c r="W309">
        <f>HYPERLINK("https://klasma.github.io/Logging_2184/klagomålsmail/A 68162-2021 FSC-klagomål mail.docx", "A 68162-2021")</f>
        <v/>
      </c>
      <c r="X309">
        <f>HYPERLINK("https://klasma.github.io/Logging_2184/tillsyn/A 68162-2021 tillsynsbegäran.docx", "A 68162-2021")</f>
        <v/>
      </c>
      <c r="Y309">
        <f>HYPERLINK("https://klasma.github.io/Logging_2184/tillsynsmail/A 68162-2021 tillsynsbegäran mail.docx", "A 68162-2021")</f>
        <v/>
      </c>
    </row>
    <row r="310" ht="15" customHeight="1">
      <c r="A310" t="inlineStr">
        <is>
          <t>A 71122-2021</t>
        </is>
      </c>
      <c r="B310" s="1" t="n">
        <v>44539</v>
      </c>
      <c r="C310" s="1" t="n">
        <v>45883</v>
      </c>
      <c r="D310" t="inlineStr">
        <is>
          <t>GÄVLEBORGS LÄN</t>
        </is>
      </c>
      <c r="E310" t="inlineStr">
        <is>
          <t>HUDIKSVALL</t>
        </is>
      </c>
      <c r="G310" t="n">
        <v>2.6</v>
      </c>
      <c r="H310" t="n">
        <v>1</v>
      </c>
      <c r="I310" t="n">
        <v>0</v>
      </c>
      <c r="J310" t="n">
        <v>0</v>
      </c>
      <c r="K310" t="n">
        <v>1</v>
      </c>
      <c r="L310" t="n">
        <v>0</v>
      </c>
      <c r="M310" t="n">
        <v>0</v>
      </c>
      <c r="N310" t="n">
        <v>0</v>
      </c>
      <c r="O310" t="n">
        <v>1</v>
      </c>
      <c r="P310" t="n">
        <v>1</v>
      </c>
      <c r="Q310" t="n">
        <v>1</v>
      </c>
      <c r="R310" s="2" t="inlineStr">
        <is>
          <t>Knärot</t>
        </is>
      </c>
      <c r="S310">
        <f>HYPERLINK("https://klasma.github.io/Logging_2184/artfynd/A 71122-2021 artfynd.xlsx", "A 71122-2021")</f>
        <v/>
      </c>
      <c r="T310">
        <f>HYPERLINK("https://klasma.github.io/Logging_2184/kartor/A 71122-2021 karta.png", "A 71122-2021")</f>
        <v/>
      </c>
      <c r="U310">
        <f>HYPERLINK("https://klasma.github.io/Logging_2184/knärot/A 71122-2021 karta knärot.png", "A 71122-2021")</f>
        <v/>
      </c>
      <c r="V310">
        <f>HYPERLINK("https://klasma.github.io/Logging_2184/klagomål/A 71122-2021 FSC-klagomål.docx", "A 71122-2021")</f>
        <v/>
      </c>
      <c r="W310">
        <f>HYPERLINK("https://klasma.github.io/Logging_2184/klagomålsmail/A 71122-2021 FSC-klagomål mail.docx", "A 71122-2021")</f>
        <v/>
      </c>
      <c r="X310">
        <f>HYPERLINK("https://klasma.github.io/Logging_2184/tillsyn/A 71122-2021 tillsynsbegäran.docx", "A 71122-2021")</f>
        <v/>
      </c>
      <c r="Y310">
        <f>HYPERLINK("https://klasma.github.io/Logging_2184/tillsynsmail/A 71122-2021 tillsynsbegäran mail.docx", "A 71122-2021")</f>
        <v/>
      </c>
    </row>
    <row r="311" ht="15" customHeight="1">
      <c r="A311" t="inlineStr">
        <is>
          <t>A 59607-2021</t>
        </is>
      </c>
      <c r="B311" s="1" t="n">
        <v>44491</v>
      </c>
      <c r="C311" s="1" t="n">
        <v>45883</v>
      </c>
      <c r="D311" t="inlineStr">
        <is>
          <t>GÄVLEBORGS LÄN</t>
        </is>
      </c>
      <c r="E311" t="inlineStr">
        <is>
          <t>LJUSDAL</t>
        </is>
      </c>
      <c r="F311" t="inlineStr">
        <is>
          <t>Sveaskog</t>
        </is>
      </c>
      <c r="G311" t="n">
        <v>1.7</v>
      </c>
      <c r="H311" t="n">
        <v>1</v>
      </c>
      <c r="I311" t="n">
        <v>0</v>
      </c>
      <c r="J311" t="n">
        <v>0</v>
      </c>
      <c r="K311" t="n">
        <v>1</v>
      </c>
      <c r="L311" t="n">
        <v>0</v>
      </c>
      <c r="M311" t="n">
        <v>0</v>
      </c>
      <c r="N311" t="n">
        <v>0</v>
      </c>
      <c r="O311" t="n">
        <v>1</v>
      </c>
      <c r="P311" t="n">
        <v>1</v>
      </c>
      <c r="Q311" t="n">
        <v>1</v>
      </c>
      <c r="R311" s="2" t="inlineStr">
        <is>
          <t>Knärot</t>
        </is>
      </c>
      <c r="S311">
        <f>HYPERLINK("https://klasma.github.io/Logging_2161/artfynd/A 59607-2021 artfynd.xlsx", "A 59607-2021")</f>
        <v/>
      </c>
      <c r="T311">
        <f>HYPERLINK("https://klasma.github.io/Logging_2161/kartor/A 59607-2021 karta.png", "A 59607-2021")</f>
        <v/>
      </c>
      <c r="U311">
        <f>HYPERLINK("https://klasma.github.io/Logging_2161/knärot/A 59607-2021 karta knärot.png", "A 59607-2021")</f>
        <v/>
      </c>
      <c r="V311">
        <f>HYPERLINK("https://klasma.github.io/Logging_2161/klagomål/A 59607-2021 FSC-klagomål.docx", "A 59607-2021")</f>
        <v/>
      </c>
      <c r="W311">
        <f>HYPERLINK("https://klasma.github.io/Logging_2161/klagomålsmail/A 59607-2021 FSC-klagomål mail.docx", "A 59607-2021")</f>
        <v/>
      </c>
      <c r="X311">
        <f>HYPERLINK("https://klasma.github.io/Logging_2161/tillsyn/A 59607-2021 tillsynsbegäran.docx", "A 59607-2021")</f>
        <v/>
      </c>
      <c r="Y311">
        <f>HYPERLINK("https://klasma.github.io/Logging_2161/tillsynsmail/A 59607-2021 tillsynsbegäran mail.docx", "A 59607-2021")</f>
        <v/>
      </c>
    </row>
    <row r="312" ht="15" customHeight="1">
      <c r="A312" t="inlineStr">
        <is>
          <t>A 52166-2021</t>
        </is>
      </c>
      <c r="B312" s="1" t="n">
        <v>44463.53784722222</v>
      </c>
      <c r="C312" s="1" t="n">
        <v>45883</v>
      </c>
      <c r="D312" t="inlineStr">
        <is>
          <t>GÄVLEBORGS LÄN</t>
        </is>
      </c>
      <c r="E312" t="inlineStr">
        <is>
          <t>OVANÅKER</t>
        </is>
      </c>
      <c r="F312" t="inlineStr">
        <is>
          <t>Sveaskog</t>
        </is>
      </c>
      <c r="G312" t="n">
        <v>0.4</v>
      </c>
      <c r="H312" t="n">
        <v>0</v>
      </c>
      <c r="I312" t="n">
        <v>1</v>
      </c>
      <c r="J312" t="n">
        <v>0</v>
      </c>
      <c r="K312" t="n">
        <v>0</v>
      </c>
      <c r="L312" t="n">
        <v>0</v>
      </c>
      <c r="M312" t="n">
        <v>0</v>
      </c>
      <c r="N312" t="n">
        <v>0</v>
      </c>
      <c r="O312" t="n">
        <v>0</v>
      </c>
      <c r="P312" t="n">
        <v>0</v>
      </c>
      <c r="Q312" t="n">
        <v>1</v>
      </c>
      <c r="R312" s="2" t="inlineStr">
        <is>
          <t>Dropptaggsvamp</t>
        </is>
      </c>
      <c r="S312">
        <f>HYPERLINK("https://klasma.github.io/Logging_2121/artfynd/A 52166-2021 artfynd.xlsx", "A 52166-2021")</f>
        <v/>
      </c>
      <c r="T312">
        <f>HYPERLINK("https://klasma.github.io/Logging_2121/kartor/A 52166-2021 karta.png", "A 52166-2021")</f>
        <v/>
      </c>
      <c r="V312">
        <f>HYPERLINK("https://klasma.github.io/Logging_2121/klagomål/A 52166-2021 FSC-klagomål.docx", "A 52166-2021")</f>
        <v/>
      </c>
      <c r="W312">
        <f>HYPERLINK("https://klasma.github.io/Logging_2121/klagomålsmail/A 52166-2021 FSC-klagomål mail.docx", "A 52166-2021")</f>
        <v/>
      </c>
      <c r="X312">
        <f>HYPERLINK("https://klasma.github.io/Logging_2121/tillsyn/A 52166-2021 tillsynsbegäran.docx", "A 52166-2021")</f>
        <v/>
      </c>
      <c r="Y312">
        <f>HYPERLINK("https://klasma.github.io/Logging_2121/tillsynsmail/A 52166-2021 tillsynsbegäran mail.docx", "A 52166-2021")</f>
        <v/>
      </c>
    </row>
    <row r="313" ht="15" customHeight="1">
      <c r="A313" t="inlineStr">
        <is>
          <t>A 42009-2020</t>
        </is>
      </c>
      <c r="B313" s="1" t="n">
        <v>44075</v>
      </c>
      <c r="C313" s="1" t="n">
        <v>45883</v>
      </c>
      <c r="D313" t="inlineStr">
        <is>
          <t>GÄVLEBORGS LÄN</t>
        </is>
      </c>
      <c r="E313" t="inlineStr">
        <is>
          <t>LJUSDAL</t>
        </is>
      </c>
      <c r="F313" t="inlineStr">
        <is>
          <t>Sveaskog</t>
        </is>
      </c>
      <c r="G313" t="n">
        <v>1.4</v>
      </c>
      <c r="H313" t="n">
        <v>0</v>
      </c>
      <c r="I313" t="n">
        <v>0</v>
      </c>
      <c r="J313" t="n">
        <v>1</v>
      </c>
      <c r="K313" t="n">
        <v>0</v>
      </c>
      <c r="L313" t="n">
        <v>0</v>
      </c>
      <c r="M313" t="n">
        <v>0</v>
      </c>
      <c r="N313" t="n">
        <v>0</v>
      </c>
      <c r="O313" t="n">
        <v>1</v>
      </c>
      <c r="P313" t="n">
        <v>0</v>
      </c>
      <c r="Q313" t="n">
        <v>1</v>
      </c>
      <c r="R313" s="2" t="inlineStr">
        <is>
          <t>Tallticka</t>
        </is>
      </c>
      <c r="S313">
        <f>HYPERLINK("https://klasma.github.io/Logging_2161/artfynd/A 42009-2020 artfynd.xlsx", "A 42009-2020")</f>
        <v/>
      </c>
      <c r="T313">
        <f>HYPERLINK("https://klasma.github.io/Logging_2161/kartor/A 42009-2020 karta.png", "A 42009-2020")</f>
        <v/>
      </c>
      <c r="V313">
        <f>HYPERLINK("https://klasma.github.io/Logging_2161/klagomål/A 42009-2020 FSC-klagomål.docx", "A 42009-2020")</f>
        <v/>
      </c>
      <c r="W313">
        <f>HYPERLINK("https://klasma.github.io/Logging_2161/klagomålsmail/A 42009-2020 FSC-klagomål mail.docx", "A 42009-2020")</f>
        <v/>
      </c>
      <c r="X313">
        <f>HYPERLINK("https://klasma.github.io/Logging_2161/tillsyn/A 42009-2020 tillsynsbegäran.docx", "A 42009-2020")</f>
        <v/>
      </c>
      <c r="Y313">
        <f>HYPERLINK("https://klasma.github.io/Logging_2161/tillsynsmail/A 42009-2020 tillsynsbegäran mail.docx", "A 42009-2020")</f>
        <v/>
      </c>
    </row>
    <row r="314" ht="15" customHeight="1">
      <c r="A314" t="inlineStr">
        <is>
          <t>A 45241-2022</t>
        </is>
      </c>
      <c r="B314" s="1" t="n">
        <v>44840</v>
      </c>
      <c r="C314" s="1" t="n">
        <v>45883</v>
      </c>
      <c r="D314" t="inlineStr">
        <is>
          <t>GÄVLEBORGS LÄN</t>
        </is>
      </c>
      <c r="E314" t="inlineStr">
        <is>
          <t>GÄVLE</t>
        </is>
      </c>
      <c r="F314" t="inlineStr">
        <is>
          <t>Bergvik skog väst AB</t>
        </is>
      </c>
      <c r="G314" t="n">
        <v>22</v>
      </c>
      <c r="H314" t="n">
        <v>1</v>
      </c>
      <c r="I314" t="n">
        <v>0</v>
      </c>
      <c r="J314" t="n">
        <v>0</v>
      </c>
      <c r="K314" t="n">
        <v>0</v>
      </c>
      <c r="L314" t="n">
        <v>0</v>
      </c>
      <c r="M314" t="n">
        <v>0</v>
      </c>
      <c r="N314" t="n">
        <v>0</v>
      </c>
      <c r="O314" t="n">
        <v>0</v>
      </c>
      <c r="P314" t="n">
        <v>0</v>
      </c>
      <c r="Q314" t="n">
        <v>1</v>
      </c>
      <c r="R314" s="2" t="inlineStr">
        <is>
          <t>Blåsippa</t>
        </is>
      </c>
      <c r="S314">
        <f>HYPERLINK("https://klasma.github.io/Logging_2180/artfynd/A 45241-2022 artfynd.xlsx", "A 45241-2022")</f>
        <v/>
      </c>
      <c r="T314">
        <f>HYPERLINK("https://klasma.github.io/Logging_2180/kartor/A 45241-2022 karta.png", "A 45241-2022")</f>
        <v/>
      </c>
      <c r="V314">
        <f>HYPERLINK("https://klasma.github.io/Logging_2180/klagomål/A 45241-2022 FSC-klagomål.docx", "A 45241-2022")</f>
        <v/>
      </c>
      <c r="W314">
        <f>HYPERLINK("https://klasma.github.io/Logging_2180/klagomålsmail/A 45241-2022 FSC-klagomål mail.docx", "A 45241-2022")</f>
        <v/>
      </c>
      <c r="X314">
        <f>HYPERLINK("https://klasma.github.io/Logging_2180/tillsyn/A 45241-2022 tillsynsbegäran.docx", "A 45241-2022")</f>
        <v/>
      </c>
      <c r="Y314">
        <f>HYPERLINK("https://klasma.github.io/Logging_2180/tillsynsmail/A 45241-2022 tillsynsbegäran mail.docx", "A 45241-2022")</f>
        <v/>
      </c>
    </row>
    <row r="315" ht="15" customHeight="1">
      <c r="A315" t="inlineStr">
        <is>
          <t>A 35582-2022</t>
        </is>
      </c>
      <c r="B315" s="1" t="n">
        <v>44799.43017361111</v>
      </c>
      <c r="C315" s="1" t="n">
        <v>45883</v>
      </c>
      <c r="D315" t="inlineStr">
        <is>
          <t>GÄVLEBORGS LÄN</t>
        </is>
      </c>
      <c r="E315" t="inlineStr">
        <is>
          <t>LJUSDAL</t>
        </is>
      </c>
      <c r="F315" t="inlineStr">
        <is>
          <t>Sveaskog</t>
        </is>
      </c>
      <c r="G315" t="n">
        <v>3.3</v>
      </c>
      <c r="H315" t="n">
        <v>0</v>
      </c>
      <c r="I315" t="n">
        <v>0</v>
      </c>
      <c r="J315" t="n">
        <v>1</v>
      </c>
      <c r="K315" t="n">
        <v>0</v>
      </c>
      <c r="L315" t="n">
        <v>0</v>
      </c>
      <c r="M315" t="n">
        <v>0</v>
      </c>
      <c r="N315" t="n">
        <v>0</v>
      </c>
      <c r="O315" t="n">
        <v>1</v>
      </c>
      <c r="P315" t="n">
        <v>0</v>
      </c>
      <c r="Q315" t="n">
        <v>1</v>
      </c>
      <c r="R315" s="2" t="inlineStr">
        <is>
          <t>Lunglav</t>
        </is>
      </c>
      <c r="S315">
        <f>HYPERLINK("https://klasma.github.io/Logging_2161/artfynd/A 35582-2022 artfynd.xlsx", "A 35582-2022")</f>
        <v/>
      </c>
      <c r="T315">
        <f>HYPERLINK("https://klasma.github.io/Logging_2161/kartor/A 35582-2022 karta.png", "A 35582-2022")</f>
        <v/>
      </c>
      <c r="V315">
        <f>HYPERLINK("https://klasma.github.io/Logging_2161/klagomål/A 35582-2022 FSC-klagomål.docx", "A 35582-2022")</f>
        <v/>
      </c>
      <c r="W315">
        <f>HYPERLINK("https://klasma.github.io/Logging_2161/klagomålsmail/A 35582-2022 FSC-klagomål mail.docx", "A 35582-2022")</f>
        <v/>
      </c>
      <c r="X315">
        <f>HYPERLINK("https://klasma.github.io/Logging_2161/tillsyn/A 35582-2022 tillsynsbegäran.docx", "A 35582-2022")</f>
        <v/>
      </c>
      <c r="Y315">
        <f>HYPERLINK("https://klasma.github.io/Logging_2161/tillsynsmail/A 35582-2022 tillsynsbegäran mail.docx", "A 35582-2022")</f>
        <v/>
      </c>
    </row>
    <row r="316" ht="15" customHeight="1">
      <c r="A316" t="inlineStr">
        <is>
          <t>A 15102-2022</t>
        </is>
      </c>
      <c r="B316" s="1" t="n">
        <v>44658</v>
      </c>
      <c r="C316" s="1" t="n">
        <v>45883</v>
      </c>
      <c r="D316" t="inlineStr">
        <is>
          <t>GÄVLEBORGS LÄN</t>
        </is>
      </c>
      <c r="E316" t="inlineStr">
        <is>
          <t>GÄVLE</t>
        </is>
      </c>
      <c r="F316" t="inlineStr">
        <is>
          <t>Bergvik skog öst AB</t>
        </is>
      </c>
      <c r="G316" t="n">
        <v>4.5</v>
      </c>
      <c r="H316" t="n">
        <v>0</v>
      </c>
      <c r="I316" t="n">
        <v>0</v>
      </c>
      <c r="J316" t="n">
        <v>1</v>
      </c>
      <c r="K316" t="n">
        <v>0</v>
      </c>
      <c r="L316" t="n">
        <v>0</v>
      </c>
      <c r="M316" t="n">
        <v>0</v>
      </c>
      <c r="N316" t="n">
        <v>0</v>
      </c>
      <c r="O316" t="n">
        <v>1</v>
      </c>
      <c r="P316" t="n">
        <v>0</v>
      </c>
      <c r="Q316" t="n">
        <v>1</v>
      </c>
      <c r="R316" s="2" t="inlineStr">
        <is>
          <t>Sumpviol</t>
        </is>
      </c>
      <c r="S316">
        <f>HYPERLINK("https://klasma.github.io/Logging_2180/artfynd/A 15102-2022 artfynd.xlsx", "A 15102-2022")</f>
        <v/>
      </c>
      <c r="T316">
        <f>HYPERLINK("https://klasma.github.io/Logging_2180/kartor/A 15102-2022 karta.png", "A 15102-2022")</f>
        <v/>
      </c>
      <c r="V316">
        <f>HYPERLINK("https://klasma.github.io/Logging_2180/klagomål/A 15102-2022 FSC-klagomål.docx", "A 15102-2022")</f>
        <v/>
      </c>
      <c r="W316">
        <f>HYPERLINK("https://klasma.github.io/Logging_2180/klagomålsmail/A 15102-2022 FSC-klagomål mail.docx", "A 15102-2022")</f>
        <v/>
      </c>
      <c r="X316">
        <f>HYPERLINK("https://klasma.github.io/Logging_2180/tillsyn/A 15102-2022 tillsynsbegäran.docx", "A 15102-2022")</f>
        <v/>
      </c>
      <c r="Y316">
        <f>HYPERLINK("https://klasma.github.io/Logging_2180/tillsynsmail/A 15102-2022 tillsynsbegäran mail.docx", "A 15102-2022")</f>
        <v/>
      </c>
    </row>
    <row r="317" ht="15" customHeight="1">
      <c r="A317" t="inlineStr">
        <is>
          <t>A 5500-2024</t>
        </is>
      </c>
      <c r="B317" s="1" t="n">
        <v>45334</v>
      </c>
      <c r="C317" s="1" t="n">
        <v>45883</v>
      </c>
      <c r="D317" t="inlineStr">
        <is>
          <t>GÄVLEBORGS LÄN</t>
        </is>
      </c>
      <c r="E317" t="inlineStr">
        <is>
          <t>HUDIKSVALL</t>
        </is>
      </c>
      <c r="F317" t="inlineStr">
        <is>
          <t>Holmen skog AB</t>
        </is>
      </c>
      <c r="G317" t="n">
        <v>5</v>
      </c>
      <c r="H317" t="n">
        <v>0</v>
      </c>
      <c r="I317" t="n">
        <v>0</v>
      </c>
      <c r="J317" t="n">
        <v>1</v>
      </c>
      <c r="K317" t="n">
        <v>0</v>
      </c>
      <c r="L317" t="n">
        <v>0</v>
      </c>
      <c r="M317" t="n">
        <v>0</v>
      </c>
      <c r="N317" t="n">
        <v>0</v>
      </c>
      <c r="O317" t="n">
        <v>1</v>
      </c>
      <c r="P317" t="n">
        <v>0</v>
      </c>
      <c r="Q317" t="n">
        <v>1</v>
      </c>
      <c r="R317" s="2" t="inlineStr">
        <is>
          <t>Mörk kolflarnlav</t>
        </is>
      </c>
      <c r="S317">
        <f>HYPERLINK("https://klasma.github.io/Logging_2184/artfynd/A 5500-2024 artfynd.xlsx", "A 5500-2024")</f>
        <v/>
      </c>
      <c r="T317">
        <f>HYPERLINK("https://klasma.github.io/Logging_2184/kartor/A 5500-2024 karta.png", "A 5500-2024")</f>
        <v/>
      </c>
      <c r="V317">
        <f>HYPERLINK("https://klasma.github.io/Logging_2184/klagomål/A 5500-2024 FSC-klagomål.docx", "A 5500-2024")</f>
        <v/>
      </c>
      <c r="W317">
        <f>HYPERLINK("https://klasma.github.io/Logging_2184/klagomålsmail/A 5500-2024 FSC-klagomål mail.docx", "A 5500-2024")</f>
        <v/>
      </c>
      <c r="X317">
        <f>HYPERLINK("https://klasma.github.io/Logging_2184/tillsyn/A 5500-2024 tillsynsbegäran.docx", "A 5500-2024")</f>
        <v/>
      </c>
      <c r="Y317">
        <f>HYPERLINK("https://klasma.github.io/Logging_2184/tillsynsmail/A 5500-2024 tillsynsbegäran mail.docx", "A 5500-2024")</f>
        <v/>
      </c>
    </row>
    <row r="318" ht="15" customHeight="1">
      <c r="A318" t="inlineStr">
        <is>
          <t>A 63033-2021</t>
        </is>
      </c>
      <c r="B318" s="1" t="n">
        <v>44505.46231481482</v>
      </c>
      <c r="C318" s="1" t="n">
        <v>45883</v>
      </c>
      <c r="D318" t="inlineStr">
        <is>
          <t>GÄVLEBORGS LÄN</t>
        </is>
      </c>
      <c r="E318" t="inlineStr">
        <is>
          <t>SANDVIKEN</t>
        </is>
      </c>
      <c r="G318" t="n">
        <v>0.5</v>
      </c>
      <c r="H318" t="n">
        <v>1</v>
      </c>
      <c r="I318" t="n">
        <v>0</v>
      </c>
      <c r="J318" t="n">
        <v>1</v>
      </c>
      <c r="K318" t="n">
        <v>0</v>
      </c>
      <c r="L318" t="n">
        <v>0</v>
      </c>
      <c r="M318" t="n">
        <v>0</v>
      </c>
      <c r="N318" t="n">
        <v>0</v>
      </c>
      <c r="O318" t="n">
        <v>1</v>
      </c>
      <c r="P318" t="n">
        <v>0</v>
      </c>
      <c r="Q318" t="n">
        <v>1</v>
      </c>
      <c r="R318" s="2" t="inlineStr">
        <is>
          <t>Talltita</t>
        </is>
      </c>
      <c r="S318">
        <f>HYPERLINK("https://klasma.github.io/Logging_2181/artfynd/A 63033-2021 artfynd.xlsx", "A 63033-2021")</f>
        <v/>
      </c>
      <c r="T318">
        <f>HYPERLINK("https://klasma.github.io/Logging_2181/kartor/A 63033-2021 karta.png", "A 63033-2021")</f>
        <v/>
      </c>
      <c r="V318">
        <f>HYPERLINK("https://klasma.github.io/Logging_2181/klagomål/A 63033-2021 FSC-klagomål.docx", "A 63033-2021")</f>
        <v/>
      </c>
      <c r="W318">
        <f>HYPERLINK("https://klasma.github.io/Logging_2181/klagomålsmail/A 63033-2021 FSC-klagomål mail.docx", "A 63033-2021")</f>
        <v/>
      </c>
      <c r="X318">
        <f>HYPERLINK("https://klasma.github.io/Logging_2181/tillsyn/A 63033-2021 tillsynsbegäran.docx", "A 63033-2021")</f>
        <v/>
      </c>
      <c r="Y318">
        <f>HYPERLINK("https://klasma.github.io/Logging_2181/tillsynsmail/A 63033-2021 tillsynsbegäran mail.docx", "A 63033-2021")</f>
        <v/>
      </c>
      <c r="Z318">
        <f>HYPERLINK("https://klasma.github.io/Logging_2181/fåglar/A 63033-2021 prioriterade fågelarter.docx", "A 63033-2021")</f>
        <v/>
      </c>
    </row>
    <row r="319" ht="15" customHeight="1">
      <c r="A319" t="inlineStr">
        <is>
          <t>A 31417-2024</t>
        </is>
      </c>
      <c r="B319" s="1" t="n">
        <v>45505.62011574074</v>
      </c>
      <c r="C319" s="1" t="n">
        <v>45883</v>
      </c>
      <c r="D319" t="inlineStr">
        <is>
          <t>GÄVLEBORGS LÄN</t>
        </is>
      </c>
      <c r="E319" t="inlineStr">
        <is>
          <t>LJUSDAL</t>
        </is>
      </c>
      <c r="F319" t="inlineStr">
        <is>
          <t>Sveaskog</t>
        </is>
      </c>
      <c r="G319" t="n">
        <v>3</v>
      </c>
      <c r="H319" t="n">
        <v>0</v>
      </c>
      <c r="I319" t="n">
        <v>0</v>
      </c>
      <c r="J319" t="n">
        <v>1</v>
      </c>
      <c r="K319" t="n">
        <v>0</v>
      </c>
      <c r="L319" t="n">
        <v>0</v>
      </c>
      <c r="M319" t="n">
        <v>0</v>
      </c>
      <c r="N319" t="n">
        <v>0</v>
      </c>
      <c r="O319" t="n">
        <v>1</v>
      </c>
      <c r="P319" t="n">
        <v>0</v>
      </c>
      <c r="Q319" t="n">
        <v>1</v>
      </c>
      <c r="R319" s="2" t="inlineStr">
        <is>
          <t>Kolflarnlav</t>
        </is>
      </c>
      <c r="S319">
        <f>HYPERLINK("https://klasma.github.io/Logging_2161/artfynd/A 31417-2024 artfynd.xlsx", "A 31417-2024")</f>
        <v/>
      </c>
      <c r="T319">
        <f>HYPERLINK("https://klasma.github.io/Logging_2161/kartor/A 31417-2024 karta.png", "A 31417-2024")</f>
        <v/>
      </c>
      <c r="V319">
        <f>HYPERLINK("https://klasma.github.io/Logging_2161/klagomål/A 31417-2024 FSC-klagomål.docx", "A 31417-2024")</f>
        <v/>
      </c>
      <c r="W319">
        <f>HYPERLINK("https://klasma.github.io/Logging_2161/klagomålsmail/A 31417-2024 FSC-klagomål mail.docx", "A 31417-2024")</f>
        <v/>
      </c>
      <c r="X319">
        <f>HYPERLINK("https://klasma.github.io/Logging_2161/tillsyn/A 31417-2024 tillsynsbegäran.docx", "A 31417-2024")</f>
        <v/>
      </c>
      <c r="Y319">
        <f>HYPERLINK("https://klasma.github.io/Logging_2161/tillsynsmail/A 31417-2024 tillsynsbegäran mail.docx", "A 31417-2024")</f>
        <v/>
      </c>
    </row>
    <row r="320" ht="15" customHeight="1">
      <c r="A320" t="inlineStr">
        <is>
          <t>A 34219-2021</t>
        </is>
      </c>
      <c r="B320" s="1" t="n">
        <v>44379</v>
      </c>
      <c r="C320" s="1" t="n">
        <v>45883</v>
      </c>
      <c r="D320" t="inlineStr">
        <is>
          <t>GÄVLEBORGS LÄN</t>
        </is>
      </c>
      <c r="E320" t="inlineStr">
        <is>
          <t>OVANÅKER</t>
        </is>
      </c>
      <c r="F320" t="inlineStr">
        <is>
          <t>Kyrkan</t>
        </is>
      </c>
      <c r="G320" t="n">
        <v>24.7</v>
      </c>
      <c r="H320" t="n">
        <v>1</v>
      </c>
      <c r="I320" t="n">
        <v>0</v>
      </c>
      <c r="J320" t="n">
        <v>1</v>
      </c>
      <c r="K320" t="n">
        <v>0</v>
      </c>
      <c r="L320" t="n">
        <v>0</v>
      </c>
      <c r="M320" t="n">
        <v>0</v>
      </c>
      <c r="N320" t="n">
        <v>0</v>
      </c>
      <c r="O320" t="n">
        <v>1</v>
      </c>
      <c r="P320" t="n">
        <v>0</v>
      </c>
      <c r="Q320" t="n">
        <v>1</v>
      </c>
      <c r="R320" s="2" t="inlineStr">
        <is>
          <t>Svartvit flugsnappare</t>
        </is>
      </c>
      <c r="S320">
        <f>HYPERLINK("https://klasma.github.io/Logging_2121/artfynd/A 34219-2021 artfynd.xlsx", "A 34219-2021")</f>
        <v/>
      </c>
      <c r="T320">
        <f>HYPERLINK("https://klasma.github.io/Logging_2121/kartor/A 34219-2021 karta.png", "A 34219-2021")</f>
        <v/>
      </c>
      <c r="V320">
        <f>HYPERLINK("https://klasma.github.io/Logging_2121/klagomål/A 34219-2021 FSC-klagomål.docx", "A 34219-2021")</f>
        <v/>
      </c>
      <c r="W320">
        <f>HYPERLINK("https://klasma.github.io/Logging_2121/klagomålsmail/A 34219-2021 FSC-klagomål mail.docx", "A 34219-2021")</f>
        <v/>
      </c>
      <c r="X320">
        <f>HYPERLINK("https://klasma.github.io/Logging_2121/tillsyn/A 34219-2021 tillsynsbegäran.docx", "A 34219-2021")</f>
        <v/>
      </c>
      <c r="Y320">
        <f>HYPERLINK("https://klasma.github.io/Logging_2121/tillsynsmail/A 34219-2021 tillsynsbegäran mail.docx", "A 34219-2021")</f>
        <v/>
      </c>
      <c r="Z320">
        <f>HYPERLINK("https://klasma.github.io/Logging_2121/fåglar/A 34219-2021 prioriterade fågelarter.docx", "A 34219-2021")</f>
        <v/>
      </c>
    </row>
    <row r="321" ht="15" customHeight="1">
      <c r="A321" t="inlineStr">
        <is>
          <t>A 44963-2020</t>
        </is>
      </c>
      <c r="B321" s="1" t="n">
        <v>44088</v>
      </c>
      <c r="C321" s="1" t="n">
        <v>45883</v>
      </c>
      <c r="D321" t="inlineStr">
        <is>
          <t>GÄVLEBORGS LÄN</t>
        </is>
      </c>
      <c r="E321" t="inlineStr">
        <is>
          <t>HOFORS</t>
        </is>
      </c>
      <c r="G321" t="n">
        <v>3.1</v>
      </c>
      <c r="H321" t="n">
        <v>0</v>
      </c>
      <c r="I321" t="n">
        <v>0</v>
      </c>
      <c r="J321" t="n">
        <v>1</v>
      </c>
      <c r="K321" t="n">
        <v>0</v>
      </c>
      <c r="L321" t="n">
        <v>0</v>
      </c>
      <c r="M321" t="n">
        <v>0</v>
      </c>
      <c r="N321" t="n">
        <v>0</v>
      </c>
      <c r="O321" t="n">
        <v>1</v>
      </c>
      <c r="P321" t="n">
        <v>0</v>
      </c>
      <c r="Q321" t="n">
        <v>1</v>
      </c>
      <c r="R321" s="2" t="inlineStr">
        <is>
          <t>Slåtterfibbla</t>
        </is>
      </c>
      <c r="S321">
        <f>HYPERLINK("https://klasma.github.io/Logging_2104/artfynd/A 44963-2020 artfynd.xlsx", "A 44963-2020")</f>
        <v/>
      </c>
      <c r="T321">
        <f>HYPERLINK("https://klasma.github.io/Logging_2104/kartor/A 44963-2020 karta.png", "A 44963-2020")</f>
        <v/>
      </c>
      <c r="V321">
        <f>HYPERLINK("https://klasma.github.io/Logging_2104/klagomål/A 44963-2020 FSC-klagomål.docx", "A 44963-2020")</f>
        <v/>
      </c>
      <c r="W321">
        <f>HYPERLINK("https://klasma.github.io/Logging_2104/klagomålsmail/A 44963-2020 FSC-klagomål mail.docx", "A 44963-2020")</f>
        <v/>
      </c>
      <c r="X321">
        <f>HYPERLINK("https://klasma.github.io/Logging_2104/tillsyn/A 44963-2020 tillsynsbegäran.docx", "A 44963-2020")</f>
        <v/>
      </c>
      <c r="Y321">
        <f>HYPERLINK("https://klasma.github.io/Logging_2104/tillsynsmail/A 44963-2020 tillsynsbegäran mail.docx", "A 44963-2020")</f>
        <v/>
      </c>
    </row>
    <row r="322" ht="15" customHeight="1">
      <c r="A322" t="inlineStr">
        <is>
          <t>A 7148-2023</t>
        </is>
      </c>
      <c r="B322" s="1" t="n">
        <v>44970.45804398148</v>
      </c>
      <c r="C322" s="1" t="n">
        <v>45883</v>
      </c>
      <c r="D322" t="inlineStr">
        <is>
          <t>GÄVLEBORGS LÄN</t>
        </is>
      </c>
      <c r="E322" t="inlineStr">
        <is>
          <t>LJUSDAL</t>
        </is>
      </c>
      <c r="F322" t="inlineStr">
        <is>
          <t>Holmen skog AB</t>
        </is>
      </c>
      <c r="G322" t="n">
        <v>4.9</v>
      </c>
      <c r="H322" t="n">
        <v>0</v>
      </c>
      <c r="I322" t="n">
        <v>1</v>
      </c>
      <c r="J322" t="n">
        <v>0</v>
      </c>
      <c r="K322" t="n">
        <v>0</v>
      </c>
      <c r="L322" t="n">
        <v>0</v>
      </c>
      <c r="M322" t="n">
        <v>0</v>
      </c>
      <c r="N322" t="n">
        <v>0</v>
      </c>
      <c r="O322" t="n">
        <v>0</v>
      </c>
      <c r="P322" t="n">
        <v>0</v>
      </c>
      <c r="Q322" t="n">
        <v>1</v>
      </c>
      <c r="R322" s="2" t="inlineStr">
        <is>
          <t>Vedticka</t>
        </is>
      </c>
      <c r="S322">
        <f>HYPERLINK("https://klasma.github.io/Logging_2161/artfynd/A 7148-2023 artfynd.xlsx", "A 7148-2023")</f>
        <v/>
      </c>
      <c r="T322">
        <f>HYPERLINK("https://klasma.github.io/Logging_2161/kartor/A 7148-2023 karta.png", "A 7148-2023")</f>
        <v/>
      </c>
      <c r="V322">
        <f>HYPERLINK("https://klasma.github.io/Logging_2161/klagomål/A 7148-2023 FSC-klagomål.docx", "A 7148-2023")</f>
        <v/>
      </c>
      <c r="W322">
        <f>HYPERLINK("https://klasma.github.io/Logging_2161/klagomålsmail/A 7148-2023 FSC-klagomål mail.docx", "A 7148-2023")</f>
        <v/>
      </c>
      <c r="X322">
        <f>HYPERLINK("https://klasma.github.io/Logging_2161/tillsyn/A 7148-2023 tillsynsbegäran.docx", "A 7148-2023")</f>
        <v/>
      </c>
      <c r="Y322">
        <f>HYPERLINK("https://klasma.github.io/Logging_2161/tillsynsmail/A 7148-2023 tillsynsbegäran mail.docx", "A 7148-2023")</f>
        <v/>
      </c>
    </row>
    <row r="323" ht="15" customHeight="1">
      <c r="A323" t="inlineStr">
        <is>
          <t>A 34233-2024</t>
        </is>
      </c>
      <c r="B323" s="1" t="n">
        <v>45524.56537037037</v>
      </c>
      <c r="C323" s="1" t="n">
        <v>45883</v>
      </c>
      <c r="D323" t="inlineStr">
        <is>
          <t>GÄVLEBORGS LÄN</t>
        </is>
      </c>
      <c r="E323" t="inlineStr">
        <is>
          <t>LJUSDAL</t>
        </is>
      </c>
      <c r="F323" t="inlineStr">
        <is>
          <t>Sveaskog</t>
        </is>
      </c>
      <c r="G323" t="n">
        <v>7.5</v>
      </c>
      <c r="H323" t="n">
        <v>1</v>
      </c>
      <c r="I323" t="n">
        <v>1</v>
      </c>
      <c r="J323" t="n">
        <v>0</v>
      </c>
      <c r="K323" t="n">
        <v>0</v>
      </c>
      <c r="L323" t="n">
        <v>0</v>
      </c>
      <c r="M323" t="n">
        <v>0</v>
      </c>
      <c r="N323" t="n">
        <v>0</v>
      </c>
      <c r="O323" t="n">
        <v>0</v>
      </c>
      <c r="P323" t="n">
        <v>0</v>
      </c>
      <c r="Q323" t="n">
        <v>1</v>
      </c>
      <c r="R323" s="2" t="inlineStr">
        <is>
          <t>Plattlummer</t>
        </is>
      </c>
      <c r="S323">
        <f>HYPERLINK("https://klasma.github.io/Logging_2161/artfynd/A 34233-2024 artfynd.xlsx", "A 34233-2024")</f>
        <v/>
      </c>
      <c r="T323">
        <f>HYPERLINK("https://klasma.github.io/Logging_2161/kartor/A 34233-2024 karta.png", "A 34233-2024")</f>
        <v/>
      </c>
      <c r="V323">
        <f>HYPERLINK("https://klasma.github.io/Logging_2161/klagomål/A 34233-2024 FSC-klagomål.docx", "A 34233-2024")</f>
        <v/>
      </c>
      <c r="W323">
        <f>HYPERLINK("https://klasma.github.io/Logging_2161/klagomålsmail/A 34233-2024 FSC-klagomål mail.docx", "A 34233-2024")</f>
        <v/>
      </c>
      <c r="X323">
        <f>HYPERLINK("https://klasma.github.io/Logging_2161/tillsyn/A 34233-2024 tillsynsbegäran.docx", "A 34233-2024")</f>
        <v/>
      </c>
      <c r="Y323">
        <f>HYPERLINK("https://klasma.github.io/Logging_2161/tillsynsmail/A 34233-2024 tillsynsbegäran mail.docx", "A 34233-2024")</f>
        <v/>
      </c>
    </row>
    <row r="324" ht="15" customHeight="1">
      <c r="A324" t="inlineStr">
        <is>
          <t>A 64604-2021</t>
        </is>
      </c>
      <c r="B324" s="1" t="n">
        <v>44511</v>
      </c>
      <c r="C324" s="1" t="n">
        <v>45883</v>
      </c>
      <c r="D324" t="inlineStr">
        <is>
          <t>GÄVLEBORGS LÄN</t>
        </is>
      </c>
      <c r="E324" t="inlineStr">
        <is>
          <t>HOFORS</t>
        </is>
      </c>
      <c r="F324" t="inlineStr">
        <is>
          <t>Kyrkan</t>
        </is>
      </c>
      <c r="G324" t="n">
        <v>1.7</v>
      </c>
      <c r="H324" t="n">
        <v>0</v>
      </c>
      <c r="I324" t="n">
        <v>1</v>
      </c>
      <c r="J324" t="n">
        <v>0</v>
      </c>
      <c r="K324" t="n">
        <v>0</v>
      </c>
      <c r="L324" t="n">
        <v>0</v>
      </c>
      <c r="M324" t="n">
        <v>0</v>
      </c>
      <c r="N324" t="n">
        <v>0</v>
      </c>
      <c r="O324" t="n">
        <v>0</v>
      </c>
      <c r="P324" t="n">
        <v>0</v>
      </c>
      <c r="Q324" t="n">
        <v>1</v>
      </c>
      <c r="R324" s="2" t="inlineStr">
        <is>
          <t>Bågpraktmossa</t>
        </is>
      </c>
      <c r="S324">
        <f>HYPERLINK("https://klasma.github.io/Logging_2104/artfynd/A 64604-2021 artfynd.xlsx", "A 64604-2021")</f>
        <v/>
      </c>
      <c r="T324">
        <f>HYPERLINK("https://klasma.github.io/Logging_2104/kartor/A 64604-2021 karta.png", "A 64604-2021")</f>
        <v/>
      </c>
      <c r="V324">
        <f>HYPERLINK("https://klasma.github.io/Logging_2104/klagomål/A 64604-2021 FSC-klagomål.docx", "A 64604-2021")</f>
        <v/>
      </c>
      <c r="W324">
        <f>HYPERLINK("https://klasma.github.io/Logging_2104/klagomålsmail/A 64604-2021 FSC-klagomål mail.docx", "A 64604-2021")</f>
        <v/>
      </c>
      <c r="X324">
        <f>HYPERLINK("https://klasma.github.io/Logging_2104/tillsyn/A 64604-2021 tillsynsbegäran.docx", "A 64604-2021")</f>
        <v/>
      </c>
      <c r="Y324">
        <f>HYPERLINK("https://klasma.github.io/Logging_2104/tillsynsmail/A 64604-2021 tillsynsbegäran mail.docx", "A 64604-2021")</f>
        <v/>
      </c>
    </row>
    <row r="325" ht="15" customHeight="1">
      <c r="A325" t="inlineStr">
        <is>
          <t>A 29691-2021</t>
        </is>
      </c>
      <c r="B325" s="1" t="n">
        <v>44362.37850694444</v>
      </c>
      <c r="C325" s="1" t="n">
        <v>45883</v>
      </c>
      <c r="D325" t="inlineStr">
        <is>
          <t>GÄVLEBORGS LÄN</t>
        </is>
      </c>
      <c r="E325" t="inlineStr">
        <is>
          <t>HUDIKSVALL</t>
        </is>
      </c>
      <c r="G325" t="n">
        <v>1.3</v>
      </c>
      <c r="H325" t="n">
        <v>0</v>
      </c>
      <c r="I325" t="n">
        <v>0</v>
      </c>
      <c r="J325" t="n">
        <v>0</v>
      </c>
      <c r="K325" t="n">
        <v>1</v>
      </c>
      <c r="L325" t="n">
        <v>0</v>
      </c>
      <c r="M325" t="n">
        <v>0</v>
      </c>
      <c r="N325" t="n">
        <v>0</v>
      </c>
      <c r="O325" t="n">
        <v>1</v>
      </c>
      <c r="P325" t="n">
        <v>1</v>
      </c>
      <c r="Q325" t="n">
        <v>1</v>
      </c>
      <c r="R325" s="2" t="inlineStr">
        <is>
          <t>Tallgråticka</t>
        </is>
      </c>
      <c r="S325">
        <f>HYPERLINK("https://klasma.github.io/Logging_2184/artfynd/A 29691-2021 artfynd.xlsx", "A 29691-2021")</f>
        <v/>
      </c>
      <c r="T325">
        <f>HYPERLINK("https://klasma.github.io/Logging_2184/kartor/A 29691-2021 karta.png", "A 29691-2021")</f>
        <v/>
      </c>
      <c r="V325">
        <f>HYPERLINK("https://klasma.github.io/Logging_2184/klagomål/A 29691-2021 FSC-klagomål.docx", "A 29691-2021")</f>
        <v/>
      </c>
      <c r="W325">
        <f>HYPERLINK("https://klasma.github.io/Logging_2184/klagomålsmail/A 29691-2021 FSC-klagomål mail.docx", "A 29691-2021")</f>
        <v/>
      </c>
      <c r="X325">
        <f>HYPERLINK("https://klasma.github.io/Logging_2184/tillsyn/A 29691-2021 tillsynsbegäran.docx", "A 29691-2021")</f>
        <v/>
      </c>
      <c r="Y325">
        <f>HYPERLINK("https://klasma.github.io/Logging_2184/tillsynsmail/A 29691-2021 tillsynsbegäran mail.docx", "A 29691-2021")</f>
        <v/>
      </c>
    </row>
    <row r="326" ht="15" customHeight="1">
      <c r="A326" t="inlineStr">
        <is>
          <t>A 63166-2023</t>
        </is>
      </c>
      <c r="B326" s="1" t="n">
        <v>45273</v>
      </c>
      <c r="C326" s="1" t="n">
        <v>45883</v>
      </c>
      <c r="D326" t="inlineStr">
        <is>
          <t>GÄVLEBORGS LÄN</t>
        </is>
      </c>
      <c r="E326" t="inlineStr">
        <is>
          <t>LJUSDAL</t>
        </is>
      </c>
      <c r="G326" t="n">
        <v>3.1</v>
      </c>
      <c r="H326" t="n">
        <v>0</v>
      </c>
      <c r="I326" t="n">
        <v>0</v>
      </c>
      <c r="J326" t="n">
        <v>1</v>
      </c>
      <c r="K326" t="n">
        <v>0</v>
      </c>
      <c r="L326" t="n">
        <v>0</v>
      </c>
      <c r="M326" t="n">
        <v>0</v>
      </c>
      <c r="N326" t="n">
        <v>0</v>
      </c>
      <c r="O326" t="n">
        <v>1</v>
      </c>
      <c r="P326" t="n">
        <v>0</v>
      </c>
      <c r="Q326" t="n">
        <v>1</v>
      </c>
      <c r="R326" s="2" t="inlineStr">
        <is>
          <t>Tallticka</t>
        </is>
      </c>
      <c r="S326">
        <f>HYPERLINK("https://klasma.github.io/Logging_2161/artfynd/A 63166-2023 artfynd.xlsx", "A 63166-2023")</f>
        <v/>
      </c>
      <c r="T326">
        <f>HYPERLINK("https://klasma.github.io/Logging_2161/kartor/A 63166-2023 karta.png", "A 63166-2023")</f>
        <v/>
      </c>
      <c r="V326">
        <f>HYPERLINK("https://klasma.github.io/Logging_2161/klagomål/A 63166-2023 FSC-klagomål.docx", "A 63166-2023")</f>
        <v/>
      </c>
      <c r="W326">
        <f>HYPERLINK("https://klasma.github.io/Logging_2161/klagomålsmail/A 63166-2023 FSC-klagomål mail.docx", "A 63166-2023")</f>
        <v/>
      </c>
      <c r="X326">
        <f>HYPERLINK("https://klasma.github.io/Logging_2161/tillsyn/A 63166-2023 tillsynsbegäran.docx", "A 63166-2023")</f>
        <v/>
      </c>
      <c r="Y326">
        <f>HYPERLINK("https://klasma.github.io/Logging_2161/tillsynsmail/A 63166-2023 tillsynsbegäran mail.docx", "A 63166-2023")</f>
        <v/>
      </c>
    </row>
    <row r="327" ht="15" customHeight="1">
      <c r="A327" t="inlineStr">
        <is>
          <t>A 57946-2023</t>
        </is>
      </c>
      <c r="B327" s="1" t="n">
        <v>45247.56151620371</v>
      </c>
      <c r="C327" s="1" t="n">
        <v>45883</v>
      </c>
      <c r="D327" t="inlineStr">
        <is>
          <t>GÄVLEBORGS LÄN</t>
        </is>
      </c>
      <c r="E327" t="inlineStr">
        <is>
          <t>OCKELBO</t>
        </is>
      </c>
      <c r="F327" t="inlineStr">
        <is>
          <t>Bergvik skog väst AB</t>
        </is>
      </c>
      <c r="G327" t="n">
        <v>2.4</v>
      </c>
      <c r="H327" t="n">
        <v>1</v>
      </c>
      <c r="I327" t="n">
        <v>0</v>
      </c>
      <c r="J327" t="n">
        <v>0</v>
      </c>
      <c r="K327" t="n">
        <v>0</v>
      </c>
      <c r="L327" t="n">
        <v>0</v>
      </c>
      <c r="M327" t="n">
        <v>0</v>
      </c>
      <c r="N327" t="n">
        <v>0</v>
      </c>
      <c r="O327" t="n">
        <v>0</v>
      </c>
      <c r="P327" t="n">
        <v>0</v>
      </c>
      <c r="Q327" t="n">
        <v>1</v>
      </c>
      <c r="R327" s="2" t="inlineStr">
        <is>
          <t>Revlummer</t>
        </is>
      </c>
      <c r="S327">
        <f>HYPERLINK("https://klasma.github.io/Logging_2101/artfynd/A 57946-2023 artfynd.xlsx", "A 57946-2023")</f>
        <v/>
      </c>
      <c r="T327">
        <f>HYPERLINK("https://klasma.github.io/Logging_2101/kartor/A 57946-2023 karta.png", "A 57946-2023")</f>
        <v/>
      </c>
      <c r="V327">
        <f>HYPERLINK("https://klasma.github.io/Logging_2101/klagomål/A 57946-2023 FSC-klagomål.docx", "A 57946-2023")</f>
        <v/>
      </c>
      <c r="W327">
        <f>HYPERLINK("https://klasma.github.io/Logging_2101/klagomålsmail/A 57946-2023 FSC-klagomål mail.docx", "A 57946-2023")</f>
        <v/>
      </c>
      <c r="X327">
        <f>HYPERLINK("https://klasma.github.io/Logging_2101/tillsyn/A 57946-2023 tillsynsbegäran.docx", "A 57946-2023")</f>
        <v/>
      </c>
      <c r="Y327">
        <f>HYPERLINK("https://klasma.github.io/Logging_2101/tillsynsmail/A 57946-2023 tillsynsbegäran mail.docx", "A 57946-2023")</f>
        <v/>
      </c>
    </row>
    <row r="328" ht="15" customHeight="1">
      <c r="A328" t="inlineStr">
        <is>
          <t>A 21029-2024</t>
        </is>
      </c>
      <c r="B328" s="1" t="n">
        <v>45439.6528125</v>
      </c>
      <c r="C328" s="1" t="n">
        <v>45883</v>
      </c>
      <c r="D328" t="inlineStr">
        <is>
          <t>GÄVLEBORGS LÄN</t>
        </is>
      </c>
      <c r="E328" t="inlineStr">
        <is>
          <t>HOFORS</t>
        </is>
      </c>
      <c r="F328" t="inlineStr">
        <is>
          <t>Sveaskog</t>
        </is>
      </c>
      <c r="G328" t="n">
        <v>3.9</v>
      </c>
      <c r="H328" t="n">
        <v>0</v>
      </c>
      <c r="I328" t="n">
        <v>0</v>
      </c>
      <c r="J328" t="n">
        <v>1</v>
      </c>
      <c r="K328" t="n">
        <v>0</v>
      </c>
      <c r="L328" t="n">
        <v>0</v>
      </c>
      <c r="M328" t="n">
        <v>0</v>
      </c>
      <c r="N328" t="n">
        <v>0</v>
      </c>
      <c r="O328" t="n">
        <v>1</v>
      </c>
      <c r="P328" t="n">
        <v>0</v>
      </c>
      <c r="Q328" t="n">
        <v>1</v>
      </c>
      <c r="R328" s="2" t="inlineStr">
        <is>
          <t>Mörk kolflarnlav</t>
        </is>
      </c>
      <c r="S328">
        <f>HYPERLINK("https://klasma.github.io/Logging_2104/artfynd/A 21029-2024 artfynd.xlsx", "A 21029-2024")</f>
        <v/>
      </c>
      <c r="T328">
        <f>HYPERLINK("https://klasma.github.io/Logging_2104/kartor/A 21029-2024 karta.png", "A 21029-2024")</f>
        <v/>
      </c>
      <c r="U328">
        <f>HYPERLINK("https://klasma.github.io/Logging_2104/knärot/A 21029-2024 karta knärot.png", "A 21029-2024")</f>
        <v/>
      </c>
      <c r="V328">
        <f>HYPERLINK("https://klasma.github.io/Logging_2104/klagomål/A 21029-2024 FSC-klagomål.docx", "A 21029-2024")</f>
        <v/>
      </c>
      <c r="W328">
        <f>HYPERLINK("https://klasma.github.io/Logging_2104/klagomålsmail/A 21029-2024 FSC-klagomål mail.docx", "A 21029-2024")</f>
        <v/>
      </c>
      <c r="X328">
        <f>HYPERLINK("https://klasma.github.io/Logging_2104/tillsyn/A 21029-2024 tillsynsbegäran.docx", "A 21029-2024")</f>
        <v/>
      </c>
      <c r="Y328">
        <f>HYPERLINK("https://klasma.github.io/Logging_2104/tillsynsmail/A 21029-2024 tillsynsbegäran mail.docx", "A 21029-2024")</f>
        <v/>
      </c>
    </row>
    <row r="329" ht="15" customHeight="1">
      <c r="A329" t="inlineStr">
        <is>
          <t>A 10783-2024</t>
        </is>
      </c>
      <c r="B329" s="1" t="n">
        <v>45369</v>
      </c>
      <c r="C329" s="1" t="n">
        <v>45883</v>
      </c>
      <c r="D329" t="inlineStr">
        <is>
          <t>GÄVLEBORGS LÄN</t>
        </is>
      </c>
      <c r="E329" t="inlineStr">
        <is>
          <t>SANDVIKEN</t>
        </is>
      </c>
      <c r="G329" t="n">
        <v>5</v>
      </c>
      <c r="H329" t="n">
        <v>1</v>
      </c>
      <c r="I329" t="n">
        <v>0</v>
      </c>
      <c r="J329" t="n">
        <v>0</v>
      </c>
      <c r="K329" t="n">
        <v>0</v>
      </c>
      <c r="L329" t="n">
        <v>0</v>
      </c>
      <c r="M329" t="n">
        <v>0</v>
      </c>
      <c r="N329" t="n">
        <v>0</v>
      </c>
      <c r="O329" t="n">
        <v>0</v>
      </c>
      <c r="P329" t="n">
        <v>0</v>
      </c>
      <c r="Q329" t="n">
        <v>1</v>
      </c>
      <c r="R329" s="2" t="inlineStr">
        <is>
          <t>Blåsippa</t>
        </is>
      </c>
      <c r="S329">
        <f>HYPERLINK("https://klasma.github.io/Logging_2181/artfynd/A 10783-2024 artfynd.xlsx", "A 10783-2024")</f>
        <v/>
      </c>
      <c r="T329">
        <f>HYPERLINK("https://klasma.github.io/Logging_2181/kartor/A 10783-2024 karta.png", "A 10783-2024")</f>
        <v/>
      </c>
      <c r="V329">
        <f>HYPERLINK("https://klasma.github.io/Logging_2181/klagomål/A 10783-2024 FSC-klagomål.docx", "A 10783-2024")</f>
        <v/>
      </c>
      <c r="W329">
        <f>HYPERLINK("https://klasma.github.io/Logging_2181/klagomålsmail/A 10783-2024 FSC-klagomål mail.docx", "A 10783-2024")</f>
        <v/>
      </c>
      <c r="X329">
        <f>HYPERLINK("https://klasma.github.io/Logging_2181/tillsyn/A 10783-2024 tillsynsbegäran.docx", "A 10783-2024")</f>
        <v/>
      </c>
      <c r="Y329">
        <f>HYPERLINK("https://klasma.github.io/Logging_2181/tillsynsmail/A 10783-2024 tillsynsbegäran mail.docx", "A 10783-2024")</f>
        <v/>
      </c>
    </row>
    <row r="330" ht="15" customHeight="1">
      <c r="A330" t="inlineStr">
        <is>
          <t>A 58168-2020</t>
        </is>
      </c>
      <c r="B330" s="1" t="n">
        <v>44144</v>
      </c>
      <c r="C330" s="1" t="n">
        <v>45883</v>
      </c>
      <c r="D330" t="inlineStr">
        <is>
          <t>GÄVLEBORGS LÄN</t>
        </is>
      </c>
      <c r="E330" t="inlineStr">
        <is>
          <t>GÄVLE</t>
        </is>
      </c>
      <c r="F330" t="inlineStr">
        <is>
          <t>Bergvik skog öst AB</t>
        </is>
      </c>
      <c r="G330" t="n">
        <v>3.7</v>
      </c>
      <c r="H330" t="n">
        <v>1</v>
      </c>
      <c r="I330" t="n">
        <v>0</v>
      </c>
      <c r="J330" t="n">
        <v>0</v>
      </c>
      <c r="K330" t="n">
        <v>1</v>
      </c>
      <c r="L330" t="n">
        <v>0</v>
      </c>
      <c r="M330" t="n">
        <v>0</v>
      </c>
      <c r="N330" t="n">
        <v>0</v>
      </c>
      <c r="O330" t="n">
        <v>1</v>
      </c>
      <c r="P330" t="n">
        <v>1</v>
      </c>
      <c r="Q330" t="n">
        <v>1</v>
      </c>
      <c r="R330" s="2" t="inlineStr">
        <is>
          <t>Knärot</t>
        </is>
      </c>
      <c r="S330">
        <f>HYPERLINK("https://klasma.github.io/Logging_2180/artfynd/A 58168-2020 artfynd.xlsx", "A 58168-2020")</f>
        <v/>
      </c>
      <c r="T330">
        <f>HYPERLINK("https://klasma.github.io/Logging_2180/kartor/A 58168-2020 karta.png", "A 58168-2020")</f>
        <v/>
      </c>
      <c r="U330">
        <f>HYPERLINK("https://klasma.github.io/Logging_2180/knärot/A 58168-2020 karta knärot.png", "A 58168-2020")</f>
        <v/>
      </c>
      <c r="V330">
        <f>HYPERLINK("https://klasma.github.io/Logging_2180/klagomål/A 58168-2020 FSC-klagomål.docx", "A 58168-2020")</f>
        <v/>
      </c>
      <c r="W330">
        <f>HYPERLINK("https://klasma.github.io/Logging_2180/klagomålsmail/A 58168-2020 FSC-klagomål mail.docx", "A 58168-2020")</f>
        <v/>
      </c>
      <c r="X330">
        <f>HYPERLINK("https://klasma.github.io/Logging_2180/tillsyn/A 58168-2020 tillsynsbegäran.docx", "A 58168-2020")</f>
        <v/>
      </c>
      <c r="Y330">
        <f>HYPERLINK("https://klasma.github.io/Logging_2180/tillsynsmail/A 58168-2020 tillsynsbegäran mail.docx", "A 58168-2020")</f>
        <v/>
      </c>
    </row>
    <row r="331" ht="15" customHeight="1">
      <c r="A331" t="inlineStr">
        <is>
          <t>A 31066-2024</t>
        </is>
      </c>
      <c r="B331" s="1" t="n">
        <v>45502.42929398148</v>
      </c>
      <c r="C331" s="1" t="n">
        <v>45883</v>
      </c>
      <c r="D331" t="inlineStr">
        <is>
          <t>GÄVLEBORGS LÄN</t>
        </is>
      </c>
      <c r="E331" t="inlineStr">
        <is>
          <t>NORDANSTIG</t>
        </is>
      </c>
      <c r="F331" t="inlineStr">
        <is>
          <t>Holmen skog AB</t>
        </is>
      </c>
      <c r="G331" t="n">
        <v>4.7</v>
      </c>
      <c r="H331" t="n">
        <v>0</v>
      </c>
      <c r="I331" t="n">
        <v>0</v>
      </c>
      <c r="J331" t="n">
        <v>1</v>
      </c>
      <c r="K331" t="n">
        <v>0</v>
      </c>
      <c r="L331" t="n">
        <v>0</v>
      </c>
      <c r="M331" t="n">
        <v>0</v>
      </c>
      <c r="N331" t="n">
        <v>0</v>
      </c>
      <c r="O331" t="n">
        <v>1</v>
      </c>
      <c r="P331" t="n">
        <v>0</v>
      </c>
      <c r="Q331" t="n">
        <v>1</v>
      </c>
      <c r="R331" s="2" t="inlineStr">
        <is>
          <t>Lunglav</t>
        </is>
      </c>
      <c r="S331">
        <f>HYPERLINK("https://klasma.github.io/Logging_2132/artfynd/A 31066-2024 artfynd.xlsx", "A 31066-2024")</f>
        <v/>
      </c>
      <c r="T331">
        <f>HYPERLINK("https://klasma.github.io/Logging_2132/kartor/A 31066-2024 karta.png", "A 31066-2024")</f>
        <v/>
      </c>
      <c r="V331">
        <f>HYPERLINK("https://klasma.github.io/Logging_2132/klagomål/A 31066-2024 FSC-klagomål.docx", "A 31066-2024")</f>
        <v/>
      </c>
      <c r="W331">
        <f>HYPERLINK("https://klasma.github.io/Logging_2132/klagomålsmail/A 31066-2024 FSC-klagomål mail.docx", "A 31066-2024")</f>
        <v/>
      </c>
      <c r="X331">
        <f>HYPERLINK("https://klasma.github.io/Logging_2132/tillsyn/A 31066-2024 tillsynsbegäran.docx", "A 31066-2024")</f>
        <v/>
      </c>
      <c r="Y331">
        <f>HYPERLINK("https://klasma.github.io/Logging_2132/tillsynsmail/A 31066-2024 tillsynsbegäran mail.docx", "A 31066-2024")</f>
        <v/>
      </c>
    </row>
    <row r="332" ht="15" customHeight="1">
      <c r="A332" t="inlineStr">
        <is>
          <t>A 31068-2024</t>
        </is>
      </c>
      <c r="B332" s="1" t="n">
        <v>45502.43518518518</v>
      </c>
      <c r="C332" s="1" t="n">
        <v>45883</v>
      </c>
      <c r="D332" t="inlineStr">
        <is>
          <t>GÄVLEBORGS LÄN</t>
        </is>
      </c>
      <c r="E332" t="inlineStr">
        <is>
          <t>NORDANSTIG</t>
        </is>
      </c>
      <c r="F332" t="inlineStr">
        <is>
          <t>Holmen skog AB</t>
        </is>
      </c>
      <c r="G332" t="n">
        <v>4.6</v>
      </c>
      <c r="H332" t="n">
        <v>0</v>
      </c>
      <c r="I332" t="n">
        <v>0</v>
      </c>
      <c r="J332" t="n">
        <v>1</v>
      </c>
      <c r="K332" t="n">
        <v>0</v>
      </c>
      <c r="L332" t="n">
        <v>0</v>
      </c>
      <c r="M332" t="n">
        <v>0</v>
      </c>
      <c r="N332" t="n">
        <v>0</v>
      </c>
      <c r="O332" t="n">
        <v>1</v>
      </c>
      <c r="P332" t="n">
        <v>0</v>
      </c>
      <c r="Q332" t="n">
        <v>1</v>
      </c>
      <c r="R332" s="2" t="inlineStr">
        <is>
          <t>Granticka</t>
        </is>
      </c>
      <c r="S332">
        <f>HYPERLINK("https://klasma.github.io/Logging_2132/artfynd/A 31068-2024 artfynd.xlsx", "A 31068-2024")</f>
        <v/>
      </c>
      <c r="T332">
        <f>HYPERLINK("https://klasma.github.io/Logging_2132/kartor/A 31068-2024 karta.png", "A 31068-2024")</f>
        <v/>
      </c>
      <c r="V332">
        <f>HYPERLINK("https://klasma.github.io/Logging_2132/klagomål/A 31068-2024 FSC-klagomål.docx", "A 31068-2024")</f>
        <v/>
      </c>
      <c r="W332">
        <f>HYPERLINK("https://klasma.github.io/Logging_2132/klagomålsmail/A 31068-2024 FSC-klagomål mail.docx", "A 31068-2024")</f>
        <v/>
      </c>
      <c r="X332">
        <f>HYPERLINK("https://klasma.github.io/Logging_2132/tillsyn/A 31068-2024 tillsynsbegäran.docx", "A 31068-2024")</f>
        <v/>
      </c>
      <c r="Y332">
        <f>HYPERLINK("https://klasma.github.io/Logging_2132/tillsynsmail/A 31068-2024 tillsynsbegäran mail.docx", "A 31068-2024")</f>
        <v/>
      </c>
    </row>
    <row r="333" ht="15" customHeight="1">
      <c r="A333" t="inlineStr">
        <is>
          <t>A 25490-2021</t>
        </is>
      </c>
      <c r="B333" s="1" t="n">
        <v>44342</v>
      </c>
      <c r="C333" s="1" t="n">
        <v>45883</v>
      </c>
      <c r="D333" t="inlineStr">
        <is>
          <t>GÄVLEBORGS LÄN</t>
        </is>
      </c>
      <c r="E333" t="inlineStr">
        <is>
          <t>LJUSDAL</t>
        </is>
      </c>
      <c r="G333" t="n">
        <v>6.3</v>
      </c>
      <c r="H333" t="n">
        <v>1</v>
      </c>
      <c r="I333" t="n">
        <v>0</v>
      </c>
      <c r="J333" t="n">
        <v>1</v>
      </c>
      <c r="K333" t="n">
        <v>0</v>
      </c>
      <c r="L333" t="n">
        <v>0</v>
      </c>
      <c r="M333" t="n">
        <v>0</v>
      </c>
      <c r="N333" t="n">
        <v>0</v>
      </c>
      <c r="O333" t="n">
        <v>1</v>
      </c>
      <c r="P333" t="n">
        <v>0</v>
      </c>
      <c r="Q333" t="n">
        <v>1</v>
      </c>
      <c r="R333" s="2" t="inlineStr">
        <is>
          <t>Tretåig hackspett</t>
        </is>
      </c>
      <c r="S333">
        <f>HYPERLINK("https://klasma.github.io/Logging_2161/artfynd/A 25490-2021 artfynd.xlsx", "A 25490-2021")</f>
        <v/>
      </c>
      <c r="T333">
        <f>HYPERLINK("https://klasma.github.io/Logging_2161/kartor/A 25490-2021 karta.png", "A 25490-2021")</f>
        <v/>
      </c>
      <c r="U333">
        <f>HYPERLINK("https://klasma.github.io/Logging_2161/knärot/A 25490-2021 karta knärot.png", "A 25490-2021")</f>
        <v/>
      </c>
      <c r="V333">
        <f>HYPERLINK("https://klasma.github.io/Logging_2161/klagomål/A 25490-2021 FSC-klagomål.docx", "A 25490-2021")</f>
        <v/>
      </c>
      <c r="W333">
        <f>HYPERLINK("https://klasma.github.io/Logging_2161/klagomålsmail/A 25490-2021 FSC-klagomål mail.docx", "A 25490-2021")</f>
        <v/>
      </c>
      <c r="X333">
        <f>HYPERLINK("https://klasma.github.io/Logging_2161/tillsyn/A 25490-2021 tillsynsbegäran.docx", "A 25490-2021")</f>
        <v/>
      </c>
      <c r="Y333">
        <f>HYPERLINK("https://klasma.github.io/Logging_2161/tillsynsmail/A 25490-2021 tillsynsbegäran mail.docx", "A 25490-2021")</f>
        <v/>
      </c>
      <c r="Z333">
        <f>HYPERLINK("https://klasma.github.io/Logging_2161/fåglar/A 25490-2021 prioriterade fågelarter.docx", "A 25490-2021")</f>
        <v/>
      </c>
    </row>
    <row r="334" ht="15" customHeight="1">
      <c r="A334" t="inlineStr">
        <is>
          <t>A 29855-2021</t>
        </is>
      </c>
      <c r="B334" s="1" t="n">
        <v>44362.66085648148</v>
      </c>
      <c r="C334" s="1" t="n">
        <v>45883</v>
      </c>
      <c r="D334" t="inlineStr">
        <is>
          <t>GÄVLEBORGS LÄN</t>
        </is>
      </c>
      <c r="E334" t="inlineStr">
        <is>
          <t>OVANÅKER</t>
        </is>
      </c>
      <c r="F334" t="inlineStr">
        <is>
          <t>Sveaskog</t>
        </is>
      </c>
      <c r="G334" t="n">
        <v>5.5</v>
      </c>
      <c r="H334" t="n">
        <v>0</v>
      </c>
      <c r="I334" t="n">
        <v>0</v>
      </c>
      <c r="J334" t="n">
        <v>1</v>
      </c>
      <c r="K334" t="n">
        <v>0</v>
      </c>
      <c r="L334" t="n">
        <v>0</v>
      </c>
      <c r="M334" t="n">
        <v>0</v>
      </c>
      <c r="N334" t="n">
        <v>0</v>
      </c>
      <c r="O334" t="n">
        <v>1</v>
      </c>
      <c r="P334" t="n">
        <v>0</v>
      </c>
      <c r="Q334" t="n">
        <v>1</v>
      </c>
      <c r="R334" s="2" t="inlineStr">
        <is>
          <t>Lunglav</t>
        </is>
      </c>
      <c r="S334">
        <f>HYPERLINK("https://klasma.github.io/Logging_2121/artfynd/A 29855-2021 artfynd.xlsx", "A 29855-2021")</f>
        <v/>
      </c>
      <c r="T334">
        <f>HYPERLINK("https://klasma.github.io/Logging_2121/kartor/A 29855-2021 karta.png", "A 29855-2021")</f>
        <v/>
      </c>
      <c r="V334">
        <f>HYPERLINK("https://klasma.github.io/Logging_2121/klagomål/A 29855-2021 FSC-klagomål.docx", "A 29855-2021")</f>
        <v/>
      </c>
      <c r="W334">
        <f>HYPERLINK("https://klasma.github.io/Logging_2121/klagomålsmail/A 29855-2021 FSC-klagomål mail.docx", "A 29855-2021")</f>
        <v/>
      </c>
      <c r="X334">
        <f>HYPERLINK("https://klasma.github.io/Logging_2121/tillsyn/A 29855-2021 tillsynsbegäran.docx", "A 29855-2021")</f>
        <v/>
      </c>
      <c r="Y334">
        <f>HYPERLINK("https://klasma.github.io/Logging_2121/tillsynsmail/A 29855-2021 tillsynsbegäran mail.docx", "A 29855-2021")</f>
        <v/>
      </c>
    </row>
    <row r="335" ht="15" customHeight="1">
      <c r="A335" t="inlineStr">
        <is>
          <t>A 21196-2024</t>
        </is>
      </c>
      <c r="B335" s="1" t="n">
        <v>45440</v>
      </c>
      <c r="C335" s="1" t="n">
        <v>45883</v>
      </c>
      <c r="D335" t="inlineStr">
        <is>
          <t>GÄVLEBORGS LÄN</t>
        </is>
      </c>
      <c r="E335" t="inlineStr">
        <is>
          <t>SANDVIKEN</t>
        </is>
      </c>
      <c r="F335" t="inlineStr">
        <is>
          <t>Kommuner</t>
        </is>
      </c>
      <c r="G335" t="n">
        <v>45.5</v>
      </c>
      <c r="H335" t="n">
        <v>1</v>
      </c>
      <c r="I335" t="n">
        <v>0</v>
      </c>
      <c r="J335" t="n">
        <v>0</v>
      </c>
      <c r="K335" t="n">
        <v>1</v>
      </c>
      <c r="L335" t="n">
        <v>0</v>
      </c>
      <c r="M335" t="n">
        <v>0</v>
      </c>
      <c r="N335" t="n">
        <v>0</v>
      </c>
      <c r="O335" t="n">
        <v>1</v>
      </c>
      <c r="P335" t="n">
        <v>1</v>
      </c>
      <c r="Q335" t="n">
        <v>1</v>
      </c>
      <c r="R335" s="2" t="inlineStr">
        <is>
          <t>Lappuggla</t>
        </is>
      </c>
      <c r="S335">
        <f>HYPERLINK("https://klasma.github.io/Logging_2181/artfynd/A 21196-2024 artfynd.xlsx", "A 21196-2024")</f>
        <v/>
      </c>
      <c r="T335">
        <f>HYPERLINK("https://klasma.github.io/Logging_2181/kartor/A 21196-2024 karta.png", "A 21196-2024")</f>
        <v/>
      </c>
      <c r="V335">
        <f>HYPERLINK("https://klasma.github.io/Logging_2181/klagomål/A 21196-2024 FSC-klagomål.docx", "A 21196-2024")</f>
        <v/>
      </c>
      <c r="W335">
        <f>HYPERLINK("https://klasma.github.io/Logging_2181/klagomålsmail/A 21196-2024 FSC-klagomål mail.docx", "A 21196-2024")</f>
        <v/>
      </c>
      <c r="X335">
        <f>HYPERLINK("https://klasma.github.io/Logging_2181/tillsyn/A 21196-2024 tillsynsbegäran.docx", "A 21196-2024")</f>
        <v/>
      </c>
      <c r="Y335">
        <f>HYPERLINK("https://klasma.github.io/Logging_2181/tillsynsmail/A 21196-2024 tillsynsbegäran mail.docx", "A 21196-2024")</f>
        <v/>
      </c>
      <c r="Z335">
        <f>HYPERLINK("https://klasma.github.io/Logging_2181/fåglar/A 21196-2024 prioriterade fågelarter.docx", "A 21196-2024")</f>
        <v/>
      </c>
    </row>
    <row r="336" ht="15" customHeight="1">
      <c r="A336" t="inlineStr">
        <is>
          <t>A 14392-2025</t>
        </is>
      </c>
      <c r="B336" s="1" t="n">
        <v>45741.43090277778</v>
      </c>
      <c r="C336" s="1" t="n">
        <v>45883</v>
      </c>
      <c r="D336" t="inlineStr">
        <is>
          <t>GÄVLEBORGS LÄN</t>
        </is>
      </c>
      <c r="E336" t="inlineStr">
        <is>
          <t>NORDANSTIG</t>
        </is>
      </c>
      <c r="G336" t="n">
        <v>28.6</v>
      </c>
      <c r="H336" t="n">
        <v>0</v>
      </c>
      <c r="I336" t="n">
        <v>0</v>
      </c>
      <c r="J336" t="n">
        <v>1</v>
      </c>
      <c r="K336" t="n">
        <v>0</v>
      </c>
      <c r="L336" t="n">
        <v>0</v>
      </c>
      <c r="M336" t="n">
        <v>0</v>
      </c>
      <c r="N336" t="n">
        <v>0</v>
      </c>
      <c r="O336" t="n">
        <v>1</v>
      </c>
      <c r="P336" t="n">
        <v>0</v>
      </c>
      <c r="Q336" t="n">
        <v>1</v>
      </c>
      <c r="R336" s="2" t="inlineStr">
        <is>
          <t>Violettgrå tagellav</t>
        </is>
      </c>
      <c r="S336">
        <f>HYPERLINK("https://klasma.github.io/Logging_2132/artfynd/A 14392-2025 artfynd.xlsx", "A 14392-2025")</f>
        <v/>
      </c>
      <c r="T336">
        <f>HYPERLINK("https://klasma.github.io/Logging_2132/kartor/A 14392-2025 karta.png", "A 14392-2025")</f>
        <v/>
      </c>
      <c r="V336">
        <f>HYPERLINK("https://klasma.github.io/Logging_2132/klagomål/A 14392-2025 FSC-klagomål.docx", "A 14392-2025")</f>
        <v/>
      </c>
      <c r="W336">
        <f>HYPERLINK("https://klasma.github.io/Logging_2132/klagomålsmail/A 14392-2025 FSC-klagomål mail.docx", "A 14392-2025")</f>
        <v/>
      </c>
      <c r="X336">
        <f>HYPERLINK("https://klasma.github.io/Logging_2132/tillsyn/A 14392-2025 tillsynsbegäran.docx", "A 14392-2025")</f>
        <v/>
      </c>
      <c r="Y336">
        <f>HYPERLINK("https://klasma.github.io/Logging_2132/tillsynsmail/A 14392-2025 tillsynsbegäran mail.docx", "A 14392-2025")</f>
        <v/>
      </c>
    </row>
    <row r="337" ht="15" customHeight="1">
      <c r="A337" t="inlineStr">
        <is>
          <t>A 22667-2024</t>
        </is>
      </c>
      <c r="B337" s="1" t="n">
        <v>45447.94438657408</v>
      </c>
      <c r="C337" s="1" t="n">
        <v>45883</v>
      </c>
      <c r="D337" t="inlineStr">
        <is>
          <t>GÄVLEBORGS LÄN</t>
        </is>
      </c>
      <c r="E337" t="inlineStr">
        <is>
          <t>LJUSDAL</t>
        </is>
      </c>
      <c r="F337" t="inlineStr">
        <is>
          <t>SCA</t>
        </is>
      </c>
      <c r="G337" t="n">
        <v>5.3</v>
      </c>
      <c r="H337" t="n">
        <v>1</v>
      </c>
      <c r="I337" t="n">
        <v>0</v>
      </c>
      <c r="J337" t="n">
        <v>0</v>
      </c>
      <c r="K337" t="n">
        <v>1</v>
      </c>
      <c r="L337" t="n">
        <v>0</v>
      </c>
      <c r="M337" t="n">
        <v>0</v>
      </c>
      <c r="N337" t="n">
        <v>0</v>
      </c>
      <c r="O337" t="n">
        <v>1</v>
      </c>
      <c r="P337" t="n">
        <v>1</v>
      </c>
      <c r="Q337" t="n">
        <v>1</v>
      </c>
      <c r="R337" s="2" t="inlineStr">
        <is>
          <t>Knärot</t>
        </is>
      </c>
      <c r="S337">
        <f>HYPERLINK("https://klasma.github.io/Logging_2161/artfynd/A 22667-2024 artfynd.xlsx", "A 22667-2024")</f>
        <v/>
      </c>
      <c r="T337">
        <f>HYPERLINK("https://klasma.github.io/Logging_2161/kartor/A 22667-2024 karta.png", "A 22667-2024")</f>
        <v/>
      </c>
      <c r="U337">
        <f>HYPERLINK("https://klasma.github.io/Logging_2161/knärot/A 22667-2024 karta knärot.png", "A 22667-2024")</f>
        <v/>
      </c>
      <c r="V337">
        <f>HYPERLINK("https://klasma.github.io/Logging_2161/klagomål/A 22667-2024 FSC-klagomål.docx", "A 22667-2024")</f>
        <v/>
      </c>
      <c r="W337">
        <f>HYPERLINK("https://klasma.github.io/Logging_2161/klagomålsmail/A 22667-2024 FSC-klagomål mail.docx", "A 22667-2024")</f>
        <v/>
      </c>
      <c r="X337">
        <f>HYPERLINK("https://klasma.github.io/Logging_2161/tillsyn/A 22667-2024 tillsynsbegäran.docx", "A 22667-2024")</f>
        <v/>
      </c>
      <c r="Y337">
        <f>HYPERLINK("https://klasma.github.io/Logging_2161/tillsynsmail/A 22667-2024 tillsynsbegäran mail.docx", "A 22667-2024")</f>
        <v/>
      </c>
    </row>
    <row r="338" ht="15" customHeight="1">
      <c r="A338" t="inlineStr">
        <is>
          <t>A 23644-2024</t>
        </is>
      </c>
      <c r="B338" s="1" t="n">
        <v>45454</v>
      </c>
      <c r="C338" s="1" t="n">
        <v>45883</v>
      </c>
      <c r="D338" t="inlineStr">
        <is>
          <t>GÄVLEBORGS LÄN</t>
        </is>
      </c>
      <c r="E338" t="inlineStr">
        <is>
          <t>LJUSDAL</t>
        </is>
      </c>
      <c r="F338" t="inlineStr">
        <is>
          <t>Sveaskog</t>
        </is>
      </c>
      <c r="G338" t="n">
        <v>26.6</v>
      </c>
      <c r="H338" t="n">
        <v>0</v>
      </c>
      <c r="I338" t="n">
        <v>0</v>
      </c>
      <c r="J338" t="n">
        <v>1</v>
      </c>
      <c r="K338" t="n">
        <v>0</v>
      </c>
      <c r="L338" t="n">
        <v>0</v>
      </c>
      <c r="M338" t="n">
        <v>0</v>
      </c>
      <c r="N338" t="n">
        <v>0</v>
      </c>
      <c r="O338" t="n">
        <v>1</v>
      </c>
      <c r="P338" t="n">
        <v>0</v>
      </c>
      <c r="Q338" t="n">
        <v>1</v>
      </c>
      <c r="R338" s="2" t="inlineStr">
        <is>
          <t>Kolflarnlav</t>
        </is>
      </c>
      <c r="S338">
        <f>HYPERLINK("https://klasma.github.io/Logging_2161/artfynd/A 23644-2024 artfynd.xlsx", "A 23644-2024")</f>
        <v/>
      </c>
      <c r="T338">
        <f>HYPERLINK("https://klasma.github.io/Logging_2161/kartor/A 23644-2024 karta.png", "A 23644-2024")</f>
        <v/>
      </c>
      <c r="V338">
        <f>HYPERLINK("https://klasma.github.io/Logging_2161/klagomål/A 23644-2024 FSC-klagomål.docx", "A 23644-2024")</f>
        <v/>
      </c>
      <c r="W338">
        <f>HYPERLINK("https://klasma.github.io/Logging_2161/klagomålsmail/A 23644-2024 FSC-klagomål mail.docx", "A 23644-2024")</f>
        <v/>
      </c>
      <c r="X338">
        <f>HYPERLINK("https://klasma.github.io/Logging_2161/tillsyn/A 23644-2024 tillsynsbegäran.docx", "A 23644-2024")</f>
        <v/>
      </c>
      <c r="Y338">
        <f>HYPERLINK("https://klasma.github.io/Logging_2161/tillsynsmail/A 23644-2024 tillsynsbegäran mail.docx", "A 23644-2024")</f>
        <v/>
      </c>
    </row>
    <row r="339" ht="15" customHeight="1">
      <c r="A339" t="inlineStr">
        <is>
          <t>A 34597-2024</t>
        </is>
      </c>
      <c r="B339" s="1" t="n">
        <v>45526</v>
      </c>
      <c r="C339" s="1" t="n">
        <v>45883</v>
      </c>
      <c r="D339" t="inlineStr">
        <is>
          <t>GÄVLEBORGS LÄN</t>
        </is>
      </c>
      <c r="E339" t="inlineStr">
        <is>
          <t>LJUSDAL</t>
        </is>
      </c>
      <c r="F339" t="inlineStr">
        <is>
          <t>Sveaskog</t>
        </is>
      </c>
      <c r="G339" t="n">
        <v>2.1</v>
      </c>
      <c r="H339" t="n">
        <v>0</v>
      </c>
      <c r="I339" t="n">
        <v>0</v>
      </c>
      <c r="J339" t="n">
        <v>1</v>
      </c>
      <c r="K339" t="n">
        <v>0</v>
      </c>
      <c r="L339" t="n">
        <v>0</v>
      </c>
      <c r="M339" t="n">
        <v>0</v>
      </c>
      <c r="N339" t="n">
        <v>0</v>
      </c>
      <c r="O339" t="n">
        <v>1</v>
      </c>
      <c r="P339" t="n">
        <v>0</v>
      </c>
      <c r="Q339" t="n">
        <v>1</v>
      </c>
      <c r="R339" s="2" t="inlineStr">
        <is>
          <t>Garnlav</t>
        </is>
      </c>
      <c r="S339">
        <f>HYPERLINK("https://klasma.github.io/Logging_2161/artfynd/A 34597-2024 artfynd.xlsx", "A 34597-2024")</f>
        <v/>
      </c>
      <c r="T339">
        <f>HYPERLINK("https://klasma.github.io/Logging_2161/kartor/A 34597-2024 karta.png", "A 34597-2024")</f>
        <v/>
      </c>
      <c r="V339">
        <f>HYPERLINK("https://klasma.github.io/Logging_2161/klagomål/A 34597-2024 FSC-klagomål.docx", "A 34597-2024")</f>
        <v/>
      </c>
      <c r="W339">
        <f>HYPERLINK("https://klasma.github.io/Logging_2161/klagomålsmail/A 34597-2024 FSC-klagomål mail.docx", "A 34597-2024")</f>
        <v/>
      </c>
      <c r="X339">
        <f>HYPERLINK("https://klasma.github.io/Logging_2161/tillsyn/A 34597-2024 tillsynsbegäran.docx", "A 34597-2024")</f>
        <v/>
      </c>
      <c r="Y339">
        <f>HYPERLINK("https://klasma.github.io/Logging_2161/tillsynsmail/A 34597-2024 tillsynsbegäran mail.docx", "A 34597-2024")</f>
        <v/>
      </c>
    </row>
    <row r="340" ht="15" customHeight="1">
      <c r="A340" t="inlineStr">
        <is>
          <t>A 15841-2023</t>
        </is>
      </c>
      <c r="B340" s="1" t="n">
        <v>45022</v>
      </c>
      <c r="C340" s="1" t="n">
        <v>45883</v>
      </c>
      <c r="D340" t="inlineStr">
        <is>
          <t>GÄVLEBORGS LÄN</t>
        </is>
      </c>
      <c r="E340" t="inlineStr">
        <is>
          <t>OCKELBO</t>
        </is>
      </c>
      <c r="F340" t="inlineStr">
        <is>
          <t>Bergvik skog väst AB</t>
        </is>
      </c>
      <c r="G340" t="n">
        <v>2.1</v>
      </c>
      <c r="H340" t="n">
        <v>1</v>
      </c>
      <c r="I340" t="n">
        <v>0</v>
      </c>
      <c r="J340" t="n">
        <v>1</v>
      </c>
      <c r="K340" t="n">
        <v>0</v>
      </c>
      <c r="L340" t="n">
        <v>0</v>
      </c>
      <c r="M340" t="n">
        <v>0</v>
      </c>
      <c r="N340" t="n">
        <v>0</v>
      </c>
      <c r="O340" t="n">
        <v>1</v>
      </c>
      <c r="P340" t="n">
        <v>0</v>
      </c>
      <c r="Q340" t="n">
        <v>1</v>
      </c>
      <c r="R340" s="2" t="inlineStr">
        <is>
          <t>Havsörn</t>
        </is>
      </c>
      <c r="S340">
        <f>HYPERLINK("https://klasma.github.io/Logging_2101/artfynd/A 15841-2023 artfynd.xlsx", "A 15841-2023")</f>
        <v/>
      </c>
      <c r="T340">
        <f>HYPERLINK("https://klasma.github.io/Logging_2101/kartor/A 15841-2023 karta.png", "A 15841-2023")</f>
        <v/>
      </c>
      <c r="V340">
        <f>HYPERLINK("https://klasma.github.io/Logging_2101/klagomål/A 15841-2023 FSC-klagomål.docx", "A 15841-2023")</f>
        <v/>
      </c>
      <c r="W340">
        <f>HYPERLINK("https://klasma.github.io/Logging_2101/klagomålsmail/A 15841-2023 FSC-klagomål mail.docx", "A 15841-2023")</f>
        <v/>
      </c>
      <c r="X340">
        <f>HYPERLINK("https://klasma.github.io/Logging_2101/tillsyn/A 15841-2023 tillsynsbegäran.docx", "A 15841-2023")</f>
        <v/>
      </c>
      <c r="Y340">
        <f>HYPERLINK("https://klasma.github.io/Logging_2101/tillsynsmail/A 15841-2023 tillsynsbegäran mail.docx", "A 15841-2023")</f>
        <v/>
      </c>
      <c r="Z340">
        <f>HYPERLINK("https://klasma.github.io/Logging_2101/fåglar/A 15841-2023 prioriterade fågelarter.docx", "A 15841-2023")</f>
        <v/>
      </c>
    </row>
    <row r="341" ht="15" customHeight="1">
      <c r="A341" t="inlineStr">
        <is>
          <t>A 34475-2024</t>
        </is>
      </c>
      <c r="B341" s="1" t="n">
        <v>45525.59913194444</v>
      </c>
      <c r="C341" s="1" t="n">
        <v>45883</v>
      </c>
      <c r="D341" t="inlineStr">
        <is>
          <t>GÄVLEBORGS LÄN</t>
        </is>
      </c>
      <c r="E341" t="inlineStr">
        <is>
          <t>BOLLNÄS</t>
        </is>
      </c>
      <c r="F341" t="inlineStr">
        <is>
          <t>Bergvik skog väst AB</t>
        </is>
      </c>
      <c r="G341" t="n">
        <v>7.8</v>
      </c>
      <c r="H341" t="n">
        <v>0</v>
      </c>
      <c r="I341" t="n">
        <v>1</v>
      </c>
      <c r="J341" t="n">
        <v>0</v>
      </c>
      <c r="K341" t="n">
        <v>0</v>
      </c>
      <c r="L341" t="n">
        <v>0</v>
      </c>
      <c r="M341" t="n">
        <v>0</v>
      </c>
      <c r="N341" t="n">
        <v>0</v>
      </c>
      <c r="O341" t="n">
        <v>0</v>
      </c>
      <c r="P341" t="n">
        <v>0</v>
      </c>
      <c r="Q341" t="n">
        <v>1</v>
      </c>
      <c r="R341" s="2" t="inlineStr">
        <is>
          <t>Kambräken</t>
        </is>
      </c>
      <c r="S341">
        <f>HYPERLINK("https://klasma.github.io/Logging_2183/artfynd/A 34475-2024 artfynd.xlsx", "A 34475-2024")</f>
        <v/>
      </c>
      <c r="T341">
        <f>HYPERLINK("https://klasma.github.io/Logging_2183/kartor/A 34475-2024 karta.png", "A 34475-2024")</f>
        <v/>
      </c>
      <c r="V341">
        <f>HYPERLINK("https://klasma.github.io/Logging_2183/klagomål/A 34475-2024 FSC-klagomål.docx", "A 34475-2024")</f>
        <v/>
      </c>
      <c r="W341">
        <f>HYPERLINK("https://klasma.github.io/Logging_2183/klagomålsmail/A 34475-2024 FSC-klagomål mail.docx", "A 34475-2024")</f>
        <v/>
      </c>
      <c r="X341">
        <f>HYPERLINK("https://klasma.github.io/Logging_2183/tillsyn/A 34475-2024 tillsynsbegäran.docx", "A 34475-2024")</f>
        <v/>
      </c>
      <c r="Y341">
        <f>HYPERLINK("https://klasma.github.io/Logging_2183/tillsynsmail/A 34475-2024 tillsynsbegäran mail.docx", "A 34475-2024")</f>
        <v/>
      </c>
    </row>
    <row r="342" ht="15" customHeight="1">
      <c r="A342" t="inlineStr">
        <is>
          <t>A 17471-2025</t>
        </is>
      </c>
      <c r="B342" s="1" t="n">
        <v>45757.47829861111</v>
      </c>
      <c r="C342" s="1" t="n">
        <v>45883</v>
      </c>
      <c r="D342" t="inlineStr">
        <is>
          <t>GÄVLEBORGS LÄN</t>
        </is>
      </c>
      <c r="E342" t="inlineStr">
        <is>
          <t>LJUSDAL</t>
        </is>
      </c>
      <c r="F342" t="inlineStr">
        <is>
          <t>Sveaskog</t>
        </is>
      </c>
      <c r="G342" t="n">
        <v>1.6</v>
      </c>
      <c r="H342" t="n">
        <v>0</v>
      </c>
      <c r="I342" t="n">
        <v>0</v>
      </c>
      <c r="J342" t="n">
        <v>1</v>
      </c>
      <c r="K342" t="n">
        <v>0</v>
      </c>
      <c r="L342" t="n">
        <v>0</v>
      </c>
      <c r="M342" t="n">
        <v>0</v>
      </c>
      <c r="N342" t="n">
        <v>0</v>
      </c>
      <c r="O342" t="n">
        <v>1</v>
      </c>
      <c r="P342" t="n">
        <v>0</v>
      </c>
      <c r="Q342" t="n">
        <v>1</v>
      </c>
      <c r="R342" s="2" t="inlineStr">
        <is>
          <t>Kolflarnlav</t>
        </is>
      </c>
      <c r="S342">
        <f>HYPERLINK("https://klasma.github.io/Logging_2161/artfynd/A 17471-2025 artfynd.xlsx", "A 17471-2025")</f>
        <v/>
      </c>
      <c r="T342">
        <f>HYPERLINK("https://klasma.github.io/Logging_2161/kartor/A 17471-2025 karta.png", "A 17471-2025")</f>
        <v/>
      </c>
      <c r="V342">
        <f>HYPERLINK("https://klasma.github.io/Logging_2161/klagomål/A 17471-2025 FSC-klagomål.docx", "A 17471-2025")</f>
        <v/>
      </c>
      <c r="W342">
        <f>HYPERLINK("https://klasma.github.io/Logging_2161/klagomålsmail/A 17471-2025 FSC-klagomål mail.docx", "A 17471-2025")</f>
        <v/>
      </c>
      <c r="X342">
        <f>HYPERLINK("https://klasma.github.io/Logging_2161/tillsyn/A 17471-2025 tillsynsbegäran.docx", "A 17471-2025")</f>
        <v/>
      </c>
      <c r="Y342">
        <f>HYPERLINK("https://klasma.github.io/Logging_2161/tillsynsmail/A 17471-2025 tillsynsbegäran mail.docx", "A 17471-2025")</f>
        <v/>
      </c>
    </row>
    <row r="343" ht="15" customHeight="1">
      <c r="A343" t="inlineStr">
        <is>
          <t>A 32328-2024</t>
        </is>
      </c>
      <c r="B343" s="1" t="n">
        <v>45512.47659722222</v>
      </c>
      <c r="C343" s="1" t="n">
        <v>45883</v>
      </c>
      <c r="D343" t="inlineStr">
        <is>
          <t>GÄVLEBORGS LÄN</t>
        </is>
      </c>
      <c r="E343" t="inlineStr">
        <is>
          <t>GÄVLE</t>
        </is>
      </c>
      <c r="G343" t="n">
        <v>3.1</v>
      </c>
      <c r="H343" t="n">
        <v>1</v>
      </c>
      <c r="I343" t="n">
        <v>0</v>
      </c>
      <c r="J343" t="n">
        <v>1</v>
      </c>
      <c r="K343" t="n">
        <v>0</v>
      </c>
      <c r="L343" t="n">
        <v>0</v>
      </c>
      <c r="M343" t="n">
        <v>0</v>
      </c>
      <c r="N343" t="n">
        <v>0</v>
      </c>
      <c r="O343" t="n">
        <v>1</v>
      </c>
      <c r="P343" t="n">
        <v>0</v>
      </c>
      <c r="Q343" t="n">
        <v>1</v>
      </c>
      <c r="R343" s="2" t="inlineStr">
        <is>
          <t>Spillkråka</t>
        </is>
      </c>
      <c r="S343">
        <f>HYPERLINK("https://klasma.github.io/Logging_2180/artfynd/A 32328-2024 artfynd.xlsx", "A 32328-2024")</f>
        <v/>
      </c>
      <c r="T343">
        <f>HYPERLINK("https://klasma.github.io/Logging_2180/kartor/A 32328-2024 karta.png", "A 32328-2024")</f>
        <v/>
      </c>
      <c r="V343">
        <f>HYPERLINK("https://klasma.github.io/Logging_2180/klagomål/A 32328-2024 FSC-klagomål.docx", "A 32328-2024")</f>
        <v/>
      </c>
      <c r="W343">
        <f>HYPERLINK("https://klasma.github.io/Logging_2180/klagomålsmail/A 32328-2024 FSC-klagomål mail.docx", "A 32328-2024")</f>
        <v/>
      </c>
      <c r="X343">
        <f>HYPERLINK("https://klasma.github.io/Logging_2180/tillsyn/A 32328-2024 tillsynsbegäran.docx", "A 32328-2024")</f>
        <v/>
      </c>
      <c r="Y343">
        <f>HYPERLINK("https://klasma.github.io/Logging_2180/tillsynsmail/A 32328-2024 tillsynsbegäran mail.docx", "A 32328-2024")</f>
        <v/>
      </c>
      <c r="Z343">
        <f>HYPERLINK("https://klasma.github.io/Logging_2180/fåglar/A 32328-2024 prioriterade fågelarter.docx", "A 32328-2024")</f>
        <v/>
      </c>
    </row>
    <row r="344" ht="15" customHeight="1">
      <c r="A344" t="inlineStr">
        <is>
          <t>A 54083-2022</t>
        </is>
      </c>
      <c r="B344" s="1" t="n">
        <v>44881</v>
      </c>
      <c r="C344" s="1" t="n">
        <v>45883</v>
      </c>
      <c r="D344" t="inlineStr">
        <is>
          <t>GÄVLEBORGS LÄN</t>
        </is>
      </c>
      <c r="E344" t="inlineStr">
        <is>
          <t>BOLLNÄS</t>
        </is>
      </c>
      <c r="F344" t="inlineStr">
        <is>
          <t>Sveaskog</t>
        </is>
      </c>
      <c r="G344" t="n">
        <v>2.7</v>
      </c>
      <c r="H344" t="n">
        <v>1</v>
      </c>
      <c r="I344" t="n">
        <v>0</v>
      </c>
      <c r="J344" t="n">
        <v>0</v>
      </c>
      <c r="K344" t="n">
        <v>0</v>
      </c>
      <c r="L344" t="n">
        <v>0</v>
      </c>
      <c r="M344" t="n">
        <v>0</v>
      </c>
      <c r="N344" t="n">
        <v>0</v>
      </c>
      <c r="O344" t="n">
        <v>0</v>
      </c>
      <c r="P344" t="n">
        <v>0</v>
      </c>
      <c r="Q344" t="n">
        <v>1</v>
      </c>
      <c r="R344" s="2" t="inlineStr">
        <is>
          <t>Fläcknycklar</t>
        </is>
      </c>
      <c r="S344">
        <f>HYPERLINK("https://klasma.github.io/Logging_2183/artfynd/A 54083-2022 artfynd.xlsx", "A 54083-2022")</f>
        <v/>
      </c>
      <c r="T344">
        <f>HYPERLINK("https://klasma.github.io/Logging_2183/kartor/A 54083-2022 karta.png", "A 54083-2022")</f>
        <v/>
      </c>
      <c r="V344">
        <f>HYPERLINK("https://klasma.github.io/Logging_2183/klagomål/A 54083-2022 FSC-klagomål.docx", "A 54083-2022")</f>
        <v/>
      </c>
      <c r="W344">
        <f>HYPERLINK("https://klasma.github.io/Logging_2183/klagomålsmail/A 54083-2022 FSC-klagomål mail.docx", "A 54083-2022")</f>
        <v/>
      </c>
      <c r="X344">
        <f>HYPERLINK("https://klasma.github.io/Logging_2183/tillsyn/A 54083-2022 tillsynsbegäran.docx", "A 54083-2022")</f>
        <v/>
      </c>
      <c r="Y344">
        <f>HYPERLINK("https://klasma.github.io/Logging_2183/tillsynsmail/A 54083-2022 tillsynsbegäran mail.docx", "A 54083-2022")</f>
        <v/>
      </c>
    </row>
    <row r="345" ht="15" customHeight="1">
      <c r="A345" t="inlineStr">
        <is>
          <t>A 38529-2022</t>
        </is>
      </c>
      <c r="B345" s="1" t="n">
        <v>44813</v>
      </c>
      <c r="C345" s="1" t="n">
        <v>45883</v>
      </c>
      <c r="D345" t="inlineStr">
        <is>
          <t>GÄVLEBORGS LÄN</t>
        </is>
      </c>
      <c r="E345" t="inlineStr">
        <is>
          <t>BOLLNÄS</t>
        </is>
      </c>
      <c r="G345" t="n">
        <v>0.9</v>
      </c>
      <c r="H345" t="n">
        <v>0</v>
      </c>
      <c r="I345" t="n">
        <v>0</v>
      </c>
      <c r="J345" t="n">
        <v>1</v>
      </c>
      <c r="K345" t="n">
        <v>0</v>
      </c>
      <c r="L345" t="n">
        <v>0</v>
      </c>
      <c r="M345" t="n">
        <v>0</v>
      </c>
      <c r="N345" t="n">
        <v>0</v>
      </c>
      <c r="O345" t="n">
        <v>1</v>
      </c>
      <c r="P345" t="n">
        <v>0</v>
      </c>
      <c r="Q345" t="n">
        <v>1</v>
      </c>
      <c r="R345" s="2" t="inlineStr">
        <is>
          <t>Skrovlig taggsvamp</t>
        </is>
      </c>
      <c r="S345">
        <f>HYPERLINK("https://klasma.github.io/Logging_2183/artfynd/A 38529-2022 artfynd.xlsx", "A 38529-2022")</f>
        <v/>
      </c>
      <c r="T345">
        <f>HYPERLINK("https://klasma.github.io/Logging_2183/kartor/A 38529-2022 karta.png", "A 38529-2022")</f>
        <v/>
      </c>
      <c r="V345">
        <f>HYPERLINK("https://klasma.github.io/Logging_2183/klagomål/A 38529-2022 FSC-klagomål.docx", "A 38529-2022")</f>
        <v/>
      </c>
      <c r="W345">
        <f>HYPERLINK("https://klasma.github.io/Logging_2183/klagomålsmail/A 38529-2022 FSC-klagomål mail.docx", "A 38529-2022")</f>
        <v/>
      </c>
      <c r="X345">
        <f>HYPERLINK("https://klasma.github.io/Logging_2183/tillsyn/A 38529-2022 tillsynsbegäran.docx", "A 38529-2022")</f>
        <v/>
      </c>
      <c r="Y345">
        <f>HYPERLINK("https://klasma.github.io/Logging_2183/tillsynsmail/A 38529-2022 tillsynsbegäran mail.docx", "A 38529-2022")</f>
        <v/>
      </c>
    </row>
    <row r="346" ht="15" customHeight="1">
      <c r="A346" t="inlineStr">
        <is>
          <t>A 58900-2021</t>
        </is>
      </c>
      <c r="B346" s="1" t="n">
        <v>44489</v>
      </c>
      <c r="C346" s="1" t="n">
        <v>45883</v>
      </c>
      <c r="D346" t="inlineStr">
        <is>
          <t>GÄVLEBORGS LÄN</t>
        </is>
      </c>
      <c r="E346" t="inlineStr">
        <is>
          <t>LJUSDAL</t>
        </is>
      </c>
      <c r="F346" t="inlineStr">
        <is>
          <t>Sveaskog</t>
        </is>
      </c>
      <c r="G346" t="n">
        <v>5.2</v>
      </c>
      <c r="H346" t="n">
        <v>0</v>
      </c>
      <c r="I346" t="n">
        <v>1</v>
      </c>
      <c r="J346" t="n">
        <v>0</v>
      </c>
      <c r="K346" t="n">
        <v>0</v>
      </c>
      <c r="L346" t="n">
        <v>0</v>
      </c>
      <c r="M346" t="n">
        <v>0</v>
      </c>
      <c r="N346" t="n">
        <v>0</v>
      </c>
      <c r="O346" t="n">
        <v>0</v>
      </c>
      <c r="P346" t="n">
        <v>0</v>
      </c>
      <c r="Q346" t="n">
        <v>1</v>
      </c>
      <c r="R346" s="2" t="inlineStr">
        <is>
          <t>Skuggblåslav</t>
        </is>
      </c>
      <c r="S346">
        <f>HYPERLINK("https://klasma.github.io/Logging_2161/artfynd/A 58900-2021 artfynd.xlsx", "A 58900-2021")</f>
        <v/>
      </c>
      <c r="T346">
        <f>HYPERLINK("https://klasma.github.io/Logging_2161/kartor/A 58900-2021 karta.png", "A 58900-2021")</f>
        <v/>
      </c>
      <c r="V346">
        <f>HYPERLINK("https://klasma.github.io/Logging_2161/klagomål/A 58900-2021 FSC-klagomål.docx", "A 58900-2021")</f>
        <v/>
      </c>
      <c r="W346">
        <f>HYPERLINK("https://klasma.github.io/Logging_2161/klagomålsmail/A 58900-2021 FSC-klagomål mail.docx", "A 58900-2021")</f>
        <v/>
      </c>
      <c r="X346">
        <f>HYPERLINK("https://klasma.github.io/Logging_2161/tillsyn/A 58900-2021 tillsynsbegäran.docx", "A 58900-2021")</f>
        <v/>
      </c>
      <c r="Y346">
        <f>HYPERLINK("https://klasma.github.io/Logging_2161/tillsynsmail/A 58900-2021 tillsynsbegäran mail.docx", "A 58900-2021")</f>
        <v/>
      </c>
    </row>
    <row r="347" ht="15" customHeight="1">
      <c r="A347" t="inlineStr">
        <is>
          <t>A 38159-2022</t>
        </is>
      </c>
      <c r="B347" s="1" t="n">
        <v>44812.37486111111</v>
      </c>
      <c r="C347" s="1" t="n">
        <v>45883</v>
      </c>
      <c r="D347" t="inlineStr">
        <is>
          <t>GÄVLEBORGS LÄN</t>
        </is>
      </c>
      <c r="E347" t="inlineStr">
        <is>
          <t>NORDANSTIG</t>
        </is>
      </c>
      <c r="F347" t="inlineStr">
        <is>
          <t>Holmen skog AB</t>
        </is>
      </c>
      <c r="G347" t="n">
        <v>1.4</v>
      </c>
      <c r="H347" t="n">
        <v>0</v>
      </c>
      <c r="I347" t="n">
        <v>0</v>
      </c>
      <c r="J347" t="n">
        <v>1</v>
      </c>
      <c r="K347" t="n">
        <v>0</v>
      </c>
      <c r="L347" t="n">
        <v>0</v>
      </c>
      <c r="M347" t="n">
        <v>0</v>
      </c>
      <c r="N347" t="n">
        <v>0</v>
      </c>
      <c r="O347" t="n">
        <v>1</v>
      </c>
      <c r="P347" t="n">
        <v>0</v>
      </c>
      <c r="Q347" t="n">
        <v>1</v>
      </c>
      <c r="R347" s="2" t="inlineStr">
        <is>
          <t>Granticka</t>
        </is>
      </c>
      <c r="S347">
        <f>HYPERLINK("https://klasma.github.io/Logging_2132/artfynd/A 38159-2022 artfynd.xlsx", "A 38159-2022")</f>
        <v/>
      </c>
      <c r="T347">
        <f>HYPERLINK("https://klasma.github.io/Logging_2132/kartor/A 38159-2022 karta.png", "A 38159-2022")</f>
        <v/>
      </c>
      <c r="V347">
        <f>HYPERLINK("https://klasma.github.io/Logging_2132/klagomål/A 38159-2022 FSC-klagomål.docx", "A 38159-2022")</f>
        <v/>
      </c>
      <c r="W347">
        <f>HYPERLINK("https://klasma.github.io/Logging_2132/klagomålsmail/A 38159-2022 FSC-klagomål mail.docx", "A 38159-2022")</f>
        <v/>
      </c>
      <c r="X347">
        <f>HYPERLINK("https://klasma.github.io/Logging_2132/tillsyn/A 38159-2022 tillsynsbegäran.docx", "A 38159-2022")</f>
        <v/>
      </c>
      <c r="Y347">
        <f>HYPERLINK("https://klasma.github.io/Logging_2132/tillsynsmail/A 38159-2022 tillsynsbegäran mail.docx", "A 38159-2022")</f>
        <v/>
      </c>
    </row>
    <row r="348" ht="15" customHeight="1">
      <c r="A348" t="inlineStr">
        <is>
          <t>A 25657-2024</t>
        </is>
      </c>
      <c r="B348" s="1" t="n">
        <v>45463.688125</v>
      </c>
      <c r="C348" s="1" t="n">
        <v>45883</v>
      </c>
      <c r="D348" t="inlineStr">
        <is>
          <t>GÄVLEBORGS LÄN</t>
        </is>
      </c>
      <c r="E348" t="inlineStr">
        <is>
          <t>GÄVLE</t>
        </is>
      </c>
      <c r="G348" t="n">
        <v>4</v>
      </c>
      <c r="H348" t="n">
        <v>0</v>
      </c>
      <c r="I348" t="n">
        <v>0</v>
      </c>
      <c r="J348" t="n">
        <v>1</v>
      </c>
      <c r="K348" t="n">
        <v>0</v>
      </c>
      <c r="L348" t="n">
        <v>0</v>
      </c>
      <c r="M348" t="n">
        <v>0</v>
      </c>
      <c r="N348" t="n">
        <v>0</v>
      </c>
      <c r="O348" t="n">
        <v>1</v>
      </c>
      <c r="P348" t="n">
        <v>0</v>
      </c>
      <c r="Q348" t="n">
        <v>1</v>
      </c>
      <c r="R348" s="2" t="inlineStr">
        <is>
          <t>Garnlav</t>
        </is>
      </c>
      <c r="S348">
        <f>HYPERLINK("https://klasma.github.io/Logging_2180/artfynd/A 25657-2024 artfynd.xlsx", "A 25657-2024")</f>
        <v/>
      </c>
      <c r="T348">
        <f>HYPERLINK("https://klasma.github.io/Logging_2180/kartor/A 25657-2024 karta.png", "A 25657-2024")</f>
        <v/>
      </c>
      <c r="V348">
        <f>HYPERLINK("https://klasma.github.io/Logging_2180/klagomål/A 25657-2024 FSC-klagomål.docx", "A 25657-2024")</f>
        <v/>
      </c>
      <c r="W348">
        <f>HYPERLINK("https://klasma.github.io/Logging_2180/klagomålsmail/A 25657-2024 FSC-klagomål mail.docx", "A 25657-2024")</f>
        <v/>
      </c>
      <c r="X348">
        <f>HYPERLINK("https://klasma.github.io/Logging_2180/tillsyn/A 25657-2024 tillsynsbegäran.docx", "A 25657-2024")</f>
        <v/>
      </c>
      <c r="Y348">
        <f>HYPERLINK("https://klasma.github.io/Logging_2180/tillsynsmail/A 25657-2024 tillsynsbegäran mail.docx", "A 25657-2024")</f>
        <v/>
      </c>
    </row>
    <row r="349" ht="15" customHeight="1">
      <c r="A349" t="inlineStr">
        <is>
          <t>A 10595-2025</t>
        </is>
      </c>
      <c r="B349" s="1" t="n">
        <v>45721.57412037037</v>
      </c>
      <c r="C349" s="1" t="n">
        <v>45883</v>
      </c>
      <c r="D349" t="inlineStr">
        <is>
          <t>GÄVLEBORGS LÄN</t>
        </is>
      </c>
      <c r="E349" t="inlineStr">
        <is>
          <t>SANDVIKEN</t>
        </is>
      </c>
      <c r="F349" t="inlineStr">
        <is>
          <t>Bergvik skog öst AB</t>
        </is>
      </c>
      <c r="G349" t="n">
        <v>5.2</v>
      </c>
      <c r="H349" t="n">
        <v>1</v>
      </c>
      <c r="I349" t="n">
        <v>0</v>
      </c>
      <c r="J349" t="n">
        <v>0</v>
      </c>
      <c r="K349" t="n">
        <v>0</v>
      </c>
      <c r="L349" t="n">
        <v>0</v>
      </c>
      <c r="M349" t="n">
        <v>0</v>
      </c>
      <c r="N349" t="n">
        <v>0</v>
      </c>
      <c r="O349" t="n">
        <v>0</v>
      </c>
      <c r="P349" t="n">
        <v>0</v>
      </c>
      <c r="Q349" t="n">
        <v>1</v>
      </c>
      <c r="R349" s="2" t="inlineStr">
        <is>
          <t>Blåsippa</t>
        </is>
      </c>
      <c r="S349">
        <f>HYPERLINK("https://klasma.github.io/Logging_2181/artfynd/A 10595-2025 artfynd.xlsx", "A 10595-2025")</f>
        <v/>
      </c>
      <c r="T349">
        <f>HYPERLINK("https://klasma.github.io/Logging_2181/kartor/A 10595-2025 karta.png", "A 10595-2025")</f>
        <v/>
      </c>
      <c r="V349">
        <f>HYPERLINK("https://klasma.github.io/Logging_2181/klagomål/A 10595-2025 FSC-klagomål.docx", "A 10595-2025")</f>
        <v/>
      </c>
      <c r="W349">
        <f>HYPERLINK("https://klasma.github.io/Logging_2181/klagomålsmail/A 10595-2025 FSC-klagomål mail.docx", "A 10595-2025")</f>
        <v/>
      </c>
      <c r="X349">
        <f>HYPERLINK("https://klasma.github.io/Logging_2181/tillsyn/A 10595-2025 tillsynsbegäran.docx", "A 10595-2025")</f>
        <v/>
      </c>
      <c r="Y349">
        <f>HYPERLINK("https://klasma.github.io/Logging_2181/tillsynsmail/A 10595-2025 tillsynsbegäran mail.docx", "A 10595-2025")</f>
        <v/>
      </c>
    </row>
    <row r="350" ht="15" customHeight="1">
      <c r="A350" t="inlineStr">
        <is>
          <t>A 33298-2023</t>
        </is>
      </c>
      <c r="B350" s="1" t="n">
        <v>45127</v>
      </c>
      <c r="C350" s="1" t="n">
        <v>45883</v>
      </c>
      <c r="D350" t="inlineStr">
        <is>
          <t>GÄVLEBORGS LÄN</t>
        </is>
      </c>
      <c r="E350" t="inlineStr">
        <is>
          <t>HOFORS</t>
        </is>
      </c>
      <c r="F350" t="inlineStr">
        <is>
          <t>Sveaskog</t>
        </is>
      </c>
      <c r="G350" t="n">
        <v>5.6</v>
      </c>
      <c r="H350" t="n">
        <v>0</v>
      </c>
      <c r="I350" t="n">
        <v>1</v>
      </c>
      <c r="J350" t="n">
        <v>0</v>
      </c>
      <c r="K350" t="n">
        <v>0</v>
      </c>
      <c r="L350" t="n">
        <v>0</v>
      </c>
      <c r="M350" t="n">
        <v>0</v>
      </c>
      <c r="N350" t="n">
        <v>0</v>
      </c>
      <c r="O350" t="n">
        <v>0</v>
      </c>
      <c r="P350" t="n">
        <v>0</v>
      </c>
      <c r="Q350" t="n">
        <v>1</v>
      </c>
      <c r="R350" s="2" t="inlineStr">
        <is>
          <t>Vedticka</t>
        </is>
      </c>
      <c r="S350">
        <f>HYPERLINK("https://klasma.github.io/Logging_2104/artfynd/A 33298-2023 artfynd.xlsx", "A 33298-2023")</f>
        <v/>
      </c>
      <c r="T350">
        <f>HYPERLINK("https://klasma.github.io/Logging_2104/kartor/A 33298-2023 karta.png", "A 33298-2023")</f>
        <v/>
      </c>
      <c r="V350">
        <f>HYPERLINK("https://klasma.github.io/Logging_2104/klagomål/A 33298-2023 FSC-klagomål.docx", "A 33298-2023")</f>
        <v/>
      </c>
      <c r="W350">
        <f>HYPERLINK("https://klasma.github.io/Logging_2104/klagomålsmail/A 33298-2023 FSC-klagomål mail.docx", "A 33298-2023")</f>
        <v/>
      </c>
      <c r="X350">
        <f>HYPERLINK("https://klasma.github.io/Logging_2104/tillsyn/A 33298-2023 tillsynsbegäran.docx", "A 33298-2023")</f>
        <v/>
      </c>
      <c r="Y350">
        <f>HYPERLINK("https://klasma.github.io/Logging_2104/tillsynsmail/A 33298-2023 tillsynsbegäran mail.docx", "A 33298-2023")</f>
        <v/>
      </c>
    </row>
    <row r="351" ht="15" customHeight="1">
      <c r="A351" t="inlineStr">
        <is>
          <t>A 3387-2024</t>
        </is>
      </c>
      <c r="B351" s="1" t="n">
        <v>45317</v>
      </c>
      <c r="C351" s="1" t="n">
        <v>45883</v>
      </c>
      <c r="D351" t="inlineStr">
        <is>
          <t>GÄVLEBORGS LÄN</t>
        </is>
      </c>
      <c r="E351" t="inlineStr">
        <is>
          <t>NORDANSTIG</t>
        </is>
      </c>
      <c r="F351" t="inlineStr">
        <is>
          <t>SCA</t>
        </is>
      </c>
      <c r="G351" t="n">
        <v>7.7</v>
      </c>
      <c r="H351" t="n">
        <v>1</v>
      </c>
      <c r="I351" t="n">
        <v>0</v>
      </c>
      <c r="J351" t="n">
        <v>0</v>
      </c>
      <c r="K351" t="n">
        <v>0</v>
      </c>
      <c r="L351" t="n">
        <v>0</v>
      </c>
      <c r="M351" t="n">
        <v>0</v>
      </c>
      <c r="N351" t="n">
        <v>0</v>
      </c>
      <c r="O351" t="n">
        <v>0</v>
      </c>
      <c r="P351" t="n">
        <v>0</v>
      </c>
      <c r="Q351" t="n">
        <v>1</v>
      </c>
      <c r="R351" s="2" t="inlineStr">
        <is>
          <t>Revlummer</t>
        </is>
      </c>
      <c r="S351">
        <f>HYPERLINK("https://klasma.github.io/Logging_2132/artfynd/A 3387-2024 artfynd.xlsx", "A 3387-2024")</f>
        <v/>
      </c>
      <c r="T351">
        <f>HYPERLINK("https://klasma.github.io/Logging_2132/kartor/A 3387-2024 karta.png", "A 3387-2024")</f>
        <v/>
      </c>
      <c r="V351">
        <f>HYPERLINK("https://klasma.github.io/Logging_2132/klagomål/A 3387-2024 FSC-klagomål.docx", "A 3387-2024")</f>
        <v/>
      </c>
      <c r="W351">
        <f>HYPERLINK("https://klasma.github.io/Logging_2132/klagomålsmail/A 3387-2024 FSC-klagomål mail.docx", "A 3387-2024")</f>
        <v/>
      </c>
      <c r="X351">
        <f>HYPERLINK("https://klasma.github.io/Logging_2132/tillsyn/A 3387-2024 tillsynsbegäran.docx", "A 3387-2024")</f>
        <v/>
      </c>
      <c r="Y351">
        <f>HYPERLINK("https://klasma.github.io/Logging_2132/tillsynsmail/A 3387-2024 tillsynsbegäran mail.docx", "A 3387-2024")</f>
        <v/>
      </c>
    </row>
    <row r="352" ht="15" customHeight="1">
      <c r="A352" t="inlineStr">
        <is>
          <t>A 21900-2024</t>
        </is>
      </c>
      <c r="B352" s="1" t="n">
        <v>45443.40680555555</v>
      </c>
      <c r="C352" s="1" t="n">
        <v>45883</v>
      </c>
      <c r="D352" t="inlineStr">
        <is>
          <t>GÄVLEBORGS LÄN</t>
        </is>
      </c>
      <c r="E352" t="inlineStr">
        <is>
          <t>LJUSDAL</t>
        </is>
      </c>
      <c r="F352" t="inlineStr">
        <is>
          <t>Sveaskog</t>
        </is>
      </c>
      <c r="G352" t="n">
        <v>1.6</v>
      </c>
      <c r="H352" t="n">
        <v>0</v>
      </c>
      <c r="I352" t="n">
        <v>0</v>
      </c>
      <c r="J352" t="n">
        <v>1</v>
      </c>
      <c r="K352" t="n">
        <v>0</v>
      </c>
      <c r="L352" t="n">
        <v>0</v>
      </c>
      <c r="M352" t="n">
        <v>0</v>
      </c>
      <c r="N352" t="n">
        <v>0</v>
      </c>
      <c r="O352" t="n">
        <v>1</v>
      </c>
      <c r="P352" t="n">
        <v>0</v>
      </c>
      <c r="Q352" t="n">
        <v>1</v>
      </c>
      <c r="R352" s="2" t="inlineStr">
        <is>
          <t>Lunglav</t>
        </is>
      </c>
      <c r="S352">
        <f>HYPERLINK("https://klasma.github.io/Logging_2161/artfynd/A 21900-2024 artfynd.xlsx", "A 21900-2024")</f>
        <v/>
      </c>
      <c r="T352">
        <f>HYPERLINK("https://klasma.github.io/Logging_2161/kartor/A 21900-2024 karta.png", "A 21900-2024")</f>
        <v/>
      </c>
      <c r="U352">
        <f>HYPERLINK("https://klasma.github.io/Logging_2161/knärot/A 21900-2024 karta knärot.png", "A 21900-2024")</f>
        <v/>
      </c>
      <c r="V352">
        <f>HYPERLINK("https://klasma.github.io/Logging_2161/klagomål/A 21900-2024 FSC-klagomål.docx", "A 21900-2024")</f>
        <v/>
      </c>
      <c r="W352">
        <f>HYPERLINK("https://klasma.github.io/Logging_2161/klagomålsmail/A 21900-2024 FSC-klagomål mail.docx", "A 21900-2024")</f>
        <v/>
      </c>
      <c r="X352">
        <f>HYPERLINK("https://klasma.github.io/Logging_2161/tillsyn/A 21900-2024 tillsynsbegäran.docx", "A 21900-2024")</f>
        <v/>
      </c>
      <c r="Y352">
        <f>HYPERLINK("https://klasma.github.io/Logging_2161/tillsynsmail/A 21900-2024 tillsynsbegäran mail.docx", "A 21900-2024")</f>
        <v/>
      </c>
    </row>
    <row r="353" ht="15" customHeight="1">
      <c r="A353" t="inlineStr">
        <is>
          <t>A 51227-2023</t>
        </is>
      </c>
      <c r="B353" s="1" t="n">
        <v>45219.46030092592</v>
      </c>
      <c r="C353" s="1" t="n">
        <v>45883</v>
      </c>
      <c r="D353" t="inlineStr">
        <is>
          <t>GÄVLEBORGS LÄN</t>
        </is>
      </c>
      <c r="E353" t="inlineStr">
        <is>
          <t>NORDANSTIG</t>
        </is>
      </c>
      <c r="G353" t="n">
        <v>10.2</v>
      </c>
      <c r="H353" t="n">
        <v>0</v>
      </c>
      <c r="I353" t="n">
        <v>1</v>
      </c>
      <c r="J353" t="n">
        <v>0</v>
      </c>
      <c r="K353" t="n">
        <v>0</v>
      </c>
      <c r="L353" t="n">
        <v>0</v>
      </c>
      <c r="M353" t="n">
        <v>0</v>
      </c>
      <c r="N353" t="n">
        <v>0</v>
      </c>
      <c r="O353" t="n">
        <v>0</v>
      </c>
      <c r="P353" t="n">
        <v>0</v>
      </c>
      <c r="Q353" t="n">
        <v>1</v>
      </c>
      <c r="R353" s="2" t="inlineStr">
        <is>
          <t>Vedticka</t>
        </is>
      </c>
      <c r="S353">
        <f>HYPERLINK("https://klasma.github.io/Logging_2132/artfynd/A 51227-2023 artfynd.xlsx", "A 51227-2023")</f>
        <v/>
      </c>
      <c r="T353">
        <f>HYPERLINK("https://klasma.github.io/Logging_2132/kartor/A 51227-2023 karta.png", "A 51227-2023")</f>
        <v/>
      </c>
      <c r="V353">
        <f>HYPERLINK("https://klasma.github.io/Logging_2132/klagomål/A 51227-2023 FSC-klagomål.docx", "A 51227-2023")</f>
        <v/>
      </c>
      <c r="W353">
        <f>HYPERLINK("https://klasma.github.io/Logging_2132/klagomålsmail/A 51227-2023 FSC-klagomål mail.docx", "A 51227-2023")</f>
        <v/>
      </c>
      <c r="X353">
        <f>HYPERLINK("https://klasma.github.io/Logging_2132/tillsyn/A 51227-2023 tillsynsbegäran.docx", "A 51227-2023")</f>
        <v/>
      </c>
      <c r="Y353">
        <f>HYPERLINK("https://klasma.github.io/Logging_2132/tillsynsmail/A 51227-2023 tillsynsbegäran mail.docx", "A 51227-2023")</f>
        <v/>
      </c>
    </row>
    <row r="354" ht="15" customHeight="1">
      <c r="A354" t="inlineStr">
        <is>
          <t>A 28587-2024</t>
        </is>
      </c>
      <c r="B354" s="1" t="n">
        <v>45478.41214120371</v>
      </c>
      <c r="C354" s="1" t="n">
        <v>45883</v>
      </c>
      <c r="D354" t="inlineStr">
        <is>
          <t>GÄVLEBORGS LÄN</t>
        </is>
      </c>
      <c r="E354" t="inlineStr">
        <is>
          <t>NORDANSTIG</t>
        </is>
      </c>
      <c r="G354" t="n">
        <v>26.3</v>
      </c>
      <c r="H354" t="n">
        <v>1</v>
      </c>
      <c r="I354" t="n">
        <v>0</v>
      </c>
      <c r="J354" t="n">
        <v>0</v>
      </c>
      <c r="K354" t="n">
        <v>0</v>
      </c>
      <c r="L354" t="n">
        <v>0</v>
      </c>
      <c r="M354" t="n">
        <v>0</v>
      </c>
      <c r="N354" t="n">
        <v>0</v>
      </c>
      <c r="O354" t="n">
        <v>0</v>
      </c>
      <c r="P354" t="n">
        <v>0</v>
      </c>
      <c r="Q354" t="n">
        <v>1</v>
      </c>
      <c r="R354" s="2" t="inlineStr">
        <is>
          <t>Fläcknycklar</t>
        </is>
      </c>
      <c r="S354">
        <f>HYPERLINK("https://klasma.github.io/Logging_2132/artfynd/A 28587-2024 artfynd.xlsx", "A 28587-2024")</f>
        <v/>
      </c>
      <c r="T354">
        <f>HYPERLINK("https://klasma.github.io/Logging_2132/kartor/A 28587-2024 karta.png", "A 28587-2024")</f>
        <v/>
      </c>
      <c r="V354">
        <f>HYPERLINK("https://klasma.github.io/Logging_2132/klagomål/A 28587-2024 FSC-klagomål.docx", "A 28587-2024")</f>
        <v/>
      </c>
      <c r="W354">
        <f>HYPERLINK("https://klasma.github.io/Logging_2132/klagomålsmail/A 28587-2024 FSC-klagomål mail.docx", "A 28587-2024")</f>
        <v/>
      </c>
      <c r="X354">
        <f>HYPERLINK("https://klasma.github.io/Logging_2132/tillsyn/A 28587-2024 tillsynsbegäran.docx", "A 28587-2024")</f>
        <v/>
      </c>
      <c r="Y354">
        <f>HYPERLINK("https://klasma.github.io/Logging_2132/tillsynsmail/A 28587-2024 tillsynsbegäran mail.docx", "A 28587-2024")</f>
        <v/>
      </c>
    </row>
    <row r="355" ht="15" customHeight="1">
      <c r="A355" t="inlineStr">
        <is>
          <t>A 34346-2024</t>
        </is>
      </c>
      <c r="B355" s="1" t="n">
        <v>45525.34310185185</v>
      </c>
      <c r="C355" s="1" t="n">
        <v>45883</v>
      </c>
      <c r="D355" t="inlineStr">
        <is>
          <t>GÄVLEBORGS LÄN</t>
        </is>
      </c>
      <c r="E355" t="inlineStr">
        <is>
          <t>LJUSDAL</t>
        </is>
      </c>
      <c r="F355" t="inlineStr">
        <is>
          <t>Holmen skog AB</t>
        </is>
      </c>
      <c r="G355" t="n">
        <v>6.8</v>
      </c>
      <c r="H355" t="n">
        <v>1</v>
      </c>
      <c r="I355" t="n">
        <v>0</v>
      </c>
      <c r="J355" t="n">
        <v>1</v>
      </c>
      <c r="K355" t="n">
        <v>0</v>
      </c>
      <c r="L355" t="n">
        <v>0</v>
      </c>
      <c r="M355" t="n">
        <v>0</v>
      </c>
      <c r="N355" t="n">
        <v>0</v>
      </c>
      <c r="O355" t="n">
        <v>1</v>
      </c>
      <c r="P355" t="n">
        <v>0</v>
      </c>
      <c r="Q355" t="n">
        <v>1</v>
      </c>
      <c r="R355" s="2" t="inlineStr">
        <is>
          <t>Talltita</t>
        </is>
      </c>
      <c r="S355">
        <f>HYPERLINK("https://klasma.github.io/Logging_2161/artfynd/A 34346-2024 artfynd.xlsx", "A 34346-2024")</f>
        <v/>
      </c>
      <c r="T355">
        <f>HYPERLINK("https://klasma.github.io/Logging_2161/kartor/A 34346-2024 karta.png", "A 34346-2024")</f>
        <v/>
      </c>
      <c r="V355">
        <f>HYPERLINK("https://klasma.github.io/Logging_2161/klagomål/A 34346-2024 FSC-klagomål.docx", "A 34346-2024")</f>
        <v/>
      </c>
      <c r="W355">
        <f>HYPERLINK("https://klasma.github.io/Logging_2161/klagomålsmail/A 34346-2024 FSC-klagomål mail.docx", "A 34346-2024")</f>
        <v/>
      </c>
      <c r="X355">
        <f>HYPERLINK("https://klasma.github.io/Logging_2161/tillsyn/A 34346-2024 tillsynsbegäran.docx", "A 34346-2024")</f>
        <v/>
      </c>
      <c r="Y355">
        <f>HYPERLINK("https://klasma.github.io/Logging_2161/tillsynsmail/A 34346-2024 tillsynsbegäran mail.docx", "A 34346-2024")</f>
        <v/>
      </c>
      <c r="Z355">
        <f>HYPERLINK("https://klasma.github.io/Logging_2161/fåglar/A 34346-2024 prioriterade fågelarter.docx", "A 34346-2024")</f>
        <v/>
      </c>
    </row>
    <row r="356" ht="15" customHeight="1">
      <c r="A356" t="inlineStr">
        <is>
          <t>A 55253-2022</t>
        </is>
      </c>
      <c r="B356" s="1" t="n">
        <v>44887</v>
      </c>
      <c r="C356" s="1" t="n">
        <v>45883</v>
      </c>
      <c r="D356" t="inlineStr">
        <is>
          <t>GÄVLEBORGS LÄN</t>
        </is>
      </c>
      <c r="E356" t="inlineStr">
        <is>
          <t>HUDIKSVALL</t>
        </is>
      </c>
      <c r="F356" t="inlineStr">
        <is>
          <t>Holmen skog AB</t>
        </is>
      </c>
      <c r="G356" t="n">
        <v>5.1</v>
      </c>
      <c r="H356" t="n">
        <v>1</v>
      </c>
      <c r="I356" t="n">
        <v>0</v>
      </c>
      <c r="J356" t="n">
        <v>0</v>
      </c>
      <c r="K356" t="n">
        <v>0</v>
      </c>
      <c r="L356" t="n">
        <v>0</v>
      </c>
      <c r="M356" t="n">
        <v>0</v>
      </c>
      <c r="N356" t="n">
        <v>0</v>
      </c>
      <c r="O356" t="n">
        <v>0</v>
      </c>
      <c r="P356" t="n">
        <v>0</v>
      </c>
      <c r="Q356" t="n">
        <v>1</v>
      </c>
      <c r="R356" s="2" t="inlineStr">
        <is>
          <t>Bivråk</t>
        </is>
      </c>
      <c r="S356">
        <f>HYPERLINK("https://klasma.github.io/Logging_2184/artfynd/A 55253-2022 artfynd.xlsx", "A 55253-2022")</f>
        <v/>
      </c>
      <c r="T356">
        <f>HYPERLINK("https://klasma.github.io/Logging_2184/kartor/A 55253-2022 karta.png", "A 55253-2022")</f>
        <v/>
      </c>
      <c r="U356">
        <f>HYPERLINK("https://klasma.github.io/Logging_2184/knärot/A 55253-2022 karta knärot.png", "A 55253-2022")</f>
        <v/>
      </c>
      <c r="V356">
        <f>HYPERLINK("https://klasma.github.io/Logging_2184/klagomål/A 55253-2022 FSC-klagomål.docx", "A 55253-2022")</f>
        <v/>
      </c>
      <c r="W356">
        <f>HYPERLINK("https://klasma.github.io/Logging_2184/klagomålsmail/A 55253-2022 FSC-klagomål mail.docx", "A 55253-2022")</f>
        <v/>
      </c>
      <c r="X356">
        <f>HYPERLINK("https://klasma.github.io/Logging_2184/tillsyn/A 55253-2022 tillsynsbegäran.docx", "A 55253-2022")</f>
        <v/>
      </c>
      <c r="Y356">
        <f>HYPERLINK("https://klasma.github.io/Logging_2184/tillsynsmail/A 55253-2022 tillsynsbegäran mail.docx", "A 55253-2022")</f>
        <v/>
      </c>
      <c r="Z356">
        <f>HYPERLINK("https://klasma.github.io/Logging_2184/fåglar/A 55253-2022 prioriterade fågelarter.docx", "A 55253-2022")</f>
        <v/>
      </c>
    </row>
    <row r="357" ht="15" customHeight="1">
      <c r="A357" t="inlineStr">
        <is>
          <t>A 470-2024</t>
        </is>
      </c>
      <c r="B357" s="1" t="n">
        <v>45297.70762731481</v>
      </c>
      <c r="C357" s="1" t="n">
        <v>45883</v>
      </c>
      <c r="D357" t="inlineStr">
        <is>
          <t>GÄVLEBORGS LÄN</t>
        </is>
      </c>
      <c r="E357" t="inlineStr">
        <is>
          <t>NORDANSTIG</t>
        </is>
      </c>
      <c r="F357" t="inlineStr">
        <is>
          <t>Holmen skog AB</t>
        </is>
      </c>
      <c r="G357" t="n">
        <v>4.1</v>
      </c>
      <c r="H357" t="n">
        <v>1</v>
      </c>
      <c r="I357" t="n">
        <v>0</v>
      </c>
      <c r="J357" t="n">
        <v>1</v>
      </c>
      <c r="K357" t="n">
        <v>0</v>
      </c>
      <c r="L357" t="n">
        <v>0</v>
      </c>
      <c r="M357" t="n">
        <v>0</v>
      </c>
      <c r="N357" t="n">
        <v>0</v>
      </c>
      <c r="O357" t="n">
        <v>1</v>
      </c>
      <c r="P357" t="n">
        <v>0</v>
      </c>
      <c r="Q357" t="n">
        <v>1</v>
      </c>
      <c r="R357" s="2" t="inlineStr">
        <is>
          <t>Duvhök</t>
        </is>
      </c>
      <c r="S357">
        <f>HYPERLINK("https://klasma.github.io/Logging_2132/artfynd/A 470-2024 artfynd.xlsx", "A 470-2024")</f>
        <v/>
      </c>
      <c r="T357">
        <f>HYPERLINK("https://klasma.github.io/Logging_2132/kartor/A 470-2024 karta.png", "A 470-2024")</f>
        <v/>
      </c>
      <c r="V357">
        <f>HYPERLINK("https://klasma.github.io/Logging_2132/klagomål/A 470-2024 FSC-klagomål.docx", "A 470-2024")</f>
        <v/>
      </c>
      <c r="W357">
        <f>HYPERLINK("https://klasma.github.io/Logging_2132/klagomålsmail/A 470-2024 FSC-klagomål mail.docx", "A 470-2024")</f>
        <v/>
      </c>
      <c r="X357">
        <f>HYPERLINK("https://klasma.github.io/Logging_2132/tillsyn/A 470-2024 tillsynsbegäran.docx", "A 470-2024")</f>
        <v/>
      </c>
      <c r="Y357">
        <f>HYPERLINK("https://klasma.github.io/Logging_2132/tillsynsmail/A 470-2024 tillsynsbegäran mail.docx", "A 470-2024")</f>
        <v/>
      </c>
      <c r="Z357">
        <f>HYPERLINK("https://klasma.github.io/Logging_2132/fåglar/A 470-2024 prioriterade fågelarter.docx", "A 470-2024")</f>
        <v/>
      </c>
    </row>
    <row r="358" ht="15" customHeight="1">
      <c r="A358" t="inlineStr">
        <is>
          <t>A 35349-2024</t>
        </is>
      </c>
      <c r="B358" s="1" t="n">
        <v>45531</v>
      </c>
      <c r="C358" s="1" t="n">
        <v>45883</v>
      </c>
      <c r="D358" t="inlineStr">
        <is>
          <t>GÄVLEBORGS LÄN</t>
        </is>
      </c>
      <c r="E358" t="inlineStr">
        <is>
          <t>OVANÅKER</t>
        </is>
      </c>
      <c r="F358" t="inlineStr">
        <is>
          <t>Sveaskog</t>
        </is>
      </c>
      <c r="G358" t="n">
        <v>10.4</v>
      </c>
      <c r="H358" t="n">
        <v>1</v>
      </c>
      <c r="I358" t="n">
        <v>0</v>
      </c>
      <c r="J358" t="n">
        <v>0</v>
      </c>
      <c r="K358" t="n">
        <v>0</v>
      </c>
      <c r="L358" t="n">
        <v>0</v>
      </c>
      <c r="M358" t="n">
        <v>0</v>
      </c>
      <c r="N358" t="n">
        <v>0</v>
      </c>
      <c r="O358" t="n">
        <v>0</v>
      </c>
      <c r="P358" t="n">
        <v>0</v>
      </c>
      <c r="Q358" t="n">
        <v>1</v>
      </c>
      <c r="R358" s="2" t="inlineStr">
        <is>
          <t>Nattviol</t>
        </is>
      </c>
      <c r="S358">
        <f>HYPERLINK("https://klasma.github.io/Logging_2121/artfynd/A 35349-2024 artfynd.xlsx", "A 35349-2024")</f>
        <v/>
      </c>
      <c r="T358">
        <f>HYPERLINK("https://klasma.github.io/Logging_2121/kartor/A 35349-2024 karta.png", "A 35349-2024")</f>
        <v/>
      </c>
      <c r="V358">
        <f>HYPERLINK("https://klasma.github.io/Logging_2121/klagomål/A 35349-2024 FSC-klagomål.docx", "A 35349-2024")</f>
        <v/>
      </c>
      <c r="W358">
        <f>HYPERLINK("https://klasma.github.io/Logging_2121/klagomålsmail/A 35349-2024 FSC-klagomål mail.docx", "A 35349-2024")</f>
        <v/>
      </c>
      <c r="X358">
        <f>HYPERLINK("https://klasma.github.io/Logging_2121/tillsyn/A 35349-2024 tillsynsbegäran.docx", "A 35349-2024")</f>
        <v/>
      </c>
      <c r="Y358">
        <f>HYPERLINK("https://klasma.github.io/Logging_2121/tillsynsmail/A 35349-2024 tillsynsbegäran mail.docx", "A 35349-2024")</f>
        <v/>
      </c>
    </row>
    <row r="359" ht="15" customHeight="1">
      <c r="A359" t="inlineStr">
        <is>
          <t>A 32171-2023</t>
        </is>
      </c>
      <c r="B359" s="1" t="n">
        <v>45107</v>
      </c>
      <c r="C359" s="1" t="n">
        <v>45883</v>
      </c>
      <c r="D359" t="inlineStr">
        <is>
          <t>GÄVLEBORGS LÄN</t>
        </is>
      </c>
      <c r="E359" t="inlineStr">
        <is>
          <t>LJUSDAL</t>
        </is>
      </c>
      <c r="G359" t="n">
        <v>1.5</v>
      </c>
      <c r="H359" t="n">
        <v>1</v>
      </c>
      <c r="I359" t="n">
        <v>0</v>
      </c>
      <c r="J359" t="n">
        <v>1</v>
      </c>
      <c r="K359" t="n">
        <v>0</v>
      </c>
      <c r="L359" t="n">
        <v>0</v>
      </c>
      <c r="M359" t="n">
        <v>0</v>
      </c>
      <c r="N359" t="n">
        <v>0</v>
      </c>
      <c r="O359" t="n">
        <v>1</v>
      </c>
      <c r="P359" t="n">
        <v>0</v>
      </c>
      <c r="Q359" t="n">
        <v>1</v>
      </c>
      <c r="R359" s="2" t="inlineStr">
        <is>
          <t>Talltita</t>
        </is>
      </c>
      <c r="S359">
        <f>HYPERLINK("https://klasma.github.io/Logging_2161/artfynd/A 32171-2023 artfynd.xlsx", "A 32171-2023")</f>
        <v/>
      </c>
      <c r="T359">
        <f>HYPERLINK("https://klasma.github.io/Logging_2161/kartor/A 32171-2023 karta.png", "A 32171-2023")</f>
        <v/>
      </c>
      <c r="V359">
        <f>HYPERLINK("https://klasma.github.io/Logging_2161/klagomål/A 32171-2023 FSC-klagomål.docx", "A 32171-2023")</f>
        <v/>
      </c>
      <c r="W359">
        <f>HYPERLINK("https://klasma.github.io/Logging_2161/klagomålsmail/A 32171-2023 FSC-klagomål mail.docx", "A 32171-2023")</f>
        <v/>
      </c>
      <c r="X359">
        <f>HYPERLINK("https://klasma.github.io/Logging_2161/tillsyn/A 32171-2023 tillsynsbegäran.docx", "A 32171-2023")</f>
        <v/>
      </c>
      <c r="Y359">
        <f>HYPERLINK("https://klasma.github.io/Logging_2161/tillsynsmail/A 32171-2023 tillsynsbegäran mail.docx", "A 32171-2023")</f>
        <v/>
      </c>
      <c r="Z359">
        <f>HYPERLINK("https://klasma.github.io/Logging_2161/fåglar/A 32171-2023 prioriterade fågelarter.docx", "A 32171-2023")</f>
        <v/>
      </c>
    </row>
    <row r="360" ht="15" customHeight="1">
      <c r="A360" t="inlineStr">
        <is>
          <t>A 22470-2024</t>
        </is>
      </c>
      <c r="B360" s="1" t="n">
        <v>45446</v>
      </c>
      <c r="C360" s="1" t="n">
        <v>45883</v>
      </c>
      <c r="D360" t="inlineStr">
        <is>
          <t>GÄVLEBORGS LÄN</t>
        </is>
      </c>
      <c r="E360" t="inlineStr">
        <is>
          <t>LJUSDAL</t>
        </is>
      </c>
      <c r="F360" t="inlineStr">
        <is>
          <t>SCA</t>
        </is>
      </c>
      <c r="G360" t="n">
        <v>5.3</v>
      </c>
      <c r="H360" t="n">
        <v>1</v>
      </c>
      <c r="I360" t="n">
        <v>0</v>
      </c>
      <c r="J360" t="n">
        <v>0</v>
      </c>
      <c r="K360" t="n">
        <v>1</v>
      </c>
      <c r="L360" t="n">
        <v>0</v>
      </c>
      <c r="M360" t="n">
        <v>0</v>
      </c>
      <c r="N360" t="n">
        <v>0</v>
      </c>
      <c r="O360" t="n">
        <v>1</v>
      </c>
      <c r="P360" t="n">
        <v>1</v>
      </c>
      <c r="Q360" t="n">
        <v>1</v>
      </c>
      <c r="R360" s="2" t="inlineStr">
        <is>
          <t>Knärot</t>
        </is>
      </c>
      <c r="S360">
        <f>HYPERLINK("https://klasma.github.io/Logging_2161/artfynd/A 22470-2024 artfynd.xlsx", "A 22470-2024")</f>
        <v/>
      </c>
      <c r="T360">
        <f>HYPERLINK("https://klasma.github.io/Logging_2161/kartor/A 22470-2024 karta.png", "A 22470-2024")</f>
        <v/>
      </c>
      <c r="U360">
        <f>HYPERLINK("https://klasma.github.io/Logging_2161/knärot/A 22470-2024 karta knärot.png", "A 22470-2024")</f>
        <v/>
      </c>
      <c r="V360">
        <f>HYPERLINK("https://klasma.github.io/Logging_2161/klagomål/A 22470-2024 FSC-klagomål.docx", "A 22470-2024")</f>
        <v/>
      </c>
      <c r="W360">
        <f>HYPERLINK("https://klasma.github.io/Logging_2161/klagomålsmail/A 22470-2024 FSC-klagomål mail.docx", "A 22470-2024")</f>
        <v/>
      </c>
      <c r="X360">
        <f>HYPERLINK("https://klasma.github.io/Logging_2161/tillsyn/A 22470-2024 tillsynsbegäran.docx", "A 22470-2024")</f>
        <v/>
      </c>
      <c r="Y360">
        <f>HYPERLINK("https://klasma.github.io/Logging_2161/tillsynsmail/A 22470-2024 tillsynsbegäran mail.docx", "A 22470-2024")</f>
        <v/>
      </c>
    </row>
    <row r="361" ht="15" customHeight="1">
      <c r="A361" t="inlineStr">
        <is>
          <t>A 26463-2024</t>
        </is>
      </c>
      <c r="B361" s="1" t="n">
        <v>45469.53998842592</v>
      </c>
      <c r="C361" s="1" t="n">
        <v>45883</v>
      </c>
      <c r="D361" t="inlineStr">
        <is>
          <t>GÄVLEBORGS LÄN</t>
        </is>
      </c>
      <c r="E361" t="inlineStr">
        <is>
          <t>OCKELBO</t>
        </is>
      </c>
      <c r="F361" t="inlineStr">
        <is>
          <t>Bergvik skog väst AB</t>
        </is>
      </c>
      <c r="G361" t="n">
        <v>3.6</v>
      </c>
      <c r="H361" t="n">
        <v>1</v>
      </c>
      <c r="I361" t="n">
        <v>0</v>
      </c>
      <c r="J361" t="n">
        <v>0</v>
      </c>
      <c r="K361" t="n">
        <v>0</v>
      </c>
      <c r="L361" t="n">
        <v>0</v>
      </c>
      <c r="M361" t="n">
        <v>0</v>
      </c>
      <c r="N361" t="n">
        <v>0</v>
      </c>
      <c r="O361" t="n">
        <v>0</v>
      </c>
      <c r="P361" t="n">
        <v>0</v>
      </c>
      <c r="Q361" t="n">
        <v>1</v>
      </c>
      <c r="R361" s="2" t="inlineStr">
        <is>
          <t>Revlummer</t>
        </is>
      </c>
      <c r="S361">
        <f>HYPERLINK("https://klasma.github.io/Logging_2101/artfynd/A 26463-2024 artfynd.xlsx", "A 26463-2024")</f>
        <v/>
      </c>
      <c r="T361">
        <f>HYPERLINK("https://klasma.github.io/Logging_2101/kartor/A 26463-2024 karta.png", "A 26463-2024")</f>
        <v/>
      </c>
      <c r="V361">
        <f>HYPERLINK("https://klasma.github.io/Logging_2101/klagomål/A 26463-2024 FSC-klagomål.docx", "A 26463-2024")</f>
        <v/>
      </c>
      <c r="W361">
        <f>HYPERLINK("https://klasma.github.io/Logging_2101/klagomålsmail/A 26463-2024 FSC-klagomål mail.docx", "A 26463-2024")</f>
        <v/>
      </c>
      <c r="X361">
        <f>HYPERLINK("https://klasma.github.io/Logging_2101/tillsyn/A 26463-2024 tillsynsbegäran.docx", "A 26463-2024")</f>
        <v/>
      </c>
      <c r="Y361">
        <f>HYPERLINK("https://klasma.github.io/Logging_2101/tillsynsmail/A 26463-2024 tillsynsbegäran mail.docx", "A 26463-2024")</f>
        <v/>
      </c>
    </row>
    <row r="362" ht="15" customHeight="1">
      <c r="A362" t="inlineStr">
        <is>
          <t>A 32254-2023</t>
        </is>
      </c>
      <c r="B362" s="1" t="n">
        <v>45120</v>
      </c>
      <c r="C362" s="1" t="n">
        <v>45883</v>
      </c>
      <c r="D362" t="inlineStr">
        <is>
          <t>GÄVLEBORGS LÄN</t>
        </is>
      </c>
      <c r="E362" t="inlineStr">
        <is>
          <t>GÄVLE</t>
        </is>
      </c>
      <c r="G362" t="n">
        <v>2.5</v>
      </c>
      <c r="H362" t="n">
        <v>0</v>
      </c>
      <c r="I362" t="n">
        <v>0</v>
      </c>
      <c r="J362" t="n">
        <v>1</v>
      </c>
      <c r="K362" t="n">
        <v>0</v>
      </c>
      <c r="L362" t="n">
        <v>0</v>
      </c>
      <c r="M362" t="n">
        <v>0</v>
      </c>
      <c r="N362" t="n">
        <v>0</v>
      </c>
      <c r="O362" t="n">
        <v>1</v>
      </c>
      <c r="P362" t="n">
        <v>0</v>
      </c>
      <c r="Q362" t="n">
        <v>1</v>
      </c>
      <c r="R362" s="2" t="inlineStr">
        <is>
          <t>Slåtterfibbla</t>
        </is>
      </c>
      <c r="S362">
        <f>HYPERLINK("https://klasma.github.io/Logging_2180/artfynd/A 32254-2023 artfynd.xlsx", "A 32254-2023")</f>
        <v/>
      </c>
      <c r="T362">
        <f>HYPERLINK("https://klasma.github.io/Logging_2180/kartor/A 32254-2023 karta.png", "A 32254-2023")</f>
        <v/>
      </c>
      <c r="V362">
        <f>HYPERLINK("https://klasma.github.io/Logging_2180/klagomål/A 32254-2023 FSC-klagomål.docx", "A 32254-2023")</f>
        <v/>
      </c>
      <c r="W362">
        <f>HYPERLINK("https://klasma.github.io/Logging_2180/klagomålsmail/A 32254-2023 FSC-klagomål mail.docx", "A 32254-2023")</f>
        <v/>
      </c>
      <c r="X362">
        <f>HYPERLINK("https://klasma.github.io/Logging_2180/tillsyn/A 32254-2023 tillsynsbegäran.docx", "A 32254-2023")</f>
        <v/>
      </c>
      <c r="Y362">
        <f>HYPERLINK("https://klasma.github.io/Logging_2180/tillsynsmail/A 32254-2023 tillsynsbegäran mail.docx", "A 32254-2023")</f>
        <v/>
      </c>
    </row>
    <row r="363" ht="15" customHeight="1">
      <c r="A363" t="inlineStr">
        <is>
          <t>A 5015-2023</t>
        </is>
      </c>
      <c r="B363" s="1" t="n">
        <v>44958</v>
      </c>
      <c r="C363" s="1" t="n">
        <v>45883</v>
      </c>
      <c r="D363" t="inlineStr">
        <is>
          <t>GÄVLEBORGS LÄN</t>
        </is>
      </c>
      <c r="E363" t="inlineStr">
        <is>
          <t>SANDVIKEN</t>
        </is>
      </c>
      <c r="G363" t="n">
        <v>7.8</v>
      </c>
      <c r="H363" t="n">
        <v>0</v>
      </c>
      <c r="I363" t="n">
        <v>0</v>
      </c>
      <c r="J363" t="n">
        <v>1</v>
      </c>
      <c r="K363" t="n">
        <v>0</v>
      </c>
      <c r="L363" t="n">
        <v>0</v>
      </c>
      <c r="M363" t="n">
        <v>0</v>
      </c>
      <c r="N363" t="n">
        <v>0</v>
      </c>
      <c r="O363" t="n">
        <v>1</v>
      </c>
      <c r="P363" t="n">
        <v>0</v>
      </c>
      <c r="Q363" t="n">
        <v>1</v>
      </c>
      <c r="R363" s="2" t="inlineStr">
        <is>
          <t>Slåtterfibbla</t>
        </is>
      </c>
      <c r="S363">
        <f>HYPERLINK("https://klasma.github.io/Logging_2181/artfynd/A 5015-2023 artfynd.xlsx", "A 5015-2023")</f>
        <v/>
      </c>
      <c r="T363">
        <f>HYPERLINK("https://klasma.github.io/Logging_2181/kartor/A 5015-2023 karta.png", "A 5015-2023")</f>
        <v/>
      </c>
      <c r="V363">
        <f>HYPERLINK("https://klasma.github.io/Logging_2181/klagomål/A 5015-2023 FSC-klagomål.docx", "A 5015-2023")</f>
        <v/>
      </c>
      <c r="W363">
        <f>HYPERLINK("https://klasma.github.io/Logging_2181/klagomålsmail/A 5015-2023 FSC-klagomål mail.docx", "A 5015-2023")</f>
        <v/>
      </c>
      <c r="X363">
        <f>HYPERLINK("https://klasma.github.io/Logging_2181/tillsyn/A 5015-2023 tillsynsbegäran.docx", "A 5015-2023")</f>
        <v/>
      </c>
      <c r="Y363">
        <f>HYPERLINK("https://klasma.github.io/Logging_2181/tillsynsmail/A 5015-2023 tillsynsbegäran mail.docx", "A 5015-2023")</f>
        <v/>
      </c>
    </row>
    <row r="364" ht="15" customHeight="1">
      <c r="A364" t="inlineStr">
        <is>
          <t>A 4696-2023</t>
        </is>
      </c>
      <c r="B364" s="1" t="n">
        <v>44957.47362268518</v>
      </c>
      <c r="C364" s="1" t="n">
        <v>45883</v>
      </c>
      <c r="D364" t="inlineStr">
        <is>
          <t>GÄVLEBORGS LÄN</t>
        </is>
      </c>
      <c r="E364" t="inlineStr">
        <is>
          <t>LJUSDAL</t>
        </is>
      </c>
      <c r="F364" t="inlineStr">
        <is>
          <t>Holmen skog AB</t>
        </is>
      </c>
      <c r="G364" t="n">
        <v>7.3</v>
      </c>
      <c r="H364" t="n">
        <v>0</v>
      </c>
      <c r="I364" t="n">
        <v>1</v>
      </c>
      <c r="J364" t="n">
        <v>0</v>
      </c>
      <c r="K364" t="n">
        <v>0</v>
      </c>
      <c r="L364" t="n">
        <v>0</v>
      </c>
      <c r="M364" t="n">
        <v>0</v>
      </c>
      <c r="N364" t="n">
        <v>0</v>
      </c>
      <c r="O364" t="n">
        <v>0</v>
      </c>
      <c r="P364" t="n">
        <v>0</v>
      </c>
      <c r="Q364" t="n">
        <v>1</v>
      </c>
      <c r="R364" s="2" t="inlineStr">
        <is>
          <t>Vedticka</t>
        </is>
      </c>
      <c r="S364">
        <f>HYPERLINK("https://klasma.github.io/Logging_2161/artfynd/A 4696-2023 artfynd.xlsx", "A 4696-2023")</f>
        <v/>
      </c>
      <c r="T364">
        <f>HYPERLINK("https://klasma.github.io/Logging_2161/kartor/A 4696-2023 karta.png", "A 4696-2023")</f>
        <v/>
      </c>
      <c r="V364">
        <f>HYPERLINK("https://klasma.github.io/Logging_2161/klagomål/A 4696-2023 FSC-klagomål.docx", "A 4696-2023")</f>
        <v/>
      </c>
      <c r="W364">
        <f>HYPERLINK("https://klasma.github.io/Logging_2161/klagomålsmail/A 4696-2023 FSC-klagomål mail.docx", "A 4696-2023")</f>
        <v/>
      </c>
      <c r="X364">
        <f>HYPERLINK("https://klasma.github.io/Logging_2161/tillsyn/A 4696-2023 tillsynsbegäran.docx", "A 4696-2023")</f>
        <v/>
      </c>
      <c r="Y364">
        <f>HYPERLINK("https://klasma.github.io/Logging_2161/tillsynsmail/A 4696-2023 tillsynsbegäran mail.docx", "A 4696-2023")</f>
        <v/>
      </c>
    </row>
    <row r="365" ht="15" customHeight="1">
      <c r="A365" t="inlineStr">
        <is>
          <t>A 47971-2024</t>
        </is>
      </c>
      <c r="B365" s="1" t="n">
        <v>45589.39483796297</v>
      </c>
      <c r="C365" s="1" t="n">
        <v>45883</v>
      </c>
      <c r="D365" t="inlineStr">
        <is>
          <t>GÄVLEBORGS LÄN</t>
        </is>
      </c>
      <c r="E365" t="inlineStr">
        <is>
          <t>SANDVIKEN</t>
        </is>
      </c>
      <c r="F365" t="inlineStr">
        <is>
          <t>Bergvik skog väst AB</t>
        </is>
      </c>
      <c r="G365" t="n">
        <v>0.9</v>
      </c>
      <c r="H365" t="n">
        <v>0</v>
      </c>
      <c r="I365" t="n">
        <v>1</v>
      </c>
      <c r="J365" t="n">
        <v>0</v>
      </c>
      <c r="K365" t="n">
        <v>0</v>
      </c>
      <c r="L365" t="n">
        <v>0</v>
      </c>
      <c r="M365" t="n">
        <v>0</v>
      </c>
      <c r="N365" t="n">
        <v>0</v>
      </c>
      <c r="O365" t="n">
        <v>0</v>
      </c>
      <c r="P365" t="n">
        <v>0</v>
      </c>
      <c r="Q365" t="n">
        <v>1</v>
      </c>
      <c r="R365" s="2" t="inlineStr">
        <is>
          <t>Kamjordstjärna</t>
        </is>
      </c>
      <c r="S365">
        <f>HYPERLINK("https://klasma.github.io/Logging_2181/artfynd/A 47971-2024 artfynd.xlsx", "A 47971-2024")</f>
        <v/>
      </c>
      <c r="T365">
        <f>HYPERLINK("https://klasma.github.io/Logging_2181/kartor/A 47971-2024 karta.png", "A 47971-2024")</f>
        <v/>
      </c>
      <c r="V365">
        <f>HYPERLINK("https://klasma.github.io/Logging_2181/klagomål/A 47971-2024 FSC-klagomål.docx", "A 47971-2024")</f>
        <v/>
      </c>
      <c r="W365">
        <f>HYPERLINK("https://klasma.github.io/Logging_2181/klagomålsmail/A 47971-2024 FSC-klagomål mail.docx", "A 47971-2024")</f>
        <v/>
      </c>
      <c r="X365">
        <f>HYPERLINK("https://klasma.github.io/Logging_2181/tillsyn/A 47971-2024 tillsynsbegäran.docx", "A 47971-2024")</f>
        <v/>
      </c>
      <c r="Y365">
        <f>HYPERLINK("https://klasma.github.io/Logging_2181/tillsynsmail/A 47971-2024 tillsynsbegäran mail.docx", "A 47971-2024")</f>
        <v/>
      </c>
    </row>
    <row r="366" ht="15" customHeight="1">
      <c r="A366" t="inlineStr">
        <is>
          <t>A 29578-2023</t>
        </is>
      </c>
      <c r="B366" s="1" t="n">
        <v>45106</v>
      </c>
      <c r="C366" s="1" t="n">
        <v>45883</v>
      </c>
      <c r="D366" t="inlineStr">
        <is>
          <t>GÄVLEBORGS LÄN</t>
        </is>
      </c>
      <c r="E366" t="inlineStr">
        <is>
          <t>NORDANSTIG</t>
        </is>
      </c>
      <c r="F366" t="inlineStr">
        <is>
          <t>Holmen skog AB</t>
        </is>
      </c>
      <c r="G366" t="n">
        <v>5.3</v>
      </c>
      <c r="H366" t="n">
        <v>1</v>
      </c>
      <c r="I366" t="n">
        <v>0</v>
      </c>
      <c r="J366" t="n">
        <v>0</v>
      </c>
      <c r="K366" t="n">
        <v>0</v>
      </c>
      <c r="L366" t="n">
        <v>0</v>
      </c>
      <c r="M366" t="n">
        <v>0</v>
      </c>
      <c r="N366" t="n">
        <v>0</v>
      </c>
      <c r="O366" t="n">
        <v>0</v>
      </c>
      <c r="P366" t="n">
        <v>0</v>
      </c>
      <c r="Q366" t="n">
        <v>1</v>
      </c>
      <c r="R366" s="2" t="inlineStr">
        <is>
          <t>Blåsippa</t>
        </is>
      </c>
      <c r="S366">
        <f>HYPERLINK("https://klasma.github.io/Logging_2132/artfynd/A 29578-2023 artfynd.xlsx", "A 29578-2023")</f>
        <v/>
      </c>
      <c r="T366">
        <f>HYPERLINK("https://klasma.github.io/Logging_2132/kartor/A 29578-2023 karta.png", "A 29578-2023")</f>
        <v/>
      </c>
      <c r="V366">
        <f>HYPERLINK("https://klasma.github.io/Logging_2132/klagomål/A 29578-2023 FSC-klagomål.docx", "A 29578-2023")</f>
        <v/>
      </c>
      <c r="W366">
        <f>HYPERLINK("https://klasma.github.io/Logging_2132/klagomålsmail/A 29578-2023 FSC-klagomål mail.docx", "A 29578-2023")</f>
        <v/>
      </c>
      <c r="X366">
        <f>HYPERLINK("https://klasma.github.io/Logging_2132/tillsyn/A 29578-2023 tillsynsbegäran.docx", "A 29578-2023")</f>
        <v/>
      </c>
      <c r="Y366">
        <f>HYPERLINK("https://klasma.github.io/Logging_2132/tillsynsmail/A 29578-2023 tillsynsbegäran mail.docx", "A 29578-2023")</f>
        <v/>
      </c>
    </row>
    <row r="367" ht="15" customHeight="1">
      <c r="A367" t="inlineStr">
        <is>
          <t>A 18376-2024</t>
        </is>
      </c>
      <c r="B367" s="1" t="n">
        <v>45423</v>
      </c>
      <c r="C367" s="1" t="n">
        <v>45883</v>
      </c>
      <c r="D367" t="inlineStr">
        <is>
          <t>GÄVLEBORGS LÄN</t>
        </is>
      </c>
      <c r="E367" t="inlineStr">
        <is>
          <t>GÄVLE</t>
        </is>
      </c>
      <c r="F367" t="inlineStr">
        <is>
          <t>Bergvik skog väst AB</t>
        </is>
      </c>
      <c r="G367" t="n">
        <v>2.9</v>
      </c>
      <c r="H367" t="n">
        <v>0</v>
      </c>
      <c r="I367" t="n">
        <v>0</v>
      </c>
      <c r="J367" t="n">
        <v>1</v>
      </c>
      <c r="K367" t="n">
        <v>0</v>
      </c>
      <c r="L367" t="n">
        <v>0</v>
      </c>
      <c r="M367" t="n">
        <v>0</v>
      </c>
      <c r="N367" t="n">
        <v>0</v>
      </c>
      <c r="O367" t="n">
        <v>1</v>
      </c>
      <c r="P367" t="n">
        <v>0</v>
      </c>
      <c r="Q367" t="n">
        <v>1</v>
      </c>
      <c r="R367" s="2" t="inlineStr">
        <is>
          <t>Svart taggsvamp</t>
        </is>
      </c>
      <c r="S367">
        <f>HYPERLINK("https://klasma.github.io/Logging_2180/artfynd/A 18376-2024 artfynd.xlsx", "A 18376-2024")</f>
        <v/>
      </c>
      <c r="T367">
        <f>HYPERLINK("https://klasma.github.io/Logging_2180/kartor/A 18376-2024 karta.png", "A 18376-2024")</f>
        <v/>
      </c>
      <c r="V367">
        <f>HYPERLINK("https://klasma.github.io/Logging_2180/klagomål/A 18376-2024 FSC-klagomål.docx", "A 18376-2024")</f>
        <v/>
      </c>
      <c r="W367">
        <f>HYPERLINK("https://klasma.github.io/Logging_2180/klagomålsmail/A 18376-2024 FSC-klagomål mail.docx", "A 18376-2024")</f>
        <v/>
      </c>
      <c r="X367">
        <f>HYPERLINK("https://klasma.github.io/Logging_2180/tillsyn/A 18376-2024 tillsynsbegäran.docx", "A 18376-2024")</f>
        <v/>
      </c>
      <c r="Y367">
        <f>HYPERLINK("https://klasma.github.io/Logging_2180/tillsynsmail/A 18376-2024 tillsynsbegäran mail.docx", "A 18376-2024")</f>
        <v/>
      </c>
    </row>
    <row r="368" ht="15" customHeight="1">
      <c r="A368" t="inlineStr">
        <is>
          <t>A 34235-2024</t>
        </is>
      </c>
      <c r="B368" s="1" t="n">
        <v>45524.56763888889</v>
      </c>
      <c r="C368" s="1" t="n">
        <v>45883</v>
      </c>
      <c r="D368" t="inlineStr">
        <is>
          <t>GÄVLEBORGS LÄN</t>
        </is>
      </c>
      <c r="E368" t="inlineStr">
        <is>
          <t>LJUSDAL</t>
        </is>
      </c>
      <c r="F368" t="inlineStr">
        <is>
          <t>Sveaskog</t>
        </is>
      </c>
      <c r="G368" t="n">
        <v>3.5</v>
      </c>
      <c r="H368" t="n">
        <v>1</v>
      </c>
      <c r="I368" t="n">
        <v>1</v>
      </c>
      <c r="J368" t="n">
        <v>0</v>
      </c>
      <c r="K368" t="n">
        <v>0</v>
      </c>
      <c r="L368" t="n">
        <v>0</v>
      </c>
      <c r="M368" t="n">
        <v>0</v>
      </c>
      <c r="N368" t="n">
        <v>0</v>
      </c>
      <c r="O368" t="n">
        <v>0</v>
      </c>
      <c r="P368" t="n">
        <v>0</v>
      </c>
      <c r="Q368" t="n">
        <v>1</v>
      </c>
      <c r="R368" s="2" t="inlineStr">
        <is>
          <t>Plattlummer</t>
        </is>
      </c>
      <c r="S368">
        <f>HYPERLINK("https://klasma.github.io/Logging_2161/artfynd/A 34235-2024 artfynd.xlsx", "A 34235-2024")</f>
        <v/>
      </c>
      <c r="T368">
        <f>HYPERLINK("https://klasma.github.io/Logging_2161/kartor/A 34235-2024 karta.png", "A 34235-2024")</f>
        <v/>
      </c>
      <c r="V368">
        <f>HYPERLINK("https://klasma.github.io/Logging_2161/klagomål/A 34235-2024 FSC-klagomål.docx", "A 34235-2024")</f>
        <v/>
      </c>
      <c r="W368">
        <f>HYPERLINK("https://klasma.github.io/Logging_2161/klagomålsmail/A 34235-2024 FSC-klagomål mail.docx", "A 34235-2024")</f>
        <v/>
      </c>
      <c r="X368">
        <f>HYPERLINK("https://klasma.github.io/Logging_2161/tillsyn/A 34235-2024 tillsynsbegäran.docx", "A 34235-2024")</f>
        <v/>
      </c>
      <c r="Y368">
        <f>HYPERLINK("https://klasma.github.io/Logging_2161/tillsynsmail/A 34235-2024 tillsynsbegäran mail.docx", "A 34235-2024")</f>
        <v/>
      </c>
    </row>
    <row r="369" ht="15" customHeight="1">
      <c r="A369" t="inlineStr">
        <is>
          <t>A 4839-2024</t>
        </is>
      </c>
      <c r="B369" s="1" t="n">
        <v>45329</v>
      </c>
      <c r="C369" s="1" t="n">
        <v>45883</v>
      </c>
      <c r="D369" t="inlineStr">
        <is>
          <t>GÄVLEBORGS LÄN</t>
        </is>
      </c>
      <c r="E369" t="inlineStr">
        <is>
          <t>LJUSDAL</t>
        </is>
      </c>
      <c r="G369" t="n">
        <v>2.5</v>
      </c>
      <c r="H369" t="n">
        <v>1</v>
      </c>
      <c r="I369" t="n">
        <v>0</v>
      </c>
      <c r="J369" t="n">
        <v>1</v>
      </c>
      <c r="K369" t="n">
        <v>0</v>
      </c>
      <c r="L369" t="n">
        <v>0</v>
      </c>
      <c r="M369" t="n">
        <v>0</v>
      </c>
      <c r="N369" t="n">
        <v>0</v>
      </c>
      <c r="O369" t="n">
        <v>1</v>
      </c>
      <c r="P369" t="n">
        <v>0</v>
      </c>
      <c r="Q369" t="n">
        <v>1</v>
      </c>
      <c r="R369" s="2" t="inlineStr">
        <is>
          <t>Ävjepilört</t>
        </is>
      </c>
      <c r="S369">
        <f>HYPERLINK("https://klasma.github.io/Logging_2161/artfynd/A 4839-2024 artfynd.xlsx", "A 4839-2024")</f>
        <v/>
      </c>
      <c r="T369">
        <f>HYPERLINK("https://klasma.github.io/Logging_2161/kartor/A 4839-2024 karta.png", "A 4839-2024")</f>
        <v/>
      </c>
      <c r="V369">
        <f>HYPERLINK("https://klasma.github.io/Logging_2161/klagomål/A 4839-2024 FSC-klagomål.docx", "A 4839-2024")</f>
        <v/>
      </c>
      <c r="W369">
        <f>HYPERLINK("https://klasma.github.io/Logging_2161/klagomålsmail/A 4839-2024 FSC-klagomål mail.docx", "A 4839-2024")</f>
        <v/>
      </c>
      <c r="X369">
        <f>HYPERLINK("https://klasma.github.io/Logging_2161/tillsyn/A 4839-2024 tillsynsbegäran.docx", "A 4839-2024")</f>
        <v/>
      </c>
      <c r="Y369">
        <f>HYPERLINK("https://klasma.github.io/Logging_2161/tillsynsmail/A 4839-2024 tillsynsbegäran mail.docx", "A 4839-2024")</f>
        <v/>
      </c>
    </row>
    <row r="370" ht="15" customHeight="1">
      <c r="A370" t="inlineStr">
        <is>
          <t>A 32807-2024</t>
        </is>
      </c>
      <c r="B370" s="1" t="n">
        <v>45516</v>
      </c>
      <c r="C370" s="1" t="n">
        <v>45883</v>
      </c>
      <c r="D370" t="inlineStr">
        <is>
          <t>GÄVLEBORGS LÄN</t>
        </is>
      </c>
      <c r="E370" t="inlineStr">
        <is>
          <t>LJUSDAL</t>
        </is>
      </c>
      <c r="F370" t="inlineStr">
        <is>
          <t>Sveaskog</t>
        </is>
      </c>
      <c r="G370" t="n">
        <v>11.5</v>
      </c>
      <c r="H370" t="n">
        <v>0</v>
      </c>
      <c r="I370" t="n">
        <v>0</v>
      </c>
      <c r="J370" t="n">
        <v>1</v>
      </c>
      <c r="K370" t="n">
        <v>0</v>
      </c>
      <c r="L370" t="n">
        <v>0</v>
      </c>
      <c r="M370" t="n">
        <v>0</v>
      </c>
      <c r="N370" t="n">
        <v>0</v>
      </c>
      <c r="O370" t="n">
        <v>1</v>
      </c>
      <c r="P370" t="n">
        <v>0</v>
      </c>
      <c r="Q370" t="n">
        <v>1</v>
      </c>
      <c r="R370" s="2" t="inlineStr">
        <is>
          <t>Kolflarnlav</t>
        </is>
      </c>
      <c r="S370">
        <f>HYPERLINK("https://klasma.github.io/Logging_2161/artfynd/A 32807-2024 artfynd.xlsx", "A 32807-2024")</f>
        <v/>
      </c>
      <c r="T370">
        <f>HYPERLINK("https://klasma.github.io/Logging_2161/kartor/A 32807-2024 karta.png", "A 32807-2024")</f>
        <v/>
      </c>
      <c r="V370">
        <f>HYPERLINK("https://klasma.github.io/Logging_2161/klagomål/A 32807-2024 FSC-klagomål.docx", "A 32807-2024")</f>
        <v/>
      </c>
      <c r="W370">
        <f>HYPERLINK("https://klasma.github.io/Logging_2161/klagomålsmail/A 32807-2024 FSC-klagomål mail.docx", "A 32807-2024")</f>
        <v/>
      </c>
      <c r="X370">
        <f>HYPERLINK("https://klasma.github.io/Logging_2161/tillsyn/A 32807-2024 tillsynsbegäran.docx", "A 32807-2024")</f>
        <v/>
      </c>
      <c r="Y370">
        <f>HYPERLINK("https://klasma.github.io/Logging_2161/tillsynsmail/A 32807-2024 tillsynsbegäran mail.docx", "A 32807-2024")</f>
        <v/>
      </c>
    </row>
    <row r="371" ht="15" customHeight="1">
      <c r="A371" t="inlineStr">
        <is>
          <t>A 58239-2024</t>
        </is>
      </c>
      <c r="B371" s="1" t="n">
        <v>45632.54140046296</v>
      </c>
      <c r="C371" s="1" t="n">
        <v>45883</v>
      </c>
      <c r="D371" t="inlineStr">
        <is>
          <t>GÄVLEBORGS LÄN</t>
        </is>
      </c>
      <c r="E371" t="inlineStr">
        <is>
          <t>HUDIKSVALL</t>
        </is>
      </c>
      <c r="F371" t="inlineStr">
        <is>
          <t>Holmen skog AB</t>
        </is>
      </c>
      <c r="G371" t="n">
        <v>4.3</v>
      </c>
      <c r="H371" t="n">
        <v>1</v>
      </c>
      <c r="I371" t="n">
        <v>0</v>
      </c>
      <c r="J371" t="n">
        <v>1</v>
      </c>
      <c r="K371" t="n">
        <v>0</v>
      </c>
      <c r="L371" t="n">
        <v>0</v>
      </c>
      <c r="M371" t="n">
        <v>0</v>
      </c>
      <c r="N371" t="n">
        <v>0</v>
      </c>
      <c r="O371" t="n">
        <v>1</v>
      </c>
      <c r="P371" t="n">
        <v>0</v>
      </c>
      <c r="Q371" t="n">
        <v>1</v>
      </c>
      <c r="R371" s="2" t="inlineStr">
        <is>
          <t>Kungsörn</t>
        </is>
      </c>
      <c r="S371">
        <f>HYPERLINK("https://klasma.github.io/Logging_2184/artfynd/A 58239-2024 artfynd.xlsx", "A 58239-2024")</f>
        <v/>
      </c>
      <c r="T371">
        <f>HYPERLINK("https://klasma.github.io/Logging_2184/kartor/A 58239-2024 karta.png", "A 58239-2024")</f>
        <v/>
      </c>
      <c r="V371">
        <f>HYPERLINK("https://klasma.github.io/Logging_2184/klagomål/A 58239-2024 FSC-klagomål.docx", "A 58239-2024")</f>
        <v/>
      </c>
      <c r="W371">
        <f>HYPERLINK("https://klasma.github.io/Logging_2184/klagomålsmail/A 58239-2024 FSC-klagomål mail.docx", "A 58239-2024")</f>
        <v/>
      </c>
      <c r="X371">
        <f>HYPERLINK("https://klasma.github.io/Logging_2184/tillsyn/A 58239-2024 tillsynsbegäran.docx", "A 58239-2024")</f>
        <v/>
      </c>
      <c r="Y371">
        <f>HYPERLINK("https://klasma.github.io/Logging_2184/tillsynsmail/A 58239-2024 tillsynsbegäran mail.docx", "A 58239-2024")</f>
        <v/>
      </c>
      <c r="Z371">
        <f>HYPERLINK("https://klasma.github.io/Logging_2184/fåglar/A 58239-2024 prioriterade fågelarter.docx", "A 58239-2024")</f>
        <v/>
      </c>
    </row>
    <row r="372" ht="15" customHeight="1">
      <c r="A372" t="inlineStr">
        <is>
          <t>A 38971-2024</t>
        </is>
      </c>
      <c r="B372" s="1" t="n">
        <v>45548</v>
      </c>
      <c r="C372" s="1" t="n">
        <v>45883</v>
      </c>
      <c r="D372" t="inlineStr">
        <is>
          <t>GÄVLEBORGS LÄN</t>
        </is>
      </c>
      <c r="E372" t="inlineStr">
        <is>
          <t>BOLLNÄS</t>
        </is>
      </c>
      <c r="F372" t="inlineStr">
        <is>
          <t>Sveaskog</t>
        </is>
      </c>
      <c r="G372" t="n">
        <v>5.7</v>
      </c>
      <c r="H372" t="n">
        <v>1</v>
      </c>
      <c r="I372" t="n">
        <v>0</v>
      </c>
      <c r="J372" t="n">
        <v>0</v>
      </c>
      <c r="K372" t="n">
        <v>0</v>
      </c>
      <c r="L372" t="n">
        <v>0</v>
      </c>
      <c r="M372" t="n">
        <v>0</v>
      </c>
      <c r="N372" t="n">
        <v>0</v>
      </c>
      <c r="O372" t="n">
        <v>0</v>
      </c>
      <c r="P372" t="n">
        <v>0</v>
      </c>
      <c r="Q372" t="n">
        <v>1</v>
      </c>
      <c r="R372" s="2" t="inlineStr">
        <is>
          <t>Lavskrika</t>
        </is>
      </c>
      <c r="S372">
        <f>HYPERLINK("https://klasma.github.io/Logging_2183/artfynd/A 38971-2024 artfynd.xlsx", "A 38971-2024")</f>
        <v/>
      </c>
      <c r="T372">
        <f>HYPERLINK("https://klasma.github.io/Logging_2183/kartor/A 38971-2024 karta.png", "A 38971-2024")</f>
        <v/>
      </c>
      <c r="V372">
        <f>HYPERLINK("https://klasma.github.io/Logging_2183/klagomål/A 38971-2024 FSC-klagomål.docx", "A 38971-2024")</f>
        <v/>
      </c>
      <c r="W372">
        <f>HYPERLINK("https://klasma.github.io/Logging_2183/klagomålsmail/A 38971-2024 FSC-klagomål mail.docx", "A 38971-2024")</f>
        <v/>
      </c>
      <c r="X372">
        <f>HYPERLINK("https://klasma.github.io/Logging_2183/tillsyn/A 38971-2024 tillsynsbegäran.docx", "A 38971-2024")</f>
        <v/>
      </c>
      <c r="Y372">
        <f>HYPERLINK("https://klasma.github.io/Logging_2183/tillsynsmail/A 38971-2024 tillsynsbegäran mail.docx", "A 38971-2024")</f>
        <v/>
      </c>
      <c r="Z372">
        <f>HYPERLINK("https://klasma.github.io/Logging_2183/fåglar/A 38971-2024 prioriterade fågelarter.docx", "A 38971-2024")</f>
        <v/>
      </c>
    </row>
    <row r="373" ht="15" customHeight="1">
      <c r="A373" t="inlineStr">
        <is>
          <t>A 18354-2025</t>
        </is>
      </c>
      <c r="B373" s="1" t="n">
        <v>45762.55247685185</v>
      </c>
      <c r="C373" s="1" t="n">
        <v>45883</v>
      </c>
      <c r="D373" t="inlineStr">
        <is>
          <t>GÄVLEBORGS LÄN</t>
        </is>
      </c>
      <c r="E373" t="inlineStr">
        <is>
          <t>LJUSDAL</t>
        </is>
      </c>
      <c r="F373" t="inlineStr">
        <is>
          <t>SCA</t>
        </is>
      </c>
      <c r="G373" t="n">
        <v>8.9</v>
      </c>
      <c r="H373" t="n">
        <v>1</v>
      </c>
      <c r="I373" t="n">
        <v>0</v>
      </c>
      <c r="J373" t="n">
        <v>0</v>
      </c>
      <c r="K373" t="n">
        <v>1</v>
      </c>
      <c r="L373" t="n">
        <v>0</v>
      </c>
      <c r="M373" t="n">
        <v>0</v>
      </c>
      <c r="N373" t="n">
        <v>0</v>
      </c>
      <c r="O373" t="n">
        <v>1</v>
      </c>
      <c r="P373" t="n">
        <v>1</v>
      </c>
      <c r="Q373" t="n">
        <v>1</v>
      </c>
      <c r="R373" s="2" t="inlineStr">
        <is>
          <t>Lappsparv</t>
        </is>
      </c>
      <c r="S373">
        <f>HYPERLINK("https://klasma.github.io/Logging_2161/artfynd/A 18354-2025 artfynd.xlsx", "A 18354-2025")</f>
        <v/>
      </c>
      <c r="T373">
        <f>HYPERLINK("https://klasma.github.io/Logging_2161/kartor/A 18354-2025 karta.png", "A 18354-2025")</f>
        <v/>
      </c>
      <c r="V373">
        <f>HYPERLINK("https://klasma.github.io/Logging_2161/klagomål/A 18354-2025 FSC-klagomål.docx", "A 18354-2025")</f>
        <v/>
      </c>
      <c r="W373">
        <f>HYPERLINK("https://klasma.github.io/Logging_2161/klagomålsmail/A 18354-2025 FSC-klagomål mail.docx", "A 18354-2025")</f>
        <v/>
      </c>
      <c r="X373">
        <f>HYPERLINK("https://klasma.github.io/Logging_2161/tillsyn/A 18354-2025 tillsynsbegäran.docx", "A 18354-2025")</f>
        <v/>
      </c>
      <c r="Y373">
        <f>HYPERLINK("https://klasma.github.io/Logging_2161/tillsynsmail/A 18354-2025 tillsynsbegäran mail.docx", "A 18354-2025")</f>
        <v/>
      </c>
    </row>
    <row r="374" ht="15" customHeight="1">
      <c r="A374" t="inlineStr">
        <is>
          <t>A 30008-2024</t>
        </is>
      </c>
      <c r="B374" s="1" t="n">
        <v>45488.6040162037</v>
      </c>
      <c r="C374" s="1" t="n">
        <v>45883</v>
      </c>
      <c r="D374" t="inlineStr">
        <is>
          <t>GÄVLEBORGS LÄN</t>
        </is>
      </c>
      <c r="E374" t="inlineStr">
        <is>
          <t>HOFORS</t>
        </is>
      </c>
      <c r="F374" t="inlineStr">
        <is>
          <t>Sveaskog</t>
        </is>
      </c>
      <c r="G374" t="n">
        <v>0.8</v>
      </c>
      <c r="H374" t="n">
        <v>0</v>
      </c>
      <c r="I374" t="n">
        <v>1</v>
      </c>
      <c r="J374" t="n">
        <v>0</v>
      </c>
      <c r="K374" t="n">
        <v>0</v>
      </c>
      <c r="L374" t="n">
        <v>0</v>
      </c>
      <c r="M374" t="n">
        <v>0</v>
      </c>
      <c r="N374" t="n">
        <v>0</v>
      </c>
      <c r="O374" t="n">
        <v>0</v>
      </c>
      <c r="P374" t="n">
        <v>0</v>
      </c>
      <c r="Q374" t="n">
        <v>1</v>
      </c>
      <c r="R374" s="2" t="inlineStr">
        <is>
          <t>Tibast</t>
        </is>
      </c>
      <c r="S374">
        <f>HYPERLINK("https://klasma.github.io/Logging_2104/artfynd/A 30008-2024 artfynd.xlsx", "A 30008-2024")</f>
        <v/>
      </c>
      <c r="T374">
        <f>HYPERLINK("https://klasma.github.io/Logging_2104/kartor/A 30008-2024 karta.png", "A 30008-2024")</f>
        <v/>
      </c>
      <c r="V374">
        <f>HYPERLINK("https://klasma.github.io/Logging_2104/klagomål/A 30008-2024 FSC-klagomål.docx", "A 30008-2024")</f>
        <v/>
      </c>
      <c r="W374">
        <f>HYPERLINK("https://klasma.github.io/Logging_2104/klagomålsmail/A 30008-2024 FSC-klagomål mail.docx", "A 30008-2024")</f>
        <v/>
      </c>
      <c r="X374">
        <f>HYPERLINK("https://klasma.github.io/Logging_2104/tillsyn/A 30008-2024 tillsynsbegäran.docx", "A 30008-2024")</f>
        <v/>
      </c>
      <c r="Y374">
        <f>HYPERLINK("https://klasma.github.io/Logging_2104/tillsynsmail/A 30008-2024 tillsynsbegäran mail.docx", "A 30008-2024")</f>
        <v/>
      </c>
    </row>
    <row r="375" ht="15" customHeight="1">
      <c r="A375" t="inlineStr">
        <is>
          <t>A 44032-2023</t>
        </is>
      </c>
      <c r="B375" s="1" t="n">
        <v>45188.36288194444</v>
      </c>
      <c r="C375" s="1" t="n">
        <v>45883</v>
      </c>
      <c r="D375" t="inlineStr">
        <is>
          <t>GÄVLEBORGS LÄN</t>
        </is>
      </c>
      <c r="E375" t="inlineStr">
        <is>
          <t>NORDANSTIG</t>
        </is>
      </c>
      <c r="F375" t="inlineStr">
        <is>
          <t>Holmen skog AB</t>
        </is>
      </c>
      <c r="G375" t="n">
        <v>5.3</v>
      </c>
      <c r="H375" t="n">
        <v>1</v>
      </c>
      <c r="I375" t="n">
        <v>0</v>
      </c>
      <c r="J375" t="n">
        <v>0</v>
      </c>
      <c r="K375" t="n">
        <v>0</v>
      </c>
      <c r="L375" t="n">
        <v>0</v>
      </c>
      <c r="M375" t="n">
        <v>0</v>
      </c>
      <c r="N375" t="n">
        <v>0</v>
      </c>
      <c r="O375" t="n">
        <v>0</v>
      </c>
      <c r="P375" t="n">
        <v>0</v>
      </c>
      <c r="Q375" t="n">
        <v>1</v>
      </c>
      <c r="R375" s="2" t="inlineStr">
        <is>
          <t>Revlummer</t>
        </is>
      </c>
      <c r="S375">
        <f>HYPERLINK("https://klasma.github.io/Logging_2132/artfynd/A 44032-2023 artfynd.xlsx", "A 44032-2023")</f>
        <v/>
      </c>
      <c r="T375">
        <f>HYPERLINK("https://klasma.github.io/Logging_2132/kartor/A 44032-2023 karta.png", "A 44032-2023")</f>
        <v/>
      </c>
      <c r="V375">
        <f>HYPERLINK("https://klasma.github.io/Logging_2132/klagomål/A 44032-2023 FSC-klagomål.docx", "A 44032-2023")</f>
        <v/>
      </c>
      <c r="W375">
        <f>HYPERLINK("https://klasma.github.io/Logging_2132/klagomålsmail/A 44032-2023 FSC-klagomål mail.docx", "A 44032-2023")</f>
        <v/>
      </c>
      <c r="X375">
        <f>HYPERLINK("https://klasma.github.io/Logging_2132/tillsyn/A 44032-2023 tillsynsbegäran.docx", "A 44032-2023")</f>
        <v/>
      </c>
      <c r="Y375">
        <f>HYPERLINK("https://klasma.github.io/Logging_2132/tillsynsmail/A 44032-2023 tillsynsbegäran mail.docx", "A 44032-2023")</f>
        <v/>
      </c>
    </row>
    <row r="376" ht="15" customHeight="1">
      <c r="A376" t="inlineStr">
        <is>
          <t>A 37090-2024</t>
        </is>
      </c>
      <c r="B376" s="1" t="n">
        <v>45539.49916666667</v>
      </c>
      <c r="C376" s="1" t="n">
        <v>45883</v>
      </c>
      <c r="D376" t="inlineStr">
        <is>
          <t>GÄVLEBORGS LÄN</t>
        </is>
      </c>
      <c r="E376" t="inlineStr">
        <is>
          <t>LJUSDAL</t>
        </is>
      </c>
      <c r="F376" t="inlineStr">
        <is>
          <t>Sveaskog</t>
        </is>
      </c>
      <c r="G376" t="n">
        <v>2.6</v>
      </c>
      <c r="H376" t="n">
        <v>0</v>
      </c>
      <c r="I376" t="n">
        <v>0</v>
      </c>
      <c r="J376" t="n">
        <v>1</v>
      </c>
      <c r="K376" t="n">
        <v>0</v>
      </c>
      <c r="L376" t="n">
        <v>0</v>
      </c>
      <c r="M376" t="n">
        <v>0</v>
      </c>
      <c r="N376" t="n">
        <v>0</v>
      </c>
      <c r="O376" t="n">
        <v>1</v>
      </c>
      <c r="P376" t="n">
        <v>0</v>
      </c>
      <c r="Q376" t="n">
        <v>1</v>
      </c>
      <c r="R376" s="2" t="inlineStr">
        <is>
          <t>Skrovellav</t>
        </is>
      </c>
      <c r="S376">
        <f>HYPERLINK("https://klasma.github.io/Logging_2161/artfynd/A 37090-2024 artfynd.xlsx", "A 37090-2024")</f>
        <v/>
      </c>
      <c r="T376">
        <f>HYPERLINK("https://klasma.github.io/Logging_2161/kartor/A 37090-2024 karta.png", "A 37090-2024")</f>
        <v/>
      </c>
      <c r="V376">
        <f>HYPERLINK("https://klasma.github.io/Logging_2161/klagomål/A 37090-2024 FSC-klagomål.docx", "A 37090-2024")</f>
        <v/>
      </c>
      <c r="W376">
        <f>HYPERLINK("https://klasma.github.io/Logging_2161/klagomålsmail/A 37090-2024 FSC-klagomål mail.docx", "A 37090-2024")</f>
        <v/>
      </c>
      <c r="X376">
        <f>HYPERLINK("https://klasma.github.io/Logging_2161/tillsyn/A 37090-2024 tillsynsbegäran.docx", "A 37090-2024")</f>
        <v/>
      </c>
      <c r="Y376">
        <f>HYPERLINK("https://klasma.github.io/Logging_2161/tillsynsmail/A 37090-2024 tillsynsbegäran mail.docx", "A 37090-2024")</f>
        <v/>
      </c>
    </row>
    <row r="377" ht="15" customHeight="1">
      <c r="A377" t="inlineStr">
        <is>
          <t>A 55216-2022</t>
        </is>
      </c>
      <c r="B377" s="1" t="n">
        <v>44886</v>
      </c>
      <c r="C377" s="1" t="n">
        <v>45883</v>
      </c>
      <c r="D377" t="inlineStr">
        <is>
          <t>GÄVLEBORGS LÄN</t>
        </is>
      </c>
      <c r="E377" t="inlineStr">
        <is>
          <t>LJUSDAL</t>
        </is>
      </c>
      <c r="F377" t="inlineStr">
        <is>
          <t>SCA</t>
        </is>
      </c>
      <c r="G377" t="n">
        <v>10.1</v>
      </c>
      <c r="H377" t="n">
        <v>1</v>
      </c>
      <c r="I377" t="n">
        <v>0</v>
      </c>
      <c r="J377" t="n">
        <v>0</v>
      </c>
      <c r="K377" t="n">
        <v>0</v>
      </c>
      <c r="L377" t="n">
        <v>0</v>
      </c>
      <c r="M377" t="n">
        <v>0</v>
      </c>
      <c r="N377" t="n">
        <v>0</v>
      </c>
      <c r="O377" t="n">
        <v>0</v>
      </c>
      <c r="P377" t="n">
        <v>0</v>
      </c>
      <c r="Q377" t="n">
        <v>1</v>
      </c>
      <c r="R377" s="2" t="inlineStr">
        <is>
          <t>Kungsfågel</t>
        </is>
      </c>
      <c r="S377">
        <f>HYPERLINK("https://klasma.github.io/Logging_2161/artfynd/A 55216-2022 artfynd.xlsx", "A 55216-2022")</f>
        <v/>
      </c>
      <c r="T377">
        <f>HYPERLINK("https://klasma.github.io/Logging_2161/kartor/A 55216-2022 karta.png", "A 55216-2022")</f>
        <v/>
      </c>
      <c r="V377">
        <f>HYPERLINK("https://klasma.github.io/Logging_2161/klagomål/A 55216-2022 FSC-klagomål.docx", "A 55216-2022")</f>
        <v/>
      </c>
      <c r="W377">
        <f>HYPERLINK("https://klasma.github.io/Logging_2161/klagomålsmail/A 55216-2022 FSC-klagomål mail.docx", "A 55216-2022")</f>
        <v/>
      </c>
      <c r="X377">
        <f>HYPERLINK("https://klasma.github.io/Logging_2161/tillsyn/A 55216-2022 tillsynsbegäran.docx", "A 55216-2022")</f>
        <v/>
      </c>
      <c r="Y377">
        <f>HYPERLINK("https://klasma.github.io/Logging_2161/tillsynsmail/A 55216-2022 tillsynsbegäran mail.docx", "A 55216-2022")</f>
        <v/>
      </c>
      <c r="Z377">
        <f>HYPERLINK("https://klasma.github.io/Logging_2161/fåglar/A 55216-2022 prioriterade fågelarter.docx", "A 55216-2022")</f>
        <v/>
      </c>
    </row>
    <row r="378" ht="15" customHeight="1">
      <c r="A378" t="inlineStr">
        <is>
          <t>A 49803-2022</t>
        </is>
      </c>
      <c r="B378" s="1" t="n">
        <v>44862.66302083333</v>
      </c>
      <c r="C378" s="1" t="n">
        <v>45883</v>
      </c>
      <c r="D378" t="inlineStr">
        <is>
          <t>GÄVLEBORGS LÄN</t>
        </is>
      </c>
      <c r="E378" t="inlineStr">
        <is>
          <t>LJUSDAL</t>
        </is>
      </c>
      <c r="F378" t="inlineStr">
        <is>
          <t>Sveaskog</t>
        </is>
      </c>
      <c r="G378" t="n">
        <v>1.9</v>
      </c>
      <c r="H378" t="n">
        <v>1</v>
      </c>
      <c r="I378" t="n">
        <v>0</v>
      </c>
      <c r="J378" t="n">
        <v>0</v>
      </c>
      <c r="K378" t="n">
        <v>0</v>
      </c>
      <c r="L378" t="n">
        <v>0</v>
      </c>
      <c r="M378" t="n">
        <v>0</v>
      </c>
      <c r="N378" t="n">
        <v>0</v>
      </c>
      <c r="O378" t="n">
        <v>0</v>
      </c>
      <c r="P378" t="n">
        <v>0</v>
      </c>
      <c r="Q378" t="n">
        <v>1</v>
      </c>
      <c r="R378" s="2" t="inlineStr">
        <is>
          <t>Fläcknycklar</t>
        </is>
      </c>
      <c r="S378">
        <f>HYPERLINK("https://klasma.github.io/Logging_2161/artfynd/A 49803-2022 artfynd.xlsx", "A 49803-2022")</f>
        <v/>
      </c>
      <c r="T378">
        <f>HYPERLINK("https://klasma.github.io/Logging_2161/kartor/A 49803-2022 karta.png", "A 49803-2022")</f>
        <v/>
      </c>
      <c r="V378">
        <f>HYPERLINK("https://klasma.github.io/Logging_2161/klagomål/A 49803-2022 FSC-klagomål.docx", "A 49803-2022")</f>
        <v/>
      </c>
      <c r="W378">
        <f>HYPERLINK("https://klasma.github.io/Logging_2161/klagomålsmail/A 49803-2022 FSC-klagomål mail.docx", "A 49803-2022")</f>
        <v/>
      </c>
      <c r="X378">
        <f>HYPERLINK("https://klasma.github.io/Logging_2161/tillsyn/A 49803-2022 tillsynsbegäran.docx", "A 49803-2022")</f>
        <v/>
      </c>
      <c r="Y378">
        <f>HYPERLINK("https://klasma.github.io/Logging_2161/tillsynsmail/A 49803-2022 tillsynsbegäran mail.docx", "A 49803-2022")</f>
        <v/>
      </c>
    </row>
    <row r="379" ht="15" customHeight="1">
      <c r="A379" t="inlineStr">
        <is>
          <t>A 34974-2024</t>
        </is>
      </c>
      <c r="B379" s="1" t="n">
        <v>45527.54129629629</v>
      </c>
      <c r="C379" s="1" t="n">
        <v>45883</v>
      </c>
      <c r="D379" t="inlineStr">
        <is>
          <t>GÄVLEBORGS LÄN</t>
        </is>
      </c>
      <c r="E379" t="inlineStr">
        <is>
          <t>LJUSDAL</t>
        </is>
      </c>
      <c r="F379" t="inlineStr">
        <is>
          <t>Sveaskog</t>
        </is>
      </c>
      <c r="G379" t="n">
        <v>4.6</v>
      </c>
      <c r="H379" t="n">
        <v>0</v>
      </c>
      <c r="I379" t="n">
        <v>0</v>
      </c>
      <c r="J379" t="n">
        <v>1</v>
      </c>
      <c r="K379" t="n">
        <v>0</v>
      </c>
      <c r="L379" t="n">
        <v>0</v>
      </c>
      <c r="M379" t="n">
        <v>0</v>
      </c>
      <c r="N379" t="n">
        <v>0</v>
      </c>
      <c r="O379" t="n">
        <v>1</v>
      </c>
      <c r="P379" t="n">
        <v>0</v>
      </c>
      <c r="Q379" t="n">
        <v>1</v>
      </c>
      <c r="R379" s="2" t="inlineStr">
        <is>
          <t>Kolflarnlav</t>
        </is>
      </c>
      <c r="S379">
        <f>HYPERLINK("https://klasma.github.io/Logging_2161/artfynd/A 34974-2024 artfynd.xlsx", "A 34974-2024")</f>
        <v/>
      </c>
      <c r="T379">
        <f>HYPERLINK("https://klasma.github.io/Logging_2161/kartor/A 34974-2024 karta.png", "A 34974-2024")</f>
        <v/>
      </c>
      <c r="V379">
        <f>HYPERLINK("https://klasma.github.io/Logging_2161/klagomål/A 34974-2024 FSC-klagomål.docx", "A 34974-2024")</f>
        <v/>
      </c>
      <c r="W379">
        <f>HYPERLINK("https://klasma.github.io/Logging_2161/klagomålsmail/A 34974-2024 FSC-klagomål mail.docx", "A 34974-2024")</f>
        <v/>
      </c>
      <c r="X379">
        <f>HYPERLINK("https://klasma.github.io/Logging_2161/tillsyn/A 34974-2024 tillsynsbegäran.docx", "A 34974-2024")</f>
        <v/>
      </c>
      <c r="Y379">
        <f>HYPERLINK("https://klasma.github.io/Logging_2161/tillsynsmail/A 34974-2024 tillsynsbegäran mail.docx", "A 34974-2024")</f>
        <v/>
      </c>
    </row>
    <row r="380" ht="15" customHeight="1">
      <c r="A380" t="inlineStr">
        <is>
          <t>A 18215-2024</t>
        </is>
      </c>
      <c r="B380" s="1" t="n">
        <v>45420</v>
      </c>
      <c r="C380" s="1" t="n">
        <v>45883</v>
      </c>
      <c r="D380" t="inlineStr">
        <is>
          <t>GÄVLEBORGS LÄN</t>
        </is>
      </c>
      <c r="E380" t="inlineStr">
        <is>
          <t>GÄVLE</t>
        </is>
      </c>
      <c r="F380" t="inlineStr">
        <is>
          <t>Bergvik skog väst AB</t>
        </is>
      </c>
      <c r="G380" t="n">
        <v>68.59999999999999</v>
      </c>
      <c r="H380" t="n">
        <v>1</v>
      </c>
      <c r="I380" t="n">
        <v>0</v>
      </c>
      <c r="J380" t="n">
        <v>0</v>
      </c>
      <c r="K380" t="n">
        <v>0</v>
      </c>
      <c r="L380" t="n">
        <v>0</v>
      </c>
      <c r="M380" t="n">
        <v>0</v>
      </c>
      <c r="N380" t="n">
        <v>0</v>
      </c>
      <c r="O380" t="n">
        <v>0</v>
      </c>
      <c r="P380" t="n">
        <v>0</v>
      </c>
      <c r="Q380" t="n">
        <v>1</v>
      </c>
      <c r="R380" s="2" t="inlineStr">
        <is>
          <t>Huggorm</t>
        </is>
      </c>
      <c r="S380">
        <f>HYPERLINK("https://klasma.github.io/Logging_2180/artfynd/A 18215-2024 artfynd.xlsx", "A 18215-2024")</f>
        <v/>
      </c>
      <c r="T380">
        <f>HYPERLINK("https://klasma.github.io/Logging_2180/kartor/A 18215-2024 karta.png", "A 18215-2024")</f>
        <v/>
      </c>
      <c r="V380">
        <f>HYPERLINK("https://klasma.github.io/Logging_2180/klagomål/A 18215-2024 FSC-klagomål.docx", "A 18215-2024")</f>
        <v/>
      </c>
      <c r="W380">
        <f>HYPERLINK("https://klasma.github.io/Logging_2180/klagomålsmail/A 18215-2024 FSC-klagomål mail.docx", "A 18215-2024")</f>
        <v/>
      </c>
      <c r="X380">
        <f>HYPERLINK("https://klasma.github.io/Logging_2180/tillsyn/A 18215-2024 tillsynsbegäran.docx", "A 18215-2024")</f>
        <v/>
      </c>
      <c r="Y380">
        <f>HYPERLINK("https://klasma.github.io/Logging_2180/tillsynsmail/A 18215-2024 tillsynsbegäran mail.docx", "A 18215-2024")</f>
        <v/>
      </c>
    </row>
    <row r="381" ht="15" customHeight="1">
      <c r="A381" t="inlineStr">
        <is>
          <t>A 32499-2023</t>
        </is>
      </c>
      <c r="B381" s="1" t="n">
        <v>45121.30815972222</v>
      </c>
      <c r="C381" s="1" t="n">
        <v>45883</v>
      </c>
      <c r="D381" t="inlineStr">
        <is>
          <t>GÄVLEBORGS LÄN</t>
        </is>
      </c>
      <c r="E381" t="inlineStr">
        <is>
          <t>LJUSDAL</t>
        </is>
      </c>
      <c r="F381" t="inlineStr">
        <is>
          <t>Sveaskog</t>
        </is>
      </c>
      <c r="G381" t="n">
        <v>2.6</v>
      </c>
      <c r="H381" t="n">
        <v>1</v>
      </c>
      <c r="I381" t="n">
        <v>0</v>
      </c>
      <c r="J381" t="n">
        <v>0</v>
      </c>
      <c r="K381" t="n">
        <v>1</v>
      </c>
      <c r="L381" t="n">
        <v>0</v>
      </c>
      <c r="M381" t="n">
        <v>0</v>
      </c>
      <c r="N381" t="n">
        <v>0</v>
      </c>
      <c r="O381" t="n">
        <v>1</v>
      </c>
      <c r="P381" t="n">
        <v>1</v>
      </c>
      <c r="Q381" t="n">
        <v>1</v>
      </c>
      <c r="R381" s="2" t="inlineStr">
        <is>
          <t>Knärot</t>
        </is>
      </c>
      <c r="S381">
        <f>HYPERLINK("https://klasma.github.io/Logging_2161/artfynd/A 32499-2023 artfynd.xlsx", "A 32499-2023")</f>
        <v/>
      </c>
      <c r="T381">
        <f>HYPERLINK("https://klasma.github.io/Logging_2161/kartor/A 32499-2023 karta.png", "A 32499-2023")</f>
        <v/>
      </c>
      <c r="U381">
        <f>HYPERLINK("https://klasma.github.io/Logging_2161/knärot/A 32499-2023 karta knärot.png", "A 32499-2023")</f>
        <v/>
      </c>
      <c r="V381">
        <f>HYPERLINK("https://klasma.github.io/Logging_2161/klagomål/A 32499-2023 FSC-klagomål.docx", "A 32499-2023")</f>
        <v/>
      </c>
      <c r="W381">
        <f>HYPERLINK("https://klasma.github.io/Logging_2161/klagomålsmail/A 32499-2023 FSC-klagomål mail.docx", "A 32499-2023")</f>
        <v/>
      </c>
      <c r="X381">
        <f>HYPERLINK("https://klasma.github.io/Logging_2161/tillsyn/A 32499-2023 tillsynsbegäran.docx", "A 32499-2023")</f>
        <v/>
      </c>
      <c r="Y381">
        <f>HYPERLINK("https://klasma.github.io/Logging_2161/tillsynsmail/A 32499-2023 tillsynsbegäran mail.docx", "A 32499-2023")</f>
        <v/>
      </c>
    </row>
    <row r="382" ht="15" customHeight="1">
      <c r="A382" t="inlineStr">
        <is>
          <t>A 20656-2024</t>
        </is>
      </c>
      <c r="B382" s="1" t="n">
        <v>45436</v>
      </c>
      <c r="C382" s="1" t="n">
        <v>45883</v>
      </c>
      <c r="D382" t="inlineStr">
        <is>
          <t>GÄVLEBORGS LÄN</t>
        </is>
      </c>
      <c r="E382" t="inlineStr">
        <is>
          <t>LJUSDAL</t>
        </is>
      </c>
      <c r="F382" t="inlineStr">
        <is>
          <t>Sveaskog</t>
        </is>
      </c>
      <c r="G382" t="n">
        <v>2.7</v>
      </c>
      <c r="H382" t="n">
        <v>0</v>
      </c>
      <c r="I382" t="n">
        <v>0</v>
      </c>
      <c r="J382" t="n">
        <v>1</v>
      </c>
      <c r="K382" t="n">
        <v>0</v>
      </c>
      <c r="L382" t="n">
        <v>0</v>
      </c>
      <c r="M382" t="n">
        <v>0</v>
      </c>
      <c r="N382" t="n">
        <v>0</v>
      </c>
      <c r="O382" t="n">
        <v>1</v>
      </c>
      <c r="P382" t="n">
        <v>0</v>
      </c>
      <c r="Q382" t="n">
        <v>1</v>
      </c>
      <c r="R382" s="2" t="inlineStr">
        <is>
          <t>Tallticka</t>
        </is>
      </c>
      <c r="S382">
        <f>HYPERLINK("https://klasma.github.io/Logging_2161/artfynd/A 20656-2024 artfynd.xlsx", "A 20656-2024")</f>
        <v/>
      </c>
      <c r="T382">
        <f>HYPERLINK("https://klasma.github.io/Logging_2161/kartor/A 20656-2024 karta.png", "A 20656-2024")</f>
        <v/>
      </c>
      <c r="V382">
        <f>HYPERLINK("https://klasma.github.io/Logging_2161/klagomål/A 20656-2024 FSC-klagomål.docx", "A 20656-2024")</f>
        <v/>
      </c>
      <c r="W382">
        <f>HYPERLINK("https://klasma.github.io/Logging_2161/klagomålsmail/A 20656-2024 FSC-klagomål mail.docx", "A 20656-2024")</f>
        <v/>
      </c>
      <c r="X382">
        <f>HYPERLINK("https://klasma.github.io/Logging_2161/tillsyn/A 20656-2024 tillsynsbegäran.docx", "A 20656-2024")</f>
        <v/>
      </c>
      <c r="Y382">
        <f>HYPERLINK("https://klasma.github.io/Logging_2161/tillsynsmail/A 20656-2024 tillsynsbegäran mail.docx", "A 20656-2024")</f>
        <v/>
      </c>
    </row>
    <row r="383" ht="15" customHeight="1">
      <c r="A383" t="inlineStr">
        <is>
          <t>A 25145-2024</t>
        </is>
      </c>
      <c r="B383" s="1" t="n">
        <v>45462.49670138889</v>
      </c>
      <c r="C383" s="1" t="n">
        <v>45883</v>
      </c>
      <c r="D383" t="inlineStr">
        <is>
          <t>GÄVLEBORGS LÄN</t>
        </is>
      </c>
      <c r="E383" t="inlineStr">
        <is>
          <t>HUDIKSVALL</t>
        </is>
      </c>
      <c r="F383" t="inlineStr">
        <is>
          <t>Sveaskog</t>
        </is>
      </c>
      <c r="G383" t="n">
        <v>2.3</v>
      </c>
      <c r="H383" t="n">
        <v>1</v>
      </c>
      <c r="I383" t="n">
        <v>0</v>
      </c>
      <c r="J383" t="n">
        <v>0</v>
      </c>
      <c r="K383" t="n">
        <v>0</v>
      </c>
      <c r="L383" t="n">
        <v>0</v>
      </c>
      <c r="M383" t="n">
        <v>0</v>
      </c>
      <c r="N383" t="n">
        <v>0</v>
      </c>
      <c r="O383" t="n">
        <v>0</v>
      </c>
      <c r="P383" t="n">
        <v>0</v>
      </c>
      <c r="Q383" t="n">
        <v>1</v>
      </c>
      <c r="R383" s="2" t="inlineStr">
        <is>
          <t>Skogsödla</t>
        </is>
      </c>
      <c r="S383">
        <f>HYPERLINK("https://klasma.github.io/Logging_2184/artfynd/A 25145-2024 artfynd.xlsx", "A 25145-2024")</f>
        <v/>
      </c>
      <c r="T383">
        <f>HYPERLINK("https://klasma.github.io/Logging_2184/kartor/A 25145-2024 karta.png", "A 25145-2024")</f>
        <v/>
      </c>
      <c r="V383">
        <f>HYPERLINK("https://klasma.github.io/Logging_2184/klagomål/A 25145-2024 FSC-klagomål.docx", "A 25145-2024")</f>
        <v/>
      </c>
      <c r="W383">
        <f>HYPERLINK("https://klasma.github.io/Logging_2184/klagomålsmail/A 25145-2024 FSC-klagomål mail.docx", "A 25145-2024")</f>
        <v/>
      </c>
      <c r="X383">
        <f>HYPERLINK("https://klasma.github.io/Logging_2184/tillsyn/A 25145-2024 tillsynsbegäran.docx", "A 25145-2024")</f>
        <v/>
      </c>
      <c r="Y383">
        <f>HYPERLINK("https://klasma.github.io/Logging_2184/tillsynsmail/A 25145-2024 tillsynsbegäran mail.docx", "A 25145-2024")</f>
        <v/>
      </c>
    </row>
    <row r="384" ht="15" customHeight="1">
      <c r="A384" t="inlineStr">
        <is>
          <t>A 55326-2024</t>
        </is>
      </c>
      <c r="B384" s="1" t="n">
        <v>45621.67460648148</v>
      </c>
      <c r="C384" s="1" t="n">
        <v>45883</v>
      </c>
      <c r="D384" t="inlineStr">
        <is>
          <t>GÄVLEBORGS LÄN</t>
        </is>
      </c>
      <c r="E384" t="inlineStr">
        <is>
          <t>LJUSDAL</t>
        </is>
      </c>
      <c r="G384" t="n">
        <v>11.1</v>
      </c>
      <c r="H384" t="n">
        <v>0</v>
      </c>
      <c r="I384" t="n">
        <v>0</v>
      </c>
      <c r="J384" t="n">
        <v>1</v>
      </c>
      <c r="K384" t="n">
        <v>0</v>
      </c>
      <c r="L384" t="n">
        <v>0</v>
      </c>
      <c r="M384" t="n">
        <v>0</v>
      </c>
      <c r="N384" t="n">
        <v>0</v>
      </c>
      <c r="O384" t="n">
        <v>1</v>
      </c>
      <c r="P384" t="n">
        <v>0</v>
      </c>
      <c r="Q384" t="n">
        <v>1</v>
      </c>
      <c r="R384" s="2" t="inlineStr">
        <is>
          <t>Vedskivlav</t>
        </is>
      </c>
      <c r="S384">
        <f>HYPERLINK("https://klasma.github.io/Logging_2161/artfynd/A 55326-2024 artfynd.xlsx", "A 55326-2024")</f>
        <v/>
      </c>
      <c r="T384">
        <f>HYPERLINK("https://klasma.github.io/Logging_2161/kartor/A 55326-2024 karta.png", "A 55326-2024")</f>
        <v/>
      </c>
      <c r="U384">
        <f>HYPERLINK("https://klasma.github.io/Logging_2161/knärot/A 55326-2024 karta knärot.png", "A 55326-2024")</f>
        <v/>
      </c>
      <c r="V384">
        <f>HYPERLINK("https://klasma.github.io/Logging_2161/klagomål/A 55326-2024 FSC-klagomål.docx", "A 55326-2024")</f>
        <v/>
      </c>
      <c r="W384">
        <f>HYPERLINK("https://klasma.github.io/Logging_2161/klagomålsmail/A 55326-2024 FSC-klagomål mail.docx", "A 55326-2024")</f>
        <v/>
      </c>
      <c r="X384">
        <f>HYPERLINK("https://klasma.github.io/Logging_2161/tillsyn/A 55326-2024 tillsynsbegäran.docx", "A 55326-2024")</f>
        <v/>
      </c>
      <c r="Y384">
        <f>HYPERLINK("https://klasma.github.io/Logging_2161/tillsynsmail/A 55326-2024 tillsynsbegäran mail.docx", "A 55326-2024")</f>
        <v/>
      </c>
    </row>
    <row r="385" ht="15" customHeight="1">
      <c r="A385" t="inlineStr">
        <is>
          <t>A 29873-2021</t>
        </is>
      </c>
      <c r="B385" s="1" t="n">
        <v>44362.68620370371</v>
      </c>
      <c r="C385" s="1" t="n">
        <v>45883</v>
      </c>
      <c r="D385" t="inlineStr">
        <is>
          <t>GÄVLEBORGS LÄN</t>
        </is>
      </c>
      <c r="E385" t="inlineStr">
        <is>
          <t>OVANÅKER</t>
        </is>
      </c>
      <c r="F385" t="inlineStr">
        <is>
          <t>Sveaskog</t>
        </is>
      </c>
      <c r="G385" t="n">
        <v>9.199999999999999</v>
      </c>
      <c r="H385" t="n">
        <v>0</v>
      </c>
      <c r="I385" t="n">
        <v>0</v>
      </c>
      <c r="J385" t="n">
        <v>1</v>
      </c>
      <c r="K385" t="n">
        <v>0</v>
      </c>
      <c r="L385" t="n">
        <v>0</v>
      </c>
      <c r="M385" t="n">
        <v>0</v>
      </c>
      <c r="N385" t="n">
        <v>0</v>
      </c>
      <c r="O385" t="n">
        <v>1</v>
      </c>
      <c r="P385" t="n">
        <v>0</v>
      </c>
      <c r="Q385" t="n">
        <v>1</v>
      </c>
      <c r="R385" s="2" t="inlineStr">
        <is>
          <t>Lunglav</t>
        </is>
      </c>
      <c r="S385">
        <f>HYPERLINK("https://klasma.github.io/Logging_2121/artfynd/A 29873-2021 artfynd.xlsx", "A 29873-2021")</f>
        <v/>
      </c>
      <c r="T385">
        <f>HYPERLINK("https://klasma.github.io/Logging_2121/kartor/A 29873-2021 karta.png", "A 29873-2021")</f>
        <v/>
      </c>
      <c r="V385">
        <f>HYPERLINK("https://klasma.github.io/Logging_2121/klagomål/A 29873-2021 FSC-klagomål.docx", "A 29873-2021")</f>
        <v/>
      </c>
      <c r="W385">
        <f>HYPERLINK("https://klasma.github.io/Logging_2121/klagomålsmail/A 29873-2021 FSC-klagomål mail.docx", "A 29873-2021")</f>
        <v/>
      </c>
      <c r="X385">
        <f>HYPERLINK("https://klasma.github.io/Logging_2121/tillsyn/A 29873-2021 tillsynsbegäran.docx", "A 29873-2021")</f>
        <v/>
      </c>
      <c r="Y385">
        <f>HYPERLINK("https://klasma.github.io/Logging_2121/tillsynsmail/A 29873-2021 tillsynsbegäran mail.docx", "A 29873-2021")</f>
        <v/>
      </c>
    </row>
    <row r="386" ht="15" customHeight="1">
      <c r="A386" t="inlineStr">
        <is>
          <t>A 35373-2024</t>
        </is>
      </c>
      <c r="B386" s="1" t="n">
        <v>45531</v>
      </c>
      <c r="C386" s="1" t="n">
        <v>45883</v>
      </c>
      <c r="D386" t="inlineStr">
        <is>
          <t>GÄVLEBORGS LÄN</t>
        </is>
      </c>
      <c r="E386" t="inlineStr">
        <is>
          <t>OVANÅKER</t>
        </is>
      </c>
      <c r="F386" t="inlineStr">
        <is>
          <t>Sveaskog</t>
        </is>
      </c>
      <c r="G386" t="n">
        <v>2.3</v>
      </c>
      <c r="H386" t="n">
        <v>0</v>
      </c>
      <c r="I386" t="n">
        <v>0</v>
      </c>
      <c r="J386" t="n">
        <v>1</v>
      </c>
      <c r="K386" t="n">
        <v>0</v>
      </c>
      <c r="L386" t="n">
        <v>0</v>
      </c>
      <c r="M386" t="n">
        <v>0</v>
      </c>
      <c r="N386" t="n">
        <v>0</v>
      </c>
      <c r="O386" t="n">
        <v>1</v>
      </c>
      <c r="P386" t="n">
        <v>0</v>
      </c>
      <c r="Q386" t="n">
        <v>1</v>
      </c>
      <c r="R386" s="2" t="inlineStr">
        <is>
          <t>Vedtrappmossa</t>
        </is>
      </c>
      <c r="S386">
        <f>HYPERLINK("https://klasma.github.io/Logging_2121/artfynd/A 35373-2024 artfynd.xlsx", "A 35373-2024")</f>
        <v/>
      </c>
      <c r="T386">
        <f>HYPERLINK("https://klasma.github.io/Logging_2121/kartor/A 35373-2024 karta.png", "A 35373-2024")</f>
        <v/>
      </c>
      <c r="V386">
        <f>HYPERLINK("https://klasma.github.io/Logging_2121/klagomål/A 35373-2024 FSC-klagomål.docx", "A 35373-2024")</f>
        <v/>
      </c>
      <c r="W386">
        <f>HYPERLINK("https://klasma.github.io/Logging_2121/klagomålsmail/A 35373-2024 FSC-klagomål mail.docx", "A 35373-2024")</f>
        <v/>
      </c>
      <c r="X386">
        <f>HYPERLINK("https://klasma.github.io/Logging_2121/tillsyn/A 35373-2024 tillsynsbegäran.docx", "A 35373-2024")</f>
        <v/>
      </c>
      <c r="Y386">
        <f>HYPERLINK("https://klasma.github.io/Logging_2121/tillsynsmail/A 35373-2024 tillsynsbegäran mail.docx", "A 35373-2024")</f>
        <v/>
      </c>
    </row>
    <row r="387" ht="15" customHeight="1">
      <c r="A387" t="inlineStr">
        <is>
          <t>A 30115-2024</t>
        </is>
      </c>
      <c r="B387" s="1" t="n">
        <v>45489.47310185185</v>
      </c>
      <c r="C387" s="1" t="n">
        <v>45883</v>
      </c>
      <c r="D387" t="inlineStr">
        <is>
          <t>GÄVLEBORGS LÄN</t>
        </is>
      </c>
      <c r="E387" t="inlineStr">
        <is>
          <t>LJUSDAL</t>
        </is>
      </c>
      <c r="F387" t="inlineStr">
        <is>
          <t>Sveaskog</t>
        </is>
      </c>
      <c r="G387" t="n">
        <v>3.7</v>
      </c>
      <c r="H387" t="n">
        <v>0</v>
      </c>
      <c r="I387" t="n">
        <v>0</v>
      </c>
      <c r="J387" t="n">
        <v>1</v>
      </c>
      <c r="K387" t="n">
        <v>0</v>
      </c>
      <c r="L387" t="n">
        <v>0</v>
      </c>
      <c r="M387" t="n">
        <v>0</v>
      </c>
      <c r="N387" t="n">
        <v>0</v>
      </c>
      <c r="O387" t="n">
        <v>1</v>
      </c>
      <c r="P387" t="n">
        <v>0</v>
      </c>
      <c r="Q387" t="n">
        <v>1</v>
      </c>
      <c r="R387" s="2" t="inlineStr">
        <is>
          <t>Kolflarnlav</t>
        </is>
      </c>
      <c r="S387">
        <f>HYPERLINK("https://klasma.github.io/Logging_2161/artfynd/A 30115-2024 artfynd.xlsx", "A 30115-2024")</f>
        <v/>
      </c>
      <c r="T387">
        <f>HYPERLINK("https://klasma.github.io/Logging_2161/kartor/A 30115-2024 karta.png", "A 30115-2024")</f>
        <v/>
      </c>
      <c r="V387">
        <f>HYPERLINK("https://klasma.github.io/Logging_2161/klagomål/A 30115-2024 FSC-klagomål.docx", "A 30115-2024")</f>
        <v/>
      </c>
      <c r="W387">
        <f>HYPERLINK("https://klasma.github.io/Logging_2161/klagomålsmail/A 30115-2024 FSC-klagomål mail.docx", "A 30115-2024")</f>
        <v/>
      </c>
      <c r="X387">
        <f>HYPERLINK("https://klasma.github.io/Logging_2161/tillsyn/A 30115-2024 tillsynsbegäran.docx", "A 30115-2024")</f>
        <v/>
      </c>
      <c r="Y387">
        <f>HYPERLINK("https://klasma.github.io/Logging_2161/tillsynsmail/A 30115-2024 tillsynsbegäran mail.docx", "A 30115-2024")</f>
        <v/>
      </c>
    </row>
    <row r="388" ht="15" customHeight="1">
      <c r="A388" t="inlineStr">
        <is>
          <t>A 26538-2023</t>
        </is>
      </c>
      <c r="B388" s="1" t="n">
        <v>45092</v>
      </c>
      <c r="C388" s="1" t="n">
        <v>45883</v>
      </c>
      <c r="D388" t="inlineStr">
        <is>
          <t>GÄVLEBORGS LÄN</t>
        </is>
      </c>
      <c r="E388" t="inlineStr">
        <is>
          <t>LJUSDAL</t>
        </is>
      </c>
      <c r="F388" t="inlineStr">
        <is>
          <t>Sveaskog</t>
        </is>
      </c>
      <c r="G388" t="n">
        <v>22.1</v>
      </c>
      <c r="H388" t="n">
        <v>0</v>
      </c>
      <c r="I388" t="n">
        <v>0</v>
      </c>
      <c r="J388" t="n">
        <v>1</v>
      </c>
      <c r="K388" t="n">
        <v>0</v>
      </c>
      <c r="L388" t="n">
        <v>0</v>
      </c>
      <c r="M388" t="n">
        <v>0</v>
      </c>
      <c r="N388" t="n">
        <v>0</v>
      </c>
      <c r="O388" t="n">
        <v>1</v>
      </c>
      <c r="P388" t="n">
        <v>0</v>
      </c>
      <c r="Q388" t="n">
        <v>1</v>
      </c>
      <c r="R388" s="2" t="inlineStr">
        <is>
          <t>Lunglav</t>
        </is>
      </c>
      <c r="S388">
        <f>HYPERLINK("https://klasma.github.io/Logging_2161/artfynd/A 26538-2023 artfynd.xlsx", "A 26538-2023")</f>
        <v/>
      </c>
      <c r="T388">
        <f>HYPERLINK("https://klasma.github.io/Logging_2161/kartor/A 26538-2023 karta.png", "A 26538-2023")</f>
        <v/>
      </c>
      <c r="V388">
        <f>HYPERLINK("https://klasma.github.io/Logging_2161/klagomål/A 26538-2023 FSC-klagomål.docx", "A 26538-2023")</f>
        <v/>
      </c>
      <c r="W388">
        <f>HYPERLINK("https://klasma.github.io/Logging_2161/klagomålsmail/A 26538-2023 FSC-klagomål mail.docx", "A 26538-2023")</f>
        <v/>
      </c>
      <c r="X388">
        <f>HYPERLINK("https://klasma.github.io/Logging_2161/tillsyn/A 26538-2023 tillsynsbegäran.docx", "A 26538-2023")</f>
        <v/>
      </c>
      <c r="Y388">
        <f>HYPERLINK("https://klasma.github.io/Logging_2161/tillsynsmail/A 26538-2023 tillsynsbegäran mail.docx", "A 26538-2023")</f>
        <v/>
      </c>
    </row>
    <row r="389" ht="15" customHeight="1">
      <c r="A389" t="inlineStr">
        <is>
          <t>A 9436-2025</t>
        </is>
      </c>
      <c r="B389" s="1" t="n">
        <v>45715.41275462963</v>
      </c>
      <c r="C389" s="1" t="n">
        <v>45883</v>
      </c>
      <c r="D389" t="inlineStr">
        <is>
          <t>GÄVLEBORGS LÄN</t>
        </is>
      </c>
      <c r="E389" t="inlineStr">
        <is>
          <t>GÄVLE</t>
        </is>
      </c>
      <c r="G389" t="n">
        <v>8.199999999999999</v>
      </c>
      <c r="H389" t="n">
        <v>0</v>
      </c>
      <c r="I389" t="n">
        <v>1</v>
      </c>
      <c r="J389" t="n">
        <v>0</v>
      </c>
      <c r="K389" t="n">
        <v>0</v>
      </c>
      <c r="L389" t="n">
        <v>0</v>
      </c>
      <c r="M389" t="n">
        <v>0</v>
      </c>
      <c r="N389" t="n">
        <v>0</v>
      </c>
      <c r="O389" t="n">
        <v>0</v>
      </c>
      <c r="P389" t="n">
        <v>0</v>
      </c>
      <c r="Q389" t="n">
        <v>1</v>
      </c>
      <c r="R389" s="2" t="inlineStr">
        <is>
          <t>Vågbandad barkbock</t>
        </is>
      </c>
      <c r="S389">
        <f>HYPERLINK("https://klasma.github.io/Logging_2180/artfynd/A 9436-2025 artfynd.xlsx", "A 9436-2025")</f>
        <v/>
      </c>
      <c r="T389">
        <f>HYPERLINK("https://klasma.github.io/Logging_2180/kartor/A 9436-2025 karta.png", "A 9436-2025")</f>
        <v/>
      </c>
      <c r="V389">
        <f>HYPERLINK("https://klasma.github.io/Logging_2180/klagomål/A 9436-2025 FSC-klagomål.docx", "A 9436-2025")</f>
        <v/>
      </c>
      <c r="W389">
        <f>HYPERLINK("https://klasma.github.io/Logging_2180/klagomålsmail/A 9436-2025 FSC-klagomål mail.docx", "A 9436-2025")</f>
        <v/>
      </c>
      <c r="X389">
        <f>HYPERLINK("https://klasma.github.io/Logging_2180/tillsyn/A 9436-2025 tillsynsbegäran.docx", "A 9436-2025")</f>
        <v/>
      </c>
      <c r="Y389">
        <f>HYPERLINK("https://klasma.github.io/Logging_2180/tillsynsmail/A 9436-2025 tillsynsbegäran mail.docx", "A 9436-2025")</f>
        <v/>
      </c>
    </row>
    <row r="390" ht="15" customHeight="1">
      <c r="A390" t="inlineStr">
        <is>
          <t>A 35623-2024</t>
        </is>
      </c>
      <c r="B390" s="1" t="n">
        <v>45531.73449074074</v>
      </c>
      <c r="C390" s="1" t="n">
        <v>45883</v>
      </c>
      <c r="D390" t="inlineStr">
        <is>
          <t>GÄVLEBORGS LÄN</t>
        </is>
      </c>
      <c r="E390" t="inlineStr">
        <is>
          <t>SANDVIKEN</t>
        </is>
      </c>
      <c r="F390" t="inlineStr">
        <is>
          <t>Sveaskog</t>
        </is>
      </c>
      <c r="G390" t="n">
        <v>13.1</v>
      </c>
      <c r="H390" t="n">
        <v>1</v>
      </c>
      <c r="I390" t="n">
        <v>0</v>
      </c>
      <c r="J390" t="n">
        <v>1</v>
      </c>
      <c r="K390" t="n">
        <v>0</v>
      </c>
      <c r="L390" t="n">
        <v>0</v>
      </c>
      <c r="M390" t="n">
        <v>0</v>
      </c>
      <c r="N390" t="n">
        <v>0</v>
      </c>
      <c r="O390" t="n">
        <v>1</v>
      </c>
      <c r="P390" t="n">
        <v>0</v>
      </c>
      <c r="Q390" t="n">
        <v>1</v>
      </c>
      <c r="R390" s="2" t="inlineStr">
        <is>
          <t>Nordfladdermus</t>
        </is>
      </c>
      <c r="S390">
        <f>HYPERLINK("https://klasma.github.io/Logging_2181/artfynd/A 35623-2024 artfynd.xlsx", "A 35623-2024")</f>
        <v/>
      </c>
      <c r="T390">
        <f>HYPERLINK("https://klasma.github.io/Logging_2181/kartor/A 35623-2024 karta.png", "A 35623-2024")</f>
        <v/>
      </c>
      <c r="V390">
        <f>HYPERLINK("https://klasma.github.io/Logging_2181/klagomål/A 35623-2024 FSC-klagomål.docx", "A 35623-2024")</f>
        <v/>
      </c>
      <c r="W390">
        <f>HYPERLINK("https://klasma.github.io/Logging_2181/klagomålsmail/A 35623-2024 FSC-klagomål mail.docx", "A 35623-2024")</f>
        <v/>
      </c>
      <c r="X390">
        <f>HYPERLINK("https://klasma.github.io/Logging_2181/tillsyn/A 35623-2024 tillsynsbegäran.docx", "A 35623-2024")</f>
        <v/>
      </c>
      <c r="Y390">
        <f>HYPERLINK("https://klasma.github.io/Logging_2181/tillsynsmail/A 35623-2024 tillsynsbegäran mail.docx", "A 35623-2024")</f>
        <v/>
      </c>
    </row>
    <row r="391" ht="15" customHeight="1">
      <c r="A391" t="inlineStr">
        <is>
          <t>A 40943-2023</t>
        </is>
      </c>
      <c r="B391" s="1" t="n">
        <v>45173</v>
      </c>
      <c r="C391" s="1" t="n">
        <v>45883</v>
      </c>
      <c r="D391" t="inlineStr">
        <is>
          <t>GÄVLEBORGS LÄN</t>
        </is>
      </c>
      <c r="E391" t="inlineStr">
        <is>
          <t>LJUSDAL</t>
        </is>
      </c>
      <c r="G391" t="n">
        <v>5.8</v>
      </c>
      <c r="H391" t="n">
        <v>0</v>
      </c>
      <c r="I391" t="n">
        <v>0</v>
      </c>
      <c r="J391" t="n">
        <v>1</v>
      </c>
      <c r="K391" t="n">
        <v>0</v>
      </c>
      <c r="L391" t="n">
        <v>0</v>
      </c>
      <c r="M391" t="n">
        <v>0</v>
      </c>
      <c r="N391" t="n">
        <v>0</v>
      </c>
      <c r="O391" t="n">
        <v>1</v>
      </c>
      <c r="P391" t="n">
        <v>0</v>
      </c>
      <c r="Q391" t="n">
        <v>1</v>
      </c>
      <c r="R391" s="2" t="inlineStr">
        <is>
          <t>Mörk kolflarnlav</t>
        </is>
      </c>
      <c r="S391">
        <f>HYPERLINK("https://klasma.github.io/Logging_2161/artfynd/A 40943-2023 artfynd.xlsx", "A 40943-2023")</f>
        <v/>
      </c>
      <c r="T391">
        <f>HYPERLINK("https://klasma.github.io/Logging_2161/kartor/A 40943-2023 karta.png", "A 40943-2023")</f>
        <v/>
      </c>
      <c r="V391">
        <f>HYPERLINK("https://klasma.github.io/Logging_2161/klagomål/A 40943-2023 FSC-klagomål.docx", "A 40943-2023")</f>
        <v/>
      </c>
      <c r="W391">
        <f>HYPERLINK("https://klasma.github.io/Logging_2161/klagomålsmail/A 40943-2023 FSC-klagomål mail.docx", "A 40943-2023")</f>
        <v/>
      </c>
      <c r="X391">
        <f>HYPERLINK("https://klasma.github.io/Logging_2161/tillsyn/A 40943-2023 tillsynsbegäran.docx", "A 40943-2023")</f>
        <v/>
      </c>
      <c r="Y391">
        <f>HYPERLINK("https://klasma.github.io/Logging_2161/tillsynsmail/A 40943-2023 tillsynsbegäran mail.docx", "A 40943-2023")</f>
        <v/>
      </c>
    </row>
    <row r="392" ht="15" customHeight="1">
      <c r="A392" t="inlineStr">
        <is>
          <t>A 7543-2024</t>
        </is>
      </c>
      <c r="B392" s="1" t="n">
        <v>45348</v>
      </c>
      <c r="C392" s="1" t="n">
        <v>45883</v>
      </c>
      <c r="D392" t="inlineStr">
        <is>
          <t>GÄVLEBORGS LÄN</t>
        </is>
      </c>
      <c r="E392" t="inlineStr">
        <is>
          <t>HOFORS</t>
        </is>
      </c>
      <c r="G392" t="n">
        <v>3.2</v>
      </c>
      <c r="H392" t="n">
        <v>0</v>
      </c>
      <c r="I392" t="n">
        <v>1</v>
      </c>
      <c r="J392" t="n">
        <v>0</v>
      </c>
      <c r="K392" t="n">
        <v>0</v>
      </c>
      <c r="L392" t="n">
        <v>0</v>
      </c>
      <c r="M392" t="n">
        <v>0</v>
      </c>
      <c r="N392" t="n">
        <v>0</v>
      </c>
      <c r="O392" t="n">
        <v>0</v>
      </c>
      <c r="P392" t="n">
        <v>0</v>
      </c>
      <c r="Q392" t="n">
        <v>1</v>
      </c>
      <c r="R392" s="2" t="inlineStr">
        <is>
          <t>Svart trolldruva</t>
        </is>
      </c>
      <c r="S392">
        <f>HYPERLINK("https://klasma.github.io/Logging_2104/artfynd/A 7543-2024 artfynd.xlsx", "A 7543-2024")</f>
        <v/>
      </c>
      <c r="T392">
        <f>HYPERLINK("https://klasma.github.io/Logging_2104/kartor/A 7543-2024 karta.png", "A 7543-2024")</f>
        <v/>
      </c>
      <c r="V392">
        <f>HYPERLINK("https://klasma.github.io/Logging_2104/klagomål/A 7543-2024 FSC-klagomål.docx", "A 7543-2024")</f>
        <v/>
      </c>
      <c r="W392">
        <f>HYPERLINK("https://klasma.github.io/Logging_2104/klagomålsmail/A 7543-2024 FSC-klagomål mail.docx", "A 7543-2024")</f>
        <v/>
      </c>
      <c r="X392">
        <f>HYPERLINK("https://klasma.github.io/Logging_2104/tillsyn/A 7543-2024 tillsynsbegäran.docx", "A 7543-2024")</f>
        <v/>
      </c>
      <c r="Y392">
        <f>HYPERLINK("https://klasma.github.io/Logging_2104/tillsynsmail/A 7543-2024 tillsynsbegäran mail.docx", "A 7543-2024")</f>
        <v/>
      </c>
    </row>
    <row r="393" ht="15" customHeight="1">
      <c r="A393" t="inlineStr">
        <is>
          <t>A 26526-2023</t>
        </is>
      </c>
      <c r="B393" s="1" t="n">
        <v>45092.56519675926</v>
      </c>
      <c r="C393" s="1" t="n">
        <v>45883</v>
      </c>
      <c r="D393" t="inlineStr">
        <is>
          <t>GÄVLEBORGS LÄN</t>
        </is>
      </c>
      <c r="E393" t="inlineStr">
        <is>
          <t>LJUSDAL</t>
        </is>
      </c>
      <c r="F393" t="inlineStr">
        <is>
          <t>Sveaskog</t>
        </is>
      </c>
      <c r="G393" t="n">
        <v>3.6</v>
      </c>
      <c r="H393" t="n">
        <v>0</v>
      </c>
      <c r="I393" t="n">
        <v>0</v>
      </c>
      <c r="J393" t="n">
        <v>1</v>
      </c>
      <c r="K393" t="n">
        <v>0</v>
      </c>
      <c r="L393" t="n">
        <v>0</v>
      </c>
      <c r="M393" t="n">
        <v>0</v>
      </c>
      <c r="N393" t="n">
        <v>0</v>
      </c>
      <c r="O393" t="n">
        <v>1</v>
      </c>
      <c r="P393" t="n">
        <v>0</v>
      </c>
      <c r="Q393" t="n">
        <v>1</v>
      </c>
      <c r="R393" s="2" t="inlineStr">
        <is>
          <t>Kolflarnlav</t>
        </is>
      </c>
      <c r="S393">
        <f>HYPERLINK("https://klasma.github.io/Logging_2161/artfynd/A 26526-2023 artfynd.xlsx", "A 26526-2023")</f>
        <v/>
      </c>
      <c r="T393">
        <f>HYPERLINK("https://klasma.github.io/Logging_2161/kartor/A 26526-2023 karta.png", "A 26526-2023")</f>
        <v/>
      </c>
      <c r="V393">
        <f>HYPERLINK("https://klasma.github.io/Logging_2161/klagomål/A 26526-2023 FSC-klagomål.docx", "A 26526-2023")</f>
        <v/>
      </c>
      <c r="W393">
        <f>HYPERLINK("https://klasma.github.io/Logging_2161/klagomålsmail/A 26526-2023 FSC-klagomål mail.docx", "A 26526-2023")</f>
        <v/>
      </c>
      <c r="X393">
        <f>HYPERLINK("https://klasma.github.io/Logging_2161/tillsyn/A 26526-2023 tillsynsbegäran.docx", "A 26526-2023")</f>
        <v/>
      </c>
      <c r="Y393">
        <f>HYPERLINK("https://klasma.github.io/Logging_2161/tillsynsmail/A 26526-2023 tillsynsbegäran mail.docx", "A 26526-2023")</f>
        <v/>
      </c>
    </row>
    <row r="394" ht="15" customHeight="1">
      <c r="A394" t="inlineStr">
        <is>
          <t>A 3755-2023</t>
        </is>
      </c>
      <c r="B394" s="1" t="n">
        <v>44951</v>
      </c>
      <c r="C394" s="1" t="n">
        <v>45883</v>
      </c>
      <c r="D394" t="inlineStr">
        <is>
          <t>GÄVLEBORGS LÄN</t>
        </is>
      </c>
      <c r="E394" t="inlineStr">
        <is>
          <t>NORDANSTIG</t>
        </is>
      </c>
      <c r="G394" t="n">
        <v>8.199999999999999</v>
      </c>
      <c r="H394" t="n">
        <v>1</v>
      </c>
      <c r="I394" t="n">
        <v>0</v>
      </c>
      <c r="J394" t="n">
        <v>0</v>
      </c>
      <c r="K394" t="n">
        <v>0</v>
      </c>
      <c r="L394" t="n">
        <v>1</v>
      </c>
      <c r="M394" t="n">
        <v>0</v>
      </c>
      <c r="N394" t="n">
        <v>0</v>
      </c>
      <c r="O394" t="n">
        <v>1</v>
      </c>
      <c r="P394" t="n">
        <v>1</v>
      </c>
      <c r="Q394" t="n">
        <v>1</v>
      </c>
      <c r="R394" s="2" t="inlineStr">
        <is>
          <t>Bredgentiana</t>
        </is>
      </c>
      <c r="S394">
        <f>HYPERLINK("https://klasma.github.io/Logging_2132/artfynd/A 3755-2023 artfynd.xlsx", "A 3755-2023")</f>
        <v/>
      </c>
      <c r="T394">
        <f>HYPERLINK("https://klasma.github.io/Logging_2132/kartor/A 3755-2023 karta.png", "A 3755-2023")</f>
        <v/>
      </c>
      <c r="V394">
        <f>HYPERLINK("https://klasma.github.io/Logging_2132/klagomål/A 3755-2023 FSC-klagomål.docx", "A 3755-2023")</f>
        <v/>
      </c>
      <c r="W394">
        <f>HYPERLINK("https://klasma.github.io/Logging_2132/klagomålsmail/A 3755-2023 FSC-klagomål mail.docx", "A 3755-2023")</f>
        <v/>
      </c>
      <c r="X394">
        <f>HYPERLINK("https://klasma.github.io/Logging_2132/tillsyn/A 3755-2023 tillsynsbegäran.docx", "A 3755-2023")</f>
        <v/>
      </c>
      <c r="Y394">
        <f>HYPERLINK("https://klasma.github.io/Logging_2132/tillsynsmail/A 3755-2023 tillsynsbegäran mail.docx", "A 3755-2023")</f>
        <v/>
      </c>
    </row>
    <row r="395" ht="15" customHeight="1">
      <c r="A395" t="inlineStr">
        <is>
          <t>A 5370-2025</t>
        </is>
      </c>
      <c r="B395" s="1" t="n">
        <v>45692</v>
      </c>
      <c r="C395" s="1" t="n">
        <v>45883</v>
      </c>
      <c r="D395" t="inlineStr">
        <is>
          <t>GÄVLEBORGS LÄN</t>
        </is>
      </c>
      <c r="E395" t="inlineStr">
        <is>
          <t>BOLLNÄS</t>
        </is>
      </c>
      <c r="G395" t="n">
        <v>2.5</v>
      </c>
      <c r="H395" t="n">
        <v>0</v>
      </c>
      <c r="I395" t="n">
        <v>0</v>
      </c>
      <c r="J395" t="n">
        <v>1</v>
      </c>
      <c r="K395" t="n">
        <v>0</v>
      </c>
      <c r="L395" t="n">
        <v>0</v>
      </c>
      <c r="M395" t="n">
        <v>0</v>
      </c>
      <c r="N395" t="n">
        <v>0</v>
      </c>
      <c r="O395" t="n">
        <v>1</v>
      </c>
      <c r="P395" t="n">
        <v>0</v>
      </c>
      <c r="Q395" t="n">
        <v>1</v>
      </c>
      <c r="R395" s="2" t="inlineStr">
        <is>
          <t>Ullticka</t>
        </is>
      </c>
      <c r="S395">
        <f>HYPERLINK("https://klasma.github.io/Logging_2183/artfynd/A 5370-2025 artfynd.xlsx", "A 5370-2025")</f>
        <v/>
      </c>
      <c r="T395">
        <f>HYPERLINK("https://klasma.github.io/Logging_2183/kartor/A 5370-2025 karta.png", "A 5370-2025")</f>
        <v/>
      </c>
      <c r="V395">
        <f>HYPERLINK("https://klasma.github.io/Logging_2183/klagomål/A 5370-2025 FSC-klagomål.docx", "A 5370-2025")</f>
        <v/>
      </c>
      <c r="W395">
        <f>HYPERLINK("https://klasma.github.io/Logging_2183/klagomålsmail/A 5370-2025 FSC-klagomål mail.docx", "A 5370-2025")</f>
        <v/>
      </c>
      <c r="X395">
        <f>HYPERLINK("https://klasma.github.io/Logging_2183/tillsyn/A 5370-2025 tillsynsbegäran.docx", "A 5370-2025")</f>
        <v/>
      </c>
      <c r="Y395">
        <f>HYPERLINK("https://klasma.github.io/Logging_2183/tillsynsmail/A 5370-2025 tillsynsbegäran mail.docx", "A 5370-2025")</f>
        <v/>
      </c>
    </row>
    <row r="396" ht="15" customHeight="1">
      <c r="A396" t="inlineStr">
        <is>
          <t>A 41494-2024</t>
        </is>
      </c>
      <c r="B396" s="1" t="n">
        <v>45560.45381944445</v>
      </c>
      <c r="C396" s="1" t="n">
        <v>45883</v>
      </c>
      <c r="D396" t="inlineStr">
        <is>
          <t>GÄVLEBORGS LÄN</t>
        </is>
      </c>
      <c r="E396" t="inlineStr">
        <is>
          <t>HUDIKSVALL</t>
        </is>
      </c>
      <c r="F396" t="inlineStr">
        <is>
          <t>Holmen skog AB</t>
        </is>
      </c>
      <c r="G396" t="n">
        <v>20.9</v>
      </c>
      <c r="H396" t="n">
        <v>0</v>
      </c>
      <c r="I396" t="n">
        <v>0</v>
      </c>
      <c r="J396" t="n">
        <v>1</v>
      </c>
      <c r="K396" t="n">
        <v>0</v>
      </c>
      <c r="L396" t="n">
        <v>0</v>
      </c>
      <c r="M396" t="n">
        <v>0</v>
      </c>
      <c r="N396" t="n">
        <v>0</v>
      </c>
      <c r="O396" t="n">
        <v>1</v>
      </c>
      <c r="P396" t="n">
        <v>0</v>
      </c>
      <c r="Q396" t="n">
        <v>1</v>
      </c>
      <c r="R396" s="2" t="inlineStr">
        <is>
          <t>Lunglav</t>
        </is>
      </c>
      <c r="S396">
        <f>HYPERLINK("https://klasma.github.io/Logging_2184/artfynd/A 41494-2024 artfynd.xlsx", "A 41494-2024")</f>
        <v/>
      </c>
      <c r="T396">
        <f>HYPERLINK("https://klasma.github.io/Logging_2184/kartor/A 41494-2024 karta.png", "A 41494-2024")</f>
        <v/>
      </c>
      <c r="V396">
        <f>HYPERLINK("https://klasma.github.io/Logging_2184/klagomål/A 41494-2024 FSC-klagomål.docx", "A 41494-2024")</f>
        <v/>
      </c>
      <c r="W396">
        <f>HYPERLINK("https://klasma.github.io/Logging_2184/klagomålsmail/A 41494-2024 FSC-klagomål mail.docx", "A 41494-2024")</f>
        <v/>
      </c>
      <c r="X396">
        <f>HYPERLINK("https://klasma.github.io/Logging_2184/tillsyn/A 41494-2024 tillsynsbegäran.docx", "A 41494-2024")</f>
        <v/>
      </c>
      <c r="Y396">
        <f>HYPERLINK("https://klasma.github.io/Logging_2184/tillsynsmail/A 41494-2024 tillsynsbegäran mail.docx", "A 41494-2024")</f>
        <v/>
      </c>
    </row>
    <row r="397" ht="15" customHeight="1">
      <c r="A397" t="inlineStr">
        <is>
          <t>A 19427-2025</t>
        </is>
      </c>
      <c r="B397" s="1" t="n">
        <v>45769.79703703704</v>
      </c>
      <c r="C397" s="1" t="n">
        <v>45883</v>
      </c>
      <c r="D397" t="inlineStr">
        <is>
          <t>GÄVLEBORGS LÄN</t>
        </is>
      </c>
      <c r="E397" t="inlineStr">
        <is>
          <t>HUDIKSVALL</t>
        </is>
      </c>
      <c r="F397" t="inlineStr">
        <is>
          <t>Holmen skog AB</t>
        </is>
      </c>
      <c r="G397" t="n">
        <v>3.1</v>
      </c>
      <c r="H397" t="n">
        <v>0</v>
      </c>
      <c r="I397" t="n">
        <v>0</v>
      </c>
      <c r="J397" t="n">
        <v>1</v>
      </c>
      <c r="K397" t="n">
        <v>0</v>
      </c>
      <c r="L397" t="n">
        <v>0</v>
      </c>
      <c r="M397" t="n">
        <v>0</v>
      </c>
      <c r="N397" t="n">
        <v>0</v>
      </c>
      <c r="O397" t="n">
        <v>1</v>
      </c>
      <c r="P397" t="n">
        <v>0</v>
      </c>
      <c r="Q397" t="n">
        <v>1</v>
      </c>
      <c r="R397" s="2" t="inlineStr">
        <is>
          <t>Garnlav</t>
        </is>
      </c>
      <c r="S397">
        <f>HYPERLINK("https://klasma.github.io/Logging_2184/artfynd/A 19427-2025 artfynd.xlsx", "A 19427-2025")</f>
        <v/>
      </c>
      <c r="T397">
        <f>HYPERLINK("https://klasma.github.io/Logging_2184/kartor/A 19427-2025 karta.png", "A 19427-2025")</f>
        <v/>
      </c>
      <c r="V397">
        <f>HYPERLINK("https://klasma.github.io/Logging_2184/klagomål/A 19427-2025 FSC-klagomål.docx", "A 19427-2025")</f>
        <v/>
      </c>
      <c r="W397">
        <f>HYPERLINK("https://klasma.github.io/Logging_2184/klagomålsmail/A 19427-2025 FSC-klagomål mail.docx", "A 19427-2025")</f>
        <v/>
      </c>
      <c r="X397">
        <f>HYPERLINK("https://klasma.github.io/Logging_2184/tillsyn/A 19427-2025 tillsynsbegäran.docx", "A 19427-2025")</f>
        <v/>
      </c>
      <c r="Y397">
        <f>HYPERLINK("https://klasma.github.io/Logging_2184/tillsynsmail/A 19427-2025 tillsynsbegäran mail.docx", "A 19427-2025")</f>
        <v/>
      </c>
    </row>
    <row r="398" ht="15" customHeight="1">
      <c r="A398" t="inlineStr">
        <is>
          <t>A 43682-2024</t>
        </is>
      </c>
      <c r="B398" s="1" t="n">
        <v>45569</v>
      </c>
      <c r="C398" s="1" t="n">
        <v>45883</v>
      </c>
      <c r="D398" t="inlineStr">
        <is>
          <t>GÄVLEBORGS LÄN</t>
        </is>
      </c>
      <c r="E398" t="inlineStr">
        <is>
          <t>SÖDERHAMN</t>
        </is>
      </c>
      <c r="G398" t="n">
        <v>3.8</v>
      </c>
      <c r="H398" t="n">
        <v>0</v>
      </c>
      <c r="I398" t="n">
        <v>0</v>
      </c>
      <c r="J398" t="n">
        <v>1</v>
      </c>
      <c r="K398" t="n">
        <v>0</v>
      </c>
      <c r="L398" t="n">
        <v>0</v>
      </c>
      <c r="M398" t="n">
        <v>0</v>
      </c>
      <c r="N398" t="n">
        <v>0</v>
      </c>
      <c r="O398" t="n">
        <v>1</v>
      </c>
      <c r="P398" t="n">
        <v>0</v>
      </c>
      <c r="Q398" t="n">
        <v>1</v>
      </c>
      <c r="R398" s="2" t="inlineStr">
        <is>
          <t>Garnlav</t>
        </is>
      </c>
      <c r="S398">
        <f>HYPERLINK("https://klasma.github.io/Logging_2182/artfynd/A 43682-2024 artfynd.xlsx", "A 43682-2024")</f>
        <v/>
      </c>
      <c r="T398">
        <f>HYPERLINK("https://klasma.github.io/Logging_2182/kartor/A 43682-2024 karta.png", "A 43682-2024")</f>
        <v/>
      </c>
      <c r="V398">
        <f>HYPERLINK("https://klasma.github.io/Logging_2182/klagomål/A 43682-2024 FSC-klagomål.docx", "A 43682-2024")</f>
        <v/>
      </c>
      <c r="W398">
        <f>HYPERLINK("https://klasma.github.io/Logging_2182/klagomålsmail/A 43682-2024 FSC-klagomål mail.docx", "A 43682-2024")</f>
        <v/>
      </c>
      <c r="X398">
        <f>HYPERLINK("https://klasma.github.io/Logging_2182/tillsyn/A 43682-2024 tillsynsbegäran.docx", "A 43682-2024")</f>
        <v/>
      </c>
      <c r="Y398">
        <f>HYPERLINK("https://klasma.github.io/Logging_2182/tillsynsmail/A 43682-2024 tillsynsbegäran mail.docx", "A 43682-2024")</f>
        <v/>
      </c>
    </row>
    <row r="399" ht="15" customHeight="1">
      <c r="A399" t="inlineStr">
        <is>
          <t>A 33950-2024</t>
        </is>
      </c>
      <c r="B399" s="1" t="n">
        <v>45523.46476851852</v>
      </c>
      <c r="C399" s="1" t="n">
        <v>45883</v>
      </c>
      <c r="D399" t="inlineStr">
        <is>
          <t>GÄVLEBORGS LÄN</t>
        </is>
      </c>
      <c r="E399" t="inlineStr">
        <is>
          <t>LJUSDAL</t>
        </is>
      </c>
      <c r="F399" t="inlineStr">
        <is>
          <t>Sveaskog</t>
        </is>
      </c>
      <c r="G399" t="n">
        <v>3.6</v>
      </c>
      <c r="H399" t="n">
        <v>0</v>
      </c>
      <c r="I399" t="n">
        <v>0</v>
      </c>
      <c r="J399" t="n">
        <v>1</v>
      </c>
      <c r="K399" t="n">
        <v>0</v>
      </c>
      <c r="L399" t="n">
        <v>0</v>
      </c>
      <c r="M399" t="n">
        <v>0</v>
      </c>
      <c r="N399" t="n">
        <v>0</v>
      </c>
      <c r="O399" t="n">
        <v>1</v>
      </c>
      <c r="P399" t="n">
        <v>0</v>
      </c>
      <c r="Q399" t="n">
        <v>1</v>
      </c>
      <c r="R399" s="2" t="inlineStr">
        <is>
          <t>Lunglav</t>
        </is>
      </c>
      <c r="S399">
        <f>HYPERLINK("https://klasma.github.io/Logging_2161/artfynd/A 33950-2024 artfynd.xlsx", "A 33950-2024")</f>
        <v/>
      </c>
      <c r="T399">
        <f>HYPERLINK("https://klasma.github.io/Logging_2161/kartor/A 33950-2024 karta.png", "A 33950-2024")</f>
        <v/>
      </c>
      <c r="V399">
        <f>HYPERLINK("https://klasma.github.io/Logging_2161/klagomål/A 33950-2024 FSC-klagomål.docx", "A 33950-2024")</f>
        <v/>
      </c>
      <c r="W399">
        <f>HYPERLINK("https://klasma.github.io/Logging_2161/klagomålsmail/A 33950-2024 FSC-klagomål mail.docx", "A 33950-2024")</f>
        <v/>
      </c>
      <c r="X399">
        <f>HYPERLINK("https://klasma.github.io/Logging_2161/tillsyn/A 33950-2024 tillsynsbegäran.docx", "A 33950-2024")</f>
        <v/>
      </c>
      <c r="Y399">
        <f>HYPERLINK("https://klasma.github.io/Logging_2161/tillsynsmail/A 33950-2024 tillsynsbegäran mail.docx", "A 33950-2024")</f>
        <v/>
      </c>
    </row>
    <row r="400" ht="15" customHeight="1">
      <c r="A400" t="inlineStr">
        <is>
          <t>A 25114-2023</t>
        </is>
      </c>
      <c r="B400" s="1" t="n">
        <v>45086</v>
      </c>
      <c r="C400" s="1" t="n">
        <v>45883</v>
      </c>
      <c r="D400" t="inlineStr">
        <is>
          <t>GÄVLEBORGS LÄN</t>
        </is>
      </c>
      <c r="E400" t="inlineStr">
        <is>
          <t>LJUSDAL</t>
        </is>
      </c>
      <c r="G400" t="n">
        <v>0.9</v>
      </c>
      <c r="H400" t="n">
        <v>0</v>
      </c>
      <c r="I400" t="n">
        <v>1</v>
      </c>
      <c r="J400" t="n">
        <v>0</v>
      </c>
      <c r="K400" t="n">
        <v>0</v>
      </c>
      <c r="L400" t="n">
        <v>0</v>
      </c>
      <c r="M400" t="n">
        <v>0</v>
      </c>
      <c r="N400" t="n">
        <v>0</v>
      </c>
      <c r="O400" t="n">
        <v>0</v>
      </c>
      <c r="P400" t="n">
        <v>0</v>
      </c>
      <c r="Q400" t="n">
        <v>1</v>
      </c>
      <c r="R400" s="2" t="inlineStr">
        <is>
          <t>Vedticka</t>
        </is>
      </c>
      <c r="S400">
        <f>HYPERLINK("https://klasma.github.io/Logging_2161/artfynd/A 25114-2023 artfynd.xlsx", "A 25114-2023")</f>
        <v/>
      </c>
      <c r="T400">
        <f>HYPERLINK("https://klasma.github.io/Logging_2161/kartor/A 25114-2023 karta.png", "A 25114-2023")</f>
        <v/>
      </c>
      <c r="U400">
        <f>HYPERLINK("https://klasma.github.io/Logging_2161/knärot/A 25114-2023 karta knärot.png", "A 25114-2023")</f>
        <v/>
      </c>
      <c r="V400">
        <f>HYPERLINK("https://klasma.github.io/Logging_2161/klagomål/A 25114-2023 FSC-klagomål.docx", "A 25114-2023")</f>
        <v/>
      </c>
      <c r="W400">
        <f>HYPERLINK("https://klasma.github.io/Logging_2161/klagomålsmail/A 25114-2023 FSC-klagomål mail.docx", "A 25114-2023")</f>
        <v/>
      </c>
      <c r="X400">
        <f>HYPERLINK("https://klasma.github.io/Logging_2161/tillsyn/A 25114-2023 tillsynsbegäran.docx", "A 25114-2023")</f>
        <v/>
      </c>
      <c r="Y400">
        <f>HYPERLINK("https://klasma.github.io/Logging_2161/tillsynsmail/A 25114-2023 tillsynsbegäran mail.docx", "A 25114-2023")</f>
        <v/>
      </c>
    </row>
    <row r="401" ht="15" customHeight="1">
      <c r="A401" t="inlineStr">
        <is>
          <t>A 51508-2024</t>
        </is>
      </c>
      <c r="B401" s="1" t="n">
        <v>45604.55732638889</v>
      </c>
      <c r="C401" s="1" t="n">
        <v>45883</v>
      </c>
      <c r="D401" t="inlineStr">
        <is>
          <t>GÄVLEBORGS LÄN</t>
        </is>
      </c>
      <c r="E401" t="inlineStr">
        <is>
          <t>GÄVLE</t>
        </is>
      </c>
      <c r="G401" t="n">
        <v>0.9</v>
      </c>
      <c r="H401" t="n">
        <v>0</v>
      </c>
      <c r="I401" t="n">
        <v>1</v>
      </c>
      <c r="J401" t="n">
        <v>0</v>
      </c>
      <c r="K401" t="n">
        <v>0</v>
      </c>
      <c r="L401" t="n">
        <v>0</v>
      </c>
      <c r="M401" t="n">
        <v>0</v>
      </c>
      <c r="N401" t="n">
        <v>0</v>
      </c>
      <c r="O401" t="n">
        <v>0</v>
      </c>
      <c r="P401" t="n">
        <v>0</v>
      </c>
      <c r="Q401" t="n">
        <v>1</v>
      </c>
      <c r="R401" s="2" t="inlineStr">
        <is>
          <t>Tibast</t>
        </is>
      </c>
      <c r="S401">
        <f>HYPERLINK("https://klasma.github.io/Logging_2180/artfynd/A 51508-2024 artfynd.xlsx", "A 51508-2024")</f>
        <v/>
      </c>
      <c r="T401">
        <f>HYPERLINK("https://klasma.github.io/Logging_2180/kartor/A 51508-2024 karta.png", "A 51508-2024")</f>
        <v/>
      </c>
      <c r="V401">
        <f>HYPERLINK("https://klasma.github.io/Logging_2180/klagomål/A 51508-2024 FSC-klagomål.docx", "A 51508-2024")</f>
        <v/>
      </c>
      <c r="W401">
        <f>HYPERLINK("https://klasma.github.io/Logging_2180/klagomålsmail/A 51508-2024 FSC-klagomål mail.docx", "A 51508-2024")</f>
        <v/>
      </c>
      <c r="X401">
        <f>HYPERLINK("https://klasma.github.io/Logging_2180/tillsyn/A 51508-2024 tillsynsbegäran.docx", "A 51508-2024")</f>
        <v/>
      </c>
      <c r="Y401">
        <f>HYPERLINK("https://klasma.github.io/Logging_2180/tillsynsmail/A 51508-2024 tillsynsbegäran mail.docx", "A 51508-2024")</f>
        <v/>
      </c>
    </row>
    <row r="402" ht="15" customHeight="1">
      <c r="A402" t="inlineStr">
        <is>
          <t>A 3525-2025</t>
        </is>
      </c>
      <c r="B402" s="1" t="n">
        <v>45680.61361111111</v>
      </c>
      <c r="C402" s="1" t="n">
        <v>45883</v>
      </c>
      <c r="D402" t="inlineStr">
        <is>
          <t>GÄVLEBORGS LÄN</t>
        </is>
      </c>
      <c r="E402" t="inlineStr">
        <is>
          <t>OCKELBO</t>
        </is>
      </c>
      <c r="G402" t="n">
        <v>6.9</v>
      </c>
      <c r="H402" t="n">
        <v>0</v>
      </c>
      <c r="I402" t="n">
        <v>0</v>
      </c>
      <c r="J402" t="n">
        <v>1</v>
      </c>
      <c r="K402" t="n">
        <v>0</v>
      </c>
      <c r="L402" t="n">
        <v>0</v>
      </c>
      <c r="M402" t="n">
        <v>0</v>
      </c>
      <c r="N402" t="n">
        <v>0</v>
      </c>
      <c r="O402" t="n">
        <v>1</v>
      </c>
      <c r="P402" t="n">
        <v>0</v>
      </c>
      <c r="Q402" t="n">
        <v>1</v>
      </c>
      <c r="R402" s="2" t="inlineStr">
        <is>
          <t>Rovspindling</t>
        </is>
      </c>
      <c r="S402">
        <f>HYPERLINK("https://klasma.github.io/Logging_2101/artfynd/A 3525-2025 artfynd.xlsx", "A 3525-2025")</f>
        <v/>
      </c>
      <c r="T402">
        <f>HYPERLINK("https://klasma.github.io/Logging_2101/kartor/A 3525-2025 karta.png", "A 3525-2025")</f>
        <v/>
      </c>
      <c r="V402">
        <f>HYPERLINK("https://klasma.github.io/Logging_2101/klagomål/A 3525-2025 FSC-klagomål.docx", "A 3525-2025")</f>
        <v/>
      </c>
      <c r="W402">
        <f>HYPERLINK("https://klasma.github.io/Logging_2101/klagomålsmail/A 3525-2025 FSC-klagomål mail.docx", "A 3525-2025")</f>
        <v/>
      </c>
      <c r="X402">
        <f>HYPERLINK("https://klasma.github.io/Logging_2101/tillsyn/A 3525-2025 tillsynsbegäran.docx", "A 3525-2025")</f>
        <v/>
      </c>
      <c r="Y402">
        <f>HYPERLINK("https://klasma.github.io/Logging_2101/tillsynsmail/A 3525-2025 tillsynsbegäran mail.docx", "A 3525-2025")</f>
        <v/>
      </c>
    </row>
    <row r="403" ht="15" customHeight="1">
      <c r="A403" t="inlineStr">
        <is>
          <t>A 53015-2024</t>
        </is>
      </c>
      <c r="B403" s="1" t="n">
        <v>45611.40582175926</v>
      </c>
      <c r="C403" s="1" t="n">
        <v>45883</v>
      </c>
      <c r="D403" t="inlineStr">
        <is>
          <t>GÄVLEBORGS LÄN</t>
        </is>
      </c>
      <c r="E403" t="inlineStr">
        <is>
          <t>HUDIKSVALL</t>
        </is>
      </c>
      <c r="G403" t="n">
        <v>21</v>
      </c>
      <c r="H403" t="n">
        <v>0</v>
      </c>
      <c r="I403" t="n">
        <v>1</v>
      </c>
      <c r="J403" t="n">
        <v>0</v>
      </c>
      <c r="K403" t="n">
        <v>0</v>
      </c>
      <c r="L403" t="n">
        <v>0</v>
      </c>
      <c r="M403" t="n">
        <v>0</v>
      </c>
      <c r="N403" t="n">
        <v>0</v>
      </c>
      <c r="O403" t="n">
        <v>0</v>
      </c>
      <c r="P403" t="n">
        <v>0</v>
      </c>
      <c r="Q403" t="n">
        <v>1</v>
      </c>
      <c r="R403" s="2" t="inlineStr">
        <is>
          <t>Stuplav</t>
        </is>
      </c>
      <c r="S403">
        <f>HYPERLINK("https://klasma.github.io/Logging_2184/artfynd/A 53015-2024 artfynd.xlsx", "A 53015-2024")</f>
        <v/>
      </c>
      <c r="T403">
        <f>HYPERLINK("https://klasma.github.io/Logging_2184/kartor/A 53015-2024 karta.png", "A 53015-2024")</f>
        <v/>
      </c>
      <c r="V403">
        <f>HYPERLINK("https://klasma.github.io/Logging_2184/klagomål/A 53015-2024 FSC-klagomål.docx", "A 53015-2024")</f>
        <v/>
      </c>
      <c r="W403">
        <f>HYPERLINK("https://klasma.github.io/Logging_2184/klagomålsmail/A 53015-2024 FSC-klagomål mail.docx", "A 53015-2024")</f>
        <v/>
      </c>
      <c r="X403">
        <f>HYPERLINK("https://klasma.github.io/Logging_2184/tillsyn/A 53015-2024 tillsynsbegäran.docx", "A 53015-2024")</f>
        <v/>
      </c>
      <c r="Y403">
        <f>HYPERLINK("https://klasma.github.io/Logging_2184/tillsynsmail/A 53015-2024 tillsynsbegäran mail.docx", "A 53015-2024")</f>
        <v/>
      </c>
    </row>
    <row r="404" ht="15" customHeight="1">
      <c r="A404" t="inlineStr">
        <is>
          <t>A 38855-2020</t>
        </is>
      </c>
      <c r="B404" s="1" t="n">
        <v>44062</v>
      </c>
      <c r="C404" s="1" t="n">
        <v>45883</v>
      </c>
      <c r="D404" t="inlineStr">
        <is>
          <t>GÄVLEBORGS LÄN</t>
        </is>
      </c>
      <c r="E404" t="inlineStr">
        <is>
          <t>LJUSDAL</t>
        </is>
      </c>
      <c r="F404" t="inlineStr">
        <is>
          <t>Holmen skog AB</t>
        </is>
      </c>
      <c r="G404" t="n">
        <v>3.8</v>
      </c>
      <c r="H404" t="n">
        <v>1</v>
      </c>
      <c r="I404" t="n">
        <v>0</v>
      </c>
      <c r="J404" t="n">
        <v>0</v>
      </c>
      <c r="K404" t="n">
        <v>1</v>
      </c>
      <c r="L404" t="n">
        <v>0</v>
      </c>
      <c r="M404" t="n">
        <v>0</v>
      </c>
      <c r="N404" t="n">
        <v>0</v>
      </c>
      <c r="O404" t="n">
        <v>1</v>
      </c>
      <c r="P404" t="n">
        <v>1</v>
      </c>
      <c r="Q404" t="n">
        <v>1</v>
      </c>
      <c r="R404" s="2" t="inlineStr">
        <is>
          <t>Knärot</t>
        </is>
      </c>
      <c r="S404">
        <f>HYPERLINK("https://klasma.github.io/Logging_2161/artfynd/A 38855-2020 artfynd.xlsx", "A 38855-2020")</f>
        <v/>
      </c>
      <c r="T404">
        <f>HYPERLINK("https://klasma.github.io/Logging_2161/kartor/A 38855-2020 karta.png", "A 38855-2020")</f>
        <v/>
      </c>
      <c r="U404">
        <f>HYPERLINK("https://klasma.github.io/Logging_2161/knärot/A 38855-2020 karta knärot.png", "A 38855-2020")</f>
        <v/>
      </c>
      <c r="V404">
        <f>HYPERLINK("https://klasma.github.io/Logging_2161/klagomål/A 38855-2020 FSC-klagomål.docx", "A 38855-2020")</f>
        <v/>
      </c>
      <c r="W404">
        <f>HYPERLINK("https://klasma.github.io/Logging_2161/klagomålsmail/A 38855-2020 FSC-klagomål mail.docx", "A 38855-2020")</f>
        <v/>
      </c>
      <c r="X404">
        <f>HYPERLINK("https://klasma.github.io/Logging_2161/tillsyn/A 38855-2020 tillsynsbegäran.docx", "A 38855-2020")</f>
        <v/>
      </c>
      <c r="Y404">
        <f>HYPERLINK("https://klasma.github.io/Logging_2161/tillsynsmail/A 38855-2020 tillsynsbegäran mail.docx", "A 38855-2020")</f>
        <v/>
      </c>
    </row>
    <row r="405" ht="15" customHeight="1">
      <c r="A405" t="inlineStr">
        <is>
          <t>A 19602-2025</t>
        </is>
      </c>
      <c r="B405" s="1" t="n">
        <v>45770.58766203704</v>
      </c>
      <c r="C405" s="1" t="n">
        <v>45883</v>
      </c>
      <c r="D405" t="inlineStr">
        <is>
          <t>GÄVLEBORGS LÄN</t>
        </is>
      </c>
      <c r="E405" t="inlineStr">
        <is>
          <t>HUDIKSVALL</t>
        </is>
      </c>
      <c r="F405" t="inlineStr">
        <is>
          <t>Holmen skog AB</t>
        </is>
      </c>
      <c r="G405" t="n">
        <v>50.8</v>
      </c>
      <c r="H405" t="n">
        <v>1</v>
      </c>
      <c r="I405" t="n">
        <v>0</v>
      </c>
      <c r="J405" t="n">
        <v>0</v>
      </c>
      <c r="K405" t="n">
        <v>0</v>
      </c>
      <c r="L405" t="n">
        <v>0</v>
      </c>
      <c r="M405" t="n">
        <v>0</v>
      </c>
      <c r="N405" t="n">
        <v>0</v>
      </c>
      <c r="O405" t="n">
        <v>0</v>
      </c>
      <c r="P405" t="n">
        <v>0</v>
      </c>
      <c r="Q405" t="n">
        <v>1</v>
      </c>
      <c r="R405" s="2" t="inlineStr">
        <is>
          <t>Mattlummer</t>
        </is>
      </c>
      <c r="S405">
        <f>HYPERLINK("https://klasma.github.io/Logging_2184/artfynd/A 19602-2025 artfynd.xlsx", "A 19602-2025")</f>
        <v/>
      </c>
      <c r="T405">
        <f>HYPERLINK("https://klasma.github.io/Logging_2184/kartor/A 19602-2025 karta.png", "A 19602-2025")</f>
        <v/>
      </c>
      <c r="V405">
        <f>HYPERLINK("https://klasma.github.io/Logging_2184/klagomål/A 19602-2025 FSC-klagomål.docx", "A 19602-2025")</f>
        <v/>
      </c>
      <c r="W405">
        <f>HYPERLINK("https://klasma.github.io/Logging_2184/klagomålsmail/A 19602-2025 FSC-klagomål mail.docx", "A 19602-2025")</f>
        <v/>
      </c>
      <c r="X405">
        <f>HYPERLINK("https://klasma.github.io/Logging_2184/tillsyn/A 19602-2025 tillsynsbegäran.docx", "A 19602-2025")</f>
        <v/>
      </c>
      <c r="Y405">
        <f>HYPERLINK("https://klasma.github.io/Logging_2184/tillsynsmail/A 19602-2025 tillsynsbegäran mail.docx", "A 19602-2025")</f>
        <v/>
      </c>
    </row>
    <row r="406" ht="15" customHeight="1">
      <c r="A406" t="inlineStr">
        <is>
          <t>A 16809-2022</t>
        </is>
      </c>
      <c r="B406" s="1" t="n">
        <v>44673</v>
      </c>
      <c r="C406" s="1" t="n">
        <v>45883</v>
      </c>
      <c r="D406" t="inlineStr">
        <is>
          <t>GÄVLEBORGS LÄN</t>
        </is>
      </c>
      <c r="E406" t="inlineStr">
        <is>
          <t>NORDANSTIG</t>
        </is>
      </c>
      <c r="G406" t="n">
        <v>4.4</v>
      </c>
      <c r="H406" t="n">
        <v>0</v>
      </c>
      <c r="I406" t="n">
        <v>0</v>
      </c>
      <c r="J406" t="n">
        <v>1</v>
      </c>
      <c r="K406" t="n">
        <v>0</v>
      </c>
      <c r="L406" t="n">
        <v>0</v>
      </c>
      <c r="M406" t="n">
        <v>0</v>
      </c>
      <c r="N406" t="n">
        <v>0</v>
      </c>
      <c r="O406" t="n">
        <v>1</v>
      </c>
      <c r="P406" t="n">
        <v>0</v>
      </c>
      <c r="Q406" t="n">
        <v>1</v>
      </c>
      <c r="R406" s="2" t="inlineStr">
        <is>
          <t>Garnlav</t>
        </is>
      </c>
      <c r="S406">
        <f>HYPERLINK("https://klasma.github.io/Logging_2132/artfynd/A 16809-2022 artfynd.xlsx", "A 16809-2022")</f>
        <v/>
      </c>
      <c r="T406">
        <f>HYPERLINK("https://klasma.github.io/Logging_2132/kartor/A 16809-2022 karta.png", "A 16809-2022")</f>
        <v/>
      </c>
      <c r="V406">
        <f>HYPERLINK("https://klasma.github.io/Logging_2132/klagomål/A 16809-2022 FSC-klagomål.docx", "A 16809-2022")</f>
        <v/>
      </c>
      <c r="W406">
        <f>HYPERLINK("https://klasma.github.io/Logging_2132/klagomålsmail/A 16809-2022 FSC-klagomål mail.docx", "A 16809-2022")</f>
        <v/>
      </c>
      <c r="X406">
        <f>HYPERLINK("https://klasma.github.io/Logging_2132/tillsyn/A 16809-2022 tillsynsbegäran.docx", "A 16809-2022")</f>
        <v/>
      </c>
      <c r="Y406">
        <f>HYPERLINK("https://klasma.github.io/Logging_2132/tillsynsmail/A 16809-2022 tillsynsbegäran mail.docx", "A 16809-2022")</f>
        <v/>
      </c>
    </row>
    <row r="407" ht="15" customHeight="1">
      <c r="A407" t="inlineStr">
        <is>
          <t>A 42115-2023</t>
        </is>
      </c>
      <c r="B407" s="1" t="n">
        <v>45177</v>
      </c>
      <c r="C407" s="1" t="n">
        <v>45883</v>
      </c>
      <c r="D407" t="inlineStr">
        <is>
          <t>GÄVLEBORGS LÄN</t>
        </is>
      </c>
      <c r="E407" t="inlineStr">
        <is>
          <t>SANDVIKEN</t>
        </is>
      </c>
      <c r="F407" t="inlineStr">
        <is>
          <t>Sveaskog</t>
        </is>
      </c>
      <c r="G407" t="n">
        <v>2.4</v>
      </c>
      <c r="H407" t="n">
        <v>1</v>
      </c>
      <c r="I407" t="n">
        <v>0</v>
      </c>
      <c r="J407" t="n">
        <v>1</v>
      </c>
      <c r="K407" t="n">
        <v>0</v>
      </c>
      <c r="L407" t="n">
        <v>0</v>
      </c>
      <c r="M407" t="n">
        <v>0</v>
      </c>
      <c r="N407" t="n">
        <v>0</v>
      </c>
      <c r="O407" t="n">
        <v>1</v>
      </c>
      <c r="P407" t="n">
        <v>0</v>
      </c>
      <c r="Q407" t="n">
        <v>1</v>
      </c>
      <c r="R407" s="2" t="inlineStr">
        <is>
          <t>Talltita</t>
        </is>
      </c>
      <c r="S407">
        <f>HYPERLINK("https://klasma.github.io/Logging_2181/artfynd/A 42115-2023 artfynd.xlsx", "A 42115-2023")</f>
        <v/>
      </c>
      <c r="T407">
        <f>HYPERLINK("https://klasma.github.io/Logging_2181/kartor/A 42115-2023 karta.png", "A 42115-2023")</f>
        <v/>
      </c>
      <c r="V407">
        <f>HYPERLINK("https://klasma.github.io/Logging_2181/klagomål/A 42115-2023 FSC-klagomål.docx", "A 42115-2023")</f>
        <v/>
      </c>
      <c r="W407">
        <f>HYPERLINK("https://klasma.github.io/Logging_2181/klagomålsmail/A 42115-2023 FSC-klagomål mail.docx", "A 42115-2023")</f>
        <v/>
      </c>
      <c r="X407">
        <f>HYPERLINK("https://klasma.github.io/Logging_2181/tillsyn/A 42115-2023 tillsynsbegäran.docx", "A 42115-2023")</f>
        <v/>
      </c>
      <c r="Y407">
        <f>HYPERLINK("https://klasma.github.io/Logging_2181/tillsynsmail/A 42115-2023 tillsynsbegäran mail.docx", "A 42115-2023")</f>
        <v/>
      </c>
      <c r="Z407">
        <f>HYPERLINK("https://klasma.github.io/Logging_2181/fåglar/A 42115-2023 prioriterade fågelarter.docx", "A 42115-2023")</f>
        <v/>
      </c>
    </row>
    <row r="408" ht="15" customHeight="1">
      <c r="A408" t="inlineStr">
        <is>
          <t>A 37635-2024</t>
        </is>
      </c>
      <c r="B408" s="1" t="n">
        <v>45541</v>
      </c>
      <c r="C408" s="1" t="n">
        <v>45883</v>
      </c>
      <c r="D408" t="inlineStr">
        <is>
          <t>GÄVLEBORGS LÄN</t>
        </is>
      </c>
      <c r="E408" t="inlineStr">
        <is>
          <t>SANDVIKEN</t>
        </is>
      </c>
      <c r="F408" t="inlineStr">
        <is>
          <t>Sveaskog</t>
        </is>
      </c>
      <c r="G408" t="n">
        <v>25</v>
      </c>
      <c r="H408" t="n">
        <v>1</v>
      </c>
      <c r="I408" t="n">
        <v>0</v>
      </c>
      <c r="J408" t="n">
        <v>1</v>
      </c>
      <c r="K408" t="n">
        <v>0</v>
      </c>
      <c r="L408" t="n">
        <v>0</v>
      </c>
      <c r="M408" t="n">
        <v>0</v>
      </c>
      <c r="N408" t="n">
        <v>0</v>
      </c>
      <c r="O408" t="n">
        <v>1</v>
      </c>
      <c r="P408" t="n">
        <v>0</v>
      </c>
      <c r="Q408" t="n">
        <v>1</v>
      </c>
      <c r="R408" s="2" t="inlineStr">
        <is>
          <t>Talltita</t>
        </is>
      </c>
      <c r="S408">
        <f>HYPERLINK("https://klasma.github.io/Logging_2181/artfynd/A 37635-2024 artfynd.xlsx", "A 37635-2024")</f>
        <v/>
      </c>
      <c r="T408">
        <f>HYPERLINK("https://klasma.github.io/Logging_2181/kartor/A 37635-2024 karta.png", "A 37635-2024")</f>
        <v/>
      </c>
      <c r="V408">
        <f>HYPERLINK("https://klasma.github.io/Logging_2181/klagomål/A 37635-2024 FSC-klagomål.docx", "A 37635-2024")</f>
        <v/>
      </c>
      <c r="W408">
        <f>HYPERLINK("https://klasma.github.io/Logging_2181/klagomålsmail/A 37635-2024 FSC-klagomål mail.docx", "A 37635-2024")</f>
        <v/>
      </c>
      <c r="X408">
        <f>HYPERLINK("https://klasma.github.io/Logging_2181/tillsyn/A 37635-2024 tillsynsbegäran.docx", "A 37635-2024")</f>
        <v/>
      </c>
      <c r="Y408">
        <f>HYPERLINK("https://klasma.github.io/Logging_2181/tillsynsmail/A 37635-2024 tillsynsbegäran mail.docx", "A 37635-2024")</f>
        <v/>
      </c>
      <c r="Z408">
        <f>HYPERLINK("https://klasma.github.io/Logging_2181/fåglar/A 37635-2024 prioriterade fågelarter.docx", "A 37635-2024")</f>
        <v/>
      </c>
    </row>
    <row r="409" ht="15" customHeight="1">
      <c r="A409" t="inlineStr">
        <is>
          <t>A 58845-2023</t>
        </is>
      </c>
      <c r="B409" s="1" t="n">
        <v>45252</v>
      </c>
      <c r="C409" s="1" t="n">
        <v>45883</v>
      </c>
      <c r="D409" t="inlineStr">
        <is>
          <t>GÄVLEBORGS LÄN</t>
        </is>
      </c>
      <c r="E409" t="inlineStr">
        <is>
          <t>SANDVIKEN</t>
        </is>
      </c>
      <c r="G409" t="n">
        <v>1.5</v>
      </c>
      <c r="H409" t="n">
        <v>1</v>
      </c>
      <c r="I409" t="n">
        <v>0</v>
      </c>
      <c r="J409" t="n">
        <v>0</v>
      </c>
      <c r="K409" t="n">
        <v>0</v>
      </c>
      <c r="L409" t="n">
        <v>0</v>
      </c>
      <c r="M409" t="n">
        <v>0</v>
      </c>
      <c r="N409" t="n">
        <v>0</v>
      </c>
      <c r="O409" t="n">
        <v>0</v>
      </c>
      <c r="P409" t="n">
        <v>0</v>
      </c>
      <c r="Q409" t="n">
        <v>1</v>
      </c>
      <c r="R409" s="2" t="inlineStr">
        <is>
          <t>Vanlig padda</t>
        </is>
      </c>
      <c r="S409">
        <f>HYPERLINK("https://klasma.github.io/Logging_2181/artfynd/A 58845-2023 artfynd.xlsx", "A 58845-2023")</f>
        <v/>
      </c>
      <c r="T409">
        <f>HYPERLINK("https://klasma.github.io/Logging_2181/kartor/A 58845-2023 karta.png", "A 58845-2023")</f>
        <v/>
      </c>
      <c r="V409">
        <f>HYPERLINK("https://klasma.github.io/Logging_2181/klagomål/A 58845-2023 FSC-klagomål.docx", "A 58845-2023")</f>
        <v/>
      </c>
      <c r="W409">
        <f>HYPERLINK("https://klasma.github.io/Logging_2181/klagomålsmail/A 58845-2023 FSC-klagomål mail.docx", "A 58845-2023")</f>
        <v/>
      </c>
      <c r="X409">
        <f>HYPERLINK("https://klasma.github.io/Logging_2181/tillsyn/A 58845-2023 tillsynsbegäran.docx", "A 58845-2023")</f>
        <v/>
      </c>
      <c r="Y409">
        <f>HYPERLINK("https://klasma.github.io/Logging_2181/tillsynsmail/A 58845-2023 tillsynsbegäran mail.docx", "A 58845-2023")</f>
        <v/>
      </c>
    </row>
    <row r="410" ht="15" customHeight="1">
      <c r="A410" t="inlineStr">
        <is>
          <t>A 11483-2025</t>
        </is>
      </c>
      <c r="B410" s="1" t="n">
        <v>45726.69310185185</v>
      </c>
      <c r="C410" s="1" t="n">
        <v>45883</v>
      </c>
      <c r="D410" t="inlineStr">
        <is>
          <t>GÄVLEBORGS LÄN</t>
        </is>
      </c>
      <c r="E410" t="inlineStr">
        <is>
          <t>SANDVIKEN</t>
        </is>
      </c>
      <c r="F410" t="inlineStr">
        <is>
          <t>Bergvik skog öst AB</t>
        </is>
      </c>
      <c r="G410" t="n">
        <v>12.5</v>
      </c>
      <c r="H410" t="n">
        <v>0</v>
      </c>
      <c r="I410" t="n">
        <v>1</v>
      </c>
      <c r="J410" t="n">
        <v>0</v>
      </c>
      <c r="K410" t="n">
        <v>0</v>
      </c>
      <c r="L410" t="n">
        <v>0</v>
      </c>
      <c r="M410" t="n">
        <v>0</v>
      </c>
      <c r="N410" t="n">
        <v>0</v>
      </c>
      <c r="O410" t="n">
        <v>0</v>
      </c>
      <c r="P410" t="n">
        <v>0</v>
      </c>
      <c r="Q410" t="n">
        <v>1</v>
      </c>
      <c r="R410" s="2" t="inlineStr">
        <is>
          <t>Spädstarr</t>
        </is>
      </c>
      <c r="S410">
        <f>HYPERLINK("https://klasma.github.io/Logging_2181/artfynd/A 11483-2025 artfynd.xlsx", "A 11483-2025")</f>
        <v/>
      </c>
      <c r="T410">
        <f>HYPERLINK("https://klasma.github.io/Logging_2181/kartor/A 11483-2025 karta.png", "A 11483-2025")</f>
        <v/>
      </c>
      <c r="V410">
        <f>HYPERLINK("https://klasma.github.io/Logging_2181/klagomål/A 11483-2025 FSC-klagomål.docx", "A 11483-2025")</f>
        <v/>
      </c>
      <c r="W410">
        <f>HYPERLINK("https://klasma.github.io/Logging_2181/klagomålsmail/A 11483-2025 FSC-klagomål mail.docx", "A 11483-2025")</f>
        <v/>
      </c>
      <c r="X410">
        <f>HYPERLINK("https://klasma.github.io/Logging_2181/tillsyn/A 11483-2025 tillsynsbegäran.docx", "A 11483-2025")</f>
        <v/>
      </c>
      <c r="Y410">
        <f>HYPERLINK("https://klasma.github.io/Logging_2181/tillsynsmail/A 11483-2025 tillsynsbegäran mail.docx", "A 11483-2025")</f>
        <v/>
      </c>
    </row>
    <row r="411" ht="15" customHeight="1">
      <c r="A411" t="inlineStr">
        <is>
          <t>A 18967-2025</t>
        </is>
      </c>
      <c r="B411" s="1" t="n">
        <v>45764.53628472222</v>
      </c>
      <c r="C411" s="1" t="n">
        <v>45883</v>
      </c>
      <c r="D411" t="inlineStr">
        <is>
          <t>GÄVLEBORGS LÄN</t>
        </is>
      </c>
      <c r="E411" t="inlineStr">
        <is>
          <t>LJUSDAL</t>
        </is>
      </c>
      <c r="F411" t="inlineStr">
        <is>
          <t>Sveaskog</t>
        </is>
      </c>
      <c r="G411" t="n">
        <v>6.8</v>
      </c>
      <c r="H411" t="n">
        <v>0</v>
      </c>
      <c r="I411" t="n">
        <v>0</v>
      </c>
      <c r="J411" t="n">
        <v>1</v>
      </c>
      <c r="K411" t="n">
        <v>0</v>
      </c>
      <c r="L411" t="n">
        <v>0</v>
      </c>
      <c r="M411" t="n">
        <v>0</v>
      </c>
      <c r="N411" t="n">
        <v>0</v>
      </c>
      <c r="O411" t="n">
        <v>1</v>
      </c>
      <c r="P411" t="n">
        <v>0</v>
      </c>
      <c r="Q411" t="n">
        <v>1</v>
      </c>
      <c r="R411" s="2" t="inlineStr">
        <is>
          <t>Lunglav</t>
        </is>
      </c>
      <c r="S411">
        <f>HYPERLINK("https://klasma.github.io/Logging_2161/artfynd/A 18967-2025 artfynd.xlsx", "A 18967-2025")</f>
        <v/>
      </c>
      <c r="T411">
        <f>HYPERLINK("https://klasma.github.io/Logging_2161/kartor/A 18967-2025 karta.png", "A 18967-2025")</f>
        <v/>
      </c>
      <c r="V411">
        <f>HYPERLINK("https://klasma.github.io/Logging_2161/klagomål/A 18967-2025 FSC-klagomål.docx", "A 18967-2025")</f>
        <v/>
      </c>
      <c r="W411">
        <f>HYPERLINK("https://klasma.github.io/Logging_2161/klagomålsmail/A 18967-2025 FSC-klagomål mail.docx", "A 18967-2025")</f>
        <v/>
      </c>
      <c r="X411">
        <f>HYPERLINK("https://klasma.github.io/Logging_2161/tillsyn/A 18967-2025 tillsynsbegäran.docx", "A 18967-2025")</f>
        <v/>
      </c>
      <c r="Y411">
        <f>HYPERLINK("https://klasma.github.io/Logging_2161/tillsynsmail/A 18967-2025 tillsynsbegäran mail.docx", "A 18967-2025")</f>
        <v/>
      </c>
    </row>
    <row r="412" ht="15" customHeight="1">
      <c r="A412" t="inlineStr">
        <is>
          <t>A 23354-2024</t>
        </is>
      </c>
      <c r="B412" s="1" t="n">
        <v>45453</v>
      </c>
      <c r="C412" s="1" t="n">
        <v>45883</v>
      </c>
      <c r="D412" t="inlineStr">
        <is>
          <t>GÄVLEBORGS LÄN</t>
        </is>
      </c>
      <c r="E412" t="inlineStr">
        <is>
          <t>HOFORS</t>
        </is>
      </c>
      <c r="F412" t="inlineStr">
        <is>
          <t>Sveaskog</t>
        </is>
      </c>
      <c r="G412" t="n">
        <v>2</v>
      </c>
      <c r="H412" t="n">
        <v>1</v>
      </c>
      <c r="I412" t="n">
        <v>0</v>
      </c>
      <c r="J412" t="n">
        <v>0</v>
      </c>
      <c r="K412" t="n">
        <v>0</v>
      </c>
      <c r="L412" t="n">
        <v>0</v>
      </c>
      <c r="M412" t="n">
        <v>0</v>
      </c>
      <c r="N412" t="n">
        <v>0</v>
      </c>
      <c r="O412" t="n">
        <v>0</v>
      </c>
      <c r="P412" t="n">
        <v>0</v>
      </c>
      <c r="Q412" t="n">
        <v>1</v>
      </c>
      <c r="R412" s="2" t="inlineStr">
        <is>
          <t>Fläcknycklar</t>
        </is>
      </c>
      <c r="S412">
        <f>HYPERLINK("https://klasma.github.io/Logging_2104/artfynd/A 23354-2024 artfynd.xlsx", "A 23354-2024")</f>
        <v/>
      </c>
      <c r="T412">
        <f>HYPERLINK("https://klasma.github.io/Logging_2104/kartor/A 23354-2024 karta.png", "A 23354-2024")</f>
        <v/>
      </c>
      <c r="V412">
        <f>HYPERLINK("https://klasma.github.io/Logging_2104/klagomål/A 23354-2024 FSC-klagomål.docx", "A 23354-2024")</f>
        <v/>
      </c>
      <c r="W412">
        <f>HYPERLINK("https://klasma.github.io/Logging_2104/klagomålsmail/A 23354-2024 FSC-klagomål mail.docx", "A 23354-2024")</f>
        <v/>
      </c>
      <c r="X412">
        <f>HYPERLINK("https://klasma.github.io/Logging_2104/tillsyn/A 23354-2024 tillsynsbegäran.docx", "A 23354-2024")</f>
        <v/>
      </c>
      <c r="Y412">
        <f>HYPERLINK("https://klasma.github.io/Logging_2104/tillsynsmail/A 23354-2024 tillsynsbegäran mail.docx", "A 23354-2024")</f>
        <v/>
      </c>
    </row>
    <row r="413" ht="15" customHeight="1">
      <c r="A413" t="inlineStr">
        <is>
          <t>A 53508-2024</t>
        </is>
      </c>
      <c r="B413" s="1" t="n">
        <v>45614.59193287037</v>
      </c>
      <c r="C413" s="1" t="n">
        <v>45883</v>
      </c>
      <c r="D413" t="inlineStr">
        <is>
          <t>GÄVLEBORGS LÄN</t>
        </is>
      </c>
      <c r="E413" t="inlineStr">
        <is>
          <t>LJUSDAL</t>
        </is>
      </c>
      <c r="G413" t="n">
        <v>2.4</v>
      </c>
      <c r="H413" t="n">
        <v>0</v>
      </c>
      <c r="I413" t="n">
        <v>0</v>
      </c>
      <c r="J413" t="n">
        <v>1</v>
      </c>
      <c r="K413" t="n">
        <v>0</v>
      </c>
      <c r="L413" t="n">
        <v>0</v>
      </c>
      <c r="M413" t="n">
        <v>0</v>
      </c>
      <c r="N413" t="n">
        <v>0</v>
      </c>
      <c r="O413" t="n">
        <v>1</v>
      </c>
      <c r="P413" t="n">
        <v>0</v>
      </c>
      <c r="Q413" t="n">
        <v>1</v>
      </c>
      <c r="R413" s="2" t="inlineStr">
        <is>
          <t>Lunglav</t>
        </is>
      </c>
      <c r="S413">
        <f>HYPERLINK("https://klasma.github.io/Logging_2161/artfynd/A 53508-2024 artfynd.xlsx", "A 53508-2024")</f>
        <v/>
      </c>
      <c r="T413">
        <f>HYPERLINK("https://klasma.github.io/Logging_2161/kartor/A 53508-2024 karta.png", "A 53508-2024")</f>
        <v/>
      </c>
      <c r="V413">
        <f>HYPERLINK("https://klasma.github.io/Logging_2161/klagomål/A 53508-2024 FSC-klagomål.docx", "A 53508-2024")</f>
        <v/>
      </c>
      <c r="W413">
        <f>HYPERLINK("https://klasma.github.io/Logging_2161/klagomålsmail/A 53508-2024 FSC-klagomål mail.docx", "A 53508-2024")</f>
        <v/>
      </c>
      <c r="X413">
        <f>HYPERLINK("https://klasma.github.io/Logging_2161/tillsyn/A 53508-2024 tillsynsbegäran.docx", "A 53508-2024")</f>
        <v/>
      </c>
      <c r="Y413">
        <f>HYPERLINK("https://klasma.github.io/Logging_2161/tillsynsmail/A 53508-2024 tillsynsbegäran mail.docx", "A 53508-2024")</f>
        <v/>
      </c>
    </row>
    <row r="414" ht="15" customHeight="1">
      <c r="A414" t="inlineStr">
        <is>
          <t>A 28822-2024</t>
        </is>
      </c>
      <c r="B414" s="1" t="n">
        <v>45478</v>
      </c>
      <c r="C414" s="1" t="n">
        <v>45883</v>
      </c>
      <c r="D414" t="inlineStr">
        <is>
          <t>GÄVLEBORGS LÄN</t>
        </is>
      </c>
      <c r="E414" t="inlineStr">
        <is>
          <t>NORDANSTIG</t>
        </is>
      </c>
      <c r="G414" t="n">
        <v>7</v>
      </c>
      <c r="H414" t="n">
        <v>0</v>
      </c>
      <c r="I414" t="n">
        <v>0</v>
      </c>
      <c r="J414" t="n">
        <v>0</v>
      </c>
      <c r="K414" t="n">
        <v>1</v>
      </c>
      <c r="L414" t="n">
        <v>0</v>
      </c>
      <c r="M414" t="n">
        <v>0</v>
      </c>
      <c r="N414" t="n">
        <v>0</v>
      </c>
      <c r="O414" t="n">
        <v>1</v>
      </c>
      <c r="P414" t="n">
        <v>1</v>
      </c>
      <c r="Q414" t="n">
        <v>1</v>
      </c>
      <c r="R414" s="2" t="inlineStr">
        <is>
          <t>Aspgelélav</t>
        </is>
      </c>
      <c r="S414">
        <f>HYPERLINK("https://klasma.github.io/Logging_2132/artfynd/A 28822-2024 artfynd.xlsx", "A 28822-2024")</f>
        <v/>
      </c>
      <c r="T414">
        <f>HYPERLINK("https://klasma.github.io/Logging_2132/kartor/A 28822-2024 karta.png", "A 28822-2024")</f>
        <v/>
      </c>
      <c r="V414">
        <f>HYPERLINK("https://klasma.github.io/Logging_2132/klagomål/A 28822-2024 FSC-klagomål.docx", "A 28822-2024")</f>
        <v/>
      </c>
      <c r="W414">
        <f>HYPERLINK("https://klasma.github.io/Logging_2132/klagomålsmail/A 28822-2024 FSC-klagomål mail.docx", "A 28822-2024")</f>
        <v/>
      </c>
      <c r="X414">
        <f>HYPERLINK("https://klasma.github.io/Logging_2132/tillsyn/A 28822-2024 tillsynsbegäran.docx", "A 28822-2024")</f>
        <v/>
      </c>
      <c r="Y414">
        <f>HYPERLINK("https://klasma.github.io/Logging_2132/tillsynsmail/A 28822-2024 tillsynsbegäran mail.docx", "A 28822-2024")</f>
        <v/>
      </c>
    </row>
    <row r="415" ht="15" customHeight="1">
      <c r="A415" t="inlineStr">
        <is>
          <t>A 34744-2024</t>
        </is>
      </c>
      <c r="B415" s="1" t="n">
        <v>45526.59482638889</v>
      </c>
      <c r="C415" s="1" t="n">
        <v>45883</v>
      </c>
      <c r="D415" t="inlineStr">
        <is>
          <t>GÄVLEBORGS LÄN</t>
        </is>
      </c>
      <c r="E415" t="inlineStr">
        <is>
          <t>LJUSDAL</t>
        </is>
      </c>
      <c r="F415" t="inlineStr">
        <is>
          <t>Sveaskog</t>
        </is>
      </c>
      <c r="G415" t="n">
        <v>9.9</v>
      </c>
      <c r="H415" t="n">
        <v>0</v>
      </c>
      <c r="I415" t="n">
        <v>0</v>
      </c>
      <c r="J415" t="n">
        <v>1</v>
      </c>
      <c r="K415" t="n">
        <v>0</v>
      </c>
      <c r="L415" t="n">
        <v>0</v>
      </c>
      <c r="M415" t="n">
        <v>0</v>
      </c>
      <c r="N415" t="n">
        <v>0</v>
      </c>
      <c r="O415" t="n">
        <v>1</v>
      </c>
      <c r="P415" t="n">
        <v>0</v>
      </c>
      <c r="Q415" t="n">
        <v>1</v>
      </c>
      <c r="R415" s="2" t="inlineStr">
        <is>
          <t>Lunglav</t>
        </is>
      </c>
      <c r="S415">
        <f>HYPERLINK("https://klasma.github.io/Logging_2161/artfynd/A 34744-2024 artfynd.xlsx", "A 34744-2024")</f>
        <v/>
      </c>
      <c r="T415">
        <f>HYPERLINK("https://klasma.github.io/Logging_2161/kartor/A 34744-2024 karta.png", "A 34744-2024")</f>
        <v/>
      </c>
      <c r="V415">
        <f>HYPERLINK("https://klasma.github.io/Logging_2161/klagomål/A 34744-2024 FSC-klagomål.docx", "A 34744-2024")</f>
        <v/>
      </c>
      <c r="W415">
        <f>HYPERLINK("https://klasma.github.io/Logging_2161/klagomålsmail/A 34744-2024 FSC-klagomål mail.docx", "A 34744-2024")</f>
        <v/>
      </c>
      <c r="X415">
        <f>HYPERLINK("https://klasma.github.io/Logging_2161/tillsyn/A 34744-2024 tillsynsbegäran.docx", "A 34744-2024")</f>
        <v/>
      </c>
      <c r="Y415">
        <f>HYPERLINK("https://klasma.github.io/Logging_2161/tillsynsmail/A 34744-2024 tillsynsbegäran mail.docx", "A 34744-2024")</f>
        <v/>
      </c>
    </row>
    <row r="416" ht="15" customHeight="1">
      <c r="A416" t="inlineStr">
        <is>
          <t>A 21282-2025</t>
        </is>
      </c>
      <c r="B416" s="1" t="n">
        <v>45779.6665162037</v>
      </c>
      <c r="C416" s="1" t="n">
        <v>45883</v>
      </c>
      <c r="D416" t="inlineStr">
        <is>
          <t>GÄVLEBORGS LÄN</t>
        </is>
      </c>
      <c r="E416" t="inlineStr">
        <is>
          <t>LJUSDAL</t>
        </is>
      </c>
      <c r="F416" t="inlineStr">
        <is>
          <t>Sveaskog</t>
        </is>
      </c>
      <c r="G416" t="n">
        <v>9.6</v>
      </c>
      <c r="H416" t="n">
        <v>0</v>
      </c>
      <c r="I416" t="n">
        <v>0</v>
      </c>
      <c r="J416" t="n">
        <v>1</v>
      </c>
      <c r="K416" t="n">
        <v>0</v>
      </c>
      <c r="L416" t="n">
        <v>0</v>
      </c>
      <c r="M416" t="n">
        <v>0</v>
      </c>
      <c r="N416" t="n">
        <v>0</v>
      </c>
      <c r="O416" t="n">
        <v>1</v>
      </c>
      <c r="P416" t="n">
        <v>0</v>
      </c>
      <c r="Q416" t="n">
        <v>1</v>
      </c>
      <c r="R416" s="2" t="inlineStr">
        <is>
          <t>Lunglav</t>
        </is>
      </c>
      <c r="S416">
        <f>HYPERLINK("https://klasma.github.io/Logging_2161/artfynd/A 21282-2025 artfynd.xlsx", "A 21282-2025")</f>
        <v/>
      </c>
      <c r="T416">
        <f>HYPERLINK("https://klasma.github.io/Logging_2161/kartor/A 21282-2025 karta.png", "A 21282-2025")</f>
        <v/>
      </c>
      <c r="V416">
        <f>HYPERLINK("https://klasma.github.io/Logging_2161/klagomål/A 21282-2025 FSC-klagomål.docx", "A 21282-2025")</f>
        <v/>
      </c>
      <c r="W416">
        <f>HYPERLINK("https://klasma.github.io/Logging_2161/klagomålsmail/A 21282-2025 FSC-klagomål mail.docx", "A 21282-2025")</f>
        <v/>
      </c>
      <c r="X416">
        <f>HYPERLINK("https://klasma.github.io/Logging_2161/tillsyn/A 21282-2025 tillsynsbegäran.docx", "A 21282-2025")</f>
        <v/>
      </c>
      <c r="Y416">
        <f>HYPERLINK("https://klasma.github.io/Logging_2161/tillsynsmail/A 21282-2025 tillsynsbegäran mail.docx", "A 21282-2025")</f>
        <v/>
      </c>
    </row>
    <row r="417" ht="15" customHeight="1">
      <c r="A417" t="inlineStr">
        <is>
          <t>A 21282-2024</t>
        </is>
      </c>
      <c r="B417" s="1" t="n">
        <v>45440.65584490741</v>
      </c>
      <c r="C417" s="1" t="n">
        <v>45883</v>
      </c>
      <c r="D417" t="inlineStr">
        <is>
          <t>GÄVLEBORGS LÄN</t>
        </is>
      </c>
      <c r="E417" t="inlineStr">
        <is>
          <t>GÄVLE</t>
        </is>
      </c>
      <c r="G417" t="n">
        <v>7.4</v>
      </c>
      <c r="H417" t="n">
        <v>0</v>
      </c>
      <c r="I417" t="n">
        <v>0</v>
      </c>
      <c r="J417" t="n">
        <v>1</v>
      </c>
      <c r="K417" t="n">
        <v>0</v>
      </c>
      <c r="L417" t="n">
        <v>0</v>
      </c>
      <c r="M417" t="n">
        <v>0</v>
      </c>
      <c r="N417" t="n">
        <v>0</v>
      </c>
      <c r="O417" t="n">
        <v>1</v>
      </c>
      <c r="P417" t="n">
        <v>0</v>
      </c>
      <c r="Q417" t="n">
        <v>1</v>
      </c>
      <c r="R417" s="2" t="inlineStr">
        <is>
          <t>Skogsklocka</t>
        </is>
      </c>
      <c r="S417">
        <f>HYPERLINK("https://klasma.github.io/Logging_2180/artfynd/A 21282-2024 artfynd.xlsx", "A 21282-2024")</f>
        <v/>
      </c>
      <c r="T417">
        <f>HYPERLINK("https://klasma.github.io/Logging_2180/kartor/A 21282-2024 karta.png", "A 21282-2024")</f>
        <v/>
      </c>
      <c r="V417">
        <f>HYPERLINK("https://klasma.github.io/Logging_2180/klagomål/A 21282-2024 FSC-klagomål.docx", "A 21282-2024")</f>
        <v/>
      </c>
      <c r="W417">
        <f>HYPERLINK("https://klasma.github.io/Logging_2180/klagomålsmail/A 21282-2024 FSC-klagomål mail.docx", "A 21282-2024")</f>
        <v/>
      </c>
      <c r="X417">
        <f>HYPERLINK("https://klasma.github.io/Logging_2180/tillsyn/A 21282-2024 tillsynsbegäran.docx", "A 21282-2024")</f>
        <v/>
      </c>
      <c r="Y417">
        <f>HYPERLINK("https://klasma.github.io/Logging_2180/tillsynsmail/A 21282-2024 tillsynsbegäran mail.docx", "A 21282-2024")</f>
        <v/>
      </c>
    </row>
    <row r="418" ht="15" customHeight="1">
      <c r="A418" t="inlineStr">
        <is>
          <t>A 47219-2024</t>
        </is>
      </c>
      <c r="B418" s="1" t="n">
        <v>45586</v>
      </c>
      <c r="C418" s="1" t="n">
        <v>45883</v>
      </c>
      <c r="D418" t="inlineStr">
        <is>
          <t>GÄVLEBORGS LÄN</t>
        </is>
      </c>
      <c r="E418" t="inlineStr">
        <is>
          <t>HOFORS</t>
        </is>
      </c>
      <c r="F418" t="inlineStr">
        <is>
          <t>Sveaskog</t>
        </is>
      </c>
      <c r="G418" t="n">
        <v>8.300000000000001</v>
      </c>
      <c r="H418" t="n">
        <v>0</v>
      </c>
      <c r="I418" t="n">
        <v>0</v>
      </c>
      <c r="J418" t="n">
        <v>1</v>
      </c>
      <c r="K418" t="n">
        <v>0</v>
      </c>
      <c r="L418" t="n">
        <v>0</v>
      </c>
      <c r="M418" t="n">
        <v>0</v>
      </c>
      <c r="N418" t="n">
        <v>0</v>
      </c>
      <c r="O418" t="n">
        <v>1</v>
      </c>
      <c r="P418" t="n">
        <v>0</v>
      </c>
      <c r="Q418" t="n">
        <v>1</v>
      </c>
      <c r="R418" s="2" t="inlineStr">
        <is>
          <t>Motaggsvamp</t>
        </is>
      </c>
      <c r="S418">
        <f>HYPERLINK("https://klasma.github.io/Logging_2104/artfynd/A 47219-2024 artfynd.xlsx", "A 47219-2024")</f>
        <v/>
      </c>
      <c r="T418">
        <f>HYPERLINK("https://klasma.github.io/Logging_2104/kartor/A 47219-2024 karta.png", "A 47219-2024")</f>
        <v/>
      </c>
      <c r="V418">
        <f>HYPERLINK("https://klasma.github.io/Logging_2104/klagomål/A 47219-2024 FSC-klagomål.docx", "A 47219-2024")</f>
        <v/>
      </c>
      <c r="W418">
        <f>HYPERLINK("https://klasma.github.io/Logging_2104/klagomålsmail/A 47219-2024 FSC-klagomål mail.docx", "A 47219-2024")</f>
        <v/>
      </c>
      <c r="X418">
        <f>HYPERLINK("https://klasma.github.io/Logging_2104/tillsyn/A 47219-2024 tillsynsbegäran.docx", "A 47219-2024")</f>
        <v/>
      </c>
      <c r="Y418">
        <f>HYPERLINK("https://klasma.github.io/Logging_2104/tillsynsmail/A 47219-2024 tillsynsbegäran mail.docx", "A 47219-2024")</f>
        <v/>
      </c>
    </row>
    <row r="419" ht="15" customHeight="1">
      <c r="A419" t="inlineStr">
        <is>
          <t>A 311-2024</t>
        </is>
      </c>
      <c r="B419" s="1" t="n">
        <v>45295.51502314815</v>
      </c>
      <c r="C419" s="1" t="n">
        <v>45883</v>
      </c>
      <c r="D419" t="inlineStr">
        <is>
          <t>GÄVLEBORGS LÄN</t>
        </is>
      </c>
      <c r="E419" t="inlineStr">
        <is>
          <t>SANDVIKEN</t>
        </is>
      </c>
      <c r="G419" t="n">
        <v>1.3</v>
      </c>
      <c r="H419" t="n">
        <v>1</v>
      </c>
      <c r="I419" t="n">
        <v>1</v>
      </c>
      <c r="J419" t="n">
        <v>0</v>
      </c>
      <c r="K419" t="n">
        <v>0</v>
      </c>
      <c r="L419" t="n">
        <v>0</v>
      </c>
      <c r="M419" t="n">
        <v>0</v>
      </c>
      <c r="N419" t="n">
        <v>0</v>
      </c>
      <c r="O419" t="n">
        <v>0</v>
      </c>
      <c r="P419" t="n">
        <v>0</v>
      </c>
      <c r="Q419" t="n">
        <v>1</v>
      </c>
      <c r="R419" s="2" t="inlineStr">
        <is>
          <t>Plattlummer</t>
        </is>
      </c>
      <c r="S419">
        <f>HYPERLINK("https://klasma.github.io/Logging_2181/artfynd/A 311-2024 artfynd.xlsx", "A 311-2024")</f>
        <v/>
      </c>
      <c r="T419">
        <f>HYPERLINK("https://klasma.github.io/Logging_2181/kartor/A 311-2024 karta.png", "A 311-2024")</f>
        <v/>
      </c>
      <c r="V419">
        <f>HYPERLINK("https://klasma.github.io/Logging_2181/klagomål/A 311-2024 FSC-klagomål.docx", "A 311-2024")</f>
        <v/>
      </c>
      <c r="W419">
        <f>HYPERLINK("https://klasma.github.io/Logging_2181/klagomålsmail/A 311-2024 FSC-klagomål mail.docx", "A 311-2024")</f>
        <v/>
      </c>
      <c r="X419">
        <f>HYPERLINK("https://klasma.github.io/Logging_2181/tillsyn/A 311-2024 tillsynsbegäran.docx", "A 311-2024")</f>
        <v/>
      </c>
      <c r="Y419">
        <f>HYPERLINK("https://klasma.github.io/Logging_2181/tillsynsmail/A 311-2024 tillsynsbegäran mail.docx", "A 311-2024")</f>
        <v/>
      </c>
    </row>
    <row r="420" ht="15" customHeight="1">
      <c r="A420" t="inlineStr">
        <is>
          <t>A 22174-2025</t>
        </is>
      </c>
      <c r="B420" s="1" t="n">
        <v>45785.60759259259</v>
      </c>
      <c r="C420" s="1" t="n">
        <v>45883</v>
      </c>
      <c r="D420" t="inlineStr">
        <is>
          <t>GÄVLEBORGS LÄN</t>
        </is>
      </c>
      <c r="E420" t="inlineStr">
        <is>
          <t>SÖDERHAMN</t>
        </is>
      </c>
      <c r="G420" t="n">
        <v>5.6</v>
      </c>
      <c r="H420" t="n">
        <v>0</v>
      </c>
      <c r="I420" t="n">
        <v>0</v>
      </c>
      <c r="J420" t="n">
        <v>1</v>
      </c>
      <c r="K420" t="n">
        <v>0</v>
      </c>
      <c r="L420" t="n">
        <v>0</v>
      </c>
      <c r="M420" t="n">
        <v>0</v>
      </c>
      <c r="N420" t="n">
        <v>0</v>
      </c>
      <c r="O420" t="n">
        <v>1</v>
      </c>
      <c r="P420" t="n">
        <v>0</v>
      </c>
      <c r="Q420" t="n">
        <v>1</v>
      </c>
      <c r="R420" s="2" t="inlineStr">
        <is>
          <t>Gropticka</t>
        </is>
      </c>
      <c r="S420">
        <f>HYPERLINK("https://klasma.github.io/Logging_2182/artfynd/A 22174-2025 artfynd.xlsx", "A 22174-2025")</f>
        <v/>
      </c>
      <c r="T420">
        <f>HYPERLINK("https://klasma.github.io/Logging_2182/kartor/A 22174-2025 karta.png", "A 22174-2025")</f>
        <v/>
      </c>
      <c r="V420">
        <f>HYPERLINK("https://klasma.github.io/Logging_2182/klagomål/A 22174-2025 FSC-klagomål.docx", "A 22174-2025")</f>
        <v/>
      </c>
      <c r="W420">
        <f>HYPERLINK("https://klasma.github.io/Logging_2182/klagomålsmail/A 22174-2025 FSC-klagomål mail.docx", "A 22174-2025")</f>
        <v/>
      </c>
      <c r="X420">
        <f>HYPERLINK("https://klasma.github.io/Logging_2182/tillsyn/A 22174-2025 tillsynsbegäran.docx", "A 22174-2025")</f>
        <v/>
      </c>
      <c r="Y420">
        <f>HYPERLINK("https://klasma.github.io/Logging_2182/tillsynsmail/A 22174-2025 tillsynsbegäran mail.docx", "A 22174-2025")</f>
        <v/>
      </c>
    </row>
    <row r="421" ht="15" customHeight="1">
      <c r="A421" t="inlineStr">
        <is>
          <t>A 57932-2024</t>
        </is>
      </c>
      <c r="B421" s="1" t="n">
        <v>45631.52961805555</v>
      </c>
      <c r="C421" s="1" t="n">
        <v>45883</v>
      </c>
      <c r="D421" t="inlineStr">
        <is>
          <t>GÄVLEBORGS LÄN</t>
        </is>
      </c>
      <c r="E421" t="inlineStr">
        <is>
          <t>GÄVLE</t>
        </is>
      </c>
      <c r="F421" t="inlineStr">
        <is>
          <t>Bergvik skog öst AB</t>
        </is>
      </c>
      <c r="G421" t="n">
        <v>48.7</v>
      </c>
      <c r="H421" t="n">
        <v>1</v>
      </c>
      <c r="I421" t="n">
        <v>0</v>
      </c>
      <c r="J421" t="n">
        <v>0</v>
      </c>
      <c r="K421" t="n">
        <v>0</v>
      </c>
      <c r="L421" t="n">
        <v>0</v>
      </c>
      <c r="M421" t="n">
        <v>0</v>
      </c>
      <c r="N421" t="n">
        <v>0</v>
      </c>
      <c r="O421" t="n">
        <v>0</v>
      </c>
      <c r="P421" t="n">
        <v>0</v>
      </c>
      <c r="Q421" t="n">
        <v>1</v>
      </c>
      <c r="R421" s="2" t="inlineStr">
        <is>
          <t>Tjäder</t>
        </is>
      </c>
      <c r="S421">
        <f>HYPERLINK("https://klasma.github.io/Logging_2180/artfynd/A 57932-2024 artfynd.xlsx", "A 57932-2024")</f>
        <v/>
      </c>
      <c r="T421">
        <f>HYPERLINK("https://klasma.github.io/Logging_2180/kartor/A 57932-2024 karta.png", "A 57932-2024")</f>
        <v/>
      </c>
      <c r="V421">
        <f>HYPERLINK("https://klasma.github.io/Logging_2180/klagomål/A 57932-2024 FSC-klagomål.docx", "A 57932-2024")</f>
        <v/>
      </c>
      <c r="W421">
        <f>HYPERLINK("https://klasma.github.io/Logging_2180/klagomålsmail/A 57932-2024 FSC-klagomål mail.docx", "A 57932-2024")</f>
        <v/>
      </c>
      <c r="X421">
        <f>HYPERLINK("https://klasma.github.io/Logging_2180/tillsyn/A 57932-2024 tillsynsbegäran.docx", "A 57932-2024")</f>
        <v/>
      </c>
      <c r="Y421">
        <f>HYPERLINK("https://klasma.github.io/Logging_2180/tillsynsmail/A 57932-2024 tillsynsbegäran mail.docx", "A 57932-2024")</f>
        <v/>
      </c>
      <c r="Z421">
        <f>HYPERLINK("https://klasma.github.io/Logging_2180/fåglar/A 57932-2024 prioriterade fågelarter.docx", "A 57932-2024")</f>
        <v/>
      </c>
    </row>
    <row r="422" ht="15" customHeight="1">
      <c r="A422" t="inlineStr">
        <is>
          <t>A 22131-2025</t>
        </is>
      </c>
      <c r="B422" s="1" t="n">
        <v>45785.53472222222</v>
      </c>
      <c r="C422" s="1" t="n">
        <v>45883</v>
      </c>
      <c r="D422" t="inlineStr">
        <is>
          <t>GÄVLEBORGS LÄN</t>
        </is>
      </c>
      <c r="E422" t="inlineStr">
        <is>
          <t>HUDIKSVALL</t>
        </is>
      </c>
      <c r="G422" t="n">
        <v>6.6</v>
      </c>
      <c r="H422" t="n">
        <v>1</v>
      </c>
      <c r="I422" t="n">
        <v>0</v>
      </c>
      <c r="J422" t="n">
        <v>0</v>
      </c>
      <c r="K422" t="n">
        <v>1</v>
      </c>
      <c r="L422" t="n">
        <v>0</v>
      </c>
      <c r="M422" t="n">
        <v>0</v>
      </c>
      <c r="N422" t="n">
        <v>0</v>
      </c>
      <c r="O422" t="n">
        <v>1</v>
      </c>
      <c r="P422" t="n">
        <v>1</v>
      </c>
      <c r="Q422" t="n">
        <v>1</v>
      </c>
      <c r="R422" s="2" t="inlineStr">
        <is>
          <t>Knärot</t>
        </is>
      </c>
      <c r="S422">
        <f>HYPERLINK("https://klasma.github.io/Logging_2184/artfynd/A 22131-2025 artfynd.xlsx", "A 22131-2025")</f>
        <v/>
      </c>
      <c r="T422">
        <f>HYPERLINK("https://klasma.github.io/Logging_2184/kartor/A 22131-2025 karta.png", "A 22131-2025")</f>
        <v/>
      </c>
      <c r="U422">
        <f>HYPERLINK("https://klasma.github.io/Logging_2184/knärot/A 22131-2025 karta knärot.png", "A 22131-2025")</f>
        <v/>
      </c>
      <c r="V422">
        <f>HYPERLINK("https://klasma.github.io/Logging_2184/klagomål/A 22131-2025 FSC-klagomål.docx", "A 22131-2025")</f>
        <v/>
      </c>
      <c r="W422">
        <f>HYPERLINK("https://klasma.github.io/Logging_2184/klagomålsmail/A 22131-2025 FSC-klagomål mail.docx", "A 22131-2025")</f>
        <v/>
      </c>
      <c r="X422">
        <f>HYPERLINK("https://klasma.github.io/Logging_2184/tillsyn/A 22131-2025 tillsynsbegäran.docx", "A 22131-2025")</f>
        <v/>
      </c>
      <c r="Y422">
        <f>HYPERLINK("https://klasma.github.io/Logging_2184/tillsynsmail/A 22131-2025 tillsynsbegäran mail.docx", "A 22131-2025")</f>
        <v/>
      </c>
    </row>
    <row r="423" ht="15" customHeight="1">
      <c r="A423" t="inlineStr">
        <is>
          <t>A 35521-2024</t>
        </is>
      </c>
      <c r="B423" s="1" t="n">
        <v>45531.57493055556</v>
      </c>
      <c r="C423" s="1" t="n">
        <v>45883</v>
      </c>
      <c r="D423" t="inlineStr">
        <is>
          <t>GÄVLEBORGS LÄN</t>
        </is>
      </c>
      <c r="E423" t="inlineStr">
        <is>
          <t>HOFORS</t>
        </is>
      </c>
      <c r="F423" t="inlineStr">
        <is>
          <t>Sveaskog</t>
        </is>
      </c>
      <c r="G423" t="n">
        <v>1.3</v>
      </c>
      <c r="H423" t="n">
        <v>1</v>
      </c>
      <c r="I423" t="n">
        <v>0</v>
      </c>
      <c r="J423" t="n">
        <v>0</v>
      </c>
      <c r="K423" t="n">
        <v>0</v>
      </c>
      <c r="L423" t="n">
        <v>0</v>
      </c>
      <c r="M423" t="n">
        <v>0</v>
      </c>
      <c r="N423" t="n">
        <v>0</v>
      </c>
      <c r="O423" t="n">
        <v>0</v>
      </c>
      <c r="P423" t="n">
        <v>0</v>
      </c>
      <c r="Q423" t="n">
        <v>1</v>
      </c>
      <c r="R423" s="2" t="inlineStr">
        <is>
          <t>Revlummer</t>
        </is>
      </c>
      <c r="S423">
        <f>HYPERLINK("https://klasma.github.io/Logging_2104/artfynd/A 35521-2024 artfynd.xlsx", "A 35521-2024")</f>
        <v/>
      </c>
      <c r="T423">
        <f>HYPERLINK("https://klasma.github.io/Logging_2104/kartor/A 35521-2024 karta.png", "A 35521-2024")</f>
        <v/>
      </c>
      <c r="V423">
        <f>HYPERLINK("https://klasma.github.io/Logging_2104/klagomål/A 35521-2024 FSC-klagomål.docx", "A 35521-2024")</f>
        <v/>
      </c>
      <c r="W423">
        <f>HYPERLINK("https://klasma.github.io/Logging_2104/klagomålsmail/A 35521-2024 FSC-klagomål mail.docx", "A 35521-2024")</f>
        <v/>
      </c>
      <c r="X423">
        <f>HYPERLINK("https://klasma.github.io/Logging_2104/tillsyn/A 35521-2024 tillsynsbegäran.docx", "A 35521-2024")</f>
        <v/>
      </c>
      <c r="Y423">
        <f>HYPERLINK("https://klasma.github.io/Logging_2104/tillsynsmail/A 35521-2024 tillsynsbegäran mail.docx", "A 35521-2024")</f>
        <v/>
      </c>
    </row>
    <row r="424" ht="15" customHeight="1">
      <c r="A424" t="inlineStr">
        <is>
          <t>A 54335-2024</t>
        </is>
      </c>
      <c r="B424" s="1" t="n">
        <v>45617.38313657408</v>
      </c>
      <c r="C424" s="1" t="n">
        <v>45883</v>
      </c>
      <c r="D424" t="inlineStr">
        <is>
          <t>GÄVLEBORGS LÄN</t>
        </is>
      </c>
      <c r="E424" t="inlineStr">
        <is>
          <t>SANDVIKEN</t>
        </is>
      </c>
      <c r="G424" t="n">
        <v>7</v>
      </c>
      <c r="H424" t="n">
        <v>1</v>
      </c>
      <c r="I424" t="n">
        <v>0</v>
      </c>
      <c r="J424" t="n">
        <v>0</v>
      </c>
      <c r="K424" t="n">
        <v>1</v>
      </c>
      <c r="L424" t="n">
        <v>0</v>
      </c>
      <c r="M424" t="n">
        <v>0</v>
      </c>
      <c r="N424" t="n">
        <v>0</v>
      </c>
      <c r="O424" t="n">
        <v>1</v>
      </c>
      <c r="P424" t="n">
        <v>1</v>
      </c>
      <c r="Q424" t="n">
        <v>1</v>
      </c>
      <c r="R424" s="2" t="inlineStr">
        <is>
          <t>Väddnätfjäril</t>
        </is>
      </c>
      <c r="S424">
        <f>HYPERLINK("https://klasma.github.io/Logging_2181/artfynd/A 54335-2024 artfynd.xlsx", "A 54335-2024")</f>
        <v/>
      </c>
      <c r="T424">
        <f>HYPERLINK("https://klasma.github.io/Logging_2181/kartor/A 54335-2024 karta.png", "A 54335-2024")</f>
        <v/>
      </c>
      <c r="V424">
        <f>HYPERLINK("https://klasma.github.io/Logging_2181/klagomål/A 54335-2024 FSC-klagomål.docx", "A 54335-2024")</f>
        <v/>
      </c>
      <c r="W424">
        <f>HYPERLINK("https://klasma.github.io/Logging_2181/klagomålsmail/A 54335-2024 FSC-klagomål mail.docx", "A 54335-2024")</f>
        <v/>
      </c>
      <c r="X424">
        <f>HYPERLINK("https://klasma.github.io/Logging_2181/tillsyn/A 54335-2024 tillsynsbegäran.docx", "A 54335-2024")</f>
        <v/>
      </c>
      <c r="Y424">
        <f>HYPERLINK("https://klasma.github.io/Logging_2181/tillsynsmail/A 54335-2024 tillsynsbegäran mail.docx", "A 54335-2024")</f>
        <v/>
      </c>
    </row>
    <row r="425" ht="15" customHeight="1">
      <c r="A425" t="inlineStr">
        <is>
          <t>A 22756-2025</t>
        </is>
      </c>
      <c r="B425" s="1" t="n">
        <v>45789.61898148148</v>
      </c>
      <c r="C425" s="1" t="n">
        <v>45883</v>
      </c>
      <c r="D425" t="inlineStr">
        <is>
          <t>GÄVLEBORGS LÄN</t>
        </is>
      </c>
      <c r="E425" t="inlineStr">
        <is>
          <t>LJUSDAL</t>
        </is>
      </c>
      <c r="F425" t="inlineStr">
        <is>
          <t>Sveaskog</t>
        </is>
      </c>
      <c r="G425" t="n">
        <v>6.7</v>
      </c>
      <c r="H425" t="n">
        <v>0</v>
      </c>
      <c r="I425" t="n">
        <v>0</v>
      </c>
      <c r="J425" t="n">
        <v>1</v>
      </c>
      <c r="K425" t="n">
        <v>0</v>
      </c>
      <c r="L425" t="n">
        <v>0</v>
      </c>
      <c r="M425" t="n">
        <v>0</v>
      </c>
      <c r="N425" t="n">
        <v>0</v>
      </c>
      <c r="O425" t="n">
        <v>1</v>
      </c>
      <c r="P425" t="n">
        <v>0</v>
      </c>
      <c r="Q425" t="n">
        <v>1</v>
      </c>
      <c r="R425" s="2" t="inlineStr">
        <is>
          <t>Lunglav</t>
        </is>
      </c>
      <c r="S425">
        <f>HYPERLINK("https://klasma.github.io/Logging_2161/artfynd/A 22756-2025 artfynd.xlsx", "A 22756-2025")</f>
        <v/>
      </c>
      <c r="T425">
        <f>HYPERLINK("https://klasma.github.io/Logging_2161/kartor/A 22756-2025 karta.png", "A 22756-2025")</f>
        <v/>
      </c>
      <c r="V425">
        <f>HYPERLINK("https://klasma.github.io/Logging_2161/klagomål/A 22756-2025 FSC-klagomål.docx", "A 22756-2025")</f>
        <v/>
      </c>
      <c r="W425">
        <f>HYPERLINK("https://klasma.github.io/Logging_2161/klagomålsmail/A 22756-2025 FSC-klagomål mail.docx", "A 22756-2025")</f>
        <v/>
      </c>
      <c r="X425">
        <f>HYPERLINK("https://klasma.github.io/Logging_2161/tillsyn/A 22756-2025 tillsynsbegäran.docx", "A 22756-2025")</f>
        <v/>
      </c>
      <c r="Y425">
        <f>HYPERLINK("https://klasma.github.io/Logging_2161/tillsynsmail/A 22756-2025 tillsynsbegäran mail.docx", "A 22756-2025")</f>
        <v/>
      </c>
    </row>
    <row r="426" ht="15" customHeight="1">
      <c r="A426" t="inlineStr">
        <is>
          <t>A 35080-2023</t>
        </is>
      </c>
      <c r="B426" s="1" t="n">
        <v>45145.42868055555</v>
      </c>
      <c r="C426" s="1" t="n">
        <v>45883</v>
      </c>
      <c r="D426" t="inlineStr">
        <is>
          <t>GÄVLEBORGS LÄN</t>
        </is>
      </c>
      <c r="E426" t="inlineStr">
        <is>
          <t>LJUSDAL</t>
        </is>
      </c>
      <c r="F426" t="inlineStr">
        <is>
          <t>Sveaskog</t>
        </is>
      </c>
      <c r="G426" t="n">
        <v>2.9</v>
      </c>
      <c r="H426" t="n">
        <v>0</v>
      </c>
      <c r="I426" t="n">
        <v>0</v>
      </c>
      <c r="J426" t="n">
        <v>1</v>
      </c>
      <c r="K426" t="n">
        <v>0</v>
      </c>
      <c r="L426" t="n">
        <v>0</v>
      </c>
      <c r="M426" t="n">
        <v>0</v>
      </c>
      <c r="N426" t="n">
        <v>0</v>
      </c>
      <c r="O426" t="n">
        <v>1</v>
      </c>
      <c r="P426" t="n">
        <v>0</v>
      </c>
      <c r="Q426" t="n">
        <v>1</v>
      </c>
      <c r="R426" s="2" t="inlineStr">
        <is>
          <t>Vedflamlav</t>
        </is>
      </c>
      <c r="S426">
        <f>HYPERLINK("https://klasma.github.io/Logging_2161/artfynd/A 35080-2023 artfynd.xlsx", "A 35080-2023")</f>
        <v/>
      </c>
      <c r="T426">
        <f>HYPERLINK("https://klasma.github.io/Logging_2161/kartor/A 35080-2023 karta.png", "A 35080-2023")</f>
        <v/>
      </c>
      <c r="V426">
        <f>HYPERLINK("https://klasma.github.io/Logging_2161/klagomål/A 35080-2023 FSC-klagomål.docx", "A 35080-2023")</f>
        <v/>
      </c>
      <c r="W426">
        <f>HYPERLINK("https://klasma.github.io/Logging_2161/klagomålsmail/A 35080-2023 FSC-klagomål mail.docx", "A 35080-2023")</f>
        <v/>
      </c>
      <c r="X426">
        <f>HYPERLINK("https://klasma.github.io/Logging_2161/tillsyn/A 35080-2023 tillsynsbegäran.docx", "A 35080-2023")</f>
        <v/>
      </c>
      <c r="Y426">
        <f>HYPERLINK("https://klasma.github.io/Logging_2161/tillsynsmail/A 35080-2023 tillsynsbegäran mail.docx", "A 35080-2023")</f>
        <v/>
      </c>
    </row>
    <row r="427" ht="15" customHeight="1">
      <c r="A427" t="inlineStr">
        <is>
          <t>A 23333-2025</t>
        </is>
      </c>
      <c r="B427" s="1" t="n">
        <v>45791.65094907407</v>
      </c>
      <c r="C427" s="1" t="n">
        <v>45883</v>
      </c>
      <c r="D427" t="inlineStr">
        <is>
          <t>GÄVLEBORGS LÄN</t>
        </is>
      </c>
      <c r="E427" t="inlineStr">
        <is>
          <t>NORDANSTIG</t>
        </is>
      </c>
      <c r="F427" t="inlineStr">
        <is>
          <t>Holmen skog AB</t>
        </is>
      </c>
      <c r="G427" t="n">
        <v>19.1</v>
      </c>
      <c r="H427" t="n">
        <v>1</v>
      </c>
      <c r="I427" t="n">
        <v>0</v>
      </c>
      <c r="J427" t="n">
        <v>1</v>
      </c>
      <c r="K427" t="n">
        <v>0</v>
      </c>
      <c r="L427" t="n">
        <v>0</v>
      </c>
      <c r="M427" t="n">
        <v>0</v>
      </c>
      <c r="N427" t="n">
        <v>0</v>
      </c>
      <c r="O427" t="n">
        <v>1</v>
      </c>
      <c r="P427" t="n">
        <v>0</v>
      </c>
      <c r="Q427" t="n">
        <v>1</v>
      </c>
      <c r="R427" s="2" t="inlineStr">
        <is>
          <t>Spillkråka</t>
        </is>
      </c>
      <c r="S427">
        <f>HYPERLINK("https://klasma.github.io/Logging_2132/artfynd/A 23333-2025 artfynd.xlsx", "A 23333-2025")</f>
        <v/>
      </c>
      <c r="T427">
        <f>HYPERLINK("https://klasma.github.io/Logging_2132/kartor/A 23333-2025 karta.png", "A 23333-2025")</f>
        <v/>
      </c>
      <c r="V427">
        <f>HYPERLINK("https://klasma.github.io/Logging_2132/klagomål/A 23333-2025 FSC-klagomål.docx", "A 23333-2025")</f>
        <v/>
      </c>
      <c r="W427">
        <f>HYPERLINK("https://klasma.github.io/Logging_2132/klagomålsmail/A 23333-2025 FSC-klagomål mail.docx", "A 23333-2025")</f>
        <v/>
      </c>
      <c r="X427">
        <f>HYPERLINK("https://klasma.github.io/Logging_2132/tillsyn/A 23333-2025 tillsynsbegäran.docx", "A 23333-2025")</f>
        <v/>
      </c>
      <c r="Y427">
        <f>HYPERLINK("https://klasma.github.io/Logging_2132/tillsynsmail/A 23333-2025 tillsynsbegäran mail.docx", "A 23333-2025")</f>
        <v/>
      </c>
      <c r="Z427">
        <f>HYPERLINK("https://klasma.github.io/Logging_2132/fåglar/A 23333-2025 prioriterade fågelarter.docx", "A 23333-2025")</f>
        <v/>
      </c>
    </row>
    <row r="428" ht="15" customHeight="1">
      <c r="A428" t="inlineStr">
        <is>
          <t>A 22731-2022</t>
        </is>
      </c>
      <c r="B428" s="1" t="n">
        <v>44714.65887731482</v>
      </c>
      <c r="C428" s="1" t="n">
        <v>45883</v>
      </c>
      <c r="D428" t="inlineStr">
        <is>
          <t>GÄVLEBORGS LÄN</t>
        </is>
      </c>
      <c r="E428" t="inlineStr">
        <is>
          <t>BOLLNÄS</t>
        </is>
      </c>
      <c r="G428" t="n">
        <v>3.1</v>
      </c>
      <c r="H428" t="n">
        <v>0</v>
      </c>
      <c r="I428" t="n">
        <v>0</v>
      </c>
      <c r="J428" t="n">
        <v>1</v>
      </c>
      <c r="K428" t="n">
        <v>0</v>
      </c>
      <c r="L428" t="n">
        <v>0</v>
      </c>
      <c r="M428" t="n">
        <v>0</v>
      </c>
      <c r="N428" t="n">
        <v>0</v>
      </c>
      <c r="O428" t="n">
        <v>1</v>
      </c>
      <c r="P428" t="n">
        <v>0</v>
      </c>
      <c r="Q428" t="n">
        <v>1</v>
      </c>
      <c r="R428" s="2" t="inlineStr">
        <is>
          <t>Brunklöver</t>
        </is>
      </c>
      <c r="S428">
        <f>HYPERLINK("https://klasma.github.io/Logging_2183/artfynd/A 22731-2022 artfynd.xlsx", "A 22731-2022")</f>
        <v/>
      </c>
      <c r="T428">
        <f>HYPERLINK("https://klasma.github.io/Logging_2183/kartor/A 22731-2022 karta.png", "A 22731-2022")</f>
        <v/>
      </c>
      <c r="V428">
        <f>HYPERLINK("https://klasma.github.io/Logging_2183/klagomål/A 22731-2022 FSC-klagomål.docx", "A 22731-2022")</f>
        <v/>
      </c>
      <c r="W428">
        <f>HYPERLINK("https://klasma.github.io/Logging_2183/klagomålsmail/A 22731-2022 FSC-klagomål mail.docx", "A 22731-2022")</f>
        <v/>
      </c>
      <c r="X428">
        <f>HYPERLINK("https://klasma.github.io/Logging_2183/tillsyn/A 22731-2022 tillsynsbegäran.docx", "A 22731-2022")</f>
        <v/>
      </c>
      <c r="Y428">
        <f>HYPERLINK("https://klasma.github.io/Logging_2183/tillsynsmail/A 22731-2022 tillsynsbegäran mail.docx", "A 22731-2022")</f>
        <v/>
      </c>
    </row>
    <row r="429" ht="15" customHeight="1">
      <c r="A429" t="inlineStr">
        <is>
          <t>A 23777-2025</t>
        </is>
      </c>
      <c r="B429" s="1" t="n">
        <v>45793.50126157407</v>
      </c>
      <c r="C429" s="1" t="n">
        <v>45883</v>
      </c>
      <c r="D429" t="inlineStr">
        <is>
          <t>GÄVLEBORGS LÄN</t>
        </is>
      </c>
      <c r="E429" t="inlineStr">
        <is>
          <t>LJUSDAL</t>
        </is>
      </c>
      <c r="F429" t="inlineStr">
        <is>
          <t>Sveaskog</t>
        </is>
      </c>
      <c r="G429" t="n">
        <v>6.7</v>
      </c>
      <c r="H429" t="n">
        <v>1</v>
      </c>
      <c r="I429" t="n">
        <v>0</v>
      </c>
      <c r="J429" t="n">
        <v>0</v>
      </c>
      <c r="K429" t="n">
        <v>1</v>
      </c>
      <c r="L429" t="n">
        <v>0</v>
      </c>
      <c r="M429" t="n">
        <v>0</v>
      </c>
      <c r="N429" t="n">
        <v>0</v>
      </c>
      <c r="O429" t="n">
        <v>1</v>
      </c>
      <c r="P429" t="n">
        <v>1</v>
      </c>
      <c r="Q429" t="n">
        <v>1</v>
      </c>
      <c r="R429" s="2" t="inlineStr">
        <is>
          <t>Knärot</t>
        </is>
      </c>
      <c r="S429">
        <f>HYPERLINK("https://klasma.github.io/Logging_2161/artfynd/A 23777-2025 artfynd.xlsx", "A 23777-2025")</f>
        <v/>
      </c>
      <c r="T429">
        <f>HYPERLINK("https://klasma.github.io/Logging_2161/kartor/A 23777-2025 karta.png", "A 23777-2025")</f>
        <v/>
      </c>
      <c r="U429">
        <f>HYPERLINK("https://klasma.github.io/Logging_2161/knärot/A 23777-2025 karta knärot.png", "A 23777-2025")</f>
        <v/>
      </c>
      <c r="V429">
        <f>HYPERLINK("https://klasma.github.io/Logging_2161/klagomål/A 23777-2025 FSC-klagomål.docx", "A 23777-2025")</f>
        <v/>
      </c>
      <c r="W429">
        <f>HYPERLINK("https://klasma.github.io/Logging_2161/klagomålsmail/A 23777-2025 FSC-klagomål mail.docx", "A 23777-2025")</f>
        <v/>
      </c>
      <c r="X429">
        <f>HYPERLINK("https://klasma.github.io/Logging_2161/tillsyn/A 23777-2025 tillsynsbegäran.docx", "A 23777-2025")</f>
        <v/>
      </c>
      <c r="Y429">
        <f>HYPERLINK("https://klasma.github.io/Logging_2161/tillsynsmail/A 23777-2025 tillsynsbegäran mail.docx", "A 23777-2025")</f>
        <v/>
      </c>
    </row>
    <row r="430" ht="15" customHeight="1">
      <c r="A430" t="inlineStr">
        <is>
          <t>A 17435-2025</t>
        </is>
      </c>
      <c r="B430" s="1" t="n">
        <v>45757.41109953704</v>
      </c>
      <c r="C430" s="1" t="n">
        <v>45883</v>
      </c>
      <c r="D430" t="inlineStr">
        <is>
          <t>GÄVLEBORGS LÄN</t>
        </is>
      </c>
      <c r="E430" t="inlineStr">
        <is>
          <t>LJUSDAL</t>
        </is>
      </c>
      <c r="F430" t="inlineStr">
        <is>
          <t>Bergvik skog väst AB</t>
        </is>
      </c>
      <c r="G430" t="n">
        <v>1.9</v>
      </c>
      <c r="H430" t="n">
        <v>0</v>
      </c>
      <c r="I430" t="n">
        <v>0</v>
      </c>
      <c r="J430" t="n">
        <v>1</v>
      </c>
      <c r="K430" t="n">
        <v>0</v>
      </c>
      <c r="L430" t="n">
        <v>0</v>
      </c>
      <c r="M430" t="n">
        <v>0</v>
      </c>
      <c r="N430" t="n">
        <v>0</v>
      </c>
      <c r="O430" t="n">
        <v>1</v>
      </c>
      <c r="P430" t="n">
        <v>0</v>
      </c>
      <c r="Q430" t="n">
        <v>1</v>
      </c>
      <c r="R430" s="2" t="inlineStr">
        <is>
          <t>Lunglav</t>
        </is>
      </c>
      <c r="S430">
        <f>HYPERLINK("https://klasma.github.io/Logging_2161/artfynd/A 17435-2025 artfynd.xlsx", "A 17435-2025")</f>
        <v/>
      </c>
      <c r="T430">
        <f>HYPERLINK("https://klasma.github.io/Logging_2161/kartor/A 17435-2025 karta.png", "A 17435-2025")</f>
        <v/>
      </c>
      <c r="V430">
        <f>HYPERLINK("https://klasma.github.io/Logging_2161/klagomål/A 17435-2025 FSC-klagomål.docx", "A 17435-2025")</f>
        <v/>
      </c>
      <c r="W430">
        <f>HYPERLINK("https://klasma.github.io/Logging_2161/klagomålsmail/A 17435-2025 FSC-klagomål mail.docx", "A 17435-2025")</f>
        <v/>
      </c>
      <c r="X430">
        <f>HYPERLINK("https://klasma.github.io/Logging_2161/tillsyn/A 17435-2025 tillsynsbegäran.docx", "A 17435-2025")</f>
        <v/>
      </c>
      <c r="Y430">
        <f>HYPERLINK("https://klasma.github.io/Logging_2161/tillsynsmail/A 17435-2025 tillsynsbegäran mail.docx", "A 17435-2025")</f>
        <v/>
      </c>
    </row>
    <row r="431" ht="15" customHeight="1">
      <c r="A431" t="inlineStr">
        <is>
          <t>A 23727-2025</t>
        </is>
      </c>
      <c r="B431" s="1" t="n">
        <v>45793</v>
      </c>
      <c r="C431" s="1" t="n">
        <v>45883</v>
      </c>
      <c r="D431" t="inlineStr">
        <is>
          <t>GÄVLEBORGS LÄN</t>
        </is>
      </c>
      <c r="E431" t="inlineStr">
        <is>
          <t>HUDIKSVALL</t>
        </is>
      </c>
      <c r="F431" t="inlineStr">
        <is>
          <t>Sveaskog</t>
        </is>
      </c>
      <c r="G431" t="n">
        <v>8.699999999999999</v>
      </c>
      <c r="H431" t="n">
        <v>1</v>
      </c>
      <c r="I431" t="n">
        <v>0</v>
      </c>
      <c r="J431" t="n">
        <v>0</v>
      </c>
      <c r="K431" t="n">
        <v>0</v>
      </c>
      <c r="L431" t="n">
        <v>0</v>
      </c>
      <c r="M431" t="n">
        <v>0</v>
      </c>
      <c r="N431" t="n">
        <v>0</v>
      </c>
      <c r="O431" t="n">
        <v>0</v>
      </c>
      <c r="P431" t="n">
        <v>0</v>
      </c>
      <c r="Q431" t="n">
        <v>1</v>
      </c>
      <c r="R431" s="2" t="inlineStr">
        <is>
          <t>Tjäder</t>
        </is>
      </c>
      <c r="S431">
        <f>HYPERLINK("https://klasma.github.io/Logging_2184/artfynd/A 23727-2025 artfynd.xlsx", "A 23727-2025")</f>
        <v/>
      </c>
      <c r="T431">
        <f>HYPERLINK("https://klasma.github.io/Logging_2184/kartor/A 23727-2025 karta.png", "A 23727-2025")</f>
        <v/>
      </c>
      <c r="V431">
        <f>HYPERLINK("https://klasma.github.io/Logging_2184/klagomål/A 23727-2025 FSC-klagomål.docx", "A 23727-2025")</f>
        <v/>
      </c>
      <c r="W431">
        <f>HYPERLINK("https://klasma.github.io/Logging_2184/klagomålsmail/A 23727-2025 FSC-klagomål mail.docx", "A 23727-2025")</f>
        <v/>
      </c>
      <c r="X431">
        <f>HYPERLINK("https://klasma.github.io/Logging_2184/tillsyn/A 23727-2025 tillsynsbegäran.docx", "A 23727-2025")</f>
        <v/>
      </c>
      <c r="Y431">
        <f>HYPERLINK("https://klasma.github.io/Logging_2184/tillsynsmail/A 23727-2025 tillsynsbegäran mail.docx", "A 23727-2025")</f>
        <v/>
      </c>
      <c r="Z431">
        <f>HYPERLINK("https://klasma.github.io/Logging_2184/fåglar/A 23727-2025 prioriterade fågelarter.docx", "A 23727-2025")</f>
        <v/>
      </c>
    </row>
    <row r="432" ht="15" customHeight="1">
      <c r="A432" t="inlineStr">
        <is>
          <t>A 23732-2025</t>
        </is>
      </c>
      <c r="B432" s="1" t="n">
        <v>45793.42263888889</v>
      </c>
      <c r="C432" s="1" t="n">
        <v>45883</v>
      </c>
      <c r="D432" t="inlineStr">
        <is>
          <t>GÄVLEBORGS LÄN</t>
        </is>
      </c>
      <c r="E432" t="inlineStr">
        <is>
          <t>HUDIKSVALL</t>
        </is>
      </c>
      <c r="F432" t="inlineStr">
        <is>
          <t>Sveaskog</t>
        </is>
      </c>
      <c r="G432" t="n">
        <v>11.9</v>
      </c>
      <c r="H432" t="n">
        <v>0</v>
      </c>
      <c r="I432" t="n">
        <v>1</v>
      </c>
      <c r="J432" t="n">
        <v>0</v>
      </c>
      <c r="K432" t="n">
        <v>0</v>
      </c>
      <c r="L432" t="n">
        <v>0</v>
      </c>
      <c r="M432" t="n">
        <v>0</v>
      </c>
      <c r="N432" t="n">
        <v>0</v>
      </c>
      <c r="O432" t="n">
        <v>0</v>
      </c>
      <c r="P432" t="n">
        <v>0</v>
      </c>
      <c r="Q432" t="n">
        <v>1</v>
      </c>
      <c r="R432" s="2" t="inlineStr">
        <is>
          <t>Tibast</t>
        </is>
      </c>
      <c r="S432">
        <f>HYPERLINK("https://klasma.github.io/Logging_2184/artfynd/A 23732-2025 artfynd.xlsx", "A 23732-2025")</f>
        <v/>
      </c>
      <c r="T432">
        <f>HYPERLINK("https://klasma.github.io/Logging_2184/kartor/A 23732-2025 karta.png", "A 23732-2025")</f>
        <v/>
      </c>
      <c r="V432">
        <f>HYPERLINK("https://klasma.github.io/Logging_2184/klagomål/A 23732-2025 FSC-klagomål.docx", "A 23732-2025")</f>
        <v/>
      </c>
      <c r="W432">
        <f>HYPERLINK("https://klasma.github.io/Logging_2184/klagomålsmail/A 23732-2025 FSC-klagomål mail.docx", "A 23732-2025")</f>
        <v/>
      </c>
      <c r="X432">
        <f>HYPERLINK("https://klasma.github.io/Logging_2184/tillsyn/A 23732-2025 tillsynsbegäran.docx", "A 23732-2025")</f>
        <v/>
      </c>
      <c r="Y432">
        <f>HYPERLINK("https://klasma.github.io/Logging_2184/tillsynsmail/A 23732-2025 tillsynsbegäran mail.docx", "A 23732-2025")</f>
        <v/>
      </c>
    </row>
    <row r="433" ht="15" customHeight="1">
      <c r="A433" t="inlineStr">
        <is>
          <t>A 50822-2023</t>
        </is>
      </c>
      <c r="B433" s="1" t="n">
        <v>45217</v>
      </c>
      <c r="C433" s="1" t="n">
        <v>45883</v>
      </c>
      <c r="D433" t="inlineStr">
        <is>
          <t>GÄVLEBORGS LÄN</t>
        </is>
      </c>
      <c r="E433" t="inlineStr">
        <is>
          <t>HUDIKSVALL</t>
        </is>
      </c>
      <c r="G433" t="n">
        <v>1.2</v>
      </c>
      <c r="H433" t="n">
        <v>1</v>
      </c>
      <c r="I433" t="n">
        <v>0</v>
      </c>
      <c r="J433" t="n">
        <v>1</v>
      </c>
      <c r="K433" t="n">
        <v>0</v>
      </c>
      <c r="L433" t="n">
        <v>0</v>
      </c>
      <c r="M433" t="n">
        <v>0</v>
      </c>
      <c r="N433" t="n">
        <v>0</v>
      </c>
      <c r="O433" t="n">
        <v>1</v>
      </c>
      <c r="P433" t="n">
        <v>0</v>
      </c>
      <c r="Q433" t="n">
        <v>1</v>
      </c>
      <c r="R433" s="2" t="inlineStr">
        <is>
          <t>Järpe</t>
        </is>
      </c>
      <c r="S433">
        <f>HYPERLINK("https://klasma.github.io/Logging_2184/artfynd/A 50822-2023 artfynd.xlsx", "A 50822-2023")</f>
        <v/>
      </c>
      <c r="T433">
        <f>HYPERLINK("https://klasma.github.io/Logging_2184/kartor/A 50822-2023 karta.png", "A 50822-2023")</f>
        <v/>
      </c>
      <c r="V433">
        <f>HYPERLINK("https://klasma.github.io/Logging_2184/klagomål/A 50822-2023 FSC-klagomål.docx", "A 50822-2023")</f>
        <v/>
      </c>
      <c r="W433">
        <f>HYPERLINK("https://klasma.github.io/Logging_2184/klagomålsmail/A 50822-2023 FSC-klagomål mail.docx", "A 50822-2023")</f>
        <v/>
      </c>
      <c r="X433">
        <f>HYPERLINK("https://klasma.github.io/Logging_2184/tillsyn/A 50822-2023 tillsynsbegäran.docx", "A 50822-2023")</f>
        <v/>
      </c>
      <c r="Y433">
        <f>HYPERLINK("https://klasma.github.io/Logging_2184/tillsynsmail/A 50822-2023 tillsynsbegäran mail.docx", "A 50822-2023")</f>
        <v/>
      </c>
      <c r="Z433">
        <f>HYPERLINK("https://klasma.github.io/Logging_2184/fåglar/A 50822-2023 prioriterade fågelarter.docx", "A 50822-2023")</f>
        <v/>
      </c>
    </row>
    <row r="434" ht="15" customHeight="1">
      <c r="A434" t="inlineStr">
        <is>
          <t>A 23829-2025</t>
        </is>
      </c>
      <c r="B434" s="1" t="n">
        <v>45793.59726851852</v>
      </c>
      <c r="C434" s="1" t="n">
        <v>45883</v>
      </c>
      <c r="D434" t="inlineStr">
        <is>
          <t>GÄVLEBORGS LÄN</t>
        </is>
      </c>
      <c r="E434" t="inlineStr">
        <is>
          <t>LJUSDAL</t>
        </is>
      </c>
      <c r="F434" t="inlineStr">
        <is>
          <t>Sveaskog</t>
        </is>
      </c>
      <c r="G434" t="n">
        <v>14.6</v>
      </c>
      <c r="H434" t="n">
        <v>0</v>
      </c>
      <c r="I434" t="n">
        <v>0</v>
      </c>
      <c r="J434" t="n">
        <v>1</v>
      </c>
      <c r="K434" t="n">
        <v>0</v>
      </c>
      <c r="L434" t="n">
        <v>0</v>
      </c>
      <c r="M434" t="n">
        <v>0</v>
      </c>
      <c r="N434" t="n">
        <v>0</v>
      </c>
      <c r="O434" t="n">
        <v>1</v>
      </c>
      <c r="P434" t="n">
        <v>0</v>
      </c>
      <c r="Q434" t="n">
        <v>1</v>
      </c>
      <c r="R434" s="2" t="inlineStr">
        <is>
          <t>Kolflarnlav</t>
        </is>
      </c>
      <c r="S434">
        <f>HYPERLINK("https://klasma.github.io/Logging_2161/artfynd/A 23829-2025 artfynd.xlsx", "A 23829-2025")</f>
        <v/>
      </c>
      <c r="T434">
        <f>HYPERLINK("https://klasma.github.io/Logging_2161/kartor/A 23829-2025 karta.png", "A 23829-2025")</f>
        <v/>
      </c>
      <c r="V434">
        <f>HYPERLINK("https://klasma.github.io/Logging_2161/klagomål/A 23829-2025 FSC-klagomål.docx", "A 23829-2025")</f>
        <v/>
      </c>
      <c r="W434">
        <f>HYPERLINK("https://klasma.github.io/Logging_2161/klagomålsmail/A 23829-2025 FSC-klagomål mail.docx", "A 23829-2025")</f>
        <v/>
      </c>
      <c r="X434">
        <f>HYPERLINK("https://klasma.github.io/Logging_2161/tillsyn/A 23829-2025 tillsynsbegäran.docx", "A 23829-2025")</f>
        <v/>
      </c>
      <c r="Y434">
        <f>HYPERLINK("https://klasma.github.io/Logging_2161/tillsynsmail/A 23829-2025 tillsynsbegäran mail.docx", "A 23829-2025")</f>
        <v/>
      </c>
    </row>
    <row r="435" ht="15" customHeight="1">
      <c r="A435" t="inlineStr">
        <is>
          <t>A 31125-2023</t>
        </is>
      </c>
      <c r="B435" s="1" t="n">
        <v>45113.69546296296</v>
      </c>
      <c r="C435" s="1" t="n">
        <v>45883</v>
      </c>
      <c r="D435" t="inlineStr">
        <is>
          <t>GÄVLEBORGS LÄN</t>
        </is>
      </c>
      <c r="E435" t="inlineStr">
        <is>
          <t>LJUSDAL</t>
        </is>
      </c>
      <c r="F435" t="inlineStr">
        <is>
          <t>Sveaskog</t>
        </is>
      </c>
      <c r="G435" t="n">
        <v>1.8</v>
      </c>
      <c r="H435" t="n">
        <v>0</v>
      </c>
      <c r="I435" t="n">
        <v>1</v>
      </c>
      <c r="J435" t="n">
        <v>0</v>
      </c>
      <c r="K435" t="n">
        <v>0</v>
      </c>
      <c r="L435" t="n">
        <v>0</v>
      </c>
      <c r="M435" t="n">
        <v>0</v>
      </c>
      <c r="N435" t="n">
        <v>0</v>
      </c>
      <c r="O435" t="n">
        <v>0</v>
      </c>
      <c r="P435" t="n">
        <v>0</v>
      </c>
      <c r="Q435" t="n">
        <v>1</v>
      </c>
      <c r="R435" s="2" t="inlineStr">
        <is>
          <t>Stuplav</t>
        </is>
      </c>
      <c r="S435">
        <f>HYPERLINK("https://klasma.github.io/Logging_2161/artfynd/A 31125-2023 artfynd.xlsx", "A 31125-2023")</f>
        <v/>
      </c>
      <c r="T435">
        <f>HYPERLINK("https://klasma.github.io/Logging_2161/kartor/A 31125-2023 karta.png", "A 31125-2023")</f>
        <v/>
      </c>
      <c r="V435">
        <f>HYPERLINK("https://klasma.github.io/Logging_2161/klagomål/A 31125-2023 FSC-klagomål.docx", "A 31125-2023")</f>
        <v/>
      </c>
      <c r="W435">
        <f>HYPERLINK("https://klasma.github.io/Logging_2161/klagomålsmail/A 31125-2023 FSC-klagomål mail.docx", "A 31125-2023")</f>
        <v/>
      </c>
      <c r="X435">
        <f>HYPERLINK("https://klasma.github.io/Logging_2161/tillsyn/A 31125-2023 tillsynsbegäran.docx", "A 31125-2023")</f>
        <v/>
      </c>
      <c r="Y435">
        <f>HYPERLINK("https://klasma.github.io/Logging_2161/tillsynsmail/A 31125-2023 tillsynsbegäran mail.docx", "A 31125-2023")</f>
        <v/>
      </c>
    </row>
    <row r="436" ht="15" customHeight="1">
      <c r="A436" t="inlineStr">
        <is>
          <t>A 23729-2025</t>
        </is>
      </c>
      <c r="B436" s="1" t="n">
        <v>45793</v>
      </c>
      <c r="C436" s="1" t="n">
        <v>45883</v>
      </c>
      <c r="D436" t="inlineStr">
        <is>
          <t>GÄVLEBORGS LÄN</t>
        </is>
      </c>
      <c r="E436" t="inlineStr">
        <is>
          <t>HUDIKSVALL</t>
        </is>
      </c>
      <c r="F436" t="inlineStr">
        <is>
          <t>Sveaskog</t>
        </is>
      </c>
      <c r="G436" t="n">
        <v>22</v>
      </c>
      <c r="H436" t="n">
        <v>1</v>
      </c>
      <c r="I436" t="n">
        <v>0</v>
      </c>
      <c r="J436" t="n">
        <v>0</v>
      </c>
      <c r="K436" t="n">
        <v>0</v>
      </c>
      <c r="L436" t="n">
        <v>0</v>
      </c>
      <c r="M436" t="n">
        <v>0</v>
      </c>
      <c r="N436" t="n">
        <v>0</v>
      </c>
      <c r="O436" t="n">
        <v>0</v>
      </c>
      <c r="P436" t="n">
        <v>0</v>
      </c>
      <c r="Q436" t="n">
        <v>1</v>
      </c>
      <c r="R436" s="2" t="inlineStr">
        <is>
          <t>Fläcknycklar</t>
        </is>
      </c>
      <c r="S436">
        <f>HYPERLINK("https://klasma.github.io/Logging_2184/artfynd/A 23729-2025 artfynd.xlsx", "A 23729-2025")</f>
        <v/>
      </c>
      <c r="T436">
        <f>HYPERLINK("https://klasma.github.io/Logging_2184/kartor/A 23729-2025 karta.png", "A 23729-2025")</f>
        <v/>
      </c>
      <c r="V436">
        <f>HYPERLINK("https://klasma.github.io/Logging_2184/klagomål/A 23729-2025 FSC-klagomål.docx", "A 23729-2025")</f>
        <v/>
      </c>
      <c r="W436">
        <f>HYPERLINK("https://klasma.github.io/Logging_2184/klagomålsmail/A 23729-2025 FSC-klagomål mail.docx", "A 23729-2025")</f>
        <v/>
      </c>
      <c r="X436">
        <f>HYPERLINK("https://klasma.github.io/Logging_2184/tillsyn/A 23729-2025 tillsynsbegäran.docx", "A 23729-2025")</f>
        <v/>
      </c>
      <c r="Y436">
        <f>HYPERLINK("https://klasma.github.io/Logging_2184/tillsynsmail/A 23729-2025 tillsynsbegäran mail.docx", "A 23729-2025")</f>
        <v/>
      </c>
    </row>
    <row r="437" ht="15" customHeight="1">
      <c r="A437" t="inlineStr">
        <is>
          <t>A 46614-2024</t>
        </is>
      </c>
      <c r="B437" s="1" t="n">
        <v>45583</v>
      </c>
      <c r="C437" s="1" t="n">
        <v>45883</v>
      </c>
      <c r="D437" t="inlineStr">
        <is>
          <t>GÄVLEBORGS LÄN</t>
        </is>
      </c>
      <c r="E437" t="inlineStr">
        <is>
          <t>HUDIKSVALL</t>
        </is>
      </c>
      <c r="G437" t="n">
        <v>2</v>
      </c>
      <c r="H437" t="n">
        <v>0</v>
      </c>
      <c r="I437" t="n">
        <v>0</v>
      </c>
      <c r="J437" t="n">
        <v>1</v>
      </c>
      <c r="K437" t="n">
        <v>0</v>
      </c>
      <c r="L437" t="n">
        <v>0</v>
      </c>
      <c r="M437" t="n">
        <v>0</v>
      </c>
      <c r="N437" t="n">
        <v>0</v>
      </c>
      <c r="O437" t="n">
        <v>1</v>
      </c>
      <c r="P437" t="n">
        <v>0</v>
      </c>
      <c r="Q437" t="n">
        <v>1</v>
      </c>
      <c r="R437" s="2" t="inlineStr">
        <is>
          <t>Orange taggsvamp</t>
        </is>
      </c>
      <c r="S437">
        <f>HYPERLINK("https://klasma.github.io/Logging_2184/artfynd/A 46614-2024 artfynd.xlsx", "A 46614-2024")</f>
        <v/>
      </c>
      <c r="T437">
        <f>HYPERLINK("https://klasma.github.io/Logging_2184/kartor/A 46614-2024 karta.png", "A 46614-2024")</f>
        <v/>
      </c>
      <c r="V437">
        <f>HYPERLINK("https://klasma.github.io/Logging_2184/klagomål/A 46614-2024 FSC-klagomål.docx", "A 46614-2024")</f>
        <v/>
      </c>
      <c r="W437">
        <f>HYPERLINK("https://klasma.github.io/Logging_2184/klagomålsmail/A 46614-2024 FSC-klagomål mail.docx", "A 46614-2024")</f>
        <v/>
      </c>
      <c r="X437">
        <f>HYPERLINK("https://klasma.github.io/Logging_2184/tillsyn/A 46614-2024 tillsynsbegäran.docx", "A 46614-2024")</f>
        <v/>
      </c>
      <c r="Y437">
        <f>HYPERLINK("https://klasma.github.io/Logging_2184/tillsynsmail/A 46614-2024 tillsynsbegäran mail.docx", "A 46614-2024")</f>
        <v/>
      </c>
    </row>
    <row r="438" ht="15" customHeight="1">
      <c r="A438" t="inlineStr">
        <is>
          <t>A 21786-2022</t>
        </is>
      </c>
      <c r="B438" s="1" t="n">
        <v>44708.54719907408</v>
      </c>
      <c r="C438" s="1" t="n">
        <v>45883</v>
      </c>
      <c r="D438" t="inlineStr">
        <is>
          <t>GÄVLEBORGS LÄN</t>
        </is>
      </c>
      <c r="E438" t="inlineStr">
        <is>
          <t>LJUSDAL</t>
        </is>
      </c>
      <c r="F438" t="inlineStr">
        <is>
          <t>Holmen skog AB</t>
        </is>
      </c>
      <c r="G438" t="n">
        <v>1</v>
      </c>
      <c r="H438" t="n">
        <v>0</v>
      </c>
      <c r="I438" t="n">
        <v>1</v>
      </c>
      <c r="J438" t="n">
        <v>0</v>
      </c>
      <c r="K438" t="n">
        <v>0</v>
      </c>
      <c r="L438" t="n">
        <v>0</v>
      </c>
      <c r="M438" t="n">
        <v>0</v>
      </c>
      <c r="N438" t="n">
        <v>0</v>
      </c>
      <c r="O438" t="n">
        <v>0</v>
      </c>
      <c r="P438" t="n">
        <v>0</v>
      </c>
      <c r="Q438" t="n">
        <v>1</v>
      </c>
      <c r="R438" s="2" t="inlineStr">
        <is>
          <t>Vågbandad barkbock</t>
        </is>
      </c>
      <c r="S438">
        <f>HYPERLINK("https://klasma.github.io/Logging_2161/artfynd/A 21786-2022 artfynd.xlsx", "A 21786-2022")</f>
        <v/>
      </c>
      <c r="T438">
        <f>HYPERLINK("https://klasma.github.io/Logging_2161/kartor/A 21786-2022 karta.png", "A 21786-2022")</f>
        <v/>
      </c>
      <c r="V438">
        <f>HYPERLINK("https://klasma.github.io/Logging_2161/klagomål/A 21786-2022 FSC-klagomål.docx", "A 21786-2022")</f>
        <v/>
      </c>
      <c r="W438">
        <f>HYPERLINK("https://klasma.github.io/Logging_2161/klagomålsmail/A 21786-2022 FSC-klagomål mail.docx", "A 21786-2022")</f>
        <v/>
      </c>
      <c r="X438">
        <f>HYPERLINK("https://klasma.github.io/Logging_2161/tillsyn/A 21786-2022 tillsynsbegäran.docx", "A 21786-2022")</f>
        <v/>
      </c>
      <c r="Y438">
        <f>HYPERLINK("https://klasma.github.io/Logging_2161/tillsynsmail/A 21786-2022 tillsynsbegäran mail.docx", "A 21786-2022")</f>
        <v/>
      </c>
    </row>
    <row r="439" ht="15" customHeight="1">
      <c r="A439" t="inlineStr">
        <is>
          <t>A 25361-2025</t>
        </is>
      </c>
      <c r="B439" s="1" t="n">
        <v>45800.62012731482</v>
      </c>
      <c r="C439" s="1" t="n">
        <v>45883</v>
      </c>
      <c r="D439" t="inlineStr">
        <is>
          <t>GÄVLEBORGS LÄN</t>
        </is>
      </c>
      <c r="E439" t="inlineStr">
        <is>
          <t>OVANÅKER</t>
        </is>
      </c>
      <c r="F439" t="inlineStr">
        <is>
          <t>Sveaskog</t>
        </is>
      </c>
      <c r="G439" t="n">
        <v>9</v>
      </c>
      <c r="H439" t="n">
        <v>0</v>
      </c>
      <c r="I439" t="n">
        <v>1</v>
      </c>
      <c r="J439" t="n">
        <v>0</v>
      </c>
      <c r="K439" t="n">
        <v>0</v>
      </c>
      <c r="L439" t="n">
        <v>0</v>
      </c>
      <c r="M439" t="n">
        <v>0</v>
      </c>
      <c r="N439" t="n">
        <v>0</v>
      </c>
      <c r="O439" t="n">
        <v>0</v>
      </c>
      <c r="P439" t="n">
        <v>0</v>
      </c>
      <c r="Q439" t="n">
        <v>1</v>
      </c>
      <c r="R439" s="2" t="inlineStr">
        <is>
          <t>Dropptaggsvamp</t>
        </is>
      </c>
      <c r="S439">
        <f>HYPERLINK("https://klasma.github.io/Logging_2121/artfynd/A 25361-2025 artfynd.xlsx", "A 25361-2025")</f>
        <v/>
      </c>
      <c r="T439">
        <f>HYPERLINK("https://klasma.github.io/Logging_2121/kartor/A 25361-2025 karta.png", "A 25361-2025")</f>
        <v/>
      </c>
      <c r="V439">
        <f>HYPERLINK("https://klasma.github.io/Logging_2121/klagomål/A 25361-2025 FSC-klagomål.docx", "A 25361-2025")</f>
        <v/>
      </c>
      <c r="W439">
        <f>HYPERLINK("https://klasma.github.io/Logging_2121/klagomålsmail/A 25361-2025 FSC-klagomål mail.docx", "A 25361-2025")</f>
        <v/>
      </c>
      <c r="X439">
        <f>HYPERLINK("https://klasma.github.io/Logging_2121/tillsyn/A 25361-2025 tillsynsbegäran.docx", "A 25361-2025")</f>
        <v/>
      </c>
      <c r="Y439">
        <f>HYPERLINK("https://klasma.github.io/Logging_2121/tillsynsmail/A 25361-2025 tillsynsbegäran mail.docx", "A 25361-2025")</f>
        <v/>
      </c>
    </row>
    <row r="440" ht="15" customHeight="1">
      <c r="A440" t="inlineStr">
        <is>
          <t>A 33933-2025</t>
        </is>
      </c>
      <c r="B440" s="1" t="n">
        <v>45842.63458333333</v>
      </c>
      <c r="C440" s="1" t="n">
        <v>45883</v>
      </c>
      <c r="D440" t="inlineStr">
        <is>
          <t>GÄVLEBORGS LÄN</t>
        </is>
      </c>
      <c r="E440" t="inlineStr">
        <is>
          <t>LJUSDAL</t>
        </is>
      </c>
      <c r="F440" t="inlineStr">
        <is>
          <t>Sveaskog</t>
        </is>
      </c>
      <c r="G440" t="n">
        <v>16.3</v>
      </c>
      <c r="H440" t="n">
        <v>1</v>
      </c>
      <c r="I440" t="n">
        <v>0</v>
      </c>
      <c r="J440" t="n">
        <v>0</v>
      </c>
      <c r="K440" t="n">
        <v>0</v>
      </c>
      <c r="L440" t="n">
        <v>0</v>
      </c>
      <c r="M440" t="n">
        <v>0</v>
      </c>
      <c r="N440" t="n">
        <v>0</v>
      </c>
      <c r="O440" t="n">
        <v>0</v>
      </c>
      <c r="P440" t="n">
        <v>0</v>
      </c>
      <c r="Q440" t="n">
        <v>1</v>
      </c>
      <c r="R440" s="2" t="inlineStr">
        <is>
          <t>Fläcknycklar</t>
        </is>
      </c>
      <c r="S440">
        <f>HYPERLINK("https://klasma.github.io/Logging_2161/artfynd/A 33933-2025 artfynd.xlsx", "A 33933-2025")</f>
        <v/>
      </c>
      <c r="T440">
        <f>HYPERLINK("https://klasma.github.io/Logging_2161/kartor/A 33933-2025 karta.png", "A 33933-2025")</f>
        <v/>
      </c>
      <c r="V440">
        <f>HYPERLINK("https://klasma.github.io/Logging_2161/klagomål/A 33933-2025 FSC-klagomål.docx", "A 33933-2025")</f>
        <v/>
      </c>
      <c r="W440">
        <f>HYPERLINK("https://klasma.github.io/Logging_2161/klagomålsmail/A 33933-2025 FSC-klagomål mail.docx", "A 33933-2025")</f>
        <v/>
      </c>
      <c r="X440">
        <f>HYPERLINK("https://klasma.github.io/Logging_2161/tillsyn/A 33933-2025 tillsynsbegäran.docx", "A 33933-2025")</f>
        <v/>
      </c>
      <c r="Y440">
        <f>HYPERLINK("https://klasma.github.io/Logging_2161/tillsynsmail/A 33933-2025 tillsynsbegäran mail.docx", "A 33933-2025")</f>
        <v/>
      </c>
    </row>
    <row r="441" ht="15" customHeight="1">
      <c r="A441" t="inlineStr">
        <is>
          <t>A 24959-2025</t>
        </is>
      </c>
      <c r="B441" s="1" t="n">
        <v>45799.57641203704</v>
      </c>
      <c r="C441" s="1" t="n">
        <v>45883</v>
      </c>
      <c r="D441" t="inlineStr">
        <is>
          <t>GÄVLEBORGS LÄN</t>
        </is>
      </c>
      <c r="E441" t="inlineStr">
        <is>
          <t>LJUSDAL</t>
        </is>
      </c>
      <c r="F441" t="inlineStr">
        <is>
          <t>Sveaskog</t>
        </is>
      </c>
      <c r="G441" t="n">
        <v>21.9</v>
      </c>
      <c r="H441" t="n">
        <v>0</v>
      </c>
      <c r="I441" t="n">
        <v>0</v>
      </c>
      <c r="J441" t="n">
        <v>1</v>
      </c>
      <c r="K441" t="n">
        <v>0</v>
      </c>
      <c r="L441" t="n">
        <v>0</v>
      </c>
      <c r="M441" t="n">
        <v>0</v>
      </c>
      <c r="N441" t="n">
        <v>0</v>
      </c>
      <c r="O441" t="n">
        <v>1</v>
      </c>
      <c r="P441" t="n">
        <v>0</v>
      </c>
      <c r="Q441" t="n">
        <v>1</v>
      </c>
      <c r="R441" s="2" t="inlineStr">
        <is>
          <t>Vedflamlav</t>
        </is>
      </c>
      <c r="S441">
        <f>HYPERLINK("https://klasma.github.io/Logging_2161/artfynd/A 24959-2025 artfynd.xlsx", "A 24959-2025")</f>
        <v/>
      </c>
      <c r="T441">
        <f>HYPERLINK("https://klasma.github.io/Logging_2161/kartor/A 24959-2025 karta.png", "A 24959-2025")</f>
        <v/>
      </c>
      <c r="V441">
        <f>HYPERLINK("https://klasma.github.io/Logging_2161/klagomål/A 24959-2025 FSC-klagomål.docx", "A 24959-2025")</f>
        <v/>
      </c>
      <c r="W441">
        <f>HYPERLINK("https://klasma.github.io/Logging_2161/klagomålsmail/A 24959-2025 FSC-klagomål mail.docx", "A 24959-2025")</f>
        <v/>
      </c>
      <c r="X441">
        <f>HYPERLINK("https://klasma.github.io/Logging_2161/tillsyn/A 24959-2025 tillsynsbegäran.docx", "A 24959-2025")</f>
        <v/>
      </c>
      <c r="Y441">
        <f>HYPERLINK("https://klasma.github.io/Logging_2161/tillsynsmail/A 24959-2025 tillsynsbegäran mail.docx", "A 24959-2025")</f>
        <v/>
      </c>
    </row>
    <row r="442" ht="15" customHeight="1">
      <c r="A442" t="inlineStr">
        <is>
          <t>A 33338-2025</t>
        </is>
      </c>
      <c r="B442" s="1" t="n">
        <v>45841.35872685185</v>
      </c>
      <c r="C442" s="1" t="n">
        <v>45883</v>
      </c>
      <c r="D442" t="inlineStr">
        <is>
          <t>GÄVLEBORGS LÄN</t>
        </is>
      </c>
      <c r="E442" t="inlineStr">
        <is>
          <t>LJUSDAL</t>
        </is>
      </c>
      <c r="F442" t="inlineStr">
        <is>
          <t>Sveaskog</t>
        </is>
      </c>
      <c r="G442" t="n">
        <v>1.6</v>
      </c>
      <c r="H442" t="n">
        <v>1</v>
      </c>
      <c r="I442" t="n">
        <v>0</v>
      </c>
      <c r="J442" t="n">
        <v>0</v>
      </c>
      <c r="K442" t="n">
        <v>0</v>
      </c>
      <c r="L442" t="n">
        <v>0</v>
      </c>
      <c r="M442" t="n">
        <v>0</v>
      </c>
      <c r="N442" t="n">
        <v>0</v>
      </c>
      <c r="O442" t="n">
        <v>0</v>
      </c>
      <c r="P442" t="n">
        <v>0</v>
      </c>
      <c r="Q442" t="n">
        <v>1</v>
      </c>
      <c r="R442" s="2" t="inlineStr">
        <is>
          <t>Fläcknycklar</t>
        </is>
      </c>
      <c r="S442">
        <f>HYPERLINK("https://klasma.github.io/Logging_2161/artfynd/A 33338-2025 artfynd.xlsx", "A 33338-2025")</f>
        <v/>
      </c>
      <c r="T442">
        <f>HYPERLINK("https://klasma.github.io/Logging_2161/kartor/A 33338-2025 karta.png", "A 33338-2025")</f>
        <v/>
      </c>
      <c r="V442">
        <f>HYPERLINK("https://klasma.github.io/Logging_2161/klagomål/A 33338-2025 FSC-klagomål.docx", "A 33338-2025")</f>
        <v/>
      </c>
      <c r="W442">
        <f>HYPERLINK("https://klasma.github.io/Logging_2161/klagomålsmail/A 33338-2025 FSC-klagomål mail.docx", "A 33338-2025")</f>
        <v/>
      </c>
      <c r="X442">
        <f>HYPERLINK("https://klasma.github.io/Logging_2161/tillsyn/A 33338-2025 tillsynsbegäran.docx", "A 33338-2025")</f>
        <v/>
      </c>
      <c r="Y442">
        <f>HYPERLINK("https://klasma.github.io/Logging_2161/tillsynsmail/A 33338-2025 tillsynsbegäran mail.docx", "A 33338-2025")</f>
        <v/>
      </c>
    </row>
    <row r="443" ht="15" customHeight="1">
      <c r="A443" t="inlineStr">
        <is>
          <t>A 60594-2024</t>
        </is>
      </c>
      <c r="B443" s="1" t="n">
        <v>45644.35909722222</v>
      </c>
      <c r="C443" s="1" t="n">
        <v>45883</v>
      </c>
      <c r="D443" t="inlineStr">
        <is>
          <t>GÄVLEBORGS LÄN</t>
        </is>
      </c>
      <c r="E443" t="inlineStr">
        <is>
          <t>HUDIKSVALL</t>
        </is>
      </c>
      <c r="G443" t="n">
        <v>3.7</v>
      </c>
      <c r="H443" t="n">
        <v>1</v>
      </c>
      <c r="I443" t="n">
        <v>0</v>
      </c>
      <c r="J443" t="n">
        <v>0</v>
      </c>
      <c r="K443" t="n">
        <v>0</v>
      </c>
      <c r="L443" t="n">
        <v>0</v>
      </c>
      <c r="M443" t="n">
        <v>0</v>
      </c>
      <c r="N443" t="n">
        <v>0</v>
      </c>
      <c r="O443" t="n">
        <v>0</v>
      </c>
      <c r="P443" t="n">
        <v>0</v>
      </c>
      <c r="Q443" t="n">
        <v>1</v>
      </c>
      <c r="R443" s="2" t="inlineStr">
        <is>
          <t>Vanlig padda</t>
        </is>
      </c>
      <c r="S443">
        <f>HYPERLINK("https://klasma.github.io/Logging_2184/artfynd/A 60594-2024 artfynd.xlsx", "A 60594-2024")</f>
        <v/>
      </c>
      <c r="T443">
        <f>HYPERLINK("https://klasma.github.io/Logging_2184/kartor/A 60594-2024 karta.png", "A 60594-2024")</f>
        <v/>
      </c>
      <c r="V443">
        <f>HYPERLINK("https://klasma.github.io/Logging_2184/klagomål/A 60594-2024 FSC-klagomål.docx", "A 60594-2024")</f>
        <v/>
      </c>
      <c r="W443">
        <f>HYPERLINK("https://klasma.github.io/Logging_2184/klagomålsmail/A 60594-2024 FSC-klagomål mail.docx", "A 60594-2024")</f>
        <v/>
      </c>
      <c r="X443">
        <f>HYPERLINK("https://klasma.github.io/Logging_2184/tillsyn/A 60594-2024 tillsynsbegäran.docx", "A 60594-2024")</f>
        <v/>
      </c>
      <c r="Y443">
        <f>HYPERLINK("https://klasma.github.io/Logging_2184/tillsynsmail/A 60594-2024 tillsynsbegäran mail.docx", "A 60594-2024")</f>
        <v/>
      </c>
    </row>
    <row r="444" ht="15" customHeight="1">
      <c r="A444" t="inlineStr">
        <is>
          <t>A 25323-2025</t>
        </is>
      </c>
      <c r="B444" s="1" t="n">
        <v>45800.58765046296</v>
      </c>
      <c r="C444" s="1" t="n">
        <v>45883</v>
      </c>
      <c r="D444" t="inlineStr">
        <is>
          <t>GÄVLEBORGS LÄN</t>
        </is>
      </c>
      <c r="E444" t="inlineStr">
        <is>
          <t>SANDVIKEN</t>
        </is>
      </c>
      <c r="F444" t="inlineStr">
        <is>
          <t>Sveaskog</t>
        </is>
      </c>
      <c r="G444" t="n">
        <v>3.8</v>
      </c>
      <c r="H444" t="n">
        <v>1</v>
      </c>
      <c r="I444" t="n">
        <v>1</v>
      </c>
      <c r="J444" t="n">
        <v>0</v>
      </c>
      <c r="K444" t="n">
        <v>0</v>
      </c>
      <c r="L444" t="n">
        <v>0</v>
      </c>
      <c r="M444" t="n">
        <v>0</v>
      </c>
      <c r="N444" t="n">
        <v>0</v>
      </c>
      <c r="O444" t="n">
        <v>0</v>
      </c>
      <c r="P444" t="n">
        <v>0</v>
      </c>
      <c r="Q444" t="n">
        <v>1</v>
      </c>
      <c r="R444" s="2" t="inlineStr">
        <is>
          <t>Plattlummer</t>
        </is>
      </c>
      <c r="S444">
        <f>HYPERLINK("https://klasma.github.io/Logging_2181/artfynd/A 25323-2025 artfynd.xlsx", "A 25323-2025")</f>
        <v/>
      </c>
      <c r="T444">
        <f>HYPERLINK("https://klasma.github.io/Logging_2181/kartor/A 25323-2025 karta.png", "A 25323-2025")</f>
        <v/>
      </c>
      <c r="V444">
        <f>HYPERLINK("https://klasma.github.io/Logging_2181/klagomål/A 25323-2025 FSC-klagomål.docx", "A 25323-2025")</f>
        <v/>
      </c>
      <c r="W444">
        <f>HYPERLINK("https://klasma.github.io/Logging_2181/klagomålsmail/A 25323-2025 FSC-klagomål mail.docx", "A 25323-2025")</f>
        <v/>
      </c>
      <c r="X444">
        <f>HYPERLINK("https://klasma.github.io/Logging_2181/tillsyn/A 25323-2025 tillsynsbegäran.docx", "A 25323-2025")</f>
        <v/>
      </c>
      <c r="Y444">
        <f>HYPERLINK("https://klasma.github.io/Logging_2181/tillsynsmail/A 25323-2025 tillsynsbegäran mail.docx", "A 25323-2025")</f>
        <v/>
      </c>
    </row>
    <row r="445" ht="15" customHeight="1">
      <c r="A445" t="inlineStr">
        <is>
          <t>A 24831-2025</t>
        </is>
      </c>
      <c r="B445" s="1" t="n">
        <v>45799.45872685185</v>
      </c>
      <c r="C445" s="1" t="n">
        <v>45883</v>
      </c>
      <c r="D445" t="inlineStr">
        <is>
          <t>GÄVLEBORGS LÄN</t>
        </is>
      </c>
      <c r="E445" t="inlineStr">
        <is>
          <t>LJUSDAL</t>
        </is>
      </c>
      <c r="F445" t="inlineStr">
        <is>
          <t>Sveaskog</t>
        </is>
      </c>
      <c r="G445" t="n">
        <v>25.9</v>
      </c>
      <c r="H445" t="n">
        <v>0</v>
      </c>
      <c r="I445" t="n">
        <v>0</v>
      </c>
      <c r="J445" t="n">
        <v>1</v>
      </c>
      <c r="K445" t="n">
        <v>0</v>
      </c>
      <c r="L445" t="n">
        <v>0</v>
      </c>
      <c r="M445" t="n">
        <v>0</v>
      </c>
      <c r="N445" t="n">
        <v>0</v>
      </c>
      <c r="O445" t="n">
        <v>1</v>
      </c>
      <c r="P445" t="n">
        <v>0</v>
      </c>
      <c r="Q445" t="n">
        <v>1</v>
      </c>
      <c r="R445" s="2" t="inlineStr">
        <is>
          <t>Lunglav</t>
        </is>
      </c>
      <c r="S445">
        <f>HYPERLINK("https://klasma.github.io/Logging_2161/artfynd/A 24831-2025 artfynd.xlsx", "A 24831-2025")</f>
        <v/>
      </c>
      <c r="T445">
        <f>HYPERLINK("https://klasma.github.io/Logging_2161/kartor/A 24831-2025 karta.png", "A 24831-2025")</f>
        <v/>
      </c>
      <c r="V445">
        <f>HYPERLINK("https://klasma.github.io/Logging_2161/klagomål/A 24831-2025 FSC-klagomål.docx", "A 24831-2025")</f>
        <v/>
      </c>
      <c r="W445">
        <f>HYPERLINK("https://klasma.github.io/Logging_2161/klagomålsmail/A 24831-2025 FSC-klagomål mail.docx", "A 24831-2025")</f>
        <v/>
      </c>
      <c r="X445">
        <f>HYPERLINK("https://klasma.github.io/Logging_2161/tillsyn/A 24831-2025 tillsynsbegäran.docx", "A 24831-2025")</f>
        <v/>
      </c>
      <c r="Y445">
        <f>HYPERLINK("https://klasma.github.io/Logging_2161/tillsynsmail/A 24831-2025 tillsynsbegäran mail.docx", "A 24831-2025")</f>
        <v/>
      </c>
    </row>
    <row r="446" ht="15" customHeight="1">
      <c r="A446" t="inlineStr">
        <is>
          <t>A 25850-2025</t>
        </is>
      </c>
      <c r="B446" s="1" t="n">
        <v>45800</v>
      </c>
      <c r="C446" s="1" t="n">
        <v>45883</v>
      </c>
      <c r="D446" t="inlineStr">
        <is>
          <t>GÄVLEBORGS LÄN</t>
        </is>
      </c>
      <c r="E446" t="inlineStr">
        <is>
          <t>HUDIKSVALL</t>
        </is>
      </c>
      <c r="G446" t="n">
        <v>5.7</v>
      </c>
      <c r="H446" t="n">
        <v>0</v>
      </c>
      <c r="I446" t="n">
        <v>0</v>
      </c>
      <c r="J446" t="n">
        <v>1</v>
      </c>
      <c r="K446" t="n">
        <v>0</v>
      </c>
      <c r="L446" t="n">
        <v>0</v>
      </c>
      <c r="M446" t="n">
        <v>0</v>
      </c>
      <c r="N446" t="n">
        <v>0</v>
      </c>
      <c r="O446" t="n">
        <v>1</v>
      </c>
      <c r="P446" t="n">
        <v>0</v>
      </c>
      <c r="Q446" t="n">
        <v>1</v>
      </c>
      <c r="R446" s="2" t="inlineStr">
        <is>
          <t>Ullticka</t>
        </is>
      </c>
      <c r="S446">
        <f>HYPERLINK("https://klasma.github.io/Logging_2184/artfynd/A 25850-2025 artfynd.xlsx", "A 25850-2025")</f>
        <v/>
      </c>
      <c r="T446">
        <f>HYPERLINK("https://klasma.github.io/Logging_2184/kartor/A 25850-2025 karta.png", "A 25850-2025")</f>
        <v/>
      </c>
      <c r="V446">
        <f>HYPERLINK("https://klasma.github.io/Logging_2184/klagomål/A 25850-2025 FSC-klagomål.docx", "A 25850-2025")</f>
        <v/>
      </c>
      <c r="W446">
        <f>HYPERLINK("https://klasma.github.io/Logging_2184/klagomålsmail/A 25850-2025 FSC-klagomål mail.docx", "A 25850-2025")</f>
        <v/>
      </c>
      <c r="X446">
        <f>HYPERLINK("https://klasma.github.io/Logging_2184/tillsyn/A 25850-2025 tillsynsbegäran.docx", "A 25850-2025")</f>
        <v/>
      </c>
      <c r="Y446">
        <f>HYPERLINK("https://klasma.github.io/Logging_2184/tillsynsmail/A 25850-2025 tillsynsbegäran mail.docx", "A 25850-2025")</f>
        <v/>
      </c>
    </row>
    <row r="447" ht="15" customHeight="1">
      <c r="A447" t="inlineStr">
        <is>
          <t>A 11411-2025</t>
        </is>
      </c>
      <c r="B447" s="1" t="n">
        <v>45726.59087962963</v>
      </c>
      <c r="C447" s="1" t="n">
        <v>45883</v>
      </c>
      <c r="D447" t="inlineStr">
        <is>
          <t>GÄVLEBORGS LÄN</t>
        </is>
      </c>
      <c r="E447" t="inlineStr">
        <is>
          <t>GÄVLE</t>
        </is>
      </c>
      <c r="G447" t="n">
        <v>2.4</v>
      </c>
      <c r="H447" t="n">
        <v>1</v>
      </c>
      <c r="I447" t="n">
        <v>0</v>
      </c>
      <c r="J447" t="n">
        <v>0</v>
      </c>
      <c r="K447" t="n">
        <v>0</v>
      </c>
      <c r="L447" t="n">
        <v>0</v>
      </c>
      <c r="M447" t="n">
        <v>0</v>
      </c>
      <c r="N447" t="n">
        <v>0</v>
      </c>
      <c r="O447" t="n">
        <v>0</v>
      </c>
      <c r="P447" t="n">
        <v>0</v>
      </c>
      <c r="Q447" t="n">
        <v>1</v>
      </c>
      <c r="R447" s="2" t="inlineStr">
        <is>
          <t>Blåsippa</t>
        </is>
      </c>
      <c r="S447">
        <f>HYPERLINK("https://klasma.github.io/Logging_2180/artfynd/A 11411-2025 artfynd.xlsx", "A 11411-2025")</f>
        <v/>
      </c>
      <c r="T447">
        <f>HYPERLINK("https://klasma.github.io/Logging_2180/kartor/A 11411-2025 karta.png", "A 11411-2025")</f>
        <v/>
      </c>
      <c r="V447">
        <f>HYPERLINK("https://klasma.github.io/Logging_2180/klagomål/A 11411-2025 FSC-klagomål.docx", "A 11411-2025")</f>
        <v/>
      </c>
      <c r="W447">
        <f>HYPERLINK("https://klasma.github.io/Logging_2180/klagomålsmail/A 11411-2025 FSC-klagomål mail.docx", "A 11411-2025")</f>
        <v/>
      </c>
      <c r="X447">
        <f>HYPERLINK("https://klasma.github.io/Logging_2180/tillsyn/A 11411-2025 tillsynsbegäran.docx", "A 11411-2025")</f>
        <v/>
      </c>
      <c r="Y447">
        <f>HYPERLINK("https://klasma.github.io/Logging_2180/tillsynsmail/A 11411-2025 tillsynsbegäran mail.docx", "A 11411-2025")</f>
        <v/>
      </c>
    </row>
    <row r="448" ht="15" customHeight="1">
      <c r="A448" t="inlineStr">
        <is>
          <t>A 34343-2025</t>
        </is>
      </c>
      <c r="B448" s="1" t="n">
        <v>45846.46173611111</v>
      </c>
      <c r="C448" s="1" t="n">
        <v>45883</v>
      </c>
      <c r="D448" t="inlineStr">
        <is>
          <t>GÄVLEBORGS LÄN</t>
        </is>
      </c>
      <c r="E448" t="inlineStr">
        <is>
          <t>LJUSDAL</t>
        </is>
      </c>
      <c r="F448" t="inlineStr">
        <is>
          <t>Bergvik skog väst AB</t>
        </is>
      </c>
      <c r="G448" t="n">
        <v>4.3</v>
      </c>
      <c r="H448" t="n">
        <v>0</v>
      </c>
      <c r="I448" t="n">
        <v>0</v>
      </c>
      <c r="J448" t="n">
        <v>1</v>
      </c>
      <c r="K448" t="n">
        <v>0</v>
      </c>
      <c r="L448" t="n">
        <v>0</v>
      </c>
      <c r="M448" t="n">
        <v>0</v>
      </c>
      <c r="N448" t="n">
        <v>0</v>
      </c>
      <c r="O448" t="n">
        <v>1</v>
      </c>
      <c r="P448" t="n">
        <v>0</v>
      </c>
      <c r="Q448" t="n">
        <v>1</v>
      </c>
      <c r="R448" s="2" t="inlineStr">
        <is>
          <t>Garnlav</t>
        </is>
      </c>
      <c r="S448">
        <f>HYPERLINK("https://klasma.github.io/Logging_2161/artfynd/A 34343-2025 artfynd.xlsx", "A 34343-2025")</f>
        <v/>
      </c>
      <c r="T448">
        <f>HYPERLINK("https://klasma.github.io/Logging_2161/kartor/A 34343-2025 karta.png", "A 34343-2025")</f>
        <v/>
      </c>
      <c r="V448">
        <f>HYPERLINK("https://klasma.github.io/Logging_2161/klagomål/A 34343-2025 FSC-klagomål.docx", "A 34343-2025")</f>
        <v/>
      </c>
      <c r="W448">
        <f>HYPERLINK("https://klasma.github.io/Logging_2161/klagomålsmail/A 34343-2025 FSC-klagomål mail.docx", "A 34343-2025")</f>
        <v/>
      </c>
      <c r="X448">
        <f>HYPERLINK("https://klasma.github.io/Logging_2161/tillsyn/A 34343-2025 tillsynsbegäran.docx", "A 34343-2025")</f>
        <v/>
      </c>
      <c r="Y448">
        <f>HYPERLINK("https://klasma.github.io/Logging_2161/tillsynsmail/A 34343-2025 tillsynsbegäran mail.docx", "A 34343-2025")</f>
        <v/>
      </c>
    </row>
    <row r="449" ht="15" customHeight="1">
      <c r="A449" t="inlineStr">
        <is>
          <t>A 28397-2024</t>
        </is>
      </c>
      <c r="B449" s="1" t="n">
        <v>45477.60549768519</v>
      </c>
      <c r="C449" s="1" t="n">
        <v>45883</v>
      </c>
      <c r="D449" t="inlineStr">
        <is>
          <t>GÄVLEBORGS LÄN</t>
        </is>
      </c>
      <c r="E449" t="inlineStr">
        <is>
          <t>HOFORS</t>
        </is>
      </c>
      <c r="F449" t="inlineStr">
        <is>
          <t>Sveaskog</t>
        </is>
      </c>
      <c r="G449" t="n">
        <v>5</v>
      </c>
      <c r="H449" t="n">
        <v>1</v>
      </c>
      <c r="I449" t="n">
        <v>0</v>
      </c>
      <c r="J449" t="n">
        <v>0</v>
      </c>
      <c r="K449" t="n">
        <v>0</v>
      </c>
      <c r="L449" t="n">
        <v>0</v>
      </c>
      <c r="M449" t="n">
        <v>0</v>
      </c>
      <c r="N449" t="n">
        <v>0</v>
      </c>
      <c r="O449" t="n">
        <v>0</v>
      </c>
      <c r="P449" t="n">
        <v>0</v>
      </c>
      <c r="Q449" t="n">
        <v>1</v>
      </c>
      <c r="R449" s="2" t="inlineStr">
        <is>
          <t>Fläcknycklar</t>
        </is>
      </c>
      <c r="S449">
        <f>HYPERLINK("https://klasma.github.io/Logging_2104/artfynd/A 28397-2024 artfynd.xlsx", "A 28397-2024")</f>
        <v/>
      </c>
      <c r="T449">
        <f>HYPERLINK("https://klasma.github.io/Logging_2104/kartor/A 28397-2024 karta.png", "A 28397-2024")</f>
        <v/>
      </c>
      <c r="V449">
        <f>HYPERLINK("https://klasma.github.io/Logging_2104/klagomål/A 28397-2024 FSC-klagomål.docx", "A 28397-2024")</f>
        <v/>
      </c>
      <c r="W449">
        <f>HYPERLINK("https://klasma.github.io/Logging_2104/klagomålsmail/A 28397-2024 FSC-klagomål mail.docx", "A 28397-2024")</f>
        <v/>
      </c>
      <c r="X449">
        <f>HYPERLINK("https://klasma.github.io/Logging_2104/tillsyn/A 28397-2024 tillsynsbegäran.docx", "A 28397-2024")</f>
        <v/>
      </c>
      <c r="Y449">
        <f>HYPERLINK("https://klasma.github.io/Logging_2104/tillsynsmail/A 28397-2024 tillsynsbegäran mail.docx", "A 28397-2024")</f>
        <v/>
      </c>
    </row>
    <row r="450" ht="15" customHeight="1">
      <c r="A450" t="inlineStr">
        <is>
          <t>A 38050-2024</t>
        </is>
      </c>
      <c r="B450" s="1" t="n">
        <v>45544</v>
      </c>
      <c r="C450" s="1" t="n">
        <v>45883</v>
      </c>
      <c r="D450" t="inlineStr">
        <is>
          <t>GÄVLEBORGS LÄN</t>
        </is>
      </c>
      <c r="E450" t="inlineStr">
        <is>
          <t>NORDANSTIG</t>
        </is>
      </c>
      <c r="F450" t="inlineStr">
        <is>
          <t>Holmen skog AB</t>
        </is>
      </c>
      <c r="G450" t="n">
        <v>3.1</v>
      </c>
      <c r="H450" t="n">
        <v>0</v>
      </c>
      <c r="I450" t="n">
        <v>0</v>
      </c>
      <c r="J450" t="n">
        <v>1</v>
      </c>
      <c r="K450" t="n">
        <v>0</v>
      </c>
      <c r="L450" t="n">
        <v>0</v>
      </c>
      <c r="M450" t="n">
        <v>0</v>
      </c>
      <c r="N450" t="n">
        <v>0</v>
      </c>
      <c r="O450" t="n">
        <v>1</v>
      </c>
      <c r="P450" t="n">
        <v>0</v>
      </c>
      <c r="Q450" t="n">
        <v>1</v>
      </c>
      <c r="R450" s="2" t="inlineStr">
        <is>
          <t>Tallticka</t>
        </is>
      </c>
      <c r="S450">
        <f>HYPERLINK("https://klasma.github.io/Logging_2132/artfynd/A 38050-2024 artfynd.xlsx", "A 38050-2024")</f>
        <v/>
      </c>
      <c r="T450">
        <f>HYPERLINK("https://klasma.github.io/Logging_2132/kartor/A 38050-2024 karta.png", "A 38050-2024")</f>
        <v/>
      </c>
      <c r="U450">
        <f>HYPERLINK("https://klasma.github.io/Logging_2132/knärot/A 38050-2024 karta knärot.png", "A 38050-2024")</f>
        <v/>
      </c>
      <c r="V450">
        <f>HYPERLINK("https://klasma.github.io/Logging_2132/klagomål/A 38050-2024 FSC-klagomål.docx", "A 38050-2024")</f>
        <v/>
      </c>
      <c r="W450">
        <f>HYPERLINK("https://klasma.github.io/Logging_2132/klagomålsmail/A 38050-2024 FSC-klagomål mail.docx", "A 38050-2024")</f>
        <v/>
      </c>
      <c r="X450">
        <f>HYPERLINK("https://klasma.github.io/Logging_2132/tillsyn/A 38050-2024 tillsynsbegäran.docx", "A 38050-2024")</f>
        <v/>
      </c>
      <c r="Y450">
        <f>HYPERLINK("https://klasma.github.io/Logging_2132/tillsynsmail/A 38050-2024 tillsynsbegäran mail.docx", "A 38050-2024")</f>
        <v/>
      </c>
    </row>
    <row r="451" ht="15" customHeight="1">
      <c r="A451" t="inlineStr">
        <is>
          <t>A 45427-2023</t>
        </is>
      </c>
      <c r="B451" s="1" t="n">
        <v>45194.3671875</v>
      </c>
      <c r="C451" s="1" t="n">
        <v>45883</v>
      </c>
      <c r="D451" t="inlineStr">
        <is>
          <t>GÄVLEBORGS LÄN</t>
        </is>
      </c>
      <c r="E451" t="inlineStr">
        <is>
          <t>SANDVIKEN</t>
        </is>
      </c>
      <c r="F451" t="inlineStr">
        <is>
          <t>Bergvik skog öst AB</t>
        </is>
      </c>
      <c r="G451" t="n">
        <v>3.5</v>
      </c>
      <c r="H451" t="n">
        <v>1</v>
      </c>
      <c r="I451" t="n">
        <v>0</v>
      </c>
      <c r="J451" t="n">
        <v>0</v>
      </c>
      <c r="K451" t="n">
        <v>0</v>
      </c>
      <c r="L451" t="n">
        <v>0</v>
      </c>
      <c r="M451" t="n">
        <v>0</v>
      </c>
      <c r="N451" t="n">
        <v>0</v>
      </c>
      <c r="O451" t="n">
        <v>0</v>
      </c>
      <c r="P451" t="n">
        <v>0</v>
      </c>
      <c r="Q451" t="n">
        <v>1</v>
      </c>
      <c r="R451" s="2" t="inlineStr">
        <is>
          <t>Mattlummer</t>
        </is>
      </c>
      <c r="S451">
        <f>HYPERLINK("https://klasma.github.io/Logging_2181/artfynd/A 45427-2023 artfynd.xlsx", "A 45427-2023")</f>
        <v/>
      </c>
      <c r="T451">
        <f>HYPERLINK("https://klasma.github.io/Logging_2181/kartor/A 45427-2023 karta.png", "A 45427-2023")</f>
        <v/>
      </c>
      <c r="V451">
        <f>HYPERLINK("https://klasma.github.io/Logging_2181/klagomål/A 45427-2023 FSC-klagomål.docx", "A 45427-2023")</f>
        <v/>
      </c>
      <c r="W451">
        <f>HYPERLINK("https://klasma.github.io/Logging_2181/klagomålsmail/A 45427-2023 FSC-klagomål mail.docx", "A 45427-2023")</f>
        <v/>
      </c>
      <c r="X451">
        <f>HYPERLINK("https://klasma.github.io/Logging_2181/tillsyn/A 45427-2023 tillsynsbegäran.docx", "A 45427-2023")</f>
        <v/>
      </c>
      <c r="Y451">
        <f>HYPERLINK("https://klasma.github.io/Logging_2181/tillsynsmail/A 45427-2023 tillsynsbegäran mail.docx", "A 45427-2023")</f>
        <v/>
      </c>
    </row>
    <row r="452" ht="15" customHeight="1">
      <c r="A452" t="inlineStr">
        <is>
          <t>A 2254-2025</t>
        </is>
      </c>
      <c r="B452" s="1" t="n">
        <v>45673.50789351852</v>
      </c>
      <c r="C452" s="1" t="n">
        <v>45883</v>
      </c>
      <c r="D452" t="inlineStr">
        <is>
          <t>GÄVLEBORGS LÄN</t>
        </is>
      </c>
      <c r="E452" t="inlineStr">
        <is>
          <t>NORDANSTIG</t>
        </is>
      </c>
      <c r="F452" t="inlineStr">
        <is>
          <t>Holmen skog AB</t>
        </is>
      </c>
      <c r="G452" t="n">
        <v>1.3</v>
      </c>
      <c r="H452" t="n">
        <v>1</v>
      </c>
      <c r="I452" t="n">
        <v>0</v>
      </c>
      <c r="J452" t="n">
        <v>0</v>
      </c>
      <c r="K452" t="n">
        <v>0</v>
      </c>
      <c r="L452" t="n">
        <v>1</v>
      </c>
      <c r="M452" t="n">
        <v>0</v>
      </c>
      <c r="N452" t="n">
        <v>0</v>
      </c>
      <c r="O452" t="n">
        <v>1</v>
      </c>
      <c r="P452" t="n">
        <v>1</v>
      </c>
      <c r="Q452" t="n">
        <v>1</v>
      </c>
      <c r="R452" s="2" t="inlineStr">
        <is>
          <t>Bredgentiana</t>
        </is>
      </c>
      <c r="S452">
        <f>HYPERLINK("https://klasma.github.io/Logging_2132/artfynd/A 2254-2025 artfynd.xlsx", "A 2254-2025")</f>
        <v/>
      </c>
      <c r="T452">
        <f>HYPERLINK("https://klasma.github.io/Logging_2132/kartor/A 2254-2025 karta.png", "A 2254-2025")</f>
        <v/>
      </c>
      <c r="V452">
        <f>HYPERLINK("https://klasma.github.io/Logging_2132/klagomål/A 2254-2025 FSC-klagomål.docx", "A 2254-2025")</f>
        <v/>
      </c>
      <c r="W452">
        <f>HYPERLINK("https://klasma.github.io/Logging_2132/klagomålsmail/A 2254-2025 FSC-klagomål mail.docx", "A 2254-2025")</f>
        <v/>
      </c>
      <c r="X452">
        <f>HYPERLINK("https://klasma.github.io/Logging_2132/tillsyn/A 2254-2025 tillsynsbegäran.docx", "A 2254-2025")</f>
        <v/>
      </c>
      <c r="Y452">
        <f>HYPERLINK("https://klasma.github.io/Logging_2132/tillsynsmail/A 2254-2025 tillsynsbegäran mail.docx", "A 2254-2025")</f>
        <v/>
      </c>
    </row>
    <row r="453" ht="15" customHeight="1">
      <c r="A453" t="inlineStr">
        <is>
          <t>A 26202-2025</t>
        </is>
      </c>
      <c r="B453" s="1" t="n">
        <v>45805.50910879629</v>
      </c>
      <c r="C453" s="1" t="n">
        <v>45883</v>
      </c>
      <c r="D453" t="inlineStr">
        <is>
          <t>GÄVLEBORGS LÄN</t>
        </is>
      </c>
      <c r="E453" t="inlineStr">
        <is>
          <t>LJUSDAL</t>
        </is>
      </c>
      <c r="G453" t="n">
        <v>3.3</v>
      </c>
      <c r="H453" t="n">
        <v>0</v>
      </c>
      <c r="I453" t="n">
        <v>0</v>
      </c>
      <c r="J453" t="n">
        <v>1</v>
      </c>
      <c r="K453" t="n">
        <v>0</v>
      </c>
      <c r="L453" t="n">
        <v>0</v>
      </c>
      <c r="M453" t="n">
        <v>0</v>
      </c>
      <c r="N453" t="n">
        <v>0</v>
      </c>
      <c r="O453" t="n">
        <v>1</v>
      </c>
      <c r="P453" t="n">
        <v>0</v>
      </c>
      <c r="Q453" t="n">
        <v>1</v>
      </c>
      <c r="R453" s="2" t="inlineStr">
        <is>
          <t>Violettgrå tagellav</t>
        </is>
      </c>
      <c r="S453">
        <f>HYPERLINK("https://klasma.github.io/Logging_2161/artfynd/A 26202-2025 artfynd.xlsx", "A 26202-2025")</f>
        <v/>
      </c>
      <c r="T453">
        <f>HYPERLINK("https://klasma.github.io/Logging_2161/kartor/A 26202-2025 karta.png", "A 26202-2025")</f>
        <v/>
      </c>
      <c r="V453">
        <f>HYPERLINK("https://klasma.github.io/Logging_2161/klagomål/A 26202-2025 FSC-klagomål.docx", "A 26202-2025")</f>
        <v/>
      </c>
      <c r="W453">
        <f>HYPERLINK("https://klasma.github.io/Logging_2161/klagomålsmail/A 26202-2025 FSC-klagomål mail.docx", "A 26202-2025")</f>
        <v/>
      </c>
      <c r="X453">
        <f>HYPERLINK("https://klasma.github.io/Logging_2161/tillsyn/A 26202-2025 tillsynsbegäran.docx", "A 26202-2025")</f>
        <v/>
      </c>
      <c r="Y453">
        <f>HYPERLINK("https://klasma.github.io/Logging_2161/tillsynsmail/A 26202-2025 tillsynsbegäran mail.docx", "A 26202-2025")</f>
        <v/>
      </c>
    </row>
    <row r="454" ht="15" customHeight="1">
      <c r="A454" t="inlineStr">
        <is>
          <t>A 53571-2024</t>
        </is>
      </c>
      <c r="B454" s="1" t="n">
        <v>45614.66019675926</v>
      </c>
      <c r="C454" s="1" t="n">
        <v>45883</v>
      </c>
      <c r="D454" t="inlineStr">
        <is>
          <t>GÄVLEBORGS LÄN</t>
        </is>
      </c>
      <c r="E454" t="inlineStr">
        <is>
          <t>GÄVLE</t>
        </is>
      </c>
      <c r="F454" t="inlineStr">
        <is>
          <t>Bergvik skog öst AB</t>
        </is>
      </c>
      <c r="G454" t="n">
        <v>4.9</v>
      </c>
      <c r="H454" t="n">
        <v>0</v>
      </c>
      <c r="I454" t="n">
        <v>1</v>
      </c>
      <c r="J454" t="n">
        <v>0</v>
      </c>
      <c r="K454" t="n">
        <v>0</v>
      </c>
      <c r="L454" t="n">
        <v>0</v>
      </c>
      <c r="M454" t="n">
        <v>0</v>
      </c>
      <c r="N454" t="n">
        <v>0</v>
      </c>
      <c r="O454" t="n">
        <v>0</v>
      </c>
      <c r="P454" t="n">
        <v>0</v>
      </c>
      <c r="Q454" t="n">
        <v>1</v>
      </c>
      <c r="R454" s="2" t="inlineStr">
        <is>
          <t>Svavelriska</t>
        </is>
      </c>
      <c r="S454">
        <f>HYPERLINK("https://klasma.github.io/Logging_2180/artfynd/A 53571-2024 artfynd.xlsx", "A 53571-2024")</f>
        <v/>
      </c>
      <c r="T454">
        <f>HYPERLINK("https://klasma.github.io/Logging_2180/kartor/A 53571-2024 karta.png", "A 53571-2024")</f>
        <v/>
      </c>
      <c r="V454">
        <f>HYPERLINK("https://klasma.github.io/Logging_2180/klagomål/A 53571-2024 FSC-klagomål.docx", "A 53571-2024")</f>
        <v/>
      </c>
      <c r="W454">
        <f>HYPERLINK("https://klasma.github.io/Logging_2180/klagomålsmail/A 53571-2024 FSC-klagomål mail.docx", "A 53571-2024")</f>
        <v/>
      </c>
      <c r="X454">
        <f>HYPERLINK("https://klasma.github.io/Logging_2180/tillsyn/A 53571-2024 tillsynsbegäran.docx", "A 53571-2024")</f>
        <v/>
      </c>
      <c r="Y454">
        <f>HYPERLINK("https://klasma.github.io/Logging_2180/tillsynsmail/A 53571-2024 tillsynsbegäran mail.docx", "A 53571-2024")</f>
        <v/>
      </c>
    </row>
    <row r="455" ht="15" customHeight="1">
      <c r="A455" t="inlineStr">
        <is>
          <t>A 12338-2025</t>
        </is>
      </c>
      <c r="B455" s="1" t="n">
        <v>45730</v>
      </c>
      <c r="C455" s="1" t="n">
        <v>45883</v>
      </c>
      <c r="D455" t="inlineStr">
        <is>
          <t>GÄVLEBORGS LÄN</t>
        </is>
      </c>
      <c r="E455" t="inlineStr">
        <is>
          <t>GÄVLE</t>
        </is>
      </c>
      <c r="F455" t="inlineStr">
        <is>
          <t>Bergvik skog öst AB</t>
        </is>
      </c>
      <c r="G455" t="n">
        <v>6.8</v>
      </c>
      <c r="H455" t="n">
        <v>0</v>
      </c>
      <c r="I455" t="n">
        <v>0</v>
      </c>
      <c r="J455" t="n">
        <v>1</v>
      </c>
      <c r="K455" t="n">
        <v>0</v>
      </c>
      <c r="L455" t="n">
        <v>0</v>
      </c>
      <c r="M455" t="n">
        <v>0</v>
      </c>
      <c r="N455" t="n">
        <v>0</v>
      </c>
      <c r="O455" t="n">
        <v>1</v>
      </c>
      <c r="P455" t="n">
        <v>0</v>
      </c>
      <c r="Q455" t="n">
        <v>1</v>
      </c>
      <c r="R455" s="2" t="inlineStr">
        <is>
          <t>Skogsklocka</t>
        </is>
      </c>
      <c r="S455">
        <f>HYPERLINK("https://klasma.github.io/Logging_2180/artfynd/A 12338-2025 artfynd.xlsx", "A 12338-2025")</f>
        <v/>
      </c>
      <c r="T455">
        <f>HYPERLINK("https://klasma.github.io/Logging_2180/kartor/A 12338-2025 karta.png", "A 12338-2025")</f>
        <v/>
      </c>
      <c r="V455">
        <f>HYPERLINK("https://klasma.github.io/Logging_2180/klagomål/A 12338-2025 FSC-klagomål.docx", "A 12338-2025")</f>
        <v/>
      </c>
      <c r="W455">
        <f>HYPERLINK("https://klasma.github.io/Logging_2180/klagomålsmail/A 12338-2025 FSC-klagomål mail.docx", "A 12338-2025")</f>
        <v/>
      </c>
      <c r="X455">
        <f>HYPERLINK("https://klasma.github.io/Logging_2180/tillsyn/A 12338-2025 tillsynsbegäran.docx", "A 12338-2025")</f>
        <v/>
      </c>
      <c r="Y455">
        <f>HYPERLINK("https://klasma.github.io/Logging_2180/tillsynsmail/A 12338-2025 tillsynsbegäran mail.docx", "A 12338-2025")</f>
        <v/>
      </c>
    </row>
    <row r="456" ht="15" customHeight="1">
      <c r="A456" t="inlineStr">
        <is>
          <t>A 62316-2020</t>
        </is>
      </c>
      <c r="B456" s="1" t="n">
        <v>44160</v>
      </c>
      <c r="C456" s="1" t="n">
        <v>45883</v>
      </c>
      <c r="D456" t="inlineStr">
        <is>
          <t>GÄVLEBORGS LÄN</t>
        </is>
      </c>
      <c r="E456" t="inlineStr">
        <is>
          <t>GÄVLE</t>
        </is>
      </c>
      <c r="F456" t="inlineStr">
        <is>
          <t>Kommuner</t>
        </is>
      </c>
      <c r="G456" t="n">
        <v>2.5</v>
      </c>
      <c r="H456" t="n">
        <v>1</v>
      </c>
      <c r="I456" t="n">
        <v>0</v>
      </c>
      <c r="J456" t="n">
        <v>0</v>
      </c>
      <c r="K456" t="n">
        <v>0</v>
      </c>
      <c r="L456" t="n">
        <v>0</v>
      </c>
      <c r="M456" t="n">
        <v>0</v>
      </c>
      <c r="N456" t="n">
        <v>0</v>
      </c>
      <c r="O456" t="n">
        <v>0</v>
      </c>
      <c r="P456" t="n">
        <v>0</v>
      </c>
      <c r="Q456" t="n">
        <v>1</v>
      </c>
      <c r="R456" s="2" t="inlineStr">
        <is>
          <t>Blåsippa</t>
        </is>
      </c>
      <c r="S456">
        <f>HYPERLINK("https://klasma.github.io/Logging_2180/artfynd/A 62316-2020 artfynd.xlsx", "A 62316-2020")</f>
        <v/>
      </c>
      <c r="T456">
        <f>HYPERLINK("https://klasma.github.io/Logging_2180/kartor/A 62316-2020 karta.png", "A 62316-2020")</f>
        <v/>
      </c>
      <c r="V456">
        <f>HYPERLINK("https://klasma.github.io/Logging_2180/klagomål/A 62316-2020 FSC-klagomål.docx", "A 62316-2020")</f>
        <v/>
      </c>
      <c r="W456">
        <f>HYPERLINK("https://klasma.github.io/Logging_2180/klagomålsmail/A 62316-2020 FSC-klagomål mail.docx", "A 62316-2020")</f>
        <v/>
      </c>
      <c r="X456">
        <f>HYPERLINK("https://klasma.github.io/Logging_2180/tillsyn/A 62316-2020 tillsynsbegäran.docx", "A 62316-2020")</f>
        <v/>
      </c>
      <c r="Y456">
        <f>HYPERLINK("https://klasma.github.io/Logging_2180/tillsynsmail/A 62316-2020 tillsynsbegäran mail.docx", "A 62316-2020")</f>
        <v/>
      </c>
    </row>
    <row r="457" ht="15" customHeight="1">
      <c r="A457" t="inlineStr">
        <is>
          <t>A 26829-2025</t>
        </is>
      </c>
      <c r="B457" s="1" t="n">
        <v>45810.65657407408</v>
      </c>
      <c r="C457" s="1" t="n">
        <v>45883</v>
      </c>
      <c r="D457" t="inlineStr">
        <is>
          <t>GÄVLEBORGS LÄN</t>
        </is>
      </c>
      <c r="E457" t="inlineStr">
        <is>
          <t>LJUSDAL</t>
        </is>
      </c>
      <c r="F457" t="inlineStr">
        <is>
          <t>SCA</t>
        </is>
      </c>
      <c r="G457" t="n">
        <v>9.199999999999999</v>
      </c>
      <c r="H457" t="n">
        <v>1</v>
      </c>
      <c r="I457" t="n">
        <v>0</v>
      </c>
      <c r="J457" t="n">
        <v>0</v>
      </c>
      <c r="K457" t="n">
        <v>0</v>
      </c>
      <c r="L457" t="n">
        <v>0</v>
      </c>
      <c r="M457" t="n">
        <v>0</v>
      </c>
      <c r="N457" t="n">
        <v>0</v>
      </c>
      <c r="O457" t="n">
        <v>0</v>
      </c>
      <c r="P457" t="n">
        <v>0</v>
      </c>
      <c r="Q457" t="n">
        <v>1</v>
      </c>
      <c r="R457" s="2" t="inlineStr">
        <is>
          <t>Revlummer</t>
        </is>
      </c>
      <c r="S457">
        <f>HYPERLINK("https://klasma.github.io/Logging_2161/artfynd/A 26829-2025 artfynd.xlsx", "A 26829-2025")</f>
        <v/>
      </c>
      <c r="T457">
        <f>HYPERLINK("https://klasma.github.io/Logging_2161/kartor/A 26829-2025 karta.png", "A 26829-2025")</f>
        <v/>
      </c>
      <c r="V457">
        <f>HYPERLINK("https://klasma.github.io/Logging_2161/klagomål/A 26829-2025 FSC-klagomål.docx", "A 26829-2025")</f>
        <v/>
      </c>
      <c r="W457">
        <f>HYPERLINK("https://klasma.github.io/Logging_2161/klagomålsmail/A 26829-2025 FSC-klagomål mail.docx", "A 26829-2025")</f>
        <v/>
      </c>
      <c r="X457">
        <f>HYPERLINK("https://klasma.github.io/Logging_2161/tillsyn/A 26829-2025 tillsynsbegäran.docx", "A 26829-2025")</f>
        <v/>
      </c>
      <c r="Y457">
        <f>HYPERLINK("https://klasma.github.io/Logging_2161/tillsynsmail/A 26829-2025 tillsynsbegäran mail.docx", "A 26829-2025")</f>
        <v/>
      </c>
    </row>
    <row r="458" ht="15" customHeight="1">
      <c r="A458" t="inlineStr">
        <is>
          <t>A 55289-2024</t>
        </is>
      </c>
      <c r="B458" s="1" t="n">
        <v>45621.63445601852</v>
      </c>
      <c r="C458" s="1" t="n">
        <v>45883</v>
      </c>
      <c r="D458" t="inlineStr">
        <is>
          <t>GÄVLEBORGS LÄN</t>
        </is>
      </c>
      <c r="E458" t="inlineStr">
        <is>
          <t>LJUSDAL</t>
        </is>
      </c>
      <c r="F458" t="inlineStr">
        <is>
          <t>Sveaskog</t>
        </is>
      </c>
      <c r="G458" t="n">
        <v>3.3</v>
      </c>
      <c r="H458" t="n">
        <v>0</v>
      </c>
      <c r="I458" t="n">
        <v>0</v>
      </c>
      <c r="J458" t="n">
        <v>1</v>
      </c>
      <c r="K458" t="n">
        <v>0</v>
      </c>
      <c r="L458" t="n">
        <v>0</v>
      </c>
      <c r="M458" t="n">
        <v>0</v>
      </c>
      <c r="N458" t="n">
        <v>0</v>
      </c>
      <c r="O458" t="n">
        <v>1</v>
      </c>
      <c r="P458" t="n">
        <v>0</v>
      </c>
      <c r="Q458" t="n">
        <v>1</v>
      </c>
      <c r="R458" s="2" t="inlineStr">
        <is>
          <t>Garnlav</t>
        </is>
      </c>
      <c r="S458">
        <f>HYPERLINK("https://klasma.github.io/Logging_2161/artfynd/A 55289-2024 artfynd.xlsx", "A 55289-2024")</f>
        <v/>
      </c>
      <c r="T458">
        <f>HYPERLINK("https://klasma.github.io/Logging_2161/kartor/A 55289-2024 karta.png", "A 55289-2024")</f>
        <v/>
      </c>
      <c r="V458">
        <f>HYPERLINK("https://klasma.github.io/Logging_2161/klagomål/A 55289-2024 FSC-klagomål.docx", "A 55289-2024")</f>
        <v/>
      </c>
      <c r="W458">
        <f>HYPERLINK("https://klasma.github.io/Logging_2161/klagomålsmail/A 55289-2024 FSC-klagomål mail.docx", "A 55289-2024")</f>
        <v/>
      </c>
      <c r="X458">
        <f>HYPERLINK("https://klasma.github.io/Logging_2161/tillsyn/A 55289-2024 tillsynsbegäran.docx", "A 55289-2024")</f>
        <v/>
      </c>
      <c r="Y458">
        <f>HYPERLINK("https://klasma.github.io/Logging_2161/tillsynsmail/A 55289-2024 tillsynsbegäran mail.docx", "A 55289-2024")</f>
        <v/>
      </c>
    </row>
    <row r="459" ht="15" customHeight="1">
      <c r="A459" t="inlineStr">
        <is>
          <t>A 56782-2023</t>
        </is>
      </c>
      <c r="B459" s="1" t="n">
        <v>45244</v>
      </c>
      <c r="C459" s="1" t="n">
        <v>45883</v>
      </c>
      <c r="D459" t="inlineStr">
        <is>
          <t>GÄVLEBORGS LÄN</t>
        </is>
      </c>
      <c r="E459" t="inlineStr">
        <is>
          <t>LJUSDAL</t>
        </is>
      </c>
      <c r="F459" t="inlineStr">
        <is>
          <t>Sveaskog</t>
        </is>
      </c>
      <c r="G459" t="n">
        <v>0.8</v>
      </c>
      <c r="H459" t="n">
        <v>1</v>
      </c>
      <c r="I459" t="n">
        <v>0</v>
      </c>
      <c r="J459" t="n">
        <v>1</v>
      </c>
      <c r="K459" t="n">
        <v>0</v>
      </c>
      <c r="L459" t="n">
        <v>0</v>
      </c>
      <c r="M459" t="n">
        <v>0</v>
      </c>
      <c r="N459" t="n">
        <v>0</v>
      </c>
      <c r="O459" t="n">
        <v>1</v>
      </c>
      <c r="P459" t="n">
        <v>0</v>
      </c>
      <c r="Q459" t="n">
        <v>1</v>
      </c>
      <c r="R459" s="2" t="inlineStr">
        <is>
          <t>Järpe</t>
        </is>
      </c>
      <c r="S459">
        <f>HYPERLINK("https://klasma.github.io/Logging_2161/artfynd/A 56782-2023 artfynd.xlsx", "A 56782-2023")</f>
        <v/>
      </c>
      <c r="T459">
        <f>HYPERLINK("https://klasma.github.io/Logging_2161/kartor/A 56782-2023 karta.png", "A 56782-2023")</f>
        <v/>
      </c>
      <c r="U459">
        <f>HYPERLINK("https://klasma.github.io/Logging_2161/knärot/A 56782-2023 karta knärot.png", "A 56782-2023")</f>
        <v/>
      </c>
      <c r="V459">
        <f>HYPERLINK("https://klasma.github.io/Logging_2161/klagomål/A 56782-2023 FSC-klagomål.docx", "A 56782-2023")</f>
        <v/>
      </c>
      <c r="W459">
        <f>HYPERLINK("https://klasma.github.io/Logging_2161/klagomålsmail/A 56782-2023 FSC-klagomål mail.docx", "A 56782-2023")</f>
        <v/>
      </c>
      <c r="X459">
        <f>HYPERLINK("https://klasma.github.io/Logging_2161/tillsyn/A 56782-2023 tillsynsbegäran.docx", "A 56782-2023")</f>
        <v/>
      </c>
      <c r="Y459">
        <f>HYPERLINK("https://klasma.github.io/Logging_2161/tillsynsmail/A 56782-2023 tillsynsbegäran mail.docx", "A 56782-2023")</f>
        <v/>
      </c>
      <c r="Z459">
        <f>HYPERLINK("https://klasma.github.io/Logging_2161/fåglar/A 56782-2023 prioriterade fågelarter.docx", "A 56782-2023")</f>
        <v/>
      </c>
    </row>
    <row r="460" ht="15" customHeight="1">
      <c r="A460" t="inlineStr">
        <is>
          <t>A 22595-2025</t>
        </is>
      </c>
      <c r="B460" s="1" t="n">
        <v>45789</v>
      </c>
      <c r="C460" s="1" t="n">
        <v>45883</v>
      </c>
      <c r="D460" t="inlineStr">
        <is>
          <t>GÄVLEBORGS LÄN</t>
        </is>
      </c>
      <c r="E460" t="inlineStr">
        <is>
          <t>HUDIKSVALL</t>
        </is>
      </c>
      <c r="F460" t="inlineStr">
        <is>
          <t>Holmen skog AB</t>
        </is>
      </c>
      <c r="G460" t="n">
        <v>6.6</v>
      </c>
      <c r="H460" t="n">
        <v>1</v>
      </c>
      <c r="I460" t="n">
        <v>0</v>
      </c>
      <c r="J460" t="n">
        <v>0</v>
      </c>
      <c r="K460" t="n">
        <v>0</v>
      </c>
      <c r="L460" t="n">
        <v>0</v>
      </c>
      <c r="M460" t="n">
        <v>0</v>
      </c>
      <c r="N460" t="n">
        <v>0</v>
      </c>
      <c r="O460" t="n">
        <v>0</v>
      </c>
      <c r="P460" t="n">
        <v>0</v>
      </c>
      <c r="Q460" t="n">
        <v>1</v>
      </c>
      <c r="R460" s="2" t="inlineStr">
        <is>
          <t>Revlummer</t>
        </is>
      </c>
      <c r="S460">
        <f>HYPERLINK("https://klasma.github.io/Logging_2184/artfynd/A 22595-2025 artfynd.xlsx", "A 22595-2025")</f>
        <v/>
      </c>
      <c r="T460">
        <f>HYPERLINK("https://klasma.github.io/Logging_2184/kartor/A 22595-2025 karta.png", "A 22595-2025")</f>
        <v/>
      </c>
      <c r="V460">
        <f>HYPERLINK("https://klasma.github.io/Logging_2184/klagomål/A 22595-2025 FSC-klagomål.docx", "A 22595-2025")</f>
        <v/>
      </c>
      <c r="W460">
        <f>HYPERLINK("https://klasma.github.io/Logging_2184/klagomålsmail/A 22595-2025 FSC-klagomål mail.docx", "A 22595-2025")</f>
        <v/>
      </c>
      <c r="X460">
        <f>HYPERLINK("https://klasma.github.io/Logging_2184/tillsyn/A 22595-2025 tillsynsbegäran.docx", "A 22595-2025")</f>
        <v/>
      </c>
      <c r="Y460">
        <f>HYPERLINK("https://klasma.github.io/Logging_2184/tillsynsmail/A 22595-2025 tillsynsbegäran mail.docx", "A 22595-2025")</f>
        <v/>
      </c>
    </row>
    <row r="461" ht="15" customHeight="1">
      <c r="A461" t="inlineStr">
        <is>
          <t>A 53286-2023</t>
        </is>
      </c>
      <c r="B461" s="1" t="n">
        <v>45229.57386574074</v>
      </c>
      <c r="C461" s="1" t="n">
        <v>45883</v>
      </c>
      <c r="D461" t="inlineStr">
        <is>
          <t>GÄVLEBORGS LÄN</t>
        </is>
      </c>
      <c r="E461" t="inlineStr">
        <is>
          <t>LJUSDAL</t>
        </is>
      </c>
      <c r="F461" t="inlineStr">
        <is>
          <t>Sveaskog</t>
        </is>
      </c>
      <c r="G461" t="n">
        <v>8</v>
      </c>
      <c r="H461" t="n">
        <v>0</v>
      </c>
      <c r="I461" t="n">
        <v>0</v>
      </c>
      <c r="J461" t="n">
        <v>1</v>
      </c>
      <c r="K461" t="n">
        <v>0</v>
      </c>
      <c r="L461" t="n">
        <v>0</v>
      </c>
      <c r="M461" t="n">
        <v>0</v>
      </c>
      <c r="N461" t="n">
        <v>0</v>
      </c>
      <c r="O461" t="n">
        <v>1</v>
      </c>
      <c r="P461" t="n">
        <v>0</v>
      </c>
      <c r="Q461" t="n">
        <v>1</v>
      </c>
      <c r="R461" s="2" t="inlineStr">
        <is>
          <t>Kolflarnlav</t>
        </is>
      </c>
      <c r="S461">
        <f>HYPERLINK("https://klasma.github.io/Logging_2161/artfynd/A 53286-2023 artfynd.xlsx", "A 53286-2023")</f>
        <v/>
      </c>
      <c r="T461">
        <f>HYPERLINK("https://klasma.github.io/Logging_2161/kartor/A 53286-2023 karta.png", "A 53286-2023")</f>
        <v/>
      </c>
      <c r="V461">
        <f>HYPERLINK("https://klasma.github.io/Logging_2161/klagomål/A 53286-2023 FSC-klagomål.docx", "A 53286-2023")</f>
        <v/>
      </c>
      <c r="W461">
        <f>HYPERLINK("https://klasma.github.io/Logging_2161/klagomålsmail/A 53286-2023 FSC-klagomål mail.docx", "A 53286-2023")</f>
        <v/>
      </c>
      <c r="X461">
        <f>HYPERLINK("https://klasma.github.io/Logging_2161/tillsyn/A 53286-2023 tillsynsbegäran.docx", "A 53286-2023")</f>
        <v/>
      </c>
      <c r="Y461">
        <f>HYPERLINK("https://klasma.github.io/Logging_2161/tillsynsmail/A 53286-2023 tillsynsbegäran mail.docx", "A 53286-2023")</f>
        <v/>
      </c>
    </row>
    <row r="462" ht="15" customHeight="1">
      <c r="A462" t="inlineStr">
        <is>
          <t>A 27434-2025</t>
        </is>
      </c>
      <c r="B462" s="1" t="n">
        <v>45813</v>
      </c>
      <c r="C462" s="1" t="n">
        <v>45883</v>
      </c>
      <c r="D462" t="inlineStr">
        <is>
          <t>GÄVLEBORGS LÄN</t>
        </is>
      </c>
      <c r="E462" t="inlineStr">
        <is>
          <t>HOFORS</t>
        </is>
      </c>
      <c r="F462" t="inlineStr">
        <is>
          <t>Sveaskog</t>
        </is>
      </c>
      <c r="G462" t="n">
        <v>4.2</v>
      </c>
      <c r="H462" t="n">
        <v>1</v>
      </c>
      <c r="I462" t="n">
        <v>0</v>
      </c>
      <c r="J462" t="n">
        <v>0</v>
      </c>
      <c r="K462" t="n">
        <v>0</v>
      </c>
      <c r="L462" t="n">
        <v>0</v>
      </c>
      <c r="M462" t="n">
        <v>0</v>
      </c>
      <c r="N462" t="n">
        <v>0</v>
      </c>
      <c r="O462" t="n">
        <v>0</v>
      </c>
      <c r="P462" t="n">
        <v>0</v>
      </c>
      <c r="Q462" t="n">
        <v>1</v>
      </c>
      <c r="R462" s="2" t="inlineStr">
        <is>
          <t>Revlummer</t>
        </is>
      </c>
      <c r="S462">
        <f>HYPERLINK("https://klasma.github.io/Logging_2104/artfynd/A 27434-2025 artfynd.xlsx", "A 27434-2025")</f>
        <v/>
      </c>
      <c r="T462">
        <f>HYPERLINK("https://klasma.github.io/Logging_2104/kartor/A 27434-2025 karta.png", "A 27434-2025")</f>
        <v/>
      </c>
      <c r="V462">
        <f>HYPERLINK("https://klasma.github.io/Logging_2104/klagomål/A 27434-2025 FSC-klagomål.docx", "A 27434-2025")</f>
        <v/>
      </c>
      <c r="W462">
        <f>HYPERLINK("https://klasma.github.io/Logging_2104/klagomålsmail/A 27434-2025 FSC-klagomål mail.docx", "A 27434-2025")</f>
        <v/>
      </c>
      <c r="X462">
        <f>HYPERLINK("https://klasma.github.io/Logging_2104/tillsyn/A 27434-2025 tillsynsbegäran.docx", "A 27434-2025")</f>
        <v/>
      </c>
      <c r="Y462">
        <f>HYPERLINK("https://klasma.github.io/Logging_2104/tillsynsmail/A 27434-2025 tillsynsbegäran mail.docx", "A 27434-2025")</f>
        <v/>
      </c>
    </row>
    <row r="463" ht="15" customHeight="1">
      <c r="A463" t="inlineStr">
        <is>
          <t>A 49122-2023</t>
        </is>
      </c>
      <c r="B463" s="1" t="n">
        <v>45205</v>
      </c>
      <c r="C463" s="1" t="n">
        <v>45883</v>
      </c>
      <c r="D463" t="inlineStr">
        <is>
          <t>GÄVLEBORGS LÄN</t>
        </is>
      </c>
      <c r="E463" t="inlineStr">
        <is>
          <t>SÖDERHAMN</t>
        </is>
      </c>
      <c r="G463" t="n">
        <v>5</v>
      </c>
      <c r="H463" t="n">
        <v>0</v>
      </c>
      <c r="I463" t="n">
        <v>0</v>
      </c>
      <c r="J463" t="n">
        <v>1</v>
      </c>
      <c r="K463" t="n">
        <v>0</v>
      </c>
      <c r="L463" t="n">
        <v>0</v>
      </c>
      <c r="M463" t="n">
        <v>0</v>
      </c>
      <c r="N463" t="n">
        <v>0</v>
      </c>
      <c r="O463" t="n">
        <v>1</v>
      </c>
      <c r="P463" t="n">
        <v>0</v>
      </c>
      <c r="Q463" t="n">
        <v>1</v>
      </c>
      <c r="R463" s="2" t="inlineStr">
        <is>
          <t>Dofttaggsvamp</t>
        </is>
      </c>
      <c r="S463">
        <f>HYPERLINK("https://klasma.github.io/Logging_2182/artfynd/A 49122-2023 artfynd.xlsx", "A 49122-2023")</f>
        <v/>
      </c>
      <c r="T463">
        <f>HYPERLINK("https://klasma.github.io/Logging_2182/kartor/A 49122-2023 karta.png", "A 49122-2023")</f>
        <v/>
      </c>
      <c r="V463">
        <f>HYPERLINK("https://klasma.github.io/Logging_2182/klagomål/A 49122-2023 FSC-klagomål.docx", "A 49122-2023")</f>
        <v/>
      </c>
      <c r="W463">
        <f>HYPERLINK("https://klasma.github.io/Logging_2182/klagomålsmail/A 49122-2023 FSC-klagomål mail.docx", "A 49122-2023")</f>
        <v/>
      </c>
      <c r="X463">
        <f>HYPERLINK("https://klasma.github.io/Logging_2182/tillsyn/A 49122-2023 tillsynsbegäran.docx", "A 49122-2023")</f>
        <v/>
      </c>
      <c r="Y463">
        <f>HYPERLINK("https://klasma.github.io/Logging_2182/tillsynsmail/A 49122-2023 tillsynsbegäran mail.docx", "A 49122-2023")</f>
        <v/>
      </c>
    </row>
    <row r="464" ht="15" customHeight="1">
      <c r="A464" t="inlineStr">
        <is>
          <t>A 9479-2025</t>
        </is>
      </c>
      <c r="B464" s="1" t="n">
        <v>45715.47814814815</v>
      </c>
      <c r="C464" s="1" t="n">
        <v>45883</v>
      </c>
      <c r="D464" t="inlineStr">
        <is>
          <t>GÄVLEBORGS LÄN</t>
        </is>
      </c>
      <c r="E464" t="inlineStr">
        <is>
          <t>OCKELBO</t>
        </is>
      </c>
      <c r="F464" t="inlineStr">
        <is>
          <t>Bergvik skog öst AB</t>
        </is>
      </c>
      <c r="G464" t="n">
        <v>5.8</v>
      </c>
      <c r="H464" t="n">
        <v>0</v>
      </c>
      <c r="I464" t="n">
        <v>0</v>
      </c>
      <c r="J464" t="n">
        <v>1</v>
      </c>
      <c r="K464" t="n">
        <v>0</v>
      </c>
      <c r="L464" t="n">
        <v>0</v>
      </c>
      <c r="M464" t="n">
        <v>0</v>
      </c>
      <c r="N464" t="n">
        <v>0</v>
      </c>
      <c r="O464" t="n">
        <v>1</v>
      </c>
      <c r="P464" t="n">
        <v>0</v>
      </c>
      <c r="Q464" t="n">
        <v>1</v>
      </c>
      <c r="R464" s="2" t="inlineStr">
        <is>
          <t>Klofibbla</t>
        </is>
      </c>
      <c r="S464">
        <f>HYPERLINK("https://klasma.github.io/Logging_2101/artfynd/A 9479-2025 artfynd.xlsx", "A 9479-2025")</f>
        <v/>
      </c>
      <c r="T464">
        <f>HYPERLINK("https://klasma.github.io/Logging_2101/kartor/A 9479-2025 karta.png", "A 9479-2025")</f>
        <v/>
      </c>
      <c r="V464">
        <f>HYPERLINK("https://klasma.github.io/Logging_2101/klagomål/A 9479-2025 FSC-klagomål.docx", "A 9479-2025")</f>
        <v/>
      </c>
      <c r="W464">
        <f>HYPERLINK("https://klasma.github.io/Logging_2101/klagomålsmail/A 9479-2025 FSC-klagomål mail.docx", "A 9479-2025")</f>
        <v/>
      </c>
      <c r="X464">
        <f>HYPERLINK("https://klasma.github.io/Logging_2101/tillsyn/A 9479-2025 tillsynsbegäran.docx", "A 9479-2025")</f>
        <v/>
      </c>
      <c r="Y464">
        <f>HYPERLINK("https://klasma.github.io/Logging_2101/tillsynsmail/A 9479-2025 tillsynsbegäran mail.docx", "A 9479-2025")</f>
        <v/>
      </c>
    </row>
    <row r="465" ht="15" customHeight="1">
      <c r="A465" t="inlineStr">
        <is>
          <t>A 15729-2022</t>
        </is>
      </c>
      <c r="B465" s="1" t="n">
        <v>44663</v>
      </c>
      <c r="C465" s="1" t="n">
        <v>45883</v>
      </c>
      <c r="D465" t="inlineStr">
        <is>
          <t>GÄVLEBORGS LÄN</t>
        </is>
      </c>
      <c r="E465" t="inlineStr">
        <is>
          <t>SANDVIKEN</t>
        </is>
      </c>
      <c r="G465" t="n">
        <v>2.1</v>
      </c>
      <c r="H465" t="n">
        <v>1</v>
      </c>
      <c r="I465" t="n">
        <v>0</v>
      </c>
      <c r="J465" t="n">
        <v>0</v>
      </c>
      <c r="K465" t="n">
        <v>1</v>
      </c>
      <c r="L465" t="n">
        <v>0</v>
      </c>
      <c r="M465" t="n">
        <v>0</v>
      </c>
      <c r="N465" t="n">
        <v>0</v>
      </c>
      <c r="O465" t="n">
        <v>1</v>
      </c>
      <c r="P465" t="n">
        <v>1</v>
      </c>
      <c r="Q465" t="n">
        <v>1</v>
      </c>
      <c r="R465" s="2" t="inlineStr">
        <is>
          <t>Knärot</t>
        </is>
      </c>
      <c r="S465">
        <f>HYPERLINK("https://klasma.github.io/Logging_2181/artfynd/A 15729-2022 artfynd.xlsx", "A 15729-2022")</f>
        <v/>
      </c>
      <c r="T465">
        <f>HYPERLINK("https://klasma.github.io/Logging_2181/kartor/A 15729-2022 karta.png", "A 15729-2022")</f>
        <v/>
      </c>
      <c r="U465">
        <f>HYPERLINK("https://klasma.github.io/Logging_2181/knärot/A 15729-2022 karta knärot.png", "A 15729-2022")</f>
        <v/>
      </c>
      <c r="V465">
        <f>HYPERLINK("https://klasma.github.io/Logging_2181/klagomål/A 15729-2022 FSC-klagomål.docx", "A 15729-2022")</f>
        <v/>
      </c>
      <c r="W465">
        <f>HYPERLINK("https://klasma.github.io/Logging_2181/klagomålsmail/A 15729-2022 FSC-klagomål mail.docx", "A 15729-2022")</f>
        <v/>
      </c>
      <c r="X465">
        <f>HYPERLINK("https://klasma.github.io/Logging_2181/tillsyn/A 15729-2022 tillsynsbegäran.docx", "A 15729-2022")</f>
        <v/>
      </c>
      <c r="Y465">
        <f>HYPERLINK("https://klasma.github.io/Logging_2181/tillsynsmail/A 15729-2022 tillsynsbegäran mail.docx", "A 15729-2022")</f>
        <v/>
      </c>
    </row>
    <row r="466" ht="15" customHeight="1">
      <c r="A466" t="inlineStr">
        <is>
          <t>A 35742-2025</t>
        </is>
      </c>
      <c r="B466" s="1" t="n">
        <v>45860.53805555555</v>
      </c>
      <c r="C466" s="1" t="n">
        <v>45883</v>
      </c>
      <c r="D466" t="inlineStr">
        <is>
          <t>GÄVLEBORGS LÄN</t>
        </is>
      </c>
      <c r="E466" t="inlineStr">
        <is>
          <t>HOFORS</t>
        </is>
      </c>
      <c r="F466" t="inlineStr">
        <is>
          <t>Sveaskog</t>
        </is>
      </c>
      <c r="G466" t="n">
        <v>6.1</v>
      </c>
      <c r="H466" t="n">
        <v>1</v>
      </c>
      <c r="I466" t="n">
        <v>0</v>
      </c>
      <c r="J466" t="n">
        <v>0</v>
      </c>
      <c r="K466" t="n">
        <v>1</v>
      </c>
      <c r="L466" t="n">
        <v>0</v>
      </c>
      <c r="M466" t="n">
        <v>0</v>
      </c>
      <c r="N466" t="n">
        <v>0</v>
      </c>
      <c r="O466" t="n">
        <v>1</v>
      </c>
      <c r="P466" t="n">
        <v>1</v>
      </c>
      <c r="Q466" t="n">
        <v>1</v>
      </c>
      <c r="R466" s="2" t="inlineStr">
        <is>
          <t>Knärot</t>
        </is>
      </c>
      <c r="S466">
        <f>HYPERLINK("https://klasma.github.io/Logging_2104/artfynd/A 35742-2025 artfynd.xlsx", "A 35742-2025")</f>
        <v/>
      </c>
      <c r="T466">
        <f>HYPERLINK("https://klasma.github.io/Logging_2104/kartor/A 35742-2025 karta.png", "A 35742-2025")</f>
        <v/>
      </c>
      <c r="U466">
        <f>HYPERLINK("https://klasma.github.io/Logging_2104/knärot/A 35742-2025 karta knärot.png", "A 35742-2025")</f>
        <v/>
      </c>
      <c r="V466">
        <f>HYPERLINK("https://klasma.github.io/Logging_2104/klagomål/A 35742-2025 FSC-klagomål.docx", "A 35742-2025")</f>
        <v/>
      </c>
      <c r="W466">
        <f>HYPERLINK("https://klasma.github.io/Logging_2104/klagomålsmail/A 35742-2025 FSC-klagomål mail.docx", "A 35742-2025")</f>
        <v/>
      </c>
      <c r="X466">
        <f>HYPERLINK("https://klasma.github.io/Logging_2104/tillsyn/A 35742-2025 tillsynsbegäran.docx", "A 35742-2025")</f>
        <v/>
      </c>
      <c r="Y466">
        <f>HYPERLINK("https://klasma.github.io/Logging_2104/tillsynsmail/A 35742-2025 tillsynsbegäran mail.docx", "A 35742-2025")</f>
        <v/>
      </c>
    </row>
    <row r="467" ht="15" customHeight="1">
      <c r="A467" t="inlineStr">
        <is>
          <t>A 35695-2025</t>
        </is>
      </c>
      <c r="B467" s="1" t="n">
        <v>45860.34467592592</v>
      </c>
      <c r="C467" s="1" t="n">
        <v>45883</v>
      </c>
      <c r="D467" t="inlineStr">
        <is>
          <t>GÄVLEBORGS LÄN</t>
        </is>
      </c>
      <c r="E467" t="inlineStr">
        <is>
          <t>HUDIKSVALL</t>
        </is>
      </c>
      <c r="G467" t="n">
        <v>8.1</v>
      </c>
      <c r="H467" t="n">
        <v>1</v>
      </c>
      <c r="I467" t="n">
        <v>0</v>
      </c>
      <c r="J467" t="n">
        <v>0</v>
      </c>
      <c r="K467" t="n">
        <v>0</v>
      </c>
      <c r="L467" t="n">
        <v>0</v>
      </c>
      <c r="M467" t="n">
        <v>0</v>
      </c>
      <c r="N467" t="n">
        <v>0</v>
      </c>
      <c r="O467" t="n">
        <v>0</v>
      </c>
      <c r="P467" t="n">
        <v>0</v>
      </c>
      <c r="Q467" t="n">
        <v>1</v>
      </c>
      <c r="R467" s="2" t="inlineStr">
        <is>
          <t>Revlummer</t>
        </is>
      </c>
      <c r="S467">
        <f>HYPERLINK("https://klasma.github.io/Logging_2184/artfynd/A 35695-2025 artfynd.xlsx", "A 35695-2025")</f>
        <v/>
      </c>
      <c r="T467">
        <f>HYPERLINK("https://klasma.github.io/Logging_2184/kartor/A 35695-2025 karta.png", "A 35695-2025")</f>
        <v/>
      </c>
      <c r="V467">
        <f>HYPERLINK("https://klasma.github.io/Logging_2184/klagomål/A 35695-2025 FSC-klagomål.docx", "A 35695-2025")</f>
        <v/>
      </c>
      <c r="W467">
        <f>HYPERLINK("https://klasma.github.io/Logging_2184/klagomålsmail/A 35695-2025 FSC-klagomål mail.docx", "A 35695-2025")</f>
        <v/>
      </c>
      <c r="X467">
        <f>HYPERLINK("https://klasma.github.io/Logging_2184/tillsyn/A 35695-2025 tillsynsbegäran.docx", "A 35695-2025")</f>
        <v/>
      </c>
      <c r="Y467">
        <f>HYPERLINK("https://klasma.github.io/Logging_2184/tillsynsmail/A 35695-2025 tillsynsbegäran mail.docx", "A 35695-2025")</f>
        <v/>
      </c>
    </row>
    <row r="468" ht="15" customHeight="1">
      <c r="A468" t="inlineStr">
        <is>
          <t>A 28374-2025</t>
        </is>
      </c>
      <c r="B468" s="1" t="n">
        <v>45818</v>
      </c>
      <c r="C468" s="1" t="n">
        <v>45883</v>
      </c>
      <c r="D468" t="inlineStr">
        <is>
          <t>GÄVLEBORGS LÄN</t>
        </is>
      </c>
      <c r="E468" t="inlineStr">
        <is>
          <t>GÄVLE</t>
        </is>
      </c>
      <c r="F468" t="inlineStr">
        <is>
          <t>Bergvik skog väst AB</t>
        </is>
      </c>
      <c r="G468" t="n">
        <v>30.1</v>
      </c>
      <c r="H468" t="n">
        <v>1</v>
      </c>
      <c r="I468" t="n">
        <v>1</v>
      </c>
      <c r="J468" t="n">
        <v>0</v>
      </c>
      <c r="K468" t="n">
        <v>0</v>
      </c>
      <c r="L468" t="n">
        <v>0</v>
      </c>
      <c r="M468" t="n">
        <v>0</v>
      </c>
      <c r="N468" t="n">
        <v>0</v>
      </c>
      <c r="O468" t="n">
        <v>0</v>
      </c>
      <c r="P468" t="n">
        <v>0</v>
      </c>
      <c r="Q468" t="n">
        <v>1</v>
      </c>
      <c r="R468" s="2" t="inlineStr">
        <is>
          <t>Korallrot</t>
        </is>
      </c>
      <c r="S468">
        <f>HYPERLINK("https://klasma.github.io/Logging_2180/artfynd/A 28374-2025 artfynd.xlsx", "A 28374-2025")</f>
        <v/>
      </c>
      <c r="T468">
        <f>HYPERLINK("https://klasma.github.io/Logging_2180/kartor/A 28374-2025 karta.png", "A 28374-2025")</f>
        <v/>
      </c>
      <c r="V468">
        <f>HYPERLINK("https://klasma.github.io/Logging_2180/klagomål/A 28374-2025 FSC-klagomål.docx", "A 28374-2025")</f>
        <v/>
      </c>
      <c r="W468">
        <f>HYPERLINK("https://klasma.github.io/Logging_2180/klagomålsmail/A 28374-2025 FSC-klagomål mail.docx", "A 28374-2025")</f>
        <v/>
      </c>
      <c r="X468">
        <f>HYPERLINK("https://klasma.github.io/Logging_2180/tillsyn/A 28374-2025 tillsynsbegäran.docx", "A 28374-2025")</f>
        <v/>
      </c>
      <c r="Y468">
        <f>HYPERLINK("https://klasma.github.io/Logging_2180/tillsynsmail/A 28374-2025 tillsynsbegäran mail.docx", "A 28374-2025")</f>
        <v/>
      </c>
    </row>
    <row r="469" ht="15" customHeight="1">
      <c r="A469" t="inlineStr">
        <is>
          <t>A 27884-2025</t>
        </is>
      </c>
      <c r="B469" s="1" t="n">
        <v>45817.44993055556</v>
      </c>
      <c r="C469" s="1" t="n">
        <v>45883</v>
      </c>
      <c r="D469" t="inlineStr">
        <is>
          <t>GÄVLEBORGS LÄN</t>
        </is>
      </c>
      <c r="E469" t="inlineStr">
        <is>
          <t>LJUSDAL</t>
        </is>
      </c>
      <c r="F469" t="inlineStr">
        <is>
          <t>Sveaskog</t>
        </is>
      </c>
      <c r="G469" t="n">
        <v>5.8</v>
      </c>
      <c r="H469" t="n">
        <v>0</v>
      </c>
      <c r="I469" t="n">
        <v>0</v>
      </c>
      <c r="J469" t="n">
        <v>1</v>
      </c>
      <c r="K469" t="n">
        <v>0</v>
      </c>
      <c r="L469" t="n">
        <v>0</v>
      </c>
      <c r="M469" t="n">
        <v>0</v>
      </c>
      <c r="N469" t="n">
        <v>0</v>
      </c>
      <c r="O469" t="n">
        <v>1</v>
      </c>
      <c r="P469" t="n">
        <v>0</v>
      </c>
      <c r="Q469" t="n">
        <v>1</v>
      </c>
      <c r="R469" s="2" t="inlineStr">
        <is>
          <t>Lunglav</t>
        </is>
      </c>
      <c r="S469">
        <f>HYPERLINK("https://klasma.github.io/Logging_2161/artfynd/A 27884-2025 artfynd.xlsx", "A 27884-2025")</f>
        <v/>
      </c>
      <c r="T469">
        <f>HYPERLINK("https://klasma.github.io/Logging_2161/kartor/A 27884-2025 karta.png", "A 27884-2025")</f>
        <v/>
      </c>
      <c r="V469">
        <f>HYPERLINK("https://klasma.github.io/Logging_2161/klagomål/A 27884-2025 FSC-klagomål.docx", "A 27884-2025")</f>
        <v/>
      </c>
      <c r="W469">
        <f>HYPERLINK("https://klasma.github.io/Logging_2161/klagomålsmail/A 27884-2025 FSC-klagomål mail.docx", "A 27884-2025")</f>
        <v/>
      </c>
      <c r="X469">
        <f>HYPERLINK("https://klasma.github.io/Logging_2161/tillsyn/A 27884-2025 tillsynsbegäran.docx", "A 27884-2025")</f>
        <v/>
      </c>
      <c r="Y469">
        <f>HYPERLINK("https://klasma.github.io/Logging_2161/tillsynsmail/A 27884-2025 tillsynsbegäran mail.docx", "A 27884-2025")</f>
        <v/>
      </c>
    </row>
    <row r="470" ht="15" customHeight="1">
      <c r="A470" t="inlineStr">
        <is>
          <t>A 58261-2024</t>
        </is>
      </c>
      <c r="B470" s="1" t="n">
        <v>45632.56211805555</v>
      </c>
      <c r="C470" s="1" t="n">
        <v>45883</v>
      </c>
      <c r="D470" t="inlineStr">
        <is>
          <t>GÄVLEBORGS LÄN</t>
        </is>
      </c>
      <c r="E470" t="inlineStr">
        <is>
          <t>SÖDERHAMN</t>
        </is>
      </c>
      <c r="F470" t="inlineStr">
        <is>
          <t>Bergvik skog väst AB</t>
        </is>
      </c>
      <c r="G470" t="n">
        <v>2.3</v>
      </c>
      <c r="H470" t="n">
        <v>1</v>
      </c>
      <c r="I470" t="n">
        <v>0</v>
      </c>
      <c r="J470" t="n">
        <v>0</v>
      </c>
      <c r="K470" t="n">
        <v>0</v>
      </c>
      <c r="L470" t="n">
        <v>0</v>
      </c>
      <c r="M470" t="n">
        <v>0</v>
      </c>
      <c r="N470" t="n">
        <v>0</v>
      </c>
      <c r="O470" t="n">
        <v>0</v>
      </c>
      <c r="P470" t="n">
        <v>0</v>
      </c>
      <c r="Q470" t="n">
        <v>1</v>
      </c>
      <c r="R470" s="2" t="inlineStr">
        <is>
          <t>Fläcknycklar</t>
        </is>
      </c>
      <c r="S470">
        <f>HYPERLINK("https://klasma.github.io/Logging_2182/artfynd/A 58261-2024 artfynd.xlsx", "A 58261-2024")</f>
        <v/>
      </c>
      <c r="T470">
        <f>HYPERLINK("https://klasma.github.io/Logging_2182/kartor/A 58261-2024 karta.png", "A 58261-2024")</f>
        <v/>
      </c>
      <c r="V470">
        <f>HYPERLINK("https://klasma.github.io/Logging_2182/klagomål/A 58261-2024 FSC-klagomål.docx", "A 58261-2024")</f>
        <v/>
      </c>
      <c r="W470">
        <f>HYPERLINK("https://klasma.github.io/Logging_2182/klagomålsmail/A 58261-2024 FSC-klagomål mail.docx", "A 58261-2024")</f>
        <v/>
      </c>
      <c r="X470">
        <f>HYPERLINK("https://klasma.github.io/Logging_2182/tillsyn/A 58261-2024 tillsynsbegäran.docx", "A 58261-2024")</f>
        <v/>
      </c>
      <c r="Y470">
        <f>HYPERLINK("https://klasma.github.io/Logging_2182/tillsynsmail/A 58261-2024 tillsynsbegäran mail.docx", "A 58261-2024")</f>
        <v/>
      </c>
    </row>
    <row r="471" ht="15" customHeight="1">
      <c r="A471" t="inlineStr">
        <is>
          <t>A 41258-2022</t>
        </is>
      </c>
      <c r="B471" s="1" t="n">
        <v>44826</v>
      </c>
      <c r="C471" s="1" t="n">
        <v>45883</v>
      </c>
      <c r="D471" t="inlineStr">
        <is>
          <t>GÄVLEBORGS LÄN</t>
        </is>
      </c>
      <c r="E471" t="inlineStr">
        <is>
          <t>SÖDERHAMN</t>
        </is>
      </c>
      <c r="G471" t="n">
        <v>0.8</v>
      </c>
      <c r="H471" t="n">
        <v>0</v>
      </c>
      <c r="I471" t="n">
        <v>0</v>
      </c>
      <c r="J471" t="n">
        <v>1</v>
      </c>
      <c r="K471" t="n">
        <v>0</v>
      </c>
      <c r="L471" t="n">
        <v>0</v>
      </c>
      <c r="M471" t="n">
        <v>0</v>
      </c>
      <c r="N471" t="n">
        <v>0</v>
      </c>
      <c r="O471" t="n">
        <v>1</v>
      </c>
      <c r="P471" t="n">
        <v>0</v>
      </c>
      <c r="Q471" t="n">
        <v>1</v>
      </c>
      <c r="R471" s="2" t="inlineStr">
        <is>
          <t>Rosenticka</t>
        </is>
      </c>
      <c r="S471">
        <f>HYPERLINK("https://klasma.github.io/Logging_2182/artfynd/A 41258-2022 artfynd.xlsx", "A 41258-2022")</f>
        <v/>
      </c>
      <c r="T471">
        <f>HYPERLINK("https://klasma.github.io/Logging_2182/kartor/A 41258-2022 karta.png", "A 41258-2022")</f>
        <v/>
      </c>
      <c r="V471">
        <f>HYPERLINK("https://klasma.github.io/Logging_2182/klagomål/A 41258-2022 FSC-klagomål.docx", "A 41258-2022")</f>
        <v/>
      </c>
      <c r="W471">
        <f>HYPERLINK("https://klasma.github.io/Logging_2182/klagomålsmail/A 41258-2022 FSC-klagomål mail.docx", "A 41258-2022")</f>
        <v/>
      </c>
      <c r="X471">
        <f>HYPERLINK("https://klasma.github.io/Logging_2182/tillsyn/A 41258-2022 tillsynsbegäran.docx", "A 41258-2022")</f>
        <v/>
      </c>
      <c r="Y471">
        <f>HYPERLINK("https://klasma.github.io/Logging_2182/tillsynsmail/A 41258-2022 tillsynsbegäran mail.docx", "A 41258-2022")</f>
        <v/>
      </c>
    </row>
    <row r="472" ht="15" customHeight="1">
      <c r="A472" t="inlineStr">
        <is>
          <t>A 35743-2025</t>
        </is>
      </c>
      <c r="B472" s="1" t="n">
        <v>45860.54238425926</v>
      </c>
      <c r="C472" s="1" t="n">
        <v>45883</v>
      </c>
      <c r="D472" t="inlineStr">
        <is>
          <t>GÄVLEBORGS LÄN</t>
        </is>
      </c>
      <c r="E472" t="inlineStr">
        <is>
          <t>HOFORS</t>
        </is>
      </c>
      <c r="F472" t="inlineStr">
        <is>
          <t>Sveaskog</t>
        </is>
      </c>
      <c r="G472" t="n">
        <v>1.4</v>
      </c>
      <c r="H472" t="n">
        <v>1</v>
      </c>
      <c r="I472" t="n">
        <v>0</v>
      </c>
      <c r="J472" t="n">
        <v>0</v>
      </c>
      <c r="K472" t="n">
        <v>0</v>
      </c>
      <c r="L472" t="n">
        <v>0</v>
      </c>
      <c r="M472" t="n">
        <v>0</v>
      </c>
      <c r="N472" t="n">
        <v>0</v>
      </c>
      <c r="O472" t="n">
        <v>0</v>
      </c>
      <c r="P472" t="n">
        <v>0</v>
      </c>
      <c r="Q472" t="n">
        <v>1</v>
      </c>
      <c r="R472" s="2" t="inlineStr">
        <is>
          <t>Mattlummer</t>
        </is>
      </c>
      <c r="S472">
        <f>HYPERLINK("https://klasma.github.io/Logging_2104/artfynd/A 35743-2025 artfynd.xlsx", "A 35743-2025")</f>
        <v/>
      </c>
      <c r="T472">
        <f>HYPERLINK("https://klasma.github.io/Logging_2104/kartor/A 35743-2025 karta.png", "A 35743-2025")</f>
        <v/>
      </c>
      <c r="V472">
        <f>HYPERLINK("https://klasma.github.io/Logging_2104/klagomål/A 35743-2025 FSC-klagomål.docx", "A 35743-2025")</f>
        <v/>
      </c>
      <c r="W472">
        <f>HYPERLINK("https://klasma.github.io/Logging_2104/klagomålsmail/A 35743-2025 FSC-klagomål mail.docx", "A 35743-2025")</f>
        <v/>
      </c>
      <c r="X472">
        <f>HYPERLINK("https://klasma.github.io/Logging_2104/tillsyn/A 35743-2025 tillsynsbegäran.docx", "A 35743-2025")</f>
        <v/>
      </c>
      <c r="Y472">
        <f>HYPERLINK("https://klasma.github.io/Logging_2104/tillsynsmail/A 35743-2025 tillsynsbegäran mail.docx", "A 35743-2025")</f>
        <v/>
      </c>
    </row>
    <row r="473" ht="15" customHeight="1">
      <c r="A473" t="inlineStr">
        <is>
          <t>A 20047-2025</t>
        </is>
      </c>
      <c r="B473" s="1" t="n">
        <v>45772.38952546296</v>
      </c>
      <c r="C473" s="1" t="n">
        <v>45883</v>
      </c>
      <c r="D473" t="inlineStr">
        <is>
          <t>GÄVLEBORGS LÄN</t>
        </is>
      </c>
      <c r="E473" t="inlineStr">
        <is>
          <t>BOLLNÄS</t>
        </is>
      </c>
      <c r="G473" t="n">
        <v>1.1</v>
      </c>
      <c r="H473" t="n">
        <v>0</v>
      </c>
      <c r="I473" t="n">
        <v>1</v>
      </c>
      <c r="J473" t="n">
        <v>0</v>
      </c>
      <c r="K473" t="n">
        <v>0</v>
      </c>
      <c r="L473" t="n">
        <v>0</v>
      </c>
      <c r="M473" t="n">
        <v>0</v>
      </c>
      <c r="N473" t="n">
        <v>0</v>
      </c>
      <c r="O473" t="n">
        <v>0</v>
      </c>
      <c r="P473" t="n">
        <v>0</v>
      </c>
      <c r="Q473" t="n">
        <v>1</v>
      </c>
      <c r="R473" s="2" t="inlineStr">
        <is>
          <t>Tibast</t>
        </is>
      </c>
      <c r="S473">
        <f>HYPERLINK("https://klasma.github.io/Logging_2183/artfynd/A 20047-2025 artfynd.xlsx", "A 20047-2025")</f>
        <v/>
      </c>
      <c r="T473">
        <f>HYPERLINK("https://klasma.github.io/Logging_2183/kartor/A 20047-2025 karta.png", "A 20047-2025")</f>
        <v/>
      </c>
      <c r="V473">
        <f>HYPERLINK("https://klasma.github.io/Logging_2183/klagomål/A 20047-2025 FSC-klagomål.docx", "A 20047-2025")</f>
        <v/>
      </c>
      <c r="W473">
        <f>HYPERLINK("https://klasma.github.io/Logging_2183/klagomålsmail/A 20047-2025 FSC-klagomål mail.docx", "A 20047-2025")</f>
        <v/>
      </c>
      <c r="X473">
        <f>HYPERLINK("https://klasma.github.io/Logging_2183/tillsyn/A 20047-2025 tillsynsbegäran.docx", "A 20047-2025")</f>
        <v/>
      </c>
      <c r="Y473">
        <f>HYPERLINK("https://klasma.github.io/Logging_2183/tillsynsmail/A 20047-2025 tillsynsbegäran mail.docx", "A 20047-2025")</f>
        <v/>
      </c>
    </row>
    <row r="474" ht="15" customHeight="1">
      <c r="A474" t="inlineStr">
        <is>
          <t>A 24451-2022</t>
        </is>
      </c>
      <c r="B474" s="1" t="n">
        <v>44726</v>
      </c>
      <c r="C474" s="1" t="n">
        <v>45883</v>
      </c>
      <c r="D474" t="inlineStr">
        <is>
          <t>GÄVLEBORGS LÄN</t>
        </is>
      </c>
      <c r="E474" t="inlineStr">
        <is>
          <t>HUDIKSVALL</t>
        </is>
      </c>
      <c r="F474" t="inlineStr">
        <is>
          <t>Holmen skog AB</t>
        </is>
      </c>
      <c r="G474" t="n">
        <v>3</v>
      </c>
      <c r="H474" t="n">
        <v>0</v>
      </c>
      <c r="I474" t="n">
        <v>0</v>
      </c>
      <c r="J474" t="n">
        <v>1</v>
      </c>
      <c r="K474" t="n">
        <v>0</v>
      </c>
      <c r="L474" t="n">
        <v>0</v>
      </c>
      <c r="M474" t="n">
        <v>0</v>
      </c>
      <c r="N474" t="n">
        <v>0</v>
      </c>
      <c r="O474" t="n">
        <v>1</v>
      </c>
      <c r="P474" t="n">
        <v>0</v>
      </c>
      <c r="Q474" t="n">
        <v>1</v>
      </c>
      <c r="R474" s="2" t="inlineStr">
        <is>
          <t>Vitgrynig nållav</t>
        </is>
      </c>
      <c r="S474">
        <f>HYPERLINK("https://klasma.github.io/Logging_2184/artfynd/A 24451-2022 artfynd.xlsx", "A 24451-2022")</f>
        <v/>
      </c>
      <c r="T474">
        <f>HYPERLINK("https://klasma.github.io/Logging_2184/kartor/A 24451-2022 karta.png", "A 24451-2022")</f>
        <v/>
      </c>
      <c r="V474">
        <f>HYPERLINK("https://klasma.github.io/Logging_2184/klagomål/A 24451-2022 FSC-klagomål.docx", "A 24451-2022")</f>
        <v/>
      </c>
      <c r="W474">
        <f>HYPERLINK("https://klasma.github.io/Logging_2184/klagomålsmail/A 24451-2022 FSC-klagomål mail.docx", "A 24451-2022")</f>
        <v/>
      </c>
      <c r="X474">
        <f>HYPERLINK("https://klasma.github.io/Logging_2184/tillsyn/A 24451-2022 tillsynsbegäran.docx", "A 24451-2022")</f>
        <v/>
      </c>
      <c r="Y474">
        <f>HYPERLINK("https://klasma.github.io/Logging_2184/tillsynsmail/A 24451-2022 tillsynsbegäran mail.docx", "A 24451-2022")</f>
        <v/>
      </c>
    </row>
    <row r="475" ht="15" customHeight="1">
      <c r="A475" t="inlineStr">
        <is>
          <t>A 53858-2023</t>
        </is>
      </c>
      <c r="B475" s="1" t="n">
        <v>45231</v>
      </c>
      <c r="C475" s="1" t="n">
        <v>45883</v>
      </c>
      <c r="D475" t="inlineStr">
        <is>
          <t>GÄVLEBORGS LÄN</t>
        </is>
      </c>
      <c r="E475" t="inlineStr">
        <is>
          <t>LJUSDAL</t>
        </is>
      </c>
      <c r="F475" t="inlineStr">
        <is>
          <t>Allmännings- och besparingsskogar</t>
        </is>
      </c>
      <c r="G475" t="n">
        <v>2.3</v>
      </c>
      <c r="H475" t="n">
        <v>1</v>
      </c>
      <c r="I475" t="n">
        <v>0</v>
      </c>
      <c r="J475" t="n">
        <v>0</v>
      </c>
      <c r="K475" t="n">
        <v>1</v>
      </c>
      <c r="L475" t="n">
        <v>0</v>
      </c>
      <c r="M475" t="n">
        <v>0</v>
      </c>
      <c r="N475" t="n">
        <v>0</v>
      </c>
      <c r="O475" t="n">
        <v>1</v>
      </c>
      <c r="P475" t="n">
        <v>1</v>
      </c>
      <c r="Q475" t="n">
        <v>1</v>
      </c>
      <c r="R475" s="2" t="inlineStr">
        <is>
          <t>Mellanlummer</t>
        </is>
      </c>
      <c r="S475">
        <f>HYPERLINK("https://klasma.github.io/Logging_2161/artfynd/A 53858-2023 artfynd.xlsx", "A 53858-2023")</f>
        <v/>
      </c>
      <c r="T475">
        <f>HYPERLINK("https://klasma.github.io/Logging_2161/kartor/A 53858-2023 karta.png", "A 53858-2023")</f>
        <v/>
      </c>
      <c r="V475">
        <f>HYPERLINK("https://klasma.github.io/Logging_2161/klagomål/A 53858-2023 FSC-klagomål.docx", "A 53858-2023")</f>
        <v/>
      </c>
      <c r="W475">
        <f>HYPERLINK("https://klasma.github.io/Logging_2161/klagomålsmail/A 53858-2023 FSC-klagomål mail.docx", "A 53858-2023")</f>
        <v/>
      </c>
      <c r="X475">
        <f>HYPERLINK("https://klasma.github.io/Logging_2161/tillsyn/A 53858-2023 tillsynsbegäran.docx", "A 53858-2023")</f>
        <v/>
      </c>
      <c r="Y475">
        <f>HYPERLINK("https://klasma.github.io/Logging_2161/tillsynsmail/A 53858-2023 tillsynsbegäran mail.docx", "A 53858-2023")</f>
        <v/>
      </c>
    </row>
    <row r="476" ht="15" customHeight="1">
      <c r="A476" t="inlineStr">
        <is>
          <t>A 28521-2025</t>
        </is>
      </c>
      <c r="B476" s="1" t="n">
        <v>45819.49046296296</v>
      </c>
      <c r="C476" s="1" t="n">
        <v>45883</v>
      </c>
      <c r="D476" t="inlineStr">
        <is>
          <t>GÄVLEBORGS LÄN</t>
        </is>
      </c>
      <c r="E476" t="inlineStr">
        <is>
          <t>LJUSDAL</t>
        </is>
      </c>
      <c r="F476" t="inlineStr">
        <is>
          <t>Allmännings- och besparingsskogar</t>
        </is>
      </c>
      <c r="G476" t="n">
        <v>1.6</v>
      </c>
      <c r="H476" t="n">
        <v>0</v>
      </c>
      <c r="I476" t="n">
        <v>0</v>
      </c>
      <c r="J476" t="n">
        <v>1</v>
      </c>
      <c r="K476" t="n">
        <v>0</v>
      </c>
      <c r="L476" t="n">
        <v>0</v>
      </c>
      <c r="M476" t="n">
        <v>0</v>
      </c>
      <c r="N476" t="n">
        <v>0</v>
      </c>
      <c r="O476" t="n">
        <v>1</v>
      </c>
      <c r="P476" t="n">
        <v>0</v>
      </c>
      <c r="Q476" t="n">
        <v>1</v>
      </c>
      <c r="R476" s="2" t="inlineStr">
        <is>
          <t>Garnlav</t>
        </is>
      </c>
      <c r="S476">
        <f>HYPERLINK("https://klasma.github.io/Logging_2161/artfynd/A 28521-2025 artfynd.xlsx", "A 28521-2025")</f>
        <v/>
      </c>
      <c r="T476">
        <f>HYPERLINK("https://klasma.github.io/Logging_2161/kartor/A 28521-2025 karta.png", "A 28521-2025")</f>
        <v/>
      </c>
      <c r="V476">
        <f>HYPERLINK("https://klasma.github.io/Logging_2161/klagomål/A 28521-2025 FSC-klagomål.docx", "A 28521-2025")</f>
        <v/>
      </c>
      <c r="W476">
        <f>HYPERLINK("https://klasma.github.io/Logging_2161/klagomålsmail/A 28521-2025 FSC-klagomål mail.docx", "A 28521-2025")</f>
        <v/>
      </c>
      <c r="X476">
        <f>HYPERLINK("https://klasma.github.io/Logging_2161/tillsyn/A 28521-2025 tillsynsbegäran.docx", "A 28521-2025")</f>
        <v/>
      </c>
      <c r="Y476">
        <f>HYPERLINK("https://klasma.github.io/Logging_2161/tillsynsmail/A 28521-2025 tillsynsbegäran mail.docx", "A 28521-2025")</f>
        <v/>
      </c>
    </row>
    <row r="477" ht="15" customHeight="1">
      <c r="A477" t="inlineStr">
        <is>
          <t>A 33812-2022</t>
        </is>
      </c>
      <c r="B477" s="1" t="n">
        <v>44790</v>
      </c>
      <c r="C477" s="1" t="n">
        <v>45883</v>
      </c>
      <c r="D477" t="inlineStr">
        <is>
          <t>GÄVLEBORGS LÄN</t>
        </is>
      </c>
      <c r="E477" t="inlineStr">
        <is>
          <t>GÄVLE</t>
        </is>
      </c>
      <c r="G477" t="n">
        <v>2.1</v>
      </c>
      <c r="H477" t="n">
        <v>0</v>
      </c>
      <c r="I477" t="n">
        <v>1</v>
      </c>
      <c r="J477" t="n">
        <v>0</v>
      </c>
      <c r="K477" t="n">
        <v>0</v>
      </c>
      <c r="L477" t="n">
        <v>0</v>
      </c>
      <c r="M477" t="n">
        <v>0</v>
      </c>
      <c r="N477" t="n">
        <v>0</v>
      </c>
      <c r="O477" t="n">
        <v>0</v>
      </c>
      <c r="P477" t="n">
        <v>0</v>
      </c>
      <c r="Q477" t="n">
        <v>1</v>
      </c>
      <c r="R477" s="2" t="inlineStr">
        <is>
          <t>Myskmadra</t>
        </is>
      </c>
      <c r="S477">
        <f>HYPERLINK("https://klasma.github.io/Logging_2180/artfynd/A 33812-2022 artfynd.xlsx", "A 33812-2022")</f>
        <v/>
      </c>
      <c r="T477">
        <f>HYPERLINK("https://klasma.github.io/Logging_2180/kartor/A 33812-2022 karta.png", "A 33812-2022")</f>
        <v/>
      </c>
      <c r="V477">
        <f>HYPERLINK("https://klasma.github.io/Logging_2180/klagomål/A 33812-2022 FSC-klagomål.docx", "A 33812-2022")</f>
        <v/>
      </c>
      <c r="W477">
        <f>HYPERLINK("https://klasma.github.io/Logging_2180/klagomålsmail/A 33812-2022 FSC-klagomål mail.docx", "A 33812-2022")</f>
        <v/>
      </c>
      <c r="X477">
        <f>HYPERLINK("https://klasma.github.io/Logging_2180/tillsyn/A 33812-2022 tillsynsbegäran.docx", "A 33812-2022")</f>
        <v/>
      </c>
      <c r="Y477">
        <f>HYPERLINK("https://klasma.github.io/Logging_2180/tillsynsmail/A 33812-2022 tillsynsbegäran mail.docx", "A 33812-2022")</f>
        <v/>
      </c>
    </row>
    <row r="478" ht="15" customHeight="1">
      <c r="A478" t="inlineStr">
        <is>
          <t>A 28875-2025</t>
        </is>
      </c>
      <c r="B478" s="1" t="n">
        <v>45820</v>
      </c>
      <c r="C478" s="1" t="n">
        <v>45883</v>
      </c>
      <c r="D478" t="inlineStr">
        <is>
          <t>GÄVLEBORGS LÄN</t>
        </is>
      </c>
      <c r="E478" t="inlineStr">
        <is>
          <t>GÄVLE</t>
        </is>
      </c>
      <c r="F478" t="inlineStr">
        <is>
          <t>Bergvik skog väst AB</t>
        </is>
      </c>
      <c r="G478" t="n">
        <v>43.3</v>
      </c>
      <c r="H478" t="n">
        <v>1</v>
      </c>
      <c r="I478" t="n">
        <v>0</v>
      </c>
      <c r="J478" t="n">
        <v>0</v>
      </c>
      <c r="K478" t="n">
        <v>0</v>
      </c>
      <c r="L478" t="n">
        <v>0</v>
      </c>
      <c r="M478" t="n">
        <v>0</v>
      </c>
      <c r="N478" t="n">
        <v>0</v>
      </c>
      <c r="O478" t="n">
        <v>0</v>
      </c>
      <c r="P478" t="n">
        <v>0</v>
      </c>
      <c r="Q478" t="n">
        <v>1</v>
      </c>
      <c r="R478" s="2" t="inlineStr">
        <is>
          <t>Revlummer</t>
        </is>
      </c>
      <c r="S478">
        <f>HYPERLINK("https://klasma.github.io/Logging_2180/artfynd/A 28875-2025 artfynd.xlsx", "A 28875-2025")</f>
        <v/>
      </c>
      <c r="T478">
        <f>HYPERLINK("https://klasma.github.io/Logging_2180/kartor/A 28875-2025 karta.png", "A 28875-2025")</f>
        <v/>
      </c>
      <c r="V478">
        <f>HYPERLINK("https://klasma.github.io/Logging_2180/klagomål/A 28875-2025 FSC-klagomål.docx", "A 28875-2025")</f>
        <v/>
      </c>
      <c r="W478">
        <f>HYPERLINK("https://klasma.github.io/Logging_2180/klagomålsmail/A 28875-2025 FSC-klagomål mail.docx", "A 28875-2025")</f>
        <v/>
      </c>
      <c r="X478">
        <f>HYPERLINK("https://klasma.github.io/Logging_2180/tillsyn/A 28875-2025 tillsynsbegäran.docx", "A 28875-2025")</f>
        <v/>
      </c>
      <c r="Y478">
        <f>HYPERLINK("https://klasma.github.io/Logging_2180/tillsynsmail/A 28875-2025 tillsynsbegäran mail.docx", "A 28875-2025")</f>
        <v/>
      </c>
    </row>
    <row r="479" ht="15" customHeight="1">
      <c r="A479" t="inlineStr">
        <is>
          <t>A 29292-2025</t>
        </is>
      </c>
      <c r="B479" s="1" t="n">
        <v>45824.44224537037</v>
      </c>
      <c r="C479" s="1" t="n">
        <v>45883</v>
      </c>
      <c r="D479" t="inlineStr">
        <is>
          <t>GÄVLEBORGS LÄN</t>
        </is>
      </c>
      <c r="E479" t="inlineStr">
        <is>
          <t>LJUSDAL</t>
        </is>
      </c>
      <c r="F479" t="inlineStr">
        <is>
          <t>Sveaskog</t>
        </is>
      </c>
      <c r="G479" t="n">
        <v>4.6</v>
      </c>
      <c r="H479" t="n">
        <v>0</v>
      </c>
      <c r="I479" t="n">
        <v>0</v>
      </c>
      <c r="J479" t="n">
        <v>1</v>
      </c>
      <c r="K479" t="n">
        <v>0</v>
      </c>
      <c r="L479" t="n">
        <v>0</v>
      </c>
      <c r="M479" t="n">
        <v>0</v>
      </c>
      <c r="N479" t="n">
        <v>0</v>
      </c>
      <c r="O479" t="n">
        <v>1</v>
      </c>
      <c r="P479" t="n">
        <v>0</v>
      </c>
      <c r="Q479" t="n">
        <v>1</v>
      </c>
      <c r="R479" s="2" t="inlineStr">
        <is>
          <t>Kolflarnlav</t>
        </is>
      </c>
      <c r="S479">
        <f>HYPERLINK("https://klasma.github.io/Logging_2161/artfynd/A 29292-2025 artfynd.xlsx", "A 29292-2025")</f>
        <v/>
      </c>
      <c r="T479">
        <f>HYPERLINK("https://klasma.github.io/Logging_2161/kartor/A 29292-2025 karta.png", "A 29292-2025")</f>
        <v/>
      </c>
      <c r="V479">
        <f>HYPERLINK("https://klasma.github.io/Logging_2161/klagomål/A 29292-2025 FSC-klagomål.docx", "A 29292-2025")</f>
        <v/>
      </c>
      <c r="W479">
        <f>HYPERLINK("https://klasma.github.io/Logging_2161/klagomålsmail/A 29292-2025 FSC-klagomål mail.docx", "A 29292-2025")</f>
        <v/>
      </c>
      <c r="X479">
        <f>HYPERLINK("https://klasma.github.io/Logging_2161/tillsyn/A 29292-2025 tillsynsbegäran.docx", "A 29292-2025")</f>
        <v/>
      </c>
      <c r="Y479">
        <f>HYPERLINK("https://klasma.github.io/Logging_2161/tillsynsmail/A 29292-2025 tillsynsbegäran mail.docx", "A 29292-2025")</f>
        <v/>
      </c>
    </row>
    <row r="480" ht="15" customHeight="1">
      <c r="A480" t="inlineStr">
        <is>
          <t>A 1214-2024</t>
        </is>
      </c>
      <c r="B480" s="1" t="n">
        <v>45302</v>
      </c>
      <c r="C480" s="1" t="n">
        <v>45883</v>
      </c>
      <c r="D480" t="inlineStr">
        <is>
          <t>GÄVLEBORGS LÄN</t>
        </is>
      </c>
      <c r="E480" t="inlineStr">
        <is>
          <t>OVANÅKER</t>
        </is>
      </c>
      <c r="F480" t="inlineStr">
        <is>
          <t>Bergvik skog väst AB</t>
        </is>
      </c>
      <c r="G480" t="n">
        <v>3.2</v>
      </c>
      <c r="H480" t="n">
        <v>1</v>
      </c>
      <c r="I480" t="n">
        <v>0</v>
      </c>
      <c r="J480" t="n">
        <v>0</v>
      </c>
      <c r="K480" t="n">
        <v>0</v>
      </c>
      <c r="L480" t="n">
        <v>0</v>
      </c>
      <c r="M480" t="n">
        <v>0</v>
      </c>
      <c r="N480" t="n">
        <v>0</v>
      </c>
      <c r="O480" t="n">
        <v>0</v>
      </c>
      <c r="P480" t="n">
        <v>0</v>
      </c>
      <c r="Q480" t="n">
        <v>1</v>
      </c>
      <c r="R480" s="2" t="inlineStr">
        <is>
          <t>Fläcknycklar</t>
        </is>
      </c>
      <c r="S480">
        <f>HYPERLINK("https://klasma.github.io/Logging_2121/artfynd/A 1214-2024 artfynd.xlsx", "A 1214-2024")</f>
        <v/>
      </c>
      <c r="T480">
        <f>HYPERLINK("https://klasma.github.io/Logging_2121/kartor/A 1214-2024 karta.png", "A 1214-2024")</f>
        <v/>
      </c>
      <c r="V480">
        <f>HYPERLINK("https://klasma.github.io/Logging_2121/klagomål/A 1214-2024 FSC-klagomål.docx", "A 1214-2024")</f>
        <v/>
      </c>
      <c r="W480">
        <f>HYPERLINK("https://klasma.github.io/Logging_2121/klagomålsmail/A 1214-2024 FSC-klagomål mail.docx", "A 1214-2024")</f>
        <v/>
      </c>
      <c r="X480">
        <f>HYPERLINK("https://klasma.github.io/Logging_2121/tillsyn/A 1214-2024 tillsynsbegäran.docx", "A 1214-2024")</f>
        <v/>
      </c>
      <c r="Y480">
        <f>HYPERLINK("https://klasma.github.io/Logging_2121/tillsynsmail/A 1214-2024 tillsynsbegäran mail.docx", "A 1214-2024")</f>
        <v/>
      </c>
    </row>
    <row r="481" ht="15" customHeight="1">
      <c r="A481" t="inlineStr">
        <is>
          <t>A 36391-2025</t>
        </is>
      </c>
      <c r="B481" s="1" t="n">
        <v>45868.60726851852</v>
      </c>
      <c r="C481" s="1" t="n">
        <v>45883</v>
      </c>
      <c r="D481" t="inlineStr">
        <is>
          <t>GÄVLEBORGS LÄN</t>
        </is>
      </c>
      <c r="E481" t="inlineStr">
        <is>
          <t>HUDIKSVALL</t>
        </is>
      </c>
      <c r="G481" t="n">
        <v>0.7</v>
      </c>
      <c r="H481" t="n">
        <v>0</v>
      </c>
      <c r="I481" t="n">
        <v>0</v>
      </c>
      <c r="J481" t="n">
        <v>1</v>
      </c>
      <c r="K481" t="n">
        <v>0</v>
      </c>
      <c r="L481" t="n">
        <v>0</v>
      </c>
      <c r="M481" t="n">
        <v>0</v>
      </c>
      <c r="N481" t="n">
        <v>0</v>
      </c>
      <c r="O481" t="n">
        <v>1</v>
      </c>
      <c r="P481" t="n">
        <v>0</v>
      </c>
      <c r="Q481" t="n">
        <v>1</v>
      </c>
      <c r="R481" s="2" t="inlineStr">
        <is>
          <t>Motaggsvamp</t>
        </is>
      </c>
      <c r="S481">
        <f>HYPERLINK("https://klasma.github.io/Logging_2184/artfynd/A 36391-2025 artfynd.xlsx", "A 36391-2025")</f>
        <v/>
      </c>
      <c r="T481">
        <f>HYPERLINK("https://klasma.github.io/Logging_2184/kartor/A 36391-2025 karta.png", "A 36391-2025")</f>
        <v/>
      </c>
      <c r="V481">
        <f>HYPERLINK("https://klasma.github.io/Logging_2184/klagomål/A 36391-2025 FSC-klagomål.docx", "A 36391-2025")</f>
        <v/>
      </c>
      <c r="W481">
        <f>HYPERLINK("https://klasma.github.io/Logging_2184/klagomålsmail/A 36391-2025 FSC-klagomål mail.docx", "A 36391-2025")</f>
        <v/>
      </c>
      <c r="X481">
        <f>HYPERLINK("https://klasma.github.io/Logging_2184/tillsyn/A 36391-2025 tillsynsbegäran.docx", "A 36391-2025")</f>
        <v/>
      </c>
      <c r="Y481">
        <f>HYPERLINK("https://klasma.github.io/Logging_2184/tillsynsmail/A 36391-2025 tillsynsbegäran mail.docx", "A 36391-2025")</f>
        <v/>
      </c>
    </row>
    <row r="482" ht="15" customHeight="1">
      <c r="A482" t="inlineStr">
        <is>
          <t>A 28392-2024</t>
        </is>
      </c>
      <c r="B482" s="1" t="n">
        <v>45477.60362268519</v>
      </c>
      <c r="C482" s="1" t="n">
        <v>45883</v>
      </c>
      <c r="D482" t="inlineStr">
        <is>
          <t>GÄVLEBORGS LÄN</t>
        </is>
      </c>
      <c r="E482" t="inlineStr">
        <is>
          <t>HOFORS</t>
        </is>
      </c>
      <c r="F482" t="inlineStr">
        <is>
          <t>Sveaskog</t>
        </is>
      </c>
      <c r="G482" t="n">
        <v>0.5</v>
      </c>
      <c r="H482" t="n">
        <v>1</v>
      </c>
      <c r="I482" t="n">
        <v>0</v>
      </c>
      <c r="J482" t="n">
        <v>0</v>
      </c>
      <c r="K482" t="n">
        <v>0</v>
      </c>
      <c r="L482" t="n">
        <v>0</v>
      </c>
      <c r="M482" t="n">
        <v>0</v>
      </c>
      <c r="N482" t="n">
        <v>0</v>
      </c>
      <c r="O482" t="n">
        <v>0</v>
      </c>
      <c r="P482" t="n">
        <v>0</v>
      </c>
      <c r="Q482" t="n">
        <v>1</v>
      </c>
      <c r="R482" s="2" t="inlineStr">
        <is>
          <t>Fläcknycklar</t>
        </is>
      </c>
      <c r="S482">
        <f>HYPERLINK("https://klasma.github.io/Logging_2104/artfynd/A 28392-2024 artfynd.xlsx", "A 28392-2024")</f>
        <v/>
      </c>
      <c r="T482">
        <f>HYPERLINK("https://klasma.github.io/Logging_2104/kartor/A 28392-2024 karta.png", "A 28392-2024")</f>
        <v/>
      </c>
      <c r="V482">
        <f>HYPERLINK("https://klasma.github.io/Logging_2104/klagomål/A 28392-2024 FSC-klagomål.docx", "A 28392-2024")</f>
        <v/>
      </c>
      <c r="W482">
        <f>HYPERLINK("https://klasma.github.io/Logging_2104/klagomålsmail/A 28392-2024 FSC-klagomål mail.docx", "A 28392-2024")</f>
        <v/>
      </c>
      <c r="X482">
        <f>HYPERLINK("https://klasma.github.io/Logging_2104/tillsyn/A 28392-2024 tillsynsbegäran.docx", "A 28392-2024")</f>
        <v/>
      </c>
      <c r="Y482">
        <f>HYPERLINK("https://klasma.github.io/Logging_2104/tillsynsmail/A 28392-2024 tillsynsbegäran mail.docx", "A 28392-2024")</f>
        <v/>
      </c>
    </row>
    <row r="483" ht="15" customHeight="1">
      <c r="A483" t="inlineStr">
        <is>
          <t>A 30296-2025</t>
        </is>
      </c>
      <c r="B483" s="1" t="n">
        <v>45827.47434027777</v>
      </c>
      <c r="C483" s="1" t="n">
        <v>45883</v>
      </c>
      <c r="D483" t="inlineStr">
        <is>
          <t>GÄVLEBORGS LÄN</t>
        </is>
      </c>
      <c r="E483" t="inlineStr">
        <is>
          <t>LJUSDAL</t>
        </is>
      </c>
      <c r="F483" t="inlineStr">
        <is>
          <t>Sveaskog</t>
        </is>
      </c>
      <c r="G483" t="n">
        <v>5.5</v>
      </c>
      <c r="H483" t="n">
        <v>0</v>
      </c>
      <c r="I483" t="n">
        <v>0</v>
      </c>
      <c r="J483" t="n">
        <v>1</v>
      </c>
      <c r="K483" t="n">
        <v>0</v>
      </c>
      <c r="L483" t="n">
        <v>0</v>
      </c>
      <c r="M483" t="n">
        <v>0</v>
      </c>
      <c r="N483" t="n">
        <v>0</v>
      </c>
      <c r="O483" t="n">
        <v>1</v>
      </c>
      <c r="P483" t="n">
        <v>0</v>
      </c>
      <c r="Q483" t="n">
        <v>1</v>
      </c>
      <c r="R483" s="2" t="inlineStr">
        <is>
          <t>Kolflarnlav</t>
        </is>
      </c>
      <c r="S483">
        <f>HYPERLINK("https://klasma.github.io/Logging_2161/artfynd/A 30296-2025 artfynd.xlsx", "A 30296-2025")</f>
        <v/>
      </c>
      <c r="T483">
        <f>HYPERLINK("https://klasma.github.io/Logging_2161/kartor/A 30296-2025 karta.png", "A 30296-2025")</f>
        <v/>
      </c>
      <c r="V483">
        <f>HYPERLINK("https://klasma.github.io/Logging_2161/klagomål/A 30296-2025 FSC-klagomål.docx", "A 30296-2025")</f>
        <v/>
      </c>
      <c r="W483">
        <f>HYPERLINK("https://klasma.github.io/Logging_2161/klagomålsmail/A 30296-2025 FSC-klagomål mail.docx", "A 30296-2025")</f>
        <v/>
      </c>
      <c r="X483">
        <f>HYPERLINK("https://klasma.github.io/Logging_2161/tillsyn/A 30296-2025 tillsynsbegäran.docx", "A 30296-2025")</f>
        <v/>
      </c>
      <c r="Y483">
        <f>HYPERLINK("https://klasma.github.io/Logging_2161/tillsynsmail/A 30296-2025 tillsynsbegäran mail.docx", "A 30296-2025")</f>
        <v/>
      </c>
    </row>
    <row r="484" ht="15" customHeight="1">
      <c r="A484" t="inlineStr">
        <is>
          <t>A 58333-2022</t>
        </is>
      </c>
      <c r="B484" s="1" t="n">
        <v>44901</v>
      </c>
      <c r="C484" s="1" t="n">
        <v>45883</v>
      </c>
      <c r="D484" t="inlineStr">
        <is>
          <t>GÄVLEBORGS LÄN</t>
        </is>
      </c>
      <c r="E484" t="inlineStr">
        <is>
          <t>BOLLNÄS</t>
        </is>
      </c>
      <c r="G484" t="n">
        <v>1.8</v>
      </c>
      <c r="H484" t="n">
        <v>0</v>
      </c>
      <c r="I484" t="n">
        <v>0</v>
      </c>
      <c r="J484" t="n">
        <v>1</v>
      </c>
      <c r="K484" t="n">
        <v>0</v>
      </c>
      <c r="L484" t="n">
        <v>0</v>
      </c>
      <c r="M484" t="n">
        <v>0</v>
      </c>
      <c r="N484" t="n">
        <v>0</v>
      </c>
      <c r="O484" t="n">
        <v>1</v>
      </c>
      <c r="P484" t="n">
        <v>0</v>
      </c>
      <c r="Q484" t="n">
        <v>1</v>
      </c>
      <c r="R484" s="2" t="inlineStr">
        <is>
          <t>Granticka</t>
        </is>
      </c>
      <c r="S484">
        <f>HYPERLINK("https://klasma.github.io/Logging_2183/artfynd/A 58333-2022 artfynd.xlsx", "A 58333-2022")</f>
        <v/>
      </c>
      <c r="T484">
        <f>HYPERLINK("https://klasma.github.io/Logging_2183/kartor/A 58333-2022 karta.png", "A 58333-2022")</f>
        <v/>
      </c>
      <c r="V484">
        <f>HYPERLINK("https://klasma.github.io/Logging_2183/klagomål/A 58333-2022 FSC-klagomål.docx", "A 58333-2022")</f>
        <v/>
      </c>
      <c r="W484">
        <f>HYPERLINK("https://klasma.github.io/Logging_2183/klagomålsmail/A 58333-2022 FSC-klagomål mail.docx", "A 58333-2022")</f>
        <v/>
      </c>
      <c r="X484">
        <f>HYPERLINK("https://klasma.github.io/Logging_2183/tillsyn/A 58333-2022 tillsynsbegäran.docx", "A 58333-2022")</f>
        <v/>
      </c>
      <c r="Y484">
        <f>HYPERLINK("https://klasma.github.io/Logging_2183/tillsynsmail/A 58333-2022 tillsynsbegäran mail.docx", "A 58333-2022")</f>
        <v/>
      </c>
    </row>
    <row r="485" ht="15" customHeight="1">
      <c r="A485" t="inlineStr">
        <is>
          <t>A 30323-2025</t>
        </is>
      </c>
      <c r="B485" s="1" t="n">
        <v>45827.50162037037</v>
      </c>
      <c r="C485" s="1" t="n">
        <v>45883</v>
      </c>
      <c r="D485" t="inlineStr">
        <is>
          <t>GÄVLEBORGS LÄN</t>
        </is>
      </c>
      <c r="E485" t="inlineStr">
        <is>
          <t>GÄVLE</t>
        </is>
      </c>
      <c r="G485" t="n">
        <v>4.9</v>
      </c>
      <c r="H485" t="n">
        <v>1</v>
      </c>
      <c r="I485" t="n">
        <v>0</v>
      </c>
      <c r="J485" t="n">
        <v>0</v>
      </c>
      <c r="K485" t="n">
        <v>0</v>
      </c>
      <c r="L485" t="n">
        <v>0</v>
      </c>
      <c r="M485" t="n">
        <v>0</v>
      </c>
      <c r="N485" t="n">
        <v>0</v>
      </c>
      <c r="O485" t="n">
        <v>0</v>
      </c>
      <c r="P485" t="n">
        <v>0</v>
      </c>
      <c r="Q485" t="n">
        <v>1</v>
      </c>
      <c r="R485" s="2" t="inlineStr">
        <is>
          <t>Fläcknycklar</t>
        </is>
      </c>
      <c r="S485">
        <f>HYPERLINK("https://klasma.github.io/Logging_2180/artfynd/A 30323-2025 artfynd.xlsx", "A 30323-2025")</f>
        <v/>
      </c>
      <c r="T485">
        <f>HYPERLINK("https://klasma.github.io/Logging_2180/kartor/A 30323-2025 karta.png", "A 30323-2025")</f>
        <v/>
      </c>
      <c r="V485">
        <f>HYPERLINK("https://klasma.github.io/Logging_2180/klagomål/A 30323-2025 FSC-klagomål.docx", "A 30323-2025")</f>
        <v/>
      </c>
      <c r="W485">
        <f>HYPERLINK("https://klasma.github.io/Logging_2180/klagomålsmail/A 30323-2025 FSC-klagomål mail.docx", "A 30323-2025")</f>
        <v/>
      </c>
      <c r="X485">
        <f>HYPERLINK("https://klasma.github.io/Logging_2180/tillsyn/A 30323-2025 tillsynsbegäran.docx", "A 30323-2025")</f>
        <v/>
      </c>
      <c r="Y485">
        <f>HYPERLINK("https://klasma.github.io/Logging_2180/tillsynsmail/A 30323-2025 tillsynsbegäran mail.docx", "A 30323-2025")</f>
        <v/>
      </c>
    </row>
    <row r="486" ht="15" customHeight="1">
      <c r="A486" t="inlineStr">
        <is>
          <t>A 36606-2025</t>
        </is>
      </c>
      <c r="B486" s="1" t="n">
        <v>45870.54482638889</v>
      </c>
      <c r="C486" s="1" t="n">
        <v>45883</v>
      </c>
      <c r="D486" t="inlineStr">
        <is>
          <t>GÄVLEBORGS LÄN</t>
        </is>
      </c>
      <c r="E486" t="inlineStr">
        <is>
          <t>HOFORS</t>
        </is>
      </c>
      <c r="F486" t="inlineStr">
        <is>
          <t>Sveaskog</t>
        </is>
      </c>
      <c r="G486" t="n">
        <v>13.3</v>
      </c>
      <c r="H486" t="n">
        <v>0</v>
      </c>
      <c r="I486" t="n">
        <v>0</v>
      </c>
      <c r="J486" t="n">
        <v>1</v>
      </c>
      <c r="K486" t="n">
        <v>0</v>
      </c>
      <c r="L486" t="n">
        <v>0</v>
      </c>
      <c r="M486" t="n">
        <v>0</v>
      </c>
      <c r="N486" t="n">
        <v>0</v>
      </c>
      <c r="O486" t="n">
        <v>1</v>
      </c>
      <c r="P486" t="n">
        <v>0</v>
      </c>
      <c r="Q486" t="n">
        <v>1</v>
      </c>
      <c r="R486" s="2" t="inlineStr">
        <is>
          <t>Brunklöver</t>
        </is>
      </c>
      <c r="S486">
        <f>HYPERLINK("https://klasma.github.io/Logging_2104/artfynd/A 36606-2025 artfynd.xlsx", "A 36606-2025")</f>
        <v/>
      </c>
      <c r="T486">
        <f>HYPERLINK("https://klasma.github.io/Logging_2104/kartor/A 36606-2025 karta.png", "A 36606-2025")</f>
        <v/>
      </c>
      <c r="V486">
        <f>HYPERLINK("https://klasma.github.io/Logging_2104/klagomål/A 36606-2025 FSC-klagomål.docx", "A 36606-2025")</f>
        <v/>
      </c>
      <c r="W486">
        <f>HYPERLINK("https://klasma.github.io/Logging_2104/klagomålsmail/A 36606-2025 FSC-klagomål mail.docx", "A 36606-2025")</f>
        <v/>
      </c>
      <c r="X486">
        <f>HYPERLINK("https://klasma.github.io/Logging_2104/tillsyn/A 36606-2025 tillsynsbegäran.docx", "A 36606-2025")</f>
        <v/>
      </c>
      <c r="Y486">
        <f>HYPERLINK("https://klasma.github.io/Logging_2104/tillsynsmail/A 36606-2025 tillsynsbegäran mail.docx", "A 36606-2025")</f>
        <v/>
      </c>
    </row>
    <row r="487" ht="15" customHeight="1">
      <c r="A487" t="inlineStr">
        <is>
          <t>A 30239-2025</t>
        </is>
      </c>
      <c r="B487" s="1" t="n">
        <v>45827.40430555555</v>
      </c>
      <c r="C487" s="1" t="n">
        <v>45883</v>
      </c>
      <c r="D487" t="inlineStr">
        <is>
          <t>GÄVLEBORGS LÄN</t>
        </is>
      </c>
      <c r="E487" t="inlineStr">
        <is>
          <t>OVANÅKER</t>
        </is>
      </c>
      <c r="F487" t="inlineStr">
        <is>
          <t>Sveaskog</t>
        </is>
      </c>
      <c r="G487" t="n">
        <v>20.8</v>
      </c>
      <c r="H487" t="n">
        <v>0</v>
      </c>
      <c r="I487" t="n">
        <v>1</v>
      </c>
      <c r="J487" t="n">
        <v>0</v>
      </c>
      <c r="K487" t="n">
        <v>0</v>
      </c>
      <c r="L487" t="n">
        <v>0</v>
      </c>
      <c r="M487" t="n">
        <v>0</v>
      </c>
      <c r="N487" t="n">
        <v>0</v>
      </c>
      <c r="O487" t="n">
        <v>0</v>
      </c>
      <c r="P487" t="n">
        <v>0</v>
      </c>
      <c r="Q487" t="n">
        <v>1</v>
      </c>
      <c r="R487" s="2" t="inlineStr">
        <is>
          <t>Dropptaggsvamp</t>
        </is>
      </c>
      <c r="S487">
        <f>HYPERLINK("https://klasma.github.io/Logging_2121/artfynd/A 30239-2025 artfynd.xlsx", "A 30239-2025")</f>
        <v/>
      </c>
      <c r="T487">
        <f>HYPERLINK("https://klasma.github.io/Logging_2121/kartor/A 30239-2025 karta.png", "A 30239-2025")</f>
        <v/>
      </c>
      <c r="V487">
        <f>HYPERLINK("https://klasma.github.io/Logging_2121/klagomål/A 30239-2025 FSC-klagomål.docx", "A 30239-2025")</f>
        <v/>
      </c>
      <c r="W487">
        <f>HYPERLINK("https://klasma.github.io/Logging_2121/klagomålsmail/A 30239-2025 FSC-klagomål mail.docx", "A 30239-2025")</f>
        <v/>
      </c>
      <c r="X487">
        <f>HYPERLINK("https://klasma.github.io/Logging_2121/tillsyn/A 30239-2025 tillsynsbegäran.docx", "A 30239-2025")</f>
        <v/>
      </c>
      <c r="Y487">
        <f>HYPERLINK("https://klasma.github.io/Logging_2121/tillsynsmail/A 30239-2025 tillsynsbegäran mail.docx", "A 30239-2025")</f>
        <v/>
      </c>
    </row>
    <row r="488" ht="15" customHeight="1">
      <c r="A488" t="inlineStr">
        <is>
          <t>A 30371-2025</t>
        </is>
      </c>
      <c r="B488" s="1" t="n">
        <v>45827.56134259259</v>
      </c>
      <c r="C488" s="1" t="n">
        <v>45883</v>
      </c>
      <c r="D488" t="inlineStr">
        <is>
          <t>GÄVLEBORGS LÄN</t>
        </is>
      </c>
      <c r="E488" t="inlineStr">
        <is>
          <t>LJUSDAL</t>
        </is>
      </c>
      <c r="F488" t="inlineStr">
        <is>
          <t>Sveaskog</t>
        </is>
      </c>
      <c r="G488" t="n">
        <v>4.6</v>
      </c>
      <c r="H488" t="n">
        <v>0</v>
      </c>
      <c r="I488" t="n">
        <v>0</v>
      </c>
      <c r="J488" t="n">
        <v>1</v>
      </c>
      <c r="K488" t="n">
        <v>0</v>
      </c>
      <c r="L488" t="n">
        <v>0</v>
      </c>
      <c r="M488" t="n">
        <v>0</v>
      </c>
      <c r="N488" t="n">
        <v>0</v>
      </c>
      <c r="O488" t="n">
        <v>1</v>
      </c>
      <c r="P488" t="n">
        <v>0</v>
      </c>
      <c r="Q488" t="n">
        <v>1</v>
      </c>
      <c r="R488" s="2" t="inlineStr">
        <is>
          <t>Kolflarnlav</t>
        </is>
      </c>
      <c r="S488">
        <f>HYPERLINK("https://klasma.github.io/Logging_2161/artfynd/A 30371-2025 artfynd.xlsx", "A 30371-2025")</f>
        <v/>
      </c>
      <c r="T488">
        <f>HYPERLINK("https://klasma.github.io/Logging_2161/kartor/A 30371-2025 karta.png", "A 30371-2025")</f>
        <v/>
      </c>
      <c r="V488">
        <f>HYPERLINK("https://klasma.github.io/Logging_2161/klagomål/A 30371-2025 FSC-klagomål.docx", "A 30371-2025")</f>
        <v/>
      </c>
      <c r="W488">
        <f>HYPERLINK("https://klasma.github.io/Logging_2161/klagomålsmail/A 30371-2025 FSC-klagomål mail.docx", "A 30371-2025")</f>
        <v/>
      </c>
      <c r="X488">
        <f>HYPERLINK("https://klasma.github.io/Logging_2161/tillsyn/A 30371-2025 tillsynsbegäran.docx", "A 30371-2025")</f>
        <v/>
      </c>
      <c r="Y488">
        <f>HYPERLINK("https://klasma.github.io/Logging_2161/tillsynsmail/A 30371-2025 tillsynsbegäran mail.docx", "A 30371-2025")</f>
        <v/>
      </c>
    </row>
    <row r="489" ht="15" customHeight="1">
      <c r="A489" t="inlineStr">
        <is>
          <t>A 30298-2025</t>
        </is>
      </c>
      <c r="B489" s="1" t="n">
        <v>45827.47530092593</v>
      </c>
      <c r="C489" s="1" t="n">
        <v>45883</v>
      </c>
      <c r="D489" t="inlineStr">
        <is>
          <t>GÄVLEBORGS LÄN</t>
        </is>
      </c>
      <c r="E489" t="inlineStr">
        <is>
          <t>LJUSDAL</t>
        </is>
      </c>
      <c r="F489" t="inlineStr">
        <is>
          <t>Sveaskog</t>
        </is>
      </c>
      <c r="G489" t="n">
        <v>8.800000000000001</v>
      </c>
      <c r="H489" t="n">
        <v>0</v>
      </c>
      <c r="I489" t="n">
        <v>0</v>
      </c>
      <c r="J489" t="n">
        <v>1</v>
      </c>
      <c r="K489" t="n">
        <v>0</v>
      </c>
      <c r="L489" t="n">
        <v>0</v>
      </c>
      <c r="M489" t="n">
        <v>0</v>
      </c>
      <c r="N489" t="n">
        <v>0</v>
      </c>
      <c r="O489" t="n">
        <v>1</v>
      </c>
      <c r="P489" t="n">
        <v>0</v>
      </c>
      <c r="Q489" t="n">
        <v>1</v>
      </c>
      <c r="R489" s="2" t="inlineStr">
        <is>
          <t>Kolflarnlav</t>
        </is>
      </c>
      <c r="S489">
        <f>HYPERLINK("https://klasma.github.io/Logging_2161/artfynd/A 30298-2025 artfynd.xlsx", "A 30298-2025")</f>
        <v/>
      </c>
      <c r="T489">
        <f>HYPERLINK("https://klasma.github.io/Logging_2161/kartor/A 30298-2025 karta.png", "A 30298-2025")</f>
        <v/>
      </c>
      <c r="V489">
        <f>HYPERLINK("https://klasma.github.io/Logging_2161/klagomål/A 30298-2025 FSC-klagomål.docx", "A 30298-2025")</f>
        <v/>
      </c>
      <c r="W489">
        <f>HYPERLINK("https://klasma.github.io/Logging_2161/klagomålsmail/A 30298-2025 FSC-klagomål mail.docx", "A 30298-2025")</f>
        <v/>
      </c>
      <c r="X489">
        <f>HYPERLINK("https://klasma.github.io/Logging_2161/tillsyn/A 30298-2025 tillsynsbegäran.docx", "A 30298-2025")</f>
        <v/>
      </c>
      <c r="Y489">
        <f>HYPERLINK("https://klasma.github.io/Logging_2161/tillsynsmail/A 30298-2025 tillsynsbegäran mail.docx", "A 30298-2025")</f>
        <v/>
      </c>
    </row>
    <row r="490" ht="15" customHeight="1">
      <c r="A490" t="inlineStr">
        <is>
          <t>A 36737-2025</t>
        </is>
      </c>
      <c r="B490" s="1" t="n">
        <v>45873.52961805555</v>
      </c>
      <c r="C490" s="1" t="n">
        <v>45883</v>
      </c>
      <c r="D490" t="inlineStr">
        <is>
          <t>GÄVLEBORGS LÄN</t>
        </is>
      </c>
      <c r="E490" t="inlineStr">
        <is>
          <t>LJUSDAL</t>
        </is>
      </c>
      <c r="G490" t="n">
        <v>2.8</v>
      </c>
      <c r="H490" t="n">
        <v>1</v>
      </c>
      <c r="I490" t="n">
        <v>0</v>
      </c>
      <c r="J490" t="n">
        <v>1</v>
      </c>
      <c r="K490" t="n">
        <v>0</v>
      </c>
      <c r="L490" t="n">
        <v>0</v>
      </c>
      <c r="M490" t="n">
        <v>0</v>
      </c>
      <c r="N490" t="n">
        <v>0</v>
      </c>
      <c r="O490" t="n">
        <v>1</v>
      </c>
      <c r="P490" t="n">
        <v>0</v>
      </c>
      <c r="Q490" t="n">
        <v>1</v>
      </c>
      <c r="R490" s="2" t="inlineStr">
        <is>
          <t>Nordfladdermus</t>
        </is>
      </c>
      <c r="S490">
        <f>HYPERLINK("https://klasma.github.io/Logging_2161/artfynd/A 36737-2025 artfynd.xlsx", "A 36737-2025")</f>
        <v/>
      </c>
      <c r="T490">
        <f>HYPERLINK("https://klasma.github.io/Logging_2161/kartor/A 36737-2025 karta.png", "A 36737-2025")</f>
        <v/>
      </c>
      <c r="V490">
        <f>HYPERLINK("https://klasma.github.io/Logging_2161/klagomål/A 36737-2025 FSC-klagomål.docx", "A 36737-2025")</f>
        <v/>
      </c>
      <c r="W490">
        <f>HYPERLINK("https://klasma.github.io/Logging_2161/klagomålsmail/A 36737-2025 FSC-klagomål mail.docx", "A 36737-2025")</f>
        <v/>
      </c>
      <c r="X490">
        <f>HYPERLINK("https://klasma.github.io/Logging_2161/tillsyn/A 36737-2025 tillsynsbegäran.docx", "A 36737-2025")</f>
        <v/>
      </c>
      <c r="Y490">
        <f>HYPERLINK("https://klasma.github.io/Logging_2161/tillsynsmail/A 36737-2025 tillsynsbegäran mail.docx", "A 36737-2025")</f>
        <v/>
      </c>
    </row>
    <row r="491" ht="15" customHeight="1">
      <c r="A491" t="inlineStr">
        <is>
          <t>A 37011-2025</t>
        </is>
      </c>
      <c r="B491" s="1" t="n">
        <v>45874.70511574074</v>
      </c>
      <c r="C491" s="1" t="n">
        <v>45883</v>
      </c>
      <c r="D491" t="inlineStr">
        <is>
          <t>GÄVLEBORGS LÄN</t>
        </is>
      </c>
      <c r="E491" t="inlineStr">
        <is>
          <t>HOFORS</t>
        </is>
      </c>
      <c r="F491" t="inlineStr">
        <is>
          <t>Sveaskog</t>
        </is>
      </c>
      <c r="G491" t="n">
        <v>3</v>
      </c>
      <c r="H491" t="n">
        <v>1</v>
      </c>
      <c r="I491" t="n">
        <v>0</v>
      </c>
      <c r="J491" t="n">
        <v>0</v>
      </c>
      <c r="K491" t="n">
        <v>1</v>
      </c>
      <c r="L491" t="n">
        <v>0</v>
      </c>
      <c r="M491" t="n">
        <v>0</v>
      </c>
      <c r="N491" t="n">
        <v>0</v>
      </c>
      <c r="O491" t="n">
        <v>1</v>
      </c>
      <c r="P491" t="n">
        <v>1</v>
      </c>
      <c r="Q491" t="n">
        <v>1</v>
      </c>
      <c r="R491" s="2" t="inlineStr">
        <is>
          <t>Knärot</t>
        </is>
      </c>
      <c r="S491">
        <f>HYPERLINK("https://klasma.github.io/Logging_2104/artfynd/A 37011-2025 artfynd.xlsx", "A 37011-2025")</f>
        <v/>
      </c>
      <c r="T491">
        <f>HYPERLINK("https://klasma.github.io/Logging_2104/kartor/A 37011-2025 karta.png", "A 37011-2025")</f>
        <v/>
      </c>
      <c r="U491">
        <f>HYPERLINK("https://klasma.github.io/Logging_2104/knärot/A 37011-2025 karta knärot.png", "A 37011-2025")</f>
        <v/>
      </c>
      <c r="V491">
        <f>HYPERLINK("https://klasma.github.io/Logging_2104/klagomål/A 37011-2025 FSC-klagomål.docx", "A 37011-2025")</f>
        <v/>
      </c>
      <c r="W491">
        <f>HYPERLINK("https://klasma.github.io/Logging_2104/klagomålsmail/A 37011-2025 FSC-klagomål mail.docx", "A 37011-2025")</f>
        <v/>
      </c>
      <c r="X491">
        <f>HYPERLINK("https://klasma.github.io/Logging_2104/tillsyn/A 37011-2025 tillsynsbegäran.docx", "A 37011-2025")</f>
        <v/>
      </c>
      <c r="Y491">
        <f>HYPERLINK("https://klasma.github.io/Logging_2104/tillsynsmail/A 37011-2025 tillsynsbegäran mail.docx", "A 37011-2025")</f>
        <v/>
      </c>
    </row>
    <row r="492" ht="15" customHeight="1">
      <c r="A492" t="inlineStr">
        <is>
          <t>A 35741-2025</t>
        </is>
      </c>
      <c r="B492" s="1" t="n">
        <v>45860</v>
      </c>
      <c r="C492" s="1" t="n">
        <v>45883</v>
      </c>
      <c r="D492" t="inlineStr">
        <is>
          <t>GÄVLEBORGS LÄN</t>
        </is>
      </c>
      <c r="E492" t="inlineStr">
        <is>
          <t>HOFORS</t>
        </is>
      </c>
      <c r="F492" t="inlineStr">
        <is>
          <t>Sveaskog</t>
        </is>
      </c>
      <c r="G492" t="n">
        <v>3.9</v>
      </c>
      <c r="H492" t="n">
        <v>1</v>
      </c>
      <c r="I492" t="n">
        <v>0</v>
      </c>
      <c r="J492" t="n">
        <v>0</v>
      </c>
      <c r="K492" t="n">
        <v>1</v>
      </c>
      <c r="L492" t="n">
        <v>0</v>
      </c>
      <c r="M492" t="n">
        <v>0</v>
      </c>
      <c r="N492" t="n">
        <v>0</v>
      </c>
      <c r="O492" t="n">
        <v>1</v>
      </c>
      <c r="P492" t="n">
        <v>1</v>
      </c>
      <c r="Q492" t="n">
        <v>1</v>
      </c>
      <c r="R492" s="2" t="inlineStr">
        <is>
          <t>Knärot</t>
        </is>
      </c>
      <c r="S492">
        <f>HYPERLINK("https://klasma.github.io/Logging_2104/artfynd/A 35741-2025 artfynd.xlsx", "A 35741-2025")</f>
        <v/>
      </c>
      <c r="T492">
        <f>HYPERLINK("https://klasma.github.io/Logging_2104/kartor/A 35741-2025 karta.png", "A 35741-2025")</f>
        <v/>
      </c>
      <c r="U492">
        <f>HYPERLINK("https://klasma.github.io/Logging_2104/knärot/A 35741-2025 karta knärot.png", "A 35741-2025")</f>
        <v/>
      </c>
      <c r="V492">
        <f>HYPERLINK("https://klasma.github.io/Logging_2104/klagomål/A 35741-2025 FSC-klagomål.docx", "A 35741-2025")</f>
        <v/>
      </c>
      <c r="W492">
        <f>HYPERLINK("https://klasma.github.io/Logging_2104/klagomålsmail/A 35741-2025 FSC-klagomål mail.docx", "A 35741-2025")</f>
        <v/>
      </c>
      <c r="X492">
        <f>HYPERLINK("https://klasma.github.io/Logging_2104/tillsyn/A 35741-2025 tillsynsbegäran.docx", "A 35741-2025")</f>
        <v/>
      </c>
      <c r="Y492">
        <f>HYPERLINK("https://klasma.github.io/Logging_2104/tillsynsmail/A 35741-2025 tillsynsbegäran mail.docx", "A 35741-2025")</f>
        <v/>
      </c>
    </row>
    <row r="493" ht="15" customHeight="1">
      <c r="A493" t="inlineStr">
        <is>
          <t>A 5576-2025</t>
        </is>
      </c>
      <c r="B493" s="1" t="n">
        <v>45693</v>
      </c>
      <c r="C493" s="1" t="n">
        <v>45883</v>
      </c>
      <c r="D493" t="inlineStr">
        <is>
          <t>GÄVLEBORGS LÄN</t>
        </is>
      </c>
      <c r="E493" t="inlineStr">
        <is>
          <t>GÄVLE</t>
        </is>
      </c>
      <c r="G493" t="n">
        <v>3.8</v>
      </c>
      <c r="H493" t="n">
        <v>1</v>
      </c>
      <c r="I493" t="n">
        <v>0</v>
      </c>
      <c r="J493" t="n">
        <v>1</v>
      </c>
      <c r="K493" t="n">
        <v>0</v>
      </c>
      <c r="L493" t="n">
        <v>0</v>
      </c>
      <c r="M493" t="n">
        <v>0</v>
      </c>
      <c r="N493" t="n">
        <v>0</v>
      </c>
      <c r="O493" t="n">
        <v>1</v>
      </c>
      <c r="P493" t="n">
        <v>0</v>
      </c>
      <c r="Q493" t="n">
        <v>1</v>
      </c>
      <c r="R493" s="2" t="inlineStr">
        <is>
          <t>Spillkråka</t>
        </is>
      </c>
      <c r="S493">
        <f>HYPERLINK("https://klasma.github.io/Logging_2180/artfynd/A 5576-2025 artfynd.xlsx", "A 5576-2025")</f>
        <v/>
      </c>
      <c r="T493">
        <f>HYPERLINK("https://klasma.github.io/Logging_2180/kartor/A 5576-2025 karta.png", "A 5576-2025")</f>
        <v/>
      </c>
      <c r="V493">
        <f>HYPERLINK("https://klasma.github.io/Logging_2180/klagomål/A 5576-2025 FSC-klagomål.docx", "A 5576-2025")</f>
        <v/>
      </c>
      <c r="W493">
        <f>HYPERLINK("https://klasma.github.io/Logging_2180/klagomålsmail/A 5576-2025 FSC-klagomål mail.docx", "A 5576-2025")</f>
        <v/>
      </c>
      <c r="X493">
        <f>HYPERLINK("https://klasma.github.io/Logging_2180/tillsyn/A 5576-2025 tillsynsbegäran.docx", "A 5576-2025")</f>
        <v/>
      </c>
      <c r="Y493">
        <f>HYPERLINK("https://klasma.github.io/Logging_2180/tillsynsmail/A 5576-2025 tillsynsbegäran mail.docx", "A 5576-2025")</f>
        <v/>
      </c>
      <c r="Z493">
        <f>HYPERLINK("https://klasma.github.io/Logging_2180/fåglar/A 5576-2025 prioriterade fågelarter.docx", "A 5576-2025")</f>
        <v/>
      </c>
    </row>
    <row r="494" ht="15" customHeight="1">
      <c r="A494" t="inlineStr">
        <is>
          <t>A 51232-2023</t>
        </is>
      </c>
      <c r="B494" s="1" t="n">
        <v>45219.4621412037</v>
      </c>
      <c r="C494" s="1" t="n">
        <v>45883</v>
      </c>
      <c r="D494" t="inlineStr">
        <is>
          <t>GÄVLEBORGS LÄN</t>
        </is>
      </c>
      <c r="E494" t="inlineStr">
        <is>
          <t>LJUSDAL</t>
        </is>
      </c>
      <c r="F494" t="inlineStr">
        <is>
          <t>Sveaskog</t>
        </is>
      </c>
      <c r="G494" t="n">
        <v>1.9</v>
      </c>
      <c r="H494" t="n">
        <v>0</v>
      </c>
      <c r="I494" t="n">
        <v>0</v>
      </c>
      <c r="J494" t="n">
        <v>1</v>
      </c>
      <c r="K494" t="n">
        <v>0</v>
      </c>
      <c r="L494" t="n">
        <v>0</v>
      </c>
      <c r="M494" t="n">
        <v>0</v>
      </c>
      <c r="N494" t="n">
        <v>0</v>
      </c>
      <c r="O494" t="n">
        <v>1</v>
      </c>
      <c r="P494" t="n">
        <v>0</v>
      </c>
      <c r="Q494" t="n">
        <v>1</v>
      </c>
      <c r="R494" s="2" t="inlineStr">
        <is>
          <t>Lunglav</t>
        </is>
      </c>
      <c r="S494">
        <f>HYPERLINK("https://klasma.github.io/Logging_2161/artfynd/A 51232-2023 artfynd.xlsx", "A 51232-2023")</f>
        <v/>
      </c>
      <c r="T494">
        <f>HYPERLINK("https://klasma.github.io/Logging_2161/kartor/A 51232-2023 karta.png", "A 51232-2023")</f>
        <v/>
      </c>
      <c r="V494">
        <f>HYPERLINK("https://klasma.github.io/Logging_2161/klagomål/A 51232-2023 FSC-klagomål.docx", "A 51232-2023")</f>
        <v/>
      </c>
      <c r="W494">
        <f>HYPERLINK("https://klasma.github.io/Logging_2161/klagomålsmail/A 51232-2023 FSC-klagomål mail.docx", "A 51232-2023")</f>
        <v/>
      </c>
      <c r="X494">
        <f>HYPERLINK("https://klasma.github.io/Logging_2161/tillsyn/A 51232-2023 tillsynsbegäran.docx", "A 51232-2023")</f>
        <v/>
      </c>
      <c r="Y494">
        <f>HYPERLINK("https://klasma.github.io/Logging_2161/tillsynsmail/A 51232-2023 tillsynsbegäran mail.docx", "A 51232-2023")</f>
        <v/>
      </c>
    </row>
    <row r="495" ht="15" customHeight="1">
      <c r="A495" t="inlineStr">
        <is>
          <t>A 31828-2025</t>
        </is>
      </c>
      <c r="B495" s="1" t="n">
        <v>45834.58667824074</v>
      </c>
      <c r="C495" s="1" t="n">
        <v>45883</v>
      </c>
      <c r="D495" t="inlineStr">
        <is>
          <t>GÄVLEBORGS LÄN</t>
        </is>
      </c>
      <c r="E495" t="inlineStr">
        <is>
          <t>LJUSDAL</t>
        </is>
      </c>
      <c r="F495" t="inlineStr">
        <is>
          <t>Sveaskog</t>
        </is>
      </c>
      <c r="G495" t="n">
        <v>4</v>
      </c>
      <c r="H495" t="n">
        <v>0</v>
      </c>
      <c r="I495" t="n">
        <v>0</v>
      </c>
      <c r="J495" t="n">
        <v>1</v>
      </c>
      <c r="K495" t="n">
        <v>0</v>
      </c>
      <c r="L495" t="n">
        <v>0</v>
      </c>
      <c r="M495" t="n">
        <v>0</v>
      </c>
      <c r="N495" t="n">
        <v>0</v>
      </c>
      <c r="O495" t="n">
        <v>1</v>
      </c>
      <c r="P495" t="n">
        <v>0</v>
      </c>
      <c r="Q495" t="n">
        <v>1</v>
      </c>
      <c r="R495" s="2" t="inlineStr">
        <is>
          <t>Blå taggsvamp</t>
        </is>
      </c>
      <c r="S495">
        <f>HYPERLINK("https://klasma.github.io/Logging_2161/artfynd/A 31828-2025 artfynd.xlsx", "A 31828-2025")</f>
        <v/>
      </c>
      <c r="T495">
        <f>HYPERLINK("https://klasma.github.io/Logging_2161/kartor/A 31828-2025 karta.png", "A 31828-2025")</f>
        <v/>
      </c>
      <c r="V495">
        <f>HYPERLINK("https://klasma.github.io/Logging_2161/klagomål/A 31828-2025 FSC-klagomål.docx", "A 31828-2025")</f>
        <v/>
      </c>
      <c r="W495">
        <f>HYPERLINK("https://klasma.github.io/Logging_2161/klagomålsmail/A 31828-2025 FSC-klagomål mail.docx", "A 31828-2025")</f>
        <v/>
      </c>
      <c r="X495">
        <f>HYPERLINK("https://klasma.github.io/Logging_2161/tillsyn/A 31828-2025 tillsynsbegäran.docx", "A 31828-2025")</f>
        <v/>
      </c>
      <c r="Y495">
        <f>HYPERLINK("https://klasma.github.io/Logging_2161/tillsynsmail/A 31828-2025 tillsynsbegäran mail.docx", "A 31828-2025")</f>
        <v/>
      </c>
    </row>
    <row r="496" ht="15" customHeight="1">
      <c r="A496" t="inlineStr">
        <is>
          <t>A 31596-2025</t>
        </is>
      </c>
      <c r="B496" s="1" t="n">
        <v>45833.70858796296</v>
      </c>
      <c r="C496" s="1" t="n">
        <v>45883</v>
      </c>
      <c r="D496" t="inlineStr">
        <is>
          <t>GÄVLEBORGS LÄN</t>
        </is>
      </c>
      <c r="E496" t="inlineStr">
        <is>
          <t>GÄVLE</t>
        </is>
      </c>
      <c r="G496" t="n">
        <v>2.1</v>
      </c>
      <c r="H496" t="n">
        <v>1</v>
      </c>
      <c r="I496" t="n">
        <v>0</v>
      </c>
      <c r="J496" t="n">
        <v>0</v>
      </c>
      <c r="K496" t="n">
        <v>0</v>
      </c>
      <c r="L496" t="n">
        <v>0</v>
      </c>
      <c r="M496" t="n">
        <v>0</v>
      </c>
      <c r="N496" t="n">
        <v>0</v>
      </c>
      <c r="O496" t="n">
        <v>0</v>
      </c>
      <c r="P496" t="n">
        <v>0</v>
      </c>
      <c r="Q496" t="n">
        <v>1</v>
      </c>
      <c r="R496" s="2" t="inlineStr">
        <is>
          <t>Fläcknycklar</t>
        </is>
      </c>
      <c r="S496">
        <f>HYPERLINK("https://klasma.github.io/Logging_2180/artfynd/A 31596-2025 artfynd.xlsx", "A 31596-2025")</f>
        <v/>
      </c>
      <c r="T496">
        <f>HYPERLINK("https://klasma.github.io/Logging_2180/kartor/A 31596-2025 karta.png", "A 31596-2025")</f>
        <v/>
      </c>
      <c r="V496">
        <f>HYPERLINK("https://klasma.github.io/Logging_2180/klagomål/A 31596-2025 FSC-klagomål.docx", "A 31596-2025")</f>
        <v/>
      </c>
      <c r="W496">
        <f>HYPERLINK("https://klasma.github.io/Logging_2180/klagomålsmail/A 31596-2025 FSC-klagomål mail.docx", "A 31596-2025")</f>
        <v/>
      </c>
      <c r="X496">
        <f>HYPERLINK("https://klasma.github.io/Logging_2180/tillsyn/A 31596-2025 tillsynsbegäran.docx", "A 31596-2025")</f>
        <v/>
      </c>
      <c r="Y496">
        <f>HYPERLINK("https://klasma.github.io/Logging_2180/tillsynsmail/A 31596-2025 tillsynsbegäran mail.docx", "A 31596-2025")</f>
        <v/>
      </c>
    </row>
    <row r="497" ht="15" customHeight="1">
      <c r="A497" t="inlineStr">
        <is>
          <t>A 17653-2025</t>
        </is>
      </c>
      <c r="B497" s="1" t="n">
        <v>45758.33842592593</v>
      </c>
      <c r="C497" s="1" t="n">
        <v>45883</v>
      </c>
      <c r="D497" t="inlineStr">
        <is>
          <t>GÄVLEBORGS LÄN</t>
        </is>
      </c>
      <c r="E497" t="inlineStr">
        <is>
          <t>SANDVIKEN</t>
        </is>
      </c>
      <c r="F497" t="inlineStr">
        <is>
          <t>Bergvik skog öst AB</t>
        </is>
      </c>
      <c r="G497" t="n">
        <v>2.5</v>
      </c>
      <c r="H497" t="n">
        <v>1</v>
      </c>
      <c r="I497" t="n">
        <v>0</v>
      </c>
      <c r="J497" t="n">
        <v>0</v>
      </c>
      <c r="K497" t="n">
        <v>0</v>
      </c>
      <c r="L497" t="n">
        <v>0</v>
      </c>
      <c r="M497" t="n">
        <v>0</v>
      </c>
      <c r="N497" t="n">
        <v>0</v>
      </c>
      <c r="O497" t="n">
        <v>0</v>
      </c>
      <c r="P497" t="n">
        <v>0</v>
      </c>
      <c r="Q497" t="n">
        <v>1</v>
      </c>
      <c r="R497" s="2" t="inlineStr">
        <is>
          <t>Mattlummer</t>
        </is>
      </c>
      <c r="S497">
        <f>HYPERLINK("https://klasma.github.io/Logging_2181/artfynd/A 17653-2025 artfynd.xlsx", "A 17653-2025")</f>
        <v/>
      </c>
      <c r="T497">
        <f>HYPERLINK("https://klasma.github.io/Logging_2181/kartor/A 17653-2025 karta.png", "A 17653-2025")</f>
        <v/>
      </c>
      <c r="V497">
        <f>HYPERLINK("https://klasma.github.io/Logging_2181/klagomål/A 17653-2025 FSC-klagomål.docx", "A 17653-2025")</f>
        <v/>
      </c>
      <c r="W497">
        <f>HYPERLINK("https://klasma.github.io/Logging_2181/klagomålsmail/A 17653-2025 FSC-klagomål mail.docx", "A 17653-2025")</f>
        <v/>
      </c>
      <c r="X497">
        <f>HYPERLINK("https://klasma.github.io/Logging_2181/tillsyn/A 17653-2025 tillsynsbegäran.docx", "A 17653-2025")</f>
        <v/>
      </c>
      <c r="Y497">
        <f>HYPERLINK("https://klasma.github.io/Logging_2181/tillsynsmail/A 17653-2025 tillsynsbegäran mail.docx", "A 17653-2025")</f>
        <v/>
      </c>
    </row>
    <row r="498" ht="15" customHeight="1">
      <c r="A498" t="inlineStr">
        <is>
          <t>A 47459-2023</t>
        </is>
      </c>
      <c r="B498" s="1" t="n">
        <v>45202.83313657407</v>
      </c>
      <c r="C498" s="1" t="n">
        <v>45883</v>
      </c>
      <c r="D498" t="inlineStr">
        <is>
          <t>GÄVLEBORGS LÄN</t>
        </is>
      </c>
      <c r="E498" t="inlineStr">
        <is>
          <t>HOFORS</t>
        </is>
      </c>
      <c r="G498" t="n">
        <v>6</v>
      </c>
      <c r="H498" t="n">
        <v>0</v>
      </c>
      <c r="I498" t="n">
        <v>1</v>
      </c>
      <c r="J498" t="n">
        <v>0</v>
      </c>
      <c r="K498" t="n">
        <v>0</v>
      </c>
      <c r="L498" t="n">
        <v>0</v>
      </c>
      <c r="M498" t="n">
        <v>0</v>
      </c>
      <c r="N498" t="n">
        <v>0</v>
      </c>
      <c r="O498" t="n">
        <v>0</v>
      </c>
      <c r="P498" t="n">
        <v>0</v>
      </c>
      <c r="Q498" t="n">
        <v>1</v>
      </c>
      <c r="R498" s="2" t="inlineStr">
        <is>
          <t>Grönpyrola</t>
        </is>
      </c>
      <c r="S498">
        <f>HYPERLINK("https://klasma.github.io/Logging_2104/artfynd/A 47459-2023 artfynd.xlsx", "A 47459-2023")</f>
        <v/>
      </c>
      <c r="T498">
        <f>HYPERLINK("https://klasma.github.io/Logging_2104/kartor/A 47459-2023 karta.png", "A 47459-2023")</f>
        <v/>
      </c>
      <c r="V498">
        <f>HYPERLINK("https://klasma.github.io/Logging_2104/klagomål/A 47459-2023 FSC-klagomål.docx", "A 47459-2023")</f>
        <v/>
      </c>
      <c r="W498">
        <f>HYPERLINK("https://klasma.github.io/Logging_2104/klagomålsmail/A 47459-2023 FSC-klagomål mail.docx", "A 47459-2023")</f>
        <v/>
      </c>
      <c r="X498">
        <f>HYPERLINK("https://klasma.github.io/Logging_2104/tillsyn/A 47459-2023 tillsynsbegäran.docx", "A 47459-2023")</f>
        <v/>
      </c>
      <c r="Y498">
        <f>HYPERLINK("https://klasma.github.io/Logging_2104/tillsynsmail/A 47459-2023 tillsynsbegäran mail.docx", "A 47459-2023")</f>
        <v/>
      </c>
    </row>
    <row r="499" ht="15" customHeight="1">
      <c r="A499" t="inlineStr">
        <is>
          <t>A 24831-2024</t>
        </is>
      </c>
      <c r="B499" s="1" t="n">
        <v>45461.37734953704</v>
      </c>
      <c r="C499" s="1" t="n">
        <v>45883</v>
      </c>
      <c r="D499" t="inlineStr">
        <is>
          <t>GÄVLEBORGS LÄN</t>
        </is>
      </c>
      <c r="E499" t="inlineStr">
        <is>
          <t>LJUSDAL</t>
        </is>
      </c>
      <c r="G499" t="n">
        <v>4.9</v>
      </c>
      <c r="H499" t="n">
        <v>0</v>
      </c>
      <c r="I499" t="n">
        <v>0</v>
      </c>
      <c r="J499" t="n">
        <v>1</v>
      </c>
      <c r="K499" t="n">
        <v>0</v>
      </c>
      <c r="L499" t="n">
        <v>0</v>
      </c>
      <c r="M499" t="n">
        <v>0</v>
      </c>
      <c r="N499" t="n">
        <v>0</v>
      </c>
      <c r="O499" t="n">
        <v>1</v>
      </c>
      <c r="P499" t="n">
        <v>0</v>
      </c>
      <c r="Q499" t="n">
        <v>1</v>
      </c>
      <c r="R499" s="2" t="inlineStr">
        <is>
          <t>Lunglav</t>
        </is>
      </c>
      <c r="S499">
        <f>HYPERLINK("https://klasma.github.io/Logging_2161/artfynd/A 24831-2024 artfynd.xlsx", "A 24831-2024")</f>
        <v/>
      </c>
      <c r="T499">
        <f>HYPERLINK("https://klasma.github.io/Logging_2161/kartor/A 24831-2024 karta.png", "A 24831-2024")</f>
        <v/>
      </c>
      <c r="V499">
        <f>HYPERLINK("https://klasma.github.io/Logging_2161/klagomål/A 24831-2024 FSC-klagomål.docx", "A 24831-2024")</f>
        <v/>
      </c>
      <c r="W499">
        <f>HYPERLINK("https://klasma.github.io/Logging_2161/klagomålsmail/A 24831-2024 FSC-klagomål mail.docx", "A 24831-2024")</f>
        <v/>
      </c>
      <c r="X499">
        <f>HYPERLINK("https://klasma.github.io/Logging_2161/tillsyn/A 24831-2024 tillsynsbegäran.docx", "A 24831-2024")</f>
        <v/>
      </c>
      <c r="Y499">
        <f>HYPERLINK("https://klasma.github.io/Logging_2161/tillsynsmail/A 24831-2024 tillsynsbegäran mail.docx", "A 24831-2024")</f>
        <v/>
      </c>
    </row>
    <row r="500" ht="15" customHeight="1">
      <c r="A500" t="inlineStr">
        <is>
          <t>A 14667-2025</t>
        </is>
      </c>
      <c r="B500" s="1" t="n">
        <v>45742.53870370371</v>
      </c>
      <c r="C500" s="1" t="n">
        <v>45883</v>
      </c>
      <c r="D500" t="inlineStr">
        <is>
          <t>GÄVLEBORGS LÄN</t>
        </is>
      </c>
      <c r="E500" t="inlineStr">
        <is>
          <t>OCKELBO</t>
        </is>
      </c>
      <c r="F500" t="inlineStr">
        <is>
          <t>Bergvik skog väst AB</t>
        </is>
      </c>
      <c r="G500" t="n">
        <v>6.6</v>
      </c>
      <c r="H500" t="n">
        <v>1</v>
      </c>
      <c r="I500" t="n">
        <v>0</v>
      </c>
      <c r="J500" t="n">
        <v>0</v>
      </c>
      <c r="K500" t="n">
        <v>0</v>
      </c>
      <c r="L500" t="n">
        <v>0</v>
      </c>
      <c r="M500" t="n">
        <v>0</v>
      </c>
      <c r="N500" t="n">
        <v>0</v>
      </c>
      <c r="O500" t="n">
        <v>0</v>
      </c>
      <c r="P500" t="n">
        <v>0</v>
      </c>
      <c r="Q500" t="n">
        <v>1</v>
      </c>
      <c r="R500" s="2" t="inlineStr">
        <is>
          <t>Fläcknycklar</t>
        </is>
      </c>
      <c r="S500">
        <f>HYPERLINK("https://klasma.github.io/Logging_2101/artfynd/A 14667-2025 artfynd.xlsx", "A 14667-2025")</f>
        <v/>
      </c>
      <c r="T500">
        <f>HYPERLINK("https://klasma.github.io/Logging_2101/kartor/A 14667-2025 karta.png", "A 14667-2025")</f>
        <v/>
      </c>
      <c r="V500">
        <f>HYPERLINK("https://klasma.github.io/Logging_2101/klagomål/A 14667-2025 FSC-klagomål.docx", "A 14667-2025")</f>
        <v/>
      </c>
      <c r="W500">
        <f>HYPERLINK("https://klasma.github.io/Logging_2101/klagomålsmail/A 14667-2025 FSC-klagomål mail.docx", "A 14667-2025")</f>
        <v/>
      </c>
      <c r="X500">
        <f>HYPERLINK("https://klasma.github.io/Logging_2101/tillsyn/A 14667-2025 tillsynsbegäran.docx", "A 14667-2025")</f>
        <v/>
      </c>
      <c r="Y500">
        <f>HYPERLINK("https://klasma.github.io/Logging_2101/tillsynsmail/A 14667-2025 tillsynsbegäran mail.docx", "A 14667-2025")</f>
        <v/>
      </c>
    </row>
    <row r="501" ht="15" customHeight="1">
      <c r="A501" t="inlineStr">
        <is>
          <t>A 31802-2025</t>
        </is>
      </c>
      <c r="B501" s="1" t="n">
        <v>45834.55302083334</v>
      </c>
      <c r="C501" s="1" t="n">
        <v>45883</v>
      </c>
      <c r="D501" t="inlineStr">
        <is>
          <t>GÄVLEBORGS LÄN</t>
        </is>
      </c>
      <c r="E501" t="inlineStr">
        <is>
          <t>HUDIKSVALL</t>
        </is>
      </c>
      <c r="G501" t="n">
        <v>2.2</v>
      </c>
      <c r="H501" t="n">
        <v>0</v>
      </c>
      <c r="I501" t="n">
        <v>1</v>
      </c>
      <c r="J501" t="n">
        <v>0</v>
      </c>
      <c r="K501" t="n">
        <v>0</v>
      </c>
      <c r="L501" t="n">
        <v>0</v>
      </c>
      <c r="M501" t="n">
        <v>0</v>
      </c>
      <c r="N501" t="n">
        <v>0</v>
      </c>
      <c r="O501" t="n">
        <v>0</v>
      </c>
      <c r="P501" t="n">
        <v>0</v>
      </c>
      <c r="Q501" t="n">
        <v>1</v>
      </c>
      <c r="R501" s="2" t="inlineStr">
        <is>
          <t>Stor aspticka</t>
        </is>
      </c>
      <c r="S501">
        <f>HYPERLINK("https://klasma.github.io/Logging_2184/artfynd/A 31802-2025 artfynd.xlsx", "A 31802-2025")</f>
        <v/>
      </c>
      <c r="T501">
        <f>HYPERLINK("https://klasma.github.io/Logging_2184/kartor/A 31802-2025 karta.png", "A 31802-2025")</f>
        <v/>
      </c>
      <c r="V501">
        <f>HYPERLINK("https://klasma.github.io/Logging_2184/klagomål/A 31802-2025 FSC-klagomål.docx", "A 31802-2025")</f>
        <v/>
      </c>
      <c r="W501">
        <f>HYPERLINK("https://klasma.github.io/Logging_2184/klagomålsmail/A 31802-2025 FSC-klagomål mail.docx", "A 31802-2025")</f>
        <v/>
      </c>
      <c r="X501">
        <f>HYPERLINK("https://klasma.github.io/Logging_2184/tillsyn/A 31802-2025 tillsynsbegäran.docx", "A 31802-2025")</f>
        <v/>
      </c>
      <c r="Y501">
        <f>HYPERLINK("https://klasma.github.io/Logging_2184/tillsynsmail/A 31802-2025 tillsynsbegäran mail.docx", "A 31802-2025")</f>
        <v/>
      </c>
    </row>
    <row r="502" ht="15" customHeight="1">
      <c r="A502" t="inlineStr">
        <is>
          <t>A 32035-2025</t>
        </is>
      </c>
      <c r="B502" s="1" t="n">
        <v>45835.42466435185</v>
      </c>
      <c r="C502" s="1" t="n">
        <v>45883</v>
      </c>
      <c r="D502" t="inlineStr">
        <is>
          <t>GÄVLEBORGS LÄN</t>
        </is>
      </c>
      <c r="E502" t="inlineStr">
        <is>
          <t>NORDANSTIG</t>
        </is>
      </c>
      <c r="G502" t="n">
        <v>6.6</v>
      </c>
      <c r="H502" t="n">
        <v>1</v>
      </c>
      <c r="I502" t="n">
        <v>0</v>
      </c>
      <c r="J502" t="n">
        <v>0</v>
      </c>
      <c r="K502" t="n">
        <v>0</v>
      </c>
      <c r="L502" t="n">
        <v>0</v>
      </c>
      <c r="M502" t="n">
        <v>0</v>
      </c>
      <c r="N502" t="n">
        <v>0</v>
      </c>
      <c r="O502" t="n">
        <v>0</v>
      </c>
      <c r="P502" t="n">
        <v>0</v>
      </c>
      <c r="Q502" t="n">
        <v>1</v>
      </c>
      <c r="R502" s="2" t="inlineStr">
        <is>
          <t>Revlummer</t>
        </is>
      </c>
      <c r="S502">
        <f>HYPERLINK("https://klasma.github.io/Logging_2132/artfynd/A 32035-2025 artfynd.xlsx", "A 32035-2025")</f>
        <v/>
      </c>
      <c r="T502">
        <f>HYPERLINK("https://klasma.github.io/Logging_2132/kartor/A 32035-2025 karta.png", "A 32035-2025")</f>
        <v/>
      </c>
      <c r="V502">
        <f>HYPERLINK("https://klasma.github.io/Logging_2132/klagomål/A 32035-2025 FSC-klagomål.docx", "A 32035-2025")</f>
        <v/>
      </c>
      <c r="W502">
        <f>HYPERLINK("https://klasma.github.io/Logging_2132/klagomålsmail/A 32035-2025 FSC-klagomål mail.docx", "A 32035-2025")</f>
        <v/>
      </c>
      <c r="X502">
        <f>HYPERLINK("https://klasma.github.io/Logging_2132/tillsyn/A 32035-2025 tillsynsbegäran.docx", "A 32035-2025")</f>
        <v/>
      </c>
      <c r="Y502">
        <f>HYPERLINK("https://klasma.github.io/Logging_2132/tillsynsmail/A 32035-2025 tillsynsbegäran mail.docx", "A 32035-2025")</f>
        <v/>
      </c>
    </row>
    <row r="503" ht="15" customHeight="1">
      <c r="A503" t="inlineStr">
        <is>
          <t>A 32254-2025</t>
        </is>
      </c>
      <c r="B503" s="1" t="n">
        <v>45835.6319212963</v>
      </c>
      <c r="C503" s="1" t="n">
        <v>45883</v>
      </c>
      <c r="D503" t="inlineStr">
        <is>
          <t>GÄVLEBORGS LÄN</t>
        </is>
      </c>
      <c r="E503" t="inlineStr">
        <is>
          <t>OVANÅKER</t>
        </is>
      </c>
      <c r="F503" t="inlineStr">
        <is>
          <t>Bergvik skog öst AB</t>
        </is>
      </c>
      <c r="G503" t="n">
        <v>3.8</v>
      </c>
      <c r="H503" t="n">
        <v>1</v>
      </c>
      <c r="I503" t="n">
        <v>0</v>
      </c>
      <c r="J503" t="n">
        <v>0</v>
      </c>
      <c r="K503" t="n">
        <v>0</v>
      </c>
      <c r="L503" t="n">
        <v>0</v>
      </c>
      <c r="M503" t="n">
        <v>0</v>
      </c>
      <c r="N503" t="n">
        <v>0</v>
      </c>
      <c r="O503" t="n">
        <v>0</v>
      </c>
      <c r="P503" t="n">
        <v>0</v>
      </c>
      <c r="Q503" t="n">
        <v>1</v>
      </c>
      <c r="R503" s="2" t="inlineStr">
        <is>
          <t>Revlummer</t>
        </is>
      </c>
      <c r="S503">
        <f>HYPERLINK("https://klasma.github.io/Logging_2121/artfynd/A 32254-2025 artfynd.xlsx", "A 32254-2025")</f>
        <v/>
      </c>
      <c r="T503">
        <f>HYPERLINK("https://klasma.github.io/Logging_2121/kartor/A 32254-2025 karta.png", "A 32254-2025")</f>
        <v/>
      </c>
      <c r="V503">
        <f>HYPERLINK("https://klasma.github.io/Logging_2121/klagomål/A 32254-2025 FSC-klagomål.docx", "A 32254-2025")</f>
        <v/>
      </c>
      <c r="W503">
        <f>HYPERLINK("https://klasma.github.io/Logging_2121/klagomålsmail/A 32254-2025 FSC-klagomål mail.docx", "A 32254-2025")</f>
        <v/>
      </c>
      <c r="X503">
        <f>HYPERLINK("https://klasma.github.io/Logging_2121/tillsyn/A 32254-2025 tillsynsbegäran.docx", "A 32254-2025")</f>
        <v/>
      </c>
      <c r="Y503">
        <f>HYPERLINK("https://klasma.github.io/Logging_2121/tillsynsmail/A 32254-2025 tillsynsbegäran mail.docx", "A 32254-2025")</f>
        <v/>
      </c>
    </row>
    <row r="504" ht="15" customHeight="1">
      <c r="A504" t="inlineStr">
        <is>
          <t>A 32152-2025</t>
        </is>
      </c>
      <c r="B504" s="1" t="n">
        <v>45835.53287037037</v>
      </c>
      <c r="C504" s="1" t="n">
        <v>45883</v>
      </c>
      <c r="D504" t="inlineStr">
        <is>
          <t>GÄVLEBORGS LÄN</t>
        </is>
      </c>
      <c r="E504" t="inlineStr">
        <is>
          <t>LJUSDAL</t>
        </is>
      </c>
      <c r="F504" t="inlineStr">
        <is>
          <t>Allmännings- och besparingsskogar</t>
        </is>
      </c>
      <c r="G504" t="n">
        <v>3.1</v>
      </c>
      <c r="H504" t="n">
        <v>1</v>
      </c>
      <c r="I504" t="n">
        <v>0</v>
      </c>
      <c r="J504" t="n">
        <v>1</v>
      </c>
      <c r="K504" t="n">
        <v>0</v>
      </c>
      <c r="L504" t="n">
        <v>0</v>
      </c>
      <c r="M504" t="n">
        <v>0</v>
      </c>
      <c r="N504" t="n">
        <v>0</v>
      </c>
      <c r="O504" t="n">
        <v>1</v>
      </c>
      <c r="P504" t="n">
        <v>0</v>
      </c>
      <c r="Q504" t="n">
        <v>1</v>
      </c>
      <c r="R504" s="2" t="inlineStr">
        <is>
          <t>Talltita</t>
        </is>
      </c>
      <c r="S504">
        <f>HYPERLINK("https://klasma.github.io/Logging_2161/artfynd/A 32152-2025 artfynd.xlsx", "A 32152-2025")</f>
        <v/>
      </c>
      <c r="T504">
        <f>HYPERLINK("https://klasma.github.io/Logging_2161/kartor/A 32152-2025 karta.png", "A 32152-2025")</f>
        <v/>
      </c>
      <c r="V504">
        <f>HYPERLINK("https://klasma.github.io/Logging_2161/klagomål/A 32152-2025 FSC-klagomål.docx", "A 32152-2025")</f>
        <v/>
      </c>
      <c r="W504">
        <f>HYPERLINK("https://klasma.github.io/Logging_2161/klagomålsmail/A 32152-2025 FSC-klagomål mail.docx", "A 32152-2025")</f>
        <v/>
      </c>
      <c r="X504">
        <f>HYPERLINK("https://klasma.github.io/Logging_2161/tillsyn/A 32152-2025 tillsynsbegäran.docx", "A 32152-2025")</f>
        <v/>
      </c>
      <c r="Y504">
        <f>HYPERLINK("https://klasma.github.io/Logging_2161/tillsynsmail/A 32152-2025 tillsynsbegäran mail.docx", "A 32152-2025")</f>
        <v/>
      </c>
      <c r="Z504">
        <f>HYPERLINK("https://klasma.github.io/Logging_2161/fåglar/A 32152-2025 prioriterade fågelarter.docx", "A 32152-2025")</f>
        <v/>
      </c>
    </row>
    <row r="505" ht="15" customHeight="1">
      <c r="A505" t="inlineStr">
        <is>
          <t>A 32489-2025</t>
        </is>
      </c>
      <c r="B505" s="1" t="n">
        <v>45838</v>
      </c>
      <c r="C505" s="1" t="n">
        <v>45883</v>
      </c>
      <c r="D505" t="inlineStr">
        <is>
          <t>GÄVLEBORGS LÄN</t>
        </is>
      </c>
      <c r="E505" t="inlineStr">
        <is>
          <t>LJUSDAL</t>
        </is>
      </c>
      <c r="F505" t="inlineStr">
        <is>
          <t>Allmännings- och besparingsskogar</t>
        </is>
      </c>
      <c r="G505" t="n">
        <v>21</v>
      </c>
      <c r="H505" t="n">
        <v>0</v>
      </c>
      <c r="I505" t="n">
        <v>0</v>
      </c>
      <c r="J505" t="n">
        <v>1</v>
      </c>
      <c r="K505" t="n">
        <v>0</v>
      </c>
      <c r="L505" t="n">
        <v>0</v>
      </c>
      <c r="M505" t="n">
        <v>0</v>
      </c>
      <c r="N505" t="n">
        <v>0</v>
      </c>
      <c r="O505" t="n">
        <v>1</v>
      </c>
      <c r="P505" t="n">
        <v>0</v>
      </c>
      <c r="Q505" t="n">
        <v>1</v>
      </c>
      <c r="R505" s="2" t="inlineStr">
        <is>
          <t>Garnlav</t>
        </is>
      </c>
      <c r="S505">
        <f>HYPERLINK("https://klasma.github.io/Logging_2161/artfynd/A 32489-2025 artfynd.xlsx", "A 32489-2025")</f>
        <v/>
      </c>
      <c r="T505">
        <f>HYPERLINK("https://klasma.github.io/Logging_2161/kartor/A 32489-2025 karta.png", "A 32489-2025")</f>
        <v/>
      </c>
      <c r="V505">
        <f>HYPERLINK("https://klasma.github.io/Logging_2161/klagomål/A 32489-2025 FSC-klagomål.docx", "A 32489-2025")</f>
        <v/>
      </c>
      <c r="W505">
        <f>HYPERLINK("https://klasma.github.io/Logging_2161/klagomålsmail/A 32489-2025 FSC-klagomål mail.docx", "A 32489-2025")</f>
        <v/>
      </c>
      <c r="X505">
        <f>HYPERLINK("https://klasma.github.io/Logging_2161/tillsyn/A 32489-2025 tillsynsbegäran.docx", "A 32489-2025")</f>
        <v/>
      </c>
      <c r="Y505">
        <f>HYPERLINK("https://klasma.github.io/Logging_2161/tillsynsmail/A 32489-2025 tillsynsbegäran mail.docx", "A 32489-2025")</f>
        <v/>
      </c>
    </row>
    <row r="506" ht="15" customHeight="1">
      <c r="A506" t="inlineStr">
        <is>
          <t>A 6378-2023</t>
        </is>
      </c>
      <c r="B506" s="1" t="n">
        <v>44965</v>
      </c>
      <c r="C506" s="1" t="n">
        <v>45883</v>
      </c>
      <c r="D506" t="inlineStr">
        <is>
          <t>GÄVLEBORGS LÄN</t>
        </is>
      </c>
      <c r="E506" t="inlineStr">
        <is>
          <t>SANDVIKEN</t>
        </is>
      </c>
      <c r="G506" t="n">
        <v>4</v>
      </c>
      <c r="H506" t="n">
        <v>1</v>
      </c>
      <c r="I506" t="n">
        <v>0</v>
      </c>
      <c r="J506" t="n">
        <v>1</v>
      </c>
      <c r="K506" t="n">
        <v>0</v>
      </c>
      <c r="L506" t="n">
        <v>0</v>
      </c>
      <c r="M506" t="n">
        <v>0</v>
      </c>
      <c r="N506" t="n">
        <v>0</v>
      </c>
      <c r="O506" t="n">
        <v>1</v>
      </c>
      <c r="P506" t="n">
        <v>0</v>
      </c>
      <c r="Q506" t="n">
        <v>1</v>
      </c>
      <c r="R506" s="2" t="inlineStr">
        <is>
          <t>Rödvingetrast</t>
        </is>
      </c>
      <c r="S506">
        <f>HYPERLINK("https://klasma.github.io/Logging_2181/artfynd/A 6378-2023 artfynd.xlsx", "A 6378-2023")</f>
        <v/>
      </c>
      <c r="T506">
        <f>HYPERLINK("https://klasma.github.io/Logging_2181/kartor/A 6378-2023 karta.png", "A 6378-2023")</f>
        <v/>
      </c>
      <c r="V506">
        <f>HYPERLINK("https://klasma.github.io/Logging_2181/klagomål/A 6378-2023 FSC-klagomål.docx", "A 6378-2023")</f>
        <v/>
      </c>
      <c r="W506">
        <f>HYPERLINK("https://klasma.github.io/Logging_2181/klagomålsmail/A 6378-2023 FSC-klagomål mail.docx", "A 6378-2023")</f>
        <v/>
      </c>
      <c r="X506">
        <f>HYPERLINK("https://klasma.github.io/Logging_2181/tillsyn/A 6378-2023 tillsynsbegäran.docx", "A 6378-2023")</f>
        <v/>
      </c>
      <c r="Y506">
        <f>HYPERLINK("https://klasma.github.io/Logging_2181/tillsynsmail/A 6378-2023 tillsynsbegäran mail.docx", "A 6378-2023")</f>
        <v/>
      </c>
      <c r="Z506">
        <f>HYPERLINK("https://klasma.github.io/Logging_2181/fåglar/A 6378-2023 prioriterade fågelarter.docx", "A 6378-2023")</f>
        <v/>
      </c>
    </row>
    <row r="507" ht="15" customHeight="1">
      <c r="A507" t="inlineStr">
        <is>
          <t>A 12817-2025</t>
        </is>
      </c>
      <c r="B507" s="1" t="n">
        <v>45733.62414351852</v>
      </c>
      <c r="C507" s="1" t="n">
        <v>45883</v>
      </c>
      <c r="D507" t="inlineStr">
        <is>
          <t>GÄVLEBORGS LÄN</t>
        </is>
      </c>
      <c r="E507" t="inlineStr">
        <is>
          <t>BOLLNÄS</t>
        </is>
      </c>
      <c r="G507" t="n">
        <v>1.8</v>
      </c>
      <c r="H507" t="n">
        <v>0</v>
      </c>
      <c r="I507" t="n">
        <v>1</v>
      </c>
      <c r="J507" t="n">
        <v>0</v>
      </c>
      <c r="K507" t="n">
        <v>0</v>
      </c>
      <c r="L507" t="n">
        <v>0</v>
      </c>
      <c r="M507" t="n">
        <v>0</v>
      </c>
      <c r="N507" t="n">
        <v>0</v>
      </c>
      <c r="O507" t="n">
        <v>0</v>
      </c>
      <c r="P507" t="n">
        <v>0</v>
      </c>
      <c r="Q507" t="n">
        <v>1</v>
      </c>
      <c r="R507" s="2" t="inlineStr">
        <is>
          <t>Dropptaggsvamp</t>
        </is>
      </c>
      <c r="S507">
        <f>HYPERLINK("https://klasma.github.io/Logging_2183/artfynd/A 12817-2025 artfynd.xlsx", "A 12817-2025")</f>
        <v/>
      </c>
      <c r="T507">
        <f>HYPERLINK("https://klasma.github.io/Logging_2183/kartor/A 12817-2025 karta.png", "A 12817-2025")</f>
        <v/>
      </c>
      <c r="V507">
        <f>HYPERLINK("https://klasma.github.io/Logging_2183/klagomål/A 12817-2025 FSC-klagomål.docx", "A 12817-2025")</f>
        <v/>
      </c>
      <c r="W507">
        <f>HYPERLINK("https://klasma.github.io/Logging_2183/klagomålsmail/A 12817-2025 FSC-klagomål mail.docx", "A 12817-2025")</f>
        <v/>
      </c>
      <c r="X507">
        <f>HYPERLINK("https://klasma.github.io/Logging_2183/tillsyn/A 12817-2025 tillsynsbegäran.docx", "A 12817-2025")</f>
        <v/>
      </c>
      <c r="Y507">
        <f>HYPERLINK("https://klasma.github.io/Logging_2183/tillsynsmail/A 12817-2025 tillsynsbegäran mail.docx", "A 12817-2025")</f>
        <v/>
      </c>
    </row>
    <row r="508" ht="15" customHeight="1">
      <c r="A508" t="inlineStr">
        <is>
          <t>A 33075-2025</t>
        </is>
      </c>
      <c r="B508" s="1" t="n">
        <v>45840.45563657407</v>
      </c>
      <c r="C508" s="1" t="n">
        <v>45883</v>
      </c>
      <c r="D508" t="inlineStr">
        <is>
          <t>GÄVLEBORGS LÄN</t>
        </is>
      </c>
      <c r="E508" t="inlineStr">
        <is>
          <t>OCKELBO</t>
        </is>
      </c>
      <c r="F508" t="inlineStr">
        <is>
          <t>Bergvik skog väst AB</t>
        </is>
      </c>
      <c r="G508" t="n">
        <v>15.7</v>
      </c>
      <c r="H508" t="n">
        <v>1</v>
      </c>
      <c r="I508" t="n">
        <v>1</v>
      </c>
      <c r="J508" t="n">
        <v>0</v>
      </c>
      <c r="K508" t="n">
        <v>0</v>
      </c>
      <c r="L508" t="n">
        <v>0</v>
      </c>
      <c r="M508" t="n">
        <v>0</v>
      </c>
      <c r="N508" t="n">
        <v>0</v>
      </c>
      <c r="O508" t="n">
        <v>0</v>
      </c>
      <c r="P508" t="n">
        <v>0</v>
      </c>
      <c r="Q508" t="n">
        <v>1</v>
      </c>
      <c r="R508" s="2" t="inlineStr">
        <is>
          <t>Grön sköldmossa</t>
        </is>
      </c>
      <c r="S508">
        <f>HYPERLINK("https://klasma.github.io/Logging_2101/artfynd/A 33075-2025 artfynd.xlsx", "A 33075-2025")</f>
        <v/>
      </c>
      <c r="T508">
        <f>HYPERLINK("https://klasma.github.io/Logging_2101/kartor/A 33075-2025 karta.png", "A 33075-2025")</f>
        <v/>
      </c>
      <c r="V508">
        <f>HYPERLINK("https://klasma.github.io/Logging_2101/klagomål/A 33075-2025 FSC-klagomål.docx", "A 33075-2025")</f>
        <v/>
      </c>
      <c r="W508">
        <f>HYPERLINK("https://klasma.github.io/Logging_2101/klagomålsmail/A 33075-2025 FSC-klagomål mail.docx", "A 33075-2025")</f>
        <v/>
      </c>
      <c r="X508">
        <f>HYPERLINK("https://klasma.github.io/Logging_2101/tillsyn/A 33075-2025 tillsynsbegäran.docx", "A 33075-2025")</f>
        <v/>
      </c>
      <c r="Y508">
        <f>HYPERLINK("https://klasma.github.io/Logging_2101/tillsynsmail/A 33075-2025 tillsynsbegäran mail.docx", "A 33075-2025")</f>
        <v/>
      </c>
    </row>
    <row r="509" ht="15" customHeight="1">
      <c r="A509" t="inlineStr">
        <is>
          <t>A 22096-2021</t>
        </is>
      </c>
      <c r="B509" s="1" t="n">
        <v>44323</v>
      </c>
      <c r="C509" s="1" t="n">
        <v>45883</v>
      </c>
      <c r="D509" t="inlineStr">
        <is>
          <t>GÄVLEBORGS LÄN</t>
        </is>
      </c>
      <c r="E509" t="inlineStr">
        <is>
          <t>HOFORS</t>
        </is>
      </c>
      <c r="F509" t="inlineStr">
        <is>
          <t>Sveaskog</t>
        </is>
      </c>
      <c r="G509" t="n">
        <v>1.7</v>
      </c>
      <c r="H509" t="n">
        <v>1</v>
      </c>
      <c r="I509" t="n">
        <v>0</v>
      </c>
      <c r="J509" t="n">
        <v>0</v>
      </c>
      <c r="K509" t="n">
        <v>1</v>
      </c>
      <c r="L509" t="n">
        <v>0</v>
      </c>
      <c r="M509" t="n">
        <v>0</v>
      </c>
      <c r="N509" t="n">
        <v>0</v>
      </c>
      <c r="O509" t="n">
        <v>1</v>
      </c>
      <c r="P509" t="n">
        <v>1</v>
      </c>
      <c r="Q509" t="n">
        <v>1</v>
      </c>
      <c r="R509" s="2" t="inlineStr">
        <is>
          <t>Knärot</t>
        </is>
      </c>
      <c r="S509">
        <f>HYPERLINK("https://klasma.github.io/Logging_2104/artfynd/A 22096-2021 artfynd.xlsx", "A 22096-2021")</f>
        <v/>
      </c>
      <c r="T509">
        <f>HYPERLINK("https://klasma.github.io/Logging_2104/kartor/A 22096-2021 karta.png", "A 22096-2021")</f>
        <v/>
      </c>
      <c r="U509">
        <f>HYPERLINK("https://klasma.github.io/Logging_2104/knärot/A 22096-2021 karta knärot.png", "A 22096-2021")</f>
        <v/>
      </c>
      <c r="V509">
        <f>HYPERLINK("https://klasma.github.io/Logging_2104/klagomål/A 22096-2021 FSC-klagomål.docx", "A 22096-2021")</f>
        <v/>
      </c>
      <c r="W509">
        <f>HYPERLINK("https://klasma.github.io/Logging_2104/klagomålsmail/A 22096-2021 FSC-klagomål mail.docx", "A 22096-2021")</f>
        <v/>
      </c>
      <c r="X509">
        <f>HYPERLINK("https://klasma.github.io/Logging_2104/tillsyn/A 22096-2021 tillsynsbegäran.docx", "A 22096-2021")</f>
        <v/>
      </c>
      <c r="Y509">
        <f>HYPERLINK("https://klasma.github.io/Logging_2104/tillsynsmail/A 22096-2021 tillsynsbegäran mail.docx", "A 22096-2021")</f>
        <v/>
      </c>
    </row>
    <row r="510" ht="15" customHeight="1">
      <c r="A510" t="inlineStr">
        <is>
          <t>A 39024-2024</t>
        </is>
      </c>
      <c r="B510" s="1" t="n">
        <v>45548</v>
      </c>
      <c r="C510" s="1" t="n">
        <v>45883</v>
      </c>
      <c r="D510" t="inlineStr">
        <is>
          <t>GÄVLEBORGS LÄN</t>
        </is>
      </c>
      <c r="E510" t="inlineStr">
        <is>
          <t>LJUSDAL</t>
        </is>
      </c>
      <c r="F510" t="inlineStr">
        <is>
          <t>Sveaskog</t>
        </is>
      </c>
      <c r="G510" t="n">
        <v>17</v>
      </c>
      <c r="H510" t="n">
        <v>0</v>
      </c>
      <c r="I510" t="n">
        <v>0</v>
      </c>
      <c r="J510" t="n">
        <v>1</v>
      </c>
      <c r="K510" t="n">
        <v>0</v>
      </c>
      <c r="L510" t="n">
        <v>0</v>
      </c>
      <c r="M510" t="n">
        <v>0</v>
      </c>
      <c r="N510" t="n">
        <v>0</v>
      </c>
      <c r="O510" t="n">
        <v>1</v>
      </c>
      <c r="P510" t="n">
        <v>0</v>
      </c>
      <c r="Q510" t="n">
        <v>1</v>
      </c>
      <c r="R510" s="2" t="inlineStr">
        <is>
          <t>Lunglav</t>
        </is>
      </c>
      <c r="S510">
        <f>HYPERLINK("https://klasma.github.io/Logging_2161/artfynd/A 39024-2024 artfynd.xlsx", "A 39024-2024")</f>
        <v/>
      </c>
      <c r="T510">
        <f>HYPERLINK("https://klasma.github.io/Logging_2161/kartor/A 39024-2024 karta.png", "A 39024-2024")</f>
        <v/>
      </c>
      <c r="V510">
        <f>HYPERLINK("https://klasma.github.io/Logging_2161/klagomål/A 39024-2024 FSC-klagomål.docx", "A 39024-2024")</f>
        <v/>
      </c>
      <c r="W510">
        <f>HYPERLINK("https://klasma.github.io/Logging_2161/klagomålsmail/A 39024-2024 FSC-klagomål mail.docx", "A 39024-2024")</f>
        <v/>
      </c>
      <c r="X510">
        <f>HYPERLINK("https://klasma.github.io/Logging_2161/tillsyn/A 39024-2024 tillsynsbegäran.docx", "A 39024-2024")</f>
        <v/>
      </c>
      <c r="Y510">
        <f>HYPERLINK("https://klasma.github.io/Logging_2161/tillsynsmail/A 39024-2024 tillsynsbegäran mail.docx", "A 39024-2024")</f>
        <v/>
      </c>
    </row>
    <row r="511" ht="15" customHeight="1">
      <c r="A511" t="inlineStr">
        <is>
          <t>A 37927-2022</t>
        </is>
      </c>
      <c r="B511" s="1" t="n">
        <v>44811</v>
      </c>
      <c r="C511" s="1" t="n">
        <v>45883</v>
      </c>
      <c r="D511" t="inlineStr">
        <is>
          <t>GÄVLEBORGS LÄN</t>
        </is>
      </c>
      <c r="E511" t="inlineStr">
        <is>
          <t>GÄVLE</t>
        </is>
      </c>
      <c r="G511" t="n">
        <v>1.6</v>
      </c>
      <c r="H511" t="n">
        <v>1</v>
      </c>
      <c r="I511" t="n">
        <v>0</v>
      </c>
      <c r="J511" t="n">
        <v>0</v>
      </c>
      <c r="K511" t="n">
        <v>1</v>
      </c>
      <c r="L511" t="n">
        <v>0</v>
      </c>
      <c r="M511" t="n">
        <v>0</v>
      </c>
      <c r="N511" t="n">
        <v>0</v>
      </c>
      <c r="O511" t="n">
        <v>1</v>
      </c>
      <c r="P511" t="n">
        <v>1</v>
      </c>
      <c r="Q511" t="n">
        <v>1</v>
      </c>
      <c r="R511" s="2" t="inlineStr">
        <is>
          <t>Knärot</t>
        </is>
      </c>
      <c r="S511">
        <f>HYPERLINK("https://klasma.github.io/Logging_2180/artfynd/A 37927-2022 artfynd.xlsx", "A 37927-2022")</f>
        <v/>
      </c>
      <c r="T511">
        <f>HYPERLINK("https://klasma.github.io/Logging_2180/kartor/A 37927-2022 karta.png", "A 37927-2022")</f>
        <v/>
      </c>
      <c r="U511">
        <f>HYPERLINK("https://klasma.github.io/Logging_2180/knärot/A 37927-2022 karta knärot.png", "A 37927-2022")</f>
        <v/>
      </c>
      <c r="V511">
        <f>HYPERLINK("https://klasma.github.io/Logging_2180/klagomål/A 37927-2022 FSC-klagomål.docx", "A 37927-2022")</f>
        <v/>
      </c>
      <c r="W511">
        <f>HYPERLINK("https://klasma.github.io/Logging_2180/klagomålsmail/A 37927-2022 FSC-klagomål mail.docx", "A 37927-2022")</f>
        <v/>
      </c>
      <c r="X511">
        <f>HYPERLINK("https://klasma.github.io/Logging_2180/tillsyn/A 37927-2022 tillsynsbegäran.docx", "A 37927-2022")</f>
        <v/>
      </c>
      <c r="Y511">
        <f>HYPERLINK("https://klasma.github.io/Logging_2180/tillsynsmail/A 37927-2022 tillsynsbegäran mail.docx", "A 37927-2022")</f>
        <v/>
      </c>
    </row>
    <row r="512" ht="15" customHeight="1">
      <c r="A512" t="inlineStr">
        <is>
          <t>A 38105-2025</t>
        </is>
      </c>
      <c r="B512" s="1" t="n">
        <v>45882</v>
      </c>
      <c r="C512" s="1" t="n">
        <v>45883</v>
      </c>
      <c r="D512" t="inlineStr">
        <is>
          <t>GÄVLEBORGS LÄN</t>
        </is>
      </c>
      <c r="E512" t="inlineStr">
        <is>
          <t>LJUSDAL</t>
        </is>
      </c>
      <c r="F512" t="inlineStr">
        <is>
          <t>Bergvik skog väst AB</t>
        </is>
      </c>
      <c r="G512" t="n">
        <v>11.7</v>
      </c>
      <c r="H512" t="n">
        <v>0</v>
      </c>
      <c r="I512" t="n">
        <v>0</v>
      </c>
      <c r="J512" t="n">
        <v>1</v>
      </c>
      <c r="K512" t="n">
        <v>0</v>
      </c>
      <c r="L512" t="n">
        <v>0</v>
      </c>
      <c r="M512" t="n">
        <v>0</v>
      </c>
      <c r="N512" t="n">
        <v>0</v>
      </c>
      <c r="O512" t="n">
        <v>1</v>
      </c>
      <c r="P512" t="n">
        <v>0</v>
      </c>
      <c r="Q512" t="n">
        <v>1</v>
      </c>
      <c r="R512" s="2" t="inlineStr">
        <is>
          <t>Lunglav</t>
        </is>
      </c>
      <c r="S512">
        <f>HYPERLINK("https://klasma.github.io/Logging_2161/artfynd/A 38105-2025 artfynd.xlsx", "A 38105-2025")</f>
        <v/>
      </c>
      <c r="T512">
        <f>HYPERLINK("https://klasma.github.io/Logging_2161/kartor/A 38105-2025 karta.png", "A 38105-2025")</f>
        <v/>
      </c>
      <c r="V512">
        <f>HYPERLINK("https://klasma.github.io/Logging_2161/klagomål/A 38105-2025 FSC-klagomål.docx", "A 38105-2025")</f>
        <v/>
      </c>
      <c r="W512">
        <f>HYPERLINK("https://klasma.github.io/Logging_2161/klagomålsmail/A 38105-2025 FSC-klagomål mail.docx", "A 38105-2025")</f>
        <v/>
      </c>
      <c r="X512">
        <f>HYPERLINK("https://klasma.github.io/Logging_2161/tillsyn/A 38105-2025 tillsynsbegäran.docx", "A 38105-2025")</f>
        <v/>
      </c>
      <c r="Y512">
        <f>HYPERLINK("https://klasma.github.io/Logging_2161/tillsynsmail/A 38105-2025 tillsynsbegäran mail.docx", "A 38105-2025")</f>
        <v/>
      </c>
    </row>
    <row r="513" ht="15" customHeight="1">
      <c r="A513" t="inlineStr">
        <is>
          <t>A 54828-2021</t>
        </is>
      </c>
      <c r="B513" s="1" t="n">
        <v>44473</v>
      </c>
      <c r="C513" s="1" t="n">
        <v>45883</v>
      </c>
      <c r="D513" t="inlineStr">
        <is>
          <t>GÄVLEBORGS LÄN</t>
        </is>
      </c>
      <c r="E513" t="inlineStr">
        <is>
          <t>HOFORS</t>
        </is>
      </c>
      <c r="F513" t="inlineStr">
        <is>
          <t>Bergvik skog väst AB</t>
        </is>
      </c>
      <c r="G513" t="n">
        <v>5.1</v>
      </c>
      <c r="H513" t="n">
        <v>1</v>
      </c>
      <c r="I513" t="n">
        <v>0</v>
      </c>
      <c r="J513" t="n">
        <v>0</v>
      </c>
      <c r="K513" t="n">
        <v>1</v>
      </c>
      <c r="L513" t="n">
        <v>0</v>
      </c>
      <c r="M513" t="n">
        <v>0</v>
      </c>
      <c r="N513" t="n">
        <v>0</v>
      </c>
      <c r="O513" t="n">
        <v>1</v>
      </c>
      <c r="P513" t="n">
        <v>1</v>
      </c>
      <c r="Q513" t="n">
        <v>1</v>
      </c>
      <c r="R513" s="2" t="inlineStr">
        <is>
          <t>Knärot</t>
        </is>
      </c>
      <c r="S513">
        <f>HYPERLINK("https://klasma.github.io/Logging_2104/artfynd/A 54828-2021 artfynd.xlsx", "A 54828-2021")</f>
        <v/>
      </c>
      <c r="T513">
        <f>HYPERLINK("https://klasma.github.io/Logging_2104/kartor/A 54828-2021 karta.png", "A 54828-2021")</f>
        <v/>
      </c>
      <c r="U513">
        <f>HYPERLINK("https://klasma.github.io/Logging_2104/knärot/A 54828-2021 karta knärot.png", "A 54828-2021")</f>
        <v/>
      </c>
      <c r="V513">
        <f>HYPERLINK("https://klasma.github.io/Logging_2104/klagomål/A 54828-2021 FSC-klagomål.docx", "A 54828-2021")</f>
        <v/>
      </c>
      <c r="W513">
        <f>HYPERLINK("https://klasma.github.io/Logging_2104/klagomålsmail/A 54828-2021 FSC-klagomål mail.docx", "A 54828-2021")</f>
        <v/>
      </c>
      <c r="X513">
        <f>HYPERLINK("https://klasma.github.io/Logging_2104/tillsyn/A 54828-2021 tillsynsbegäran.docx", "A 54828-2021")</f>
        <v/>
      </c>
      <c r="Y513">
        <f>HYPERLINK("https://klasma.github.io/Logging_2104/tillsynsmail/A 54828-2021 tillsynsbegäran mail.docx", "A 54828-2021")</f>
        <v/>
      </c>
    </row>
    <row r="514" ht="15" customHeight="1">
      <c r="A514" t="inlineStr">
        <is>
          <t>A 25237-2022</t>
        </is>
      </c>
      <c r="B514" s="1" t="n">
        <v>44729</v>
      </c>
      <c r="C514" s="1" t="n">
        <v>45883</v>
      </c>
      <c r="D514" t="inlineStr">
        <is>
          <t>GÄVLEBORGS LÄN</t>
        </is>
      </c>
      <c r="E514" t="inlineStr">
        <is>
          <t>SÖDERHAMN</t>
        </is>
      </c>
      <c r="F514" t="inlineStr">
        <is>
          <t>Bergvik skog väst AB</t>
        </is>
      </c>
      <c r="G514" t="n">
        <v>18.6</v>
      </c>
      <c r="H514" t="n">
        <v>1</v>
      </c>
      <c r="I514" t="n">
        <v>0</v>
      </c>
      <c r="J514" t="n">
        <v>1</v>
      </c>
      <c r="K514" t="n">
        <v>0</v>
      </c>
      <c r="L514" t="n">
        <v>0</v>
      </c>
      <c r="M514" t="n">
        <v>0</v>
      </c>
      <c r="N514" t="n">
        <v>0</v>
      </c>
      <c r="O514" t="n">
        <v>1</v>
      </c>
      <c r="P514" t="n">
        <v>0</v>
      </c>
      <c r="Q514" t="n">
        <v>1</v>
      </c>
      <c r="R514" s="2" t="inlineStr">
        <is>
          <t>Talltita</t>
        </is>
      </c>
      <c r="S514">
        <f>HYPERLINK("https://klasma.github.io/Logging_2182/artfynd/A 25237-2022 artfynd.xlsx", "A 25237-2022")</f>
        <v/>
      </c>
      <c r="T514">
        <f>HYPERLINK("https://klasma.github.io/Logging_2182/kartor/A 25237-2022 karta.png", "A 25237-2022")</f>
        <v/>
      </c>
      <c r="V514">
        <f>HYPERLINK("https://klasma.github.io/Logging_2182/klagomål/A 25237-2022 FSC-klagomål.docx", "A 25237-2022")</f>
        <v/>
      </c>
      <c r="W514">
        <f>HYPERLINK("https://klasma.github.io/Logging_2182/klagomålsmail/A 25237-2022 FSC-klagomål mail.docx", "A 25237-2022")</f>
        <v/>
      </c>
      <c r="X514">
        <f>HYPERLINK("https://klasma.github.io/Logging_2182/tillsyn/A 25237-2022 tillsynsbegäran.docx", "A 25237-2022")</f>
        <v/>
      </c>
      <c r="Y514">
        <f>HYPERLINK("https://klasma.github.io/Logging_2182/tillsynsmail/A 25237-2022 tillsynsbegäran mail.docx", "A 25237-2022")</f>
        <v/>
      </c>
      <c r="Z514">
        <f>HYPERLINK("https://klasma.github.io/Logging_2182/fåglar/A 25237-2022 prioriterade fågelarter.docx", "A 25237-2022")</f>
        <v/>
      </c>
    </row>
    <row r="515" ht="15" customHeight="1">
      <c r="A515" t="inlineStr">
        <is>
          <t>A 234-2023</t>
        </is>
      </c>
      <c r="B515" s="1" t="n">
        <v>44928.66260416667</v>
      </c>
      <c r="C515" s="1" t="n">
        <v>45883</v>
      </c>
      <c r="D515" t="inlineStr">
        <is>
          <t>GÄVLEBORGS LÄN</t>
        </is>
      </c>
      <c r="E515" t="inlineStr">
        <is>
          <t>HOFORS</t>
        </is>
      </c>
      <c r="F515" t="inlineStr">
        <is>
          <t>Sveaskog</t>
        </is>
      </c>
      <c r="G515" t="n">
        <v>5.1</v>
      </c>
      <c r="H515" t="n">
        <v>1</v>
      </c>
      <c r="I515" t="n">
        <v>0</v>
      </c>
      <c r="J515" t="n">
        <v>0</v>
      </c>
      <c r="K515" t="n">
        <v>1</v>
      </c>
      <c r="L515" t="n">
        <v>0</v>
      </c>
      <c r="M515" t="n">
        <v>0</v>
      </c>
      <c r="N515" t="n">
        <v>0</v>
      </c>
      <c r="O515" t="n">
        <v>1</v>
      </c>
      <c r="P515" t="n">
        <v>1</v>
      </c>
      <c r="Q515" t="n">
        <v>1</v>
      </c>
      <c r="R515" s="2" t="inlineStr">
        <is>
          <t>Knärot</t>
        </is>
      </c>
      <c r="S515">
        <f>HYPERLINK("https://klasma.github.io/Logging_2104/artfynd/A 234-2023 artfynd.xlsx", "A 234-2023")</f>
        <v/>
      </c>
      <c r="T515">
        <f>HYPERLINK("https://klasma.github.io/Logging_2104/kartor/A 234-2023 karta.png", "A 234-2023")</f>
        <v/>
      </c>
      <c r="U515">
        <f>HYPERLINK("https://klasma.github.io/Logging_2104/knärot/A 234-2023 karta knärot.png", "A 234-2023")</f>
        <v/>
      </c>
      <c r="V515">
        <f>HYPERLINK("https://klasma.github.io/Logging_2104/klagomål/A 234-2023 FSC-klagomål.docx", "A 234-2023")</f>
        <v/>
      </c>
      <c r="W515">
        <f>HYPERLINK("https://klasma.github.io/Logging_2104/klagomålsmail/A 234-2023 FSC-klagomål mail.docx", "A 234-2023")</f>
        <v/>
      </c>
      <c r="X515">
        <f>HYPERLINK("https://klasma.github.io/Logging_2104/tillsyn/A 234-2023 tillsynsbegäran.docx", "A 234-2023")</f>
        <v/>
      </c>
      <c r="Y515">
        <f>HYPERLINK("https://klasma.github.io/Logging_2104/tillsynsmail/A 234-2023 tillsynsbegäran mail.docx", "A 234-2023")</f>
        <v/>
      </c>
    </row>
    <row r="516" ht="15" customHeight="1">
      <c r="A516" t="inlineStr">
        <is>
          <t>A 29821-2023</t>
        </is>
      </c>
      <c r="B516" s="1" t="n">
        <v>45107.56270833333</v>
      </c>
      <c r="C516" s="1" t="n">
        <v>45883</v>
      </c>
      <c r="D516" t="inlineStr">
        <is>
          <t>GÄVLEBORGS LÄN</t>
        </is>
      </c>
      <c r="E516" t="inlineStr">
        <is>
          <t>GÄVLE</t>
        </is>
      </c>
      <c r="G516" t="n">
        <v>5.3</v>
      </c>
      <c r="H516" t="n">
        <v>1</v>
      </c>
      <c r="I516" t="n">
        <v>0</v>
      </c>
      <c r="J516" t="n">
        <v>1</v>
      </c>
      <c r="K516" t="n">
        <v>0</v>
      </c>
      <c r="L516" t="n">
        <v>0</v>
      </c>
      <c r="M516" t="n">
        <v>0</v>
      </c>
      <c r="N516" t="n">
        <v>0</v>
      </c>
      <c r="O516" t="n">
        <v>1</v>
      </c>
      <c r="P516" t="n">
        <v>0</v>
      </c>
      <c r="Q516" t="n">
        <v>1</v>
      </c>
      <c r="R516" s="2" t="inlineStr">
        <is>
          <t>Svartvit flugsnappare</t>
        </is>
      </c>
      <c r="S516">
        <f>HYPERLINK("https://klasma.github.io/Logging_2180/artfynd/A 29821-2023 artfynd.xlsx", "A 29821-2023")</f>
        <v/>
      </c>
      <c r="T516">
        <f>HYPERLINK("https://klasma.github.io/Logging_2180/kartor/A 29821-2023 karta.png", "A 29821-2023")</f>
        <v/>
      </c>
      <c r="V516">
        <f>HYPERLINK("https://klasma.github.io/Logging_2180/klagomål/A 29821-2023 FSC-klagomål.docx", "A 29821-2023")</f>
        <v/>
      </c>
      <c r="W516">
        <f>HYPERLINK("https://klasma.github.io/Logging_2180/klagomålsmail/A 29821-2023 FSC-klagomål mail.docx", "A 29821-2023")</f>
        <v/>
      </c>
      <c r="X516">
        <f>HYPERLINK("https://klasma.github.io/Logging_2180/tillsyn/A 29821-2023 tillsynsbegäran.docx", "A 29821-2023")</f>
        <v/>
      </c>
      <c r="Y516">
        <f>HYPERLINK("https://klasma.github.io/Logging_2180/tillsynsmail/A 29821-2023 tillsynsbegäran mail.docx", "A 29821-2023")</f>
        <v/>
      </c>
      <c r="Z516">
        <f>HYPERLINK("https://klasma.github.io/Logging_2180/fåglar/A 29821-2023 prioriterade fågelarter.docx", "A 29821-2023")</f>
        <v/>
      </c>
    </row>
    <row r="517" ht="15" customHeight="1">
      <c r="A517" t="inlineStr">
        <is>
          <t>A 39371-2020</t>
        </is>
      </c>
      <c r="B517" s="1" t="n">
        <v>44064</v>
      </c>
      <c r="C517" s="1" t="n">
        <v>45883</v>
      </c>
      <c r="D517" t="inlineStr">
        <is>
          <t>GÄVLEBORGS LÄN</t>
        </is>
      </c>
      <c r="E517" t="inlineStr">
        <is>
          <t>BOLLNÄS</t>
        </is>
      </c>
      <c r="G517" t="n">
        <v>2.2</v>
      </c>
      <c r="H517" t="n">
        <v>0</v>
      </c>
      <c r="I517" t="n">
        <v>0</v>
      </c>
      <c r="J517" t="n">
        <v>0</v>
      </c>
      <c r="K517" t="n">
        <v>0</v>
      </c>
      <c r="L517" t="n">
        <v>0</v>
      </c>
      <c r="M517" t="n">
        <v>0</v>
      </c>
      <c r="N517" t="n">
        <v>0</v>
      </c>
      <c r="O517" t="n">
        <v>0</v>
      </c>
      <c r="P517" t="n">
        <v>0</v>
      </c>
      <c r="Q517" t="n">
        <v>0</v>
      </c>
      <c r="R517" s="2" t="inlineStr"/>
    </row>
    <row r="518" ht="15" customHeight="1">
      <c r="A518" t="inlineStr">
        <is>
          <t>A 19995-2021</t>
        </is>
      </c>
      <c r="B518" s="1" t="n">
        <v>44313</v>
      </c>
      <c r="C518" s="1" t="n">
        <v>45883</v>
      </c>
      <c r="D518" t="inlineStr">
        <is>
          <t>GÄVLEBORGS LÄN</t>
        </is>
      </c>
      <c r="E518" t="inlineStr">
        <is>
          <t>HUDIKSVALL</t>
        </is>
      </c>
      <c r="G518" t="n">
        <v>5.7</v>
      </c>
      <c r="H518" t="n">
        <v>0</v>
      </c>
      <c r="I518" t="n">
        <v>0</v>
      </c>
      <c r="J518" t="n">
        <v>0</v>
      </c>
      <c r="K518" t="n">
        <v>0</v>
      </c>
      <c r="L518" t="n">
        <v>0</v>
      </c>
      <c r="M518" t="n">
        <v>0</v>
      </c>
      <c r="N518" t="n">
        <v>0</v>
      </c>
      <c r="O518" t="n">
        <v>0</v>
      </c>
      <c r="P518" t="n">
        <v>0</v>
      </c>
      <c r="Q518" t="n">
        <v>0</v>
      </c>
      <c r="R518" s="2" t="inlineStr"/>
    </row>
    <row r="519" ht="15" customHeight="1">
      <c r="A519" t="inlineStr">
        <is>
          <t>A 32266-2021</t>
        </is>
      </c>
      <c r="B519" s="1" t="n">
        <v>44371</v>
      </c>
      <c r="C519" s="1" t="n">
        <v>45883</v>
      </c>
      <c r="D519" t="inlineStr">
        <is>
          <t>GÄVLEBORGS LÄN</t>
        </is>
      </c>
      <c r="E519" t="inlineStr">
        <is>
          <t>OCKELBO</t>
        </is>
      </c>
      <c r="F519" t="inlineStr">
        <is>
          <t>Bergvik skog väst AB</t>
        </is>
      </c>
      <c r="G519" t="n">
        <v>2.6</v>
      </c>
      <c r="H519" t="n">
        <v>0</v>
      </c>
      <c r="I519" t="n">
        <v>0</v>
      </c>
      <c r="J519" t="n">
        <v>0</v>
      </c>
      <c r="K519" t="n">
        <v>0</v>
      </c>
      <c r="L519" t="n">
        <v>0</v>
      </c>
      <c r="M519" t="n">
        <v>0</v>
      </c>
      <c r="N519" t="n">
        <v>0</v>
      </c>
      <c r="O519" t="n">
        <v>0</v>
      </c>
      <c r="P519" t="n">
        <v>0</v>
      </c>
      <c r="Q519" t="n">
        <v>0</v>
      </c>
      <c r="R519" s="2" t="inlineStr"/>
    </row>
    <row r="520" ht="15" customHeight="1">
      <c r="A520" t="inlineStr">
        <is>
          <t>A 59690-2020</t>
        </is>
      </c>
      <c r="B520" s="1" t="n">
        <v>44151</v>
      </c>
      <c r="C520" s="1" t="n">
        <v>45883</v>
      </c>
      <c r="D520" t="inlineStr">
        <is>
          <t>GÄVLEBORGS LÄN</t>
        </is>
      </c>
      <c r="E520" t="inlineStr">
        <is>
          <t>BOLLNÄS</t>
        </is>
      </c>
      <c r="G520" t="n">
        <v>4</v>
      </c>
      <c r="H520" t="n">
        <v>0</v>
      </c>
      <c r="I520" t="n">
        <v>0</v>
      </c>
      <c r="J520" t="n">
        <v>0</v>
      </c>
      <c r="K520" t="n">
        <v>0</v>
      </c>
      <c r="L520" t="n">
        <v>0</v>
      </c>
      <c r="M520" t="n">
        <v>0</v>
      </c>
      <c r="N520" t="n">
        <v>0</v>
      </c>
      <c r="O520" t="n">
        <v>0</v>
      </c>
      <c r="P520" t="n">
        <v>0</v>
      </c>
      <c r="Q520" t="n">
        <v>0</v>
      </c>
      <c r="R520" s="2" t="inlineStr"/>
    </row>
    <row r="521" ht="15" customHeight="1">
      <c r="A521" t="inlineStr">
        <is>
          <t>A 30629-2022</t>
        </is>
      </c>
      <c r="B521" s="1" t="n">
        <v>44763.44366898148</v>
      </c>
      <c r="C521" s="1" t="n">
        <v>45883</v>
      </c>
      <c r="D521" t="inlineStr">
        <is>
          <t>GÄVLEBORGS LÄN</t>
        </is>
      </c>
      <c r="E521" t="inlineStr">
        <is>
          <t>LJUSDAL</t>
        </is>
      </c>
      <c r="F521" t="inlineStr">
        <is>
          <t>Sveaskog</t>
        </is>
      </c>
      <c r="G521" t="n">
        <v>1.2</v>
      </c>
      <c r="H521" t="n">
        <v>0</v>
      </c>
      <c r="I521" t="n">
        <v>0</v>
      </c>
      <c r="J521" t="n">
        <v>0</v>
      </c>
      <c r="K521" t="n">
        <v>0</v>
      </c>
      <c r="L521" t="n">
        <v>0</v>
      </c>
      <c r="M521" t="n">
        <v>0</v>
      </c>
      <c r="N521" t="n">
        <v>0</v>
      </c>
      <c r="O521" t="n">
        <v>0</v>
      </c>
      <c r="P521" t="n">
        <v>0</v>
      </c>
      <c r="Q521" t="n">
        <v>0</v>
      </c>
      <c r="R521" s="2" t="inlineStr"/>
    </row>
    <row r="522" ht="15" customHeight="1">
      <c r="A522" t="inlineStr">
        <is>
          <t>A 24470-2022</t>
        </is>
      </c>
      <c r="B522" s="1" t="n">
        <v>44726.64341435185</v>
      </c>
      <c r="C522" s="1" t="n">
        <v>45883</v>
      </c>
      <c r="D522" t="inlineStr">
        <is>
          <t>GÄVLEBORGS LÄN</t>
        </is>
      </c>
      <c r="E522" t="inlineStr">
        <is>
          <t>HUDIKSVALL</t>
        </is>
      </c>
      <c r="G522" t="n">
        <v>1.3</v>
      </c>
      <c r="H522" t="n">
        <v>0</v>
      </c>
      <c r="I522" t="n">
        <v>0</v>
      </c>
      <c r="J522" t="n">
        <v>0</v>
      </c>
      <c r="K522" t="n">
        <v>0</v>
      </c>
      <c r="L522" t="n">
        <v>0</v>
      </c>
      <c r="M522" t="n">
        <v>0</v>
      </c>
      <c r="N522" t="n">
        <v>0</v>
      </c>
      <c r="O522" t="n">
        <v>0</v>
      </c>
      <c r="P522" t="n">
        <v>0</v>
      </c>
      <c r="Q522" t="n">
        <v>0</v>
      </c>
      <c r="R522" s="2" t="inlineStr"/>
    </row>
    <row r="523" ht="15" customHeight="1">
      <c r="A523" t="inlineStr">
        <is>
          <t>A 25394-2022</t>
        </is>
      </c>
      <c r="B523" s="1" t="n">
        <v>44732.4194212963</v>
      </c>
      <c r="C523" s="1" t="n">
        <v>45883</v>
      </c>
      <c r="D523" t="inlineStr">
        <is>
          <t>GÄVLEBORGS LÄN</t>
        </is>
      </c>
      <c r="E523" t="inlineStr">
        <is>
          <t>OVANÅKER</t>
        </is>
      </c>
      <c r="G523" t="n">
        <v>0.3</v>
      </c>
      <c r="H523" t="n">
        <v>0</v>
      </c>
      <c r="I523" t="n">
        <v>0</v>
      </c>
      <c r="J523" t="n">
        <v>0</v>
      </c>
      <c r="K523" t="n">
        <v>0</v>
      </c>
      <c r="L523" t="n">
        <v>0</v>
      </c>
      <c r="M523" t="n">
        <v>0</v>
      </c>
      <c r="N523" t="n">
        <v>0</v>
      </c>
      <c r="O523" t="n">
        <v>0</v>
      </c>
      <c r="P523" t="n">
        <v>0</v>
      </c>
      <c r="Q523" t="n">
        <v>0</v>
      </c>
      <c r="R523" s="2" t="inlineStr"/>
    </row>
    <row r="524" ht="15" customHeight="1">
      <c r="A524" t="inlineStr">
        <is>
          <t>A 43803-2022</t>
        </is>
      </c>
      <c r="B524" s="1" t="n">
        <v>44838</v>
      </c>
      <c r="C524" s="1" t="n">
        <v>45883</v>
      </c>
      <c r="D524" t="inlineStr">
        <is>
          <t>GÄVLEBORGS LÄN</t>
        </is>
      </c>
      <c r="E524" t="inlineStr">
        <is>
          <t>HUDIKSVALL</t>
        </is>
      </c>
      <c r="F524" t="inlineStr">
        <is>
          <t>Holmen skog AB</t>
        </is>
      </c>
      <c r="G524" t="n">
        <v>1.5</v>
      </c>
      <c r="H524" t="n">
        <v>0</v>
      </c>
      <c r="I524" t="n">
        <v>0</v>
      </c>
      <c r="J524" t="n">
        <v>0</v>
      </c>
      <c r="K524" t="n">
        <v>0</v>
      </c>
      <c r="L524" t="n">
        <v>0</v>
      </c>
      <c r="M524" t="n">
        <v>0</v>
      </c>
      <c r="N524" t="n">
        <v>0</v>
      </c>
      <c r="O524" t="n">
        <v>0</v>
      </c>
      <c r="P524" t="n">
        <v>0</v>
      </c>
      <c r="Q524" t="n">
        <v>0</v>
      </c>
      <c r="R524" s="2" t="inlineStr"/>
    </row>
    <row r="525" ht="15" customHeight="1">
      <c r="A525" t="inlineStr">
        <is>
          <t>A 7420-2021</t>
        </is>
      </c>
      <c r="B525" s="1" t="n">
        <v>44239</v>
      </c>
      <c r="C525" s="1" t="n">
        <v>45883</v>
      </c>
      <c r="D525" t="inlineStr">
        <is>
          <t>GÄVLEBORGS LÄN</t>
        </is>
      </c>
      <c r="E525" t="inlineStr">
        <is>
          <t>OCKELBO</t>
        </is>
      </c>
      <c r="F525" t="inlineStr">
        <is>
          <t>Bergvik skog väst AB</t>
        </is>
      </c>
      <c r="G525" t="n">
        <v>3.5</v>
      </c>
      <c r="H525" t="n">
        <v>0</v>
      </c>
      <c r="I525" t="n">
        <v>0</v>
      </c>
      <c r="J525" t="n">
        <v>0</v>
      </c>
      <c r="K525" t="n">
        <v>0</v>
      </c>
      <c r="L525" t="n">
        <v>0</v>
      </c>
      <c r="M525" t="n">
        <v>0</v>
      </c>
      <c r="N525" t="n">
        <v>0</v>
      </c>
      <c r="O525" t="n">
        <v>0</v>
      </c>
      <c r="P525" t="n">
        <v>0</v>
      </c>
      <c r="Q525" t="n">
        <v>0</v>
      </c>
      <c r="R525" s="2" t="inlineStr"/>
    </row>
    <row r="526" ht="15" customHeight="1">
      <c r="A526" t="inlineStr">
        <is>
          <t>A 51205-2022</t>
        </is>
      </c>
      <c r="B526" s="1" t="n">
        <v>44868.61302083333</v>
      </c>
      <c r="C526" s="1" t="n">
        <v>45883</v>
      </c>
      <c r="D526" t="inlineStr">
        <is>
          <t>GÄVLEBORGS LÄN</t>
        </is>
      </c>
      <c r="E526" t="inlineStr">
        <is>
          <t>HOFORS</t>
        </is>
      </c>
      <c r="F526" t="inlineStr">
        <is>
          <t>Sveaskog</t>
        </is>
      </c>
      <c r="G526" t="n">
        <v>10</v>
      </c>
      <c r="H526" t="n">
        <v>0</v>
      </c>
      <c r="I526" t="n">
        <v>0</v>
      </c>
      <c r="J526" t="n">
        <v>0</v>
      </c>
      <c r="K526" t="n">
        <v>0</v>
      </c>
      <c r="L526" t="n">
        <v>0</v>
      </c>
      <c r="M526" t="n">
        <v>0</v>
      </c>
      <c r="N526" t="n">
        <v>0</v>
      </c>
      <c r="O526" t="n">
        <v>0</v>
      </c>
      <c r="P526" t="n">
        <v>0</v>
      </c>
      <c r="Q526" t="n">
        <v>0</v>
      </c>
      <c r="R526" s="2" t="inlineStr"/>
    </row>
    <row r="527" ht="15" customHeight="1">
      <c r="A527" t="inlineStr">
        <is>
          <t>A 51237-2022</t>
        </is>
      </c>
      <c r="B527" s="1" t="n">
        <v>44868.65212962963</v>
      </c>
      <c r="C527" s="1" t="n">
        <v>45883</v>
      </c>
      <c r="D527" t="inlineStr">
        <is>
          <t>GÄVLEBORGS LÄN</t>
        </is>
      </c>
      <c r="E527" t="inlineStr">
        <is>
          <t>OVANÅKER</t>
        </is>
      </c>
      <c r="G527" t="n">
        <v>6.5</v>
      </c>
      <c r="H527" t="n">
        <v>0</v>
      </c>
      <c r="I527" t="n">
        <v>0</v>
      </c>
      <c r="J527" t="n">
        <v>0</v>
      </c>
      <c r="K527" t="n">
        <v>0</v>
      </c>
      <c r="L527" t="n">
        <v>0</v>
      </c>
      <c r="M527" t="n">
        <v>0</v>
      </c>
      <c r="N527" t="n">
        <v>0</v>
      </c>
      <c r="O527" t="n">
        <v>0</v>
      </c>
      <c r="P527" t="n">
        <v>0</v>
      </c>
      <c r="Q527" t="n">
        <v>0</v>
      </c>
      <c r="R527" s="2" t="inlineStr"/>
    </row>
    <row r="528" ht="15" customHeight="1">
      <c r="A528" t="inlineStr">
        <is>
          <t>A 53069-2022</t>
        </is>
      </c>
      <c r="B528" s="1" t="n">
        <v>44876.37364583334</v>
      </c>
      <c r="C528" s="1" t="n">
        <v>45883</v>
      </c>
      <c r="D528" t="inlineStr">
        <is>
          <t>GÄVLEBORGS LÄN</t>
        </is>
      </c>
      <c r="E528" t="inlineStr">
        <is>
          <t>BOLLNÄS</t>
        </is>
      </c>
      <c r="F528" t="inlineStr">
        <is>
          <t>Bergvik skog väst AB</t>
        </is>
      </c>
      <c r="G528" t="n">
        <v>0.7</v>
      </c>
      <c r="H528" t="n">
        <v>0</v>
      </c>
      <c r="I528" t="n">
        <v>0</v>
      </c>
      <c r="J528" t="n">
        <v>0</v>
      </c>
      <c r="K528" t="n">
        <v>0</v>
      </c>
      <c r="L528" t="n">
        <v>0</v>
      </c>
      <c r="M528" t="n">
        <v>0</v>
      </c>
      <c r="N528" t="n">
        <v>0</v>
      </c>
      <c r="O528" t="n">
        <v>0</v>
      </c>
      <c r="P528" t="n">
        <v>0</v>
      </c>
      <c r="Q528" t="n">
        <v>0</v>
      </c>
      <c r="R528" s="2" t="inlineStr"/>
    </row>
    <row r="529" ht="15" customHeight="1">
      <c r="A529" t="inlineStr">
        <is>
          <t>A 51162-2022</t>
        </is>
      </c>
      <c r="B529" s="1" t="n">
        <v>44868</v>
      </c>
      <c r="C529" s="1" t="n">
        <v>45883</v>
      </c>
      <c r="D529" t="inlineStr">
        <is>
          <t>GÄVLEBORGS LÄN</t>
        </is>
      </c>
      <c r="E529" t="inlineStr">
        <is>
          <t>SANDVIKEN</t>
        </is>
      </c>
      <c r="G529" t="n">
        <v>0.8</v>
      </c>
      <c r="H529" t="n">
        <v>0</v>
      </c>
      <c r="I529" t="n">
        <v>0</v>
      </c>
      <c r="J529" t="n">
        <v>0</v>
      </c>
      <c r="K529" t="n">
        <v>0</v>
      </c>
      <c r="L529" t="n">
        <v>0</v>
      </c>
      <c r="M529" t="n">
        <v>0</v>
      </c>
      <c r="N529" t="n">
        <v>0</v>
      </c>
      <c r="O529" t="n">
        <v>0</v>
      </c>
      <c r="P529" t="n">
        <v>0</v>
      </c>
      <c r="Q529" t="n">
        <v>0</v>
      </c>
      <c r="R529" s="2" t="inlineStr"/>
    </row>
    <row r="530" ht="15" customHeight="1">
      <c r="A530" t="inlineStr">
        <is>
          <t>A 31205-2022</t>
        </is>
      </c>
      <c r="B530" s="1" t="n">
        <v>44770</v>
      </c>
      <c r="C530" s="1" t="n">
        <v>45883</v>
      </c>
      <c r="D530" t="inlineStr">
        <is>
          <t>GÄVLEBORGS LÄN</t>
        </is>
      </c>
      <c r="E530" t="inlineStr">
        <is>
          <t>HOFORS</t>
        </is>
      </c>
      <c r="F530" t="inlineStr">
        <is>
          <t>Sveaskog</t>
        </is>
      </c>
      <c r="G530" t="n">
        <v>3.1</v>
      </c>
      <c r="H530" t="n">
        <v>0</v>
      </c>
      <c r="I530" t="n">
        <v>0</v>
      </c>
      <c r="J530" t="n">
        <v>0</v>
      </c>
      <c r="K530" t="n">
        <v>0</v>
      </c>
      <c r="L530" t="n">
        <v>0</v>
      </c>
      <c r="M530" t="n">
        <v>0</v>
      </c>
      <c r="N530" t="n">
        <v>0</v>
      </c>
      <c r="O530" t="n">
        <v>0</v>
      </c>
      <c r="P530" t="n">
        <v>0</v>
      </c>
      <c r="Q530" t="n">
        <v>0</v>
      </c>
      <c r="R530" s="2" t="inlineStr"/>
    </row>
    <row r="531" ht="15" customHeight="1">
      <c r="A531" t="inlineStr">
        <is>
          <t>A 38773-2020</t>
        </is>
      </c>
      <c r="B531" s="1" t="n">
        <v>44061</v>
      </c>
      <c r="C531" s="1" t="n">
        <v>45883</v>
      </c>
      <c r="D531" t="inlineStr">
        <is>
          <t>GÄVLEBORGS LÄN</t>
        </is>
      </c>
      <c r="E531" t="inlineStr">
        <is>
          <t>LJUSDAL</t>
        </is>
      </c>
      <c r="F531" t="inlineStr">
        <is>
          <t>Sveaskog</t>
        </is>
      </c>
      <c r="G531" t="n">
        <v>1.2</v>
      </c>
      <c r="H531" t="n">
        <v>0</v>
      </c>
      <c r="I531" t="n">
        <v>0</v>
      </c>
      <c r="J531" t="n">
        <v>0</v>
      </c>
      <c r="K531" t="n">
        <v>0</v>
      </c>
      <c r="L531" t="n">
        <v>0</v>
      </c>
      <c r="M531" t="n">
        <v>0</v>
      </c>
      <c r="N531" t="n">
        <v>0</v>
      </c>
      <c r="O531" t="n">
        <v>0</v>
      </c>
      <c r="P531" t="n">
        <v>0</v>
      </c>
      <c r="Q531" t="n">
        <v>0</v>
      </c>
      <c r="R531" s="2" t="inlineStr"/>
    </row>
    <row r="532" ht="15" customHeight="1">
      <c r="A532" t="inlineStr">
        <is>
          <t>A 53049-2022</t>
        </is>
      </c>
      <c r="B532" s="1" t="n">
        <v>44876</v>
      </c>
      <c r="C532" s="1" t="n">
        <v>45883</v>
      </c>
      <c r="D532" t="inlineStr">
        <is>
          <t>GÄVLEBORGS LÄN</t>
        </is>
      </c>
      <c r="E532" t="inlineStr">
        <is>
          <t>GÄVLE</t>
        </is>
      </c>
      <c r="F532" t="inlineStr">
        <is>
          <t>Kommuner</t>
        </is>
      </c>
      <c r="G532" t="n">
        <v>1.2</v>
      </c>
      <c r="H532" t="n">
        <v>0</v>
      </c>
      <c r="I532" t="n">
        <v>0</v>
      </c>
      <c r="J532" t="n">
        <v>0</v>
      </c>
      <c r="K532" t="n">
        <v>0</v>
      </c>
      <c r="L532" t="n">
        <v>0</v>
      </c>
      <c r="M532" t="n">
        <v>0</v>
      </c>
      <c r="N532" t="n">
        <v>0</v>
      </c>
      <c r="O532" t="n">
        <v>0</v>
      </c>
      <c r="P532" t="n">
        <v>0</v>
      </c>
      <c r="Q532" t="n">
        <v>0</v>
      </c>
      <c r="R532" s="2" t="inlineStr"/>
    </row>
    <row r="533" ht="15" customHeight="1">
      <c r="A533" t="inlineStr">
        <is>
          <t>A 44230-2020</t>
        </is>
      </c>
      <c r="B533" s="1" t="n">
        <v>44084</v>
      </c>
      <c r="C533" s="1" t="n">
        <v>45883</v>
      </c>
      <c r="D533" t="inlineStr">
        <is>
          <t>GÄVLEBORGS LÄN</t>
        </is>
      </c>
      <c r="E533" t="inlineStr">
        <is>
          <t>HOFORS</t>
        </is>
      </c>
      <c r="G533" t="n">
        <v>9.4</v>
      </c>
      <c r="H533" t="n">
        <v>0</v>
      </c>
      <c r="I533" t="n">
        <v>0</v>
      </c>
      <c r="J533" t="n">
        <v>0</v>
      </c>
      <c r="K533" t="n">
        <v>0</v>
      </c>
      <c r="L533" t="n">
        <v>0</v>
      </c>
      <c r="M533" t="n">
        <v>0</v>
      </c>
      <c r="N533" t="n">
        <v>0</v>
      </c>
      <c r="O533" t="n">
        <v>0</v>
      </c>
      <c r="P533" t="n">
        <v>0</v>
      </c>
      <c r="Q533" t="n">
        <v>0</v>
      </c>
      <c r="R533" s="2" t="inlineStr"/>
    </row>
    <row r="534" ht="15" customHeight="1">
      <c r="A534" t="inlineStr">
        <is>
          <t>A 40631-2020</t>
        </is>
      </c>
      <c r="B534" s="1" t="n">
        <v>44069</v>
      </c>
      <c r="C534" s="1" t="n">
        <v>45883</v>
      </c>
      <c r="D534" t="inlineStr">
        <is>
          <t>GÄVLEBORGS LÄN</t>
        </is>
      </c>
      <c r="E534" t="inlineStr">
        <is>
          <t>HUDIKSVALL</t>
        </is>
      </c>
      <c r="G534" t="n">
        <v>1.2</v>
      </c>
      <c r="H534" t="n">
        <v>0</v>
      </c>
      <c r="I534" t="n">
        <v>0</v>
      </c>
      <c r="J534" t="n">
        <v>0</v>
      </c>
      <c r="K534" t="n">
        <v>0</v>
      </c>
      <c r="L534" t="n">
        <v>0</v>
      </c>
      <c r="M534" t="n">
        <v>0</v>
      </c>
      <c r="N534" t="n">
        <v>0</v>
      </c>
      <c r="O534" t="n">
        <v>0</v>
      </c>
      <c r="P534" t="n">
        <v>0</v>
      </c>
      <c r="Q534" t="n">
        <v>0</v>
      </c>
      <c r="R534" s="2" t="inlineStr"/>
    </row>
    <row r="535" ht="15" customHeight="1">
      <c r="A535" t="inlineStr">
        <is>
          <t>A 5533-2021</t>
        </is>
      </c>
      <c r="B535" s="1" t="n">
        <v>44230</v>
      </c>
      <c r="C535" s="1" t="n">
        <v>45883</v>
      </c>
      <c r="D535" t="inlineStr">
        <is>
          <t>GÄVLEBORGS LÄN</t>
        </is>
      </c>
      <c r="E535" t="inlineStr">
        <is>
          <t>SANDVIKEN</t>
        </is>
      </c>
      <c r="G535" t="n">
        <v>0.7</v>
      </c>
      <c r="H535" t="n">
        <v>0</v>
      </c>
      <c r="I535" t="n">
        <v>0</v>
      </c>
      <c r="J535" t="n">
        <v>0</v>
      </c>
      <c r="K535" t="n">
        <v>0</v>
      </c>
      <c r="L535" t="n">
        <v>0</v>
      </c>
      <c r="M535" t="n">
        <v>0</v>
      </c>
      <c r="N535" t="n">
        <v>0</v>
      </c>
      <c r="O535" t="n">
        <v>0</v>
      </c>
      <c r="P535" t="n">
        <v>0</v>
      </c>
      <c r="Q535" t="n">
        <v>0</v>
      </c>
      <c r="R535" s="2" t="inlineStr"/>
    </row>
    <row r="536" ht="15" customHeight="1">
      <c r="A536" t="inlineStr">
        <is>
          <t>A 50474-2020</t>
        </is>
      </c>
      <c r="B536" s="1" t="n">
        <v>44110.57923611111</v>
      </c>
      <c r="C536" s="1" t="n">
        <v>45883</v>
      </c>
      <c r="D536" t="inlineStr">
        <is>
          <t>GÄVLEBORGS LÄN</t>
        </is>
      </c>
      <c r="E536" t="inlineStr">
        <is>
          <t>LJUSDAL</t>
        </is>
      </c>
      <c r="F536" t="inlineStr">
        <is>
          <t>Kommuner</t>
        </is>
      </c>
      <c r="G536" t="n">
        <v>1.4</v>
      </c>
      <c r="H536" t="n">
        <v>0</v>
      </c>
      <c r="I536" t="n">
        <v>0</v>
      </c>
      <c r="J536" t="n">
        <v>0</v>
      </c>
      <c r="K536" t="n">
        <v>0</v>
      </c>
      <c r="L536" t="n">
        <v>0</v>
      </c>
      <c r="M536" t="n">
        <v>0</v>
      </c>
      <c r="N536" t="n">
        <v>0</v>
      </c>
      <c r="O536" t="n">
        <v>0</v>
      </c>
      <c r="P536" t="n">
        <v>0</v>
      </c>
      <c r="Q536" t="n">
        <v>0</v>
      </c>
      <c r="R536" s="2" t="inlineStr"/>
    </row>
    <row r="537" ht="15" customHeight="1">
      <c r="A537" t="inlineStr">
        <is>
          <t>A 47899-2020</t>
        </is>
      </c>
      <c r="B537" s="1" t="n">
        <v>44099</v>
      </c>
      <c r="C537" s="1" t="n">
        <v>45883</v>
      </c>
      <c r="D537" t="inlineStr">
        <is>
          <t>GÄVLEBORGS LÄN</t>
        </is>
      </c>
      <c r="E537" t="inlineStr">
        <is>
          <t>LJUSDAL</t>
        </is>
      </c>
      <c r="F537" t="inlineStr">
        <is>
          <t>Sveaskog</t>
        </is>
      </c>
      <c r="G537" t="n">
        <v>5.2</v>
      </c>
      <c r="H537" t="n">
        <v>0</v>
      </c>
      <c r="I537" t="n">
        <v>0</v>
      </c>
      <c r="J537" t="n">
        <v>0</v>
      </c>
      <c r="K537" t="n">
        <v>0</v>
      </c>
      <c r="L537" t="n">
        <v>0</v>
      </c>
      <c r="M537" t="n">
        <v>0</v>
      </c>
      <c r="N537" t="n">
        <v>0</v>
      </c>
      <c r="O537" t="n">
        <v>0</v>
      </c>
      <c r="P537" t="n">
        <v>0</v>
      </c>
      <c r="Q537" t="n">
        <v>0</v>
      </c>
      <c r="R537" s="2" t="inlineStr"/>
    </row>
    <row r="538" ht="15" customHeight="1">
      <c r="A538" t="inlineStr">
        <is>
          <t>A 58322-2020</t>
        </is>
      </c>
      <c r="B538" s="1" t="n">
        <v>44145</v>
      </c>
      <c r="C538" s="1" t="n">
        <v>45883</v>
      </c>
      <c r="D538" t="inlineStr">
        <is>
          <t>GÄVLEBORGS LÄN</t>
        </is>
      </c>
      <c r="E538" t="inlineStr">
        <is>
          <t>HOFORS</t>
        </is>
      </c>
      <c r="G538" t="n">
        <v>0.5</v>
      </c>
      <c r="H538" t="n">
        <v>0</v>
      </c>
      <c r="I538" t="n">
        <v>0</v>
      </c>
      <c r="J538" t="n">
        <v>0</v>
      </c>
      <c r="K538" t="n">
        <v>0</v>
      </c>
      <c r="L538" t="n">
        <v>0</v>
      </c>
      <c r="M538" t="n">
        <v>0</v>
      </c>
      <c r="N538" t="n">
        <v>0</v>
      </c>
      <c r="O538" t="n">
        <v>0</v>
      </c>
      <c r="P538" t="n">
        <v>0</v>
      </c>
      <c r="Q538" t="n">
        <v>0</v>
      </c>
      <c r="R538" s="2" t="inlineStr"/>
    </row>
    <row r="539" ht="15" customHeight="1">
      <c r="A539" t="inlineStr">
        <is>
          <t>A 58377-2020</t>
        </is>
      </c>
      <c r="B539" s="1" t="n">
        <v>44144</v>
      </c>
      <c r="C539" s="1" t="n">
        <v>45883</v>
      </c>
      <c r="D539" t="inlineStr">
        <is>
          <t>GÄVLEBORGS LÄN</t>
        </is>
      </c>
      <c r="E539" t="inlineStr">
        <is>
          <t>HUDIKSVALL</t>
        </is>
      </c>
      <c r="G539" t="n">
        <v>3.2</v>
      </c>
      <c r="H539" t="n">
        <v>0</v>
      </c>
      <c r="I539" t="n">
        <v>0</v>
      </c>
      <c r="J539" t="n">
        <v>0</v>
      </c>
      <c r="K539" t="n">
        <v>0</v>
      </c>
      <c r="L539" t="n">
        <v>0</v>
      </c>
      <c r="M539" t="n">
        <v>0</v>
      </c>
      <c r="N539" t="n">
        <v>0</v>
      </c>
      <c r="O539" t="n">
        <v>0</v>
      </c>
      <c r="P539" t="n">
        <v>0</v>
      </c>
      <c r="Q539" t="n">
        <v>0</v>
      </c>
      <c r="R539" s="2" t="inlineStr"/>
    </row>
    <row r="540" ht="15" customHeight="1">
      <c r="A540" t="inlineStr">
        <is>
          <t>A 11308-2021</t>
        </is>
      </c>
      <c r="B540" s="1" t="n">
        <v>44263</v>
      </c>
      <c r="C540" s="1" t="n">
        <v>45883</v>
      </c>
      <c r="D540" t="inlineStr">
        <is>
          <t>GÄVLEBORGS LÄN</t>
        </is>
      </c>
      <c r="E540" t="inlineStr">
        <is>
          <t>NORDANSTIG</t>
        </is>
      </c>
      <c r="G540" t="n">
        <v>15.6</v>
      </c>
      <c r="H540" t="n">
        <v>0</v>
      </c>
      <c r="I540" t="n">
        <v>0</v>
      </c>
      <c r="J540" t="n">
        <v>0</v>
      </c>
      <c r="K540" t="n">
        <v>0</v>
      </c>
      <c r="L540" t="n">
        <v>0</v>
      </c>
      <c r="M540" t="n">
        <v>0</v>
      </c>
      <c r="N540" t="n">
        <v>0</v>
      </c>
      <c r="O540" t="n">
        <v>0</v>
      </c>
      <c r="P540" t="n">
        <v>0</v>
      </c>
      <c r="Q540" t="n">
        <v>0</v>
      </c>
      <c r="R540" s="2" t="inlineStr"/>
    </row>
    <row r="541" ht="15" customHeight="1">
      <c r="A541" t="inlineStr">
        <is>
          <t>A 52448-2020</t>
        </is>
      </c>
      <c r="B541" s="1" t="n">
        <v>44113</v>
      </c>
      <c r="C541" s="1" t="n">
        <v>45883</v>
      </c>
      <c r="D541" t="inlineStr">
        <is>
          <t>GÄVLEBORGS LÄN</t>
        </is>
      </c>
      <c r="E541" t="inlineStr">
        <is>
          <t>OVANÅKER</t>
        </is>
      </c>
      <c r="G541" t="n">
        <v>2</v>
      </c>
      <c r="H541" t="n">
        <v>0</v>
      </c>
      <c r="I541" t="n">
        <v>0</v>
      </c>
      <c r="J541" t="n">
        <v>0</v>
      </c>
      <c r="K541" t="n">
        <v>0</v>
      </c>
      <c r="L541" t="n">
        <v>0</v>
      </c>
      <c r="M541" t="n">
        <v>0</v>
      </c>
      <c r="N541" t="n">
        <v>0</v>
      </c>
      <c r="O541" t="n">
        <v>0</v>
      </c>
      <c r="P541" t="n">
        <v>0</v>
      </c>
      <c r="Q541" t="n">
        <v>0</v>
      </c>
      <c r="R541" s="2" t="inlineStr"/>
    </row>
    <row r="542" ht="15" customHeight="1">
      <c r="A542" t="inlineStr">
        <is>
          <t>A 52427-2020</t>
        </is>
      </c>
      <c r="B542" s="1" t="n">
        <v>44118</v>
      </c>
      <c r="C542" s="1" t="n">
        <v>45883</v>
      </c>
      <c r="D542" t="inlineStr">
        <is>
          <t>GÄVLEBORGS LÄN</t>
        </is>
      </c>
      <c r="E542" t="inlineStr">
        <is>
          <t>SÖDERHAMN</t>
        </is>
      </c>
      <c r="G542" t="n">
        <v>3.2</v>
      </c>
      <c r="H542" t="n">
        <v>0</v>
      </c>
      <c r="I542" t="n">
        <v>0</v>
      </c>
      <c r="J542" t="n">
        <v>0</v>
      </c>
      <c r="K542" t="n">
        <v>0</v>
      </c>
      <c r="L542" t="n">
        <v>0</v>
      </c>
      <c r="M542" t="n">
        <v>0</v>
      </c>
      <c r="N542" t="n">
        <v>0</v>
      </c>
      <c r="O542" t="n">
        <v>0</v>
      </c>
      <c r="P542" t="n">
        <v>0</v>
      </c>
      <c r="Q542" t="n">
        <v>0</v>
      </c>
      <c r="R542" s="2" t="inlineStr"/>
    </row>
    <row r="543" ht="15" customHeight="1">
      <c r="A543" t="inlineStr">
        <is>
          <t>A 44172-2020</t>
        </is>
      </c>
      <c r="B543" s="1" t="n">
        <v>44083</v>
      </c>
      <c r="C543" s="1" t="n">
        <v>45883</v>
      </c>
      <c r="D543" t="inlineStr">
        <is>
          <t>GÄVLEBORGS LÄN</t>
        </is>
      </c>
      <c r="E543" t="inlineStr">
        <is>
          <t>OCKELBO</t>
        </is>
      </c>
      <c r="G543" t="n">
        <v>2.5</v>
      </c>
      <c r="H543" t="n">
        <v>0</v>
      </c>
      <c r="I543" t="n">
        <v>0</v>
      </c>
      <c r="J543" t="n">
        <v>0</v>
      </c>
      <c r="K543" t="n">
        <v>0</v>
      </c>
      <c r="L543" t="n">
        <v>0</v>
      </c>
      <c r="M543" t="n">
        <v>0</v>
      </c>
      <c r="N543" t="n">
        <v>0</v>
      </c>
      <c r="O543" t="n">
        <v>0</v>
      </c>
      <c r="P543" t="n">
        <v>0</v>
      </c>
      <c r="Q543" t="n">
        <v>0</v>
      </c>
      <c r="R543" s="2" t="inlineStr"/>
    </row>
    <row r="544" ht="15" customHeight="1">
      <c r="A544" t="inlineStr">
        <is>
          <t>A 49465-2020</t>
        </is>
      </c>
      <c r="B544" s="1" t="n">
        <v>44105</v>
      </c>
      <c r="C544" s="1" t="n">
        <v>45883</v>
      </c>
      <c r="D544" t="inlineStr">
        <is>
          <t>GÄVLEBORGS LÄN</t>
        </is>
      </c>
      <c r="E544" t="inlineStr">
        <is>
          <t>BOLLNÄS</t>
        </is>
      </c>
      <c r="G544" t="n">
        <v>4.9</v>
      </c>
      <c r="H544" t="n">
        <v>0</v>
      </c>
      <c r="I544" t="n">
        <v>0</v>
      </c>
      <c r="J544" t="n">
        <v>0</v>
      </c>
      <c r="K544" t="n">
        <v>0</v>
      </c>
      <c r="L544" t="n">
        <v>0</v>
      </c>
      <c r="M544" t="n">
        <v>0</v>
      </c>
      <c r="N544" t="n">
        <v>0</v>
      </c>
      <c r="O544" t="n">
        <v>0</v>
      </c>
      <c r="P544" t="n">
        <v>0</v>
      </c>
      <c r="Q544" t="n">
        <v>0</v>
      </c>
      <c r="R544" s="2" t="inlineStr"/>
    </row>
    <row r="545" ht="15" customHeight="1">
      <c r="A545" t="inlineStr">
        <is>
          <t>A 52842-2022</t>
        </is>
      </c>
      <c r="B545" s="1" t="n">
        <v>44875</v>
      </c>
      <c r="C545" s="1" t="n">
        <v>45883</v>
      </c>
      <c r="D545" t="inlineStr">
        <is>
          <t>GÄVLEBORGS LÄN</t>
        </is>
      </c>
      <c r="E545" t="inlineStr">
        <is>
          <t>LJUSDAL</t>
        </is>
      </c>
      <c r="G545" t="n">
        <v>0.6</v>
      </c>
      <c r="H545" t="n">
        <v>0</v>
      </c>
      <c r="I545" t="n">
        <v>0</v>
      </c>
      <c r="J545" t="n">
        <v>0</v>
      </c>
      <c r="K545" t="n">
        <v>0</v>
      </c>
      <c r="L545" t="n">
        <v>0</v>
      </c>
      <c r="M545" t="n">
        <v>0</v>
      </c>
      <c r="N545" t="n">
        <v>0</v>
      </c>
      <c r="O545" t="n">
        <v>0</v>
      </c>
      <c r="P545" t="n">
        <v>0</v>
      </c>
      <c r="Q545" t="n">
        <v>0</v>
      </c>
      <c r="R545" s="2" t="inlineStr"/>
    </row>
    <row r="546" ht="15" customHeight="1">
      <c r="A546" t="inlineStr">
        <is>
          <t>A 51838-2022</t>
        </is>
      </c>
      <c r="B546" s="1" t="n">
        <v>44872</v>
      </c>
      <c r="C546" s="1" t="n">
        <v>45883</v>
      </c>
      <c r="D546" t="inlineStr">
        <is>
          <t>GÄVLEBORGS LÄN</t>
        </is>
      </c>
      <c r="E546" t="inlineStr">
        <is>
          <t>LJUSDAL</t>
        </is>
      </c>
      <c r="F546" t="inlineStr">
        <is>
          <t>Bergvik skog väst AB</t>
        </is>
      </c>
      <c r="G546" t="n">
        <v>3.7</v>
      </c>
      <c r="H546" t="n">
        <v>0</v>
      </c>
      <c r="I546" t="n">
        <v>0</v>
      </c>
      <c r="J546" t="n">
        <v>0</v>
      </c>
      <c r="K546" t="n">
        <v>0</v>
      </c>
      <c r="L546" t="n">
        <v>0</v>
      </c>
      <c r="M546" t="n">
        <v>0</v>
      </c>
      <c r="N546" t="n">
        <v>0</v>
      </c>
      <c r="O546" t="n">
        <v>0</v>
      </c>
      <c r="P546" t="n">
        <v>0</v>
      </c>
      <c r="Q546" t="n">
        <v>0</v>
      </c>
      <c r="R546" s="2" t="inlineStr"/>
    </row>
    <row r="547" ht="15" customHeight="1">
      <c r="A547" t="inlineStr">
        <is>
          <t>A 58189-2020</t>
        </is>
      </c>
      <c r="B547" s="1" t="n">
        <v>44144</v>
      </c>
      <c r="C547" s="1" t="n">
        <v>45883</v>
      </c>
      <c r="D547" t="inlineStr">
        <is>
          <t>GÄVLEBORGS LÄN</t>
        </is>
      </c>
      <c r="E547" t="inlineStr">
        <is>
          <t>GÄVLE</t>
        </is>
      </c>
      <c r="G547" t="n">
        <v>5</v>
      </c>
      <c r="H547" t="n">
        <v>0</v>
      </c>
      <c r="I547" t="n">
        <v>0</v>
      </c>
      <c r="J547" t="n">
        <v>0</v>
      </c>
      <c r="K547" t="n">
        <v>0</v>
      </c>
      <c r="L547" t="n">
        <v>0</v>
      </c>
      <c r="M547" t="n">
        <v>0</v>
      </c>
      <c r="N547" t="n">
        <v>0</v>
      </c>
      <c r="O547" t="n">
        <v>0</v>
      </c>
      <c r="P547" t="n">
        <v>0</v>
      </c>
      <c r="Q547" t="n">
        <v>0</v>
      </c>
      <c r="R547" s="2" t="inlineStr"/>
    </row>
    <row r="548" ht="15" customHeight="1">
      <c r="A548" t="inlineStr">
        <is>
          <t>A 17117-2021</t>
        </is>
      </c>
      <c r="B548" s="1" t="n">
        <v>44298.37015046296</v>
      </c>
      <c r="C548" s="1" t="n">
        <v>45883</v>
      </c>
      <c r="D548" t="inlineStr">
        <is>
          <t>GÄVLEBORGS LÄN</t>
        </is>
      </c>
      <c r="E548" t="inlineStr">
        <is>
          <t>LJUSDAL</t>
        </is>
      </c>
      <c r="G548" t="n">
        <v>1</v>
      </c>
      <c r="H548" t="n">
        <v>0</v>
      </c>
      <c r="I548" t="n">
        <v>0</v>
      </c>
      <c r="J548" t="n">
        <v>0</v>
      </c>
      <c r="K548" t="n">
        <v>0</v>
      </c>
      <c r="L548" t="n">
        <v>0</v>
      </c>
      <c r="M548" t="n">
        <v>0</v>
      </c>
      <c r="N548" t="n">
        <v>0</v>
      </c>
      <c r="O548" t="n">
        <v>0</v>
      </c>
      <c r="P548" t="n">
        <v>0</v>
      </c>
      <c r="Q548" t="n">
        <v>0</v>
      </c>
      <c r="R548" s="2" t="inlineStr"/>
    </row>
    <row r="549" ht="15" customHeight="1">
      <c r="A549" t="inlineStr">
        <is>
          <t>A 65011-2020</t>
        </is>
      </c>
      <c r="B549" s="1" t="n">
        <v>44172</v>
      </c>
      <c r="C549" s="1" t="n">
        <v>45883</v>
      </c>
      <c r="D549" t="inlineStr">
        <is>
          <t>GÄVLEBORGS LÄN</t>
        </is>
      </c>
      <c r="E549" t="inlineStr">
        <is>
          <t>BOLLNÄS</t>
        </is>
      </c>
      <c r="G549" t="n">
        <v>0.7</v>
      </c>
      <c r="H549" t="n">
        <v>0</v>
      </c>
      <c r="I549" t="n">
        <v>0</v>
      </c>
      <c r="J549" t="n">
        <v>0</v>
      </c>
      <c r="K549" t="n">
        <v>0</v>
      </c>
      <c r="L549" t="n">
        <v>0</v>
      </c>
      <c r="M549" t="n">
        <v>0</v>
      </c>
      <c r="N549" t="n">
        <v>0</v>
      </c>
      <c r="O549" t="n">
        <v>0</v>
      </c>
      <c r="P549" t="n">
        <v>0</v>
      </c>
      <c r="Q549" t="n">
        <v>0</v>
      </c>
      <c r="R549" s="2" t="inlineStr"/>
    </row>
    <row r="550" ht="15" customHeight="1">
      <c r="A550" t="inlineStr">
        <is>
          <t>A 16913-2021</t>
        </is>
      </c>
      <c r="B550" s="1" t="n">
        <v>44295</v>
      </c>
      <c r="C550" s="1" t="n">
        <v>45883</v>
      </c>
      <c r="D550" t="inlineStr">
        <is>
          <t>GÄVLEBORGS LÄN</t>
        </is>
      </c>
      <c r="E550" t="inlineStr">
        <is>
          <t>HUDIKSVALL</t>
        </is>
      </c>
      <c r="G550" t="n">
        <v>0.4</v>
      </c>
      <c r="H550" t="n">
        <v>0</v>
      </c>
      <c r="I550" t="n">
        <v>0</v>
      </c>
      <c r="J550" t="n">
        <v>0</v>
      </c>
      <c r="K550" t="n">
        <v>0</v>
      </c>
      <c r="L550" t="n">
        <v>0</v>
      </c>
      <c r="M550" t="n">
        <v>0</v>
      </c>
      <c r="N550" t="n">
        <v>0</v>
      </c>
      <c r="O550" t="n">
        <v>0</v>
      </c>
      <c r="P550" t="n">
        <v>0</v>
      </c>
      <c r="Q550" t="n">
        <v>0</v>
      </c>
      <c r="R550" s="2" t="inlineStr"/>
    </row>
    <row r="551" ht="15" customHeight="1">
      <c r="A551" t="inlineStr">
        <is>
          <t>A 11188-2021</t>
        </is>
      </c>
      <c r="B551" s="1" t="n">
        <v>44263</v>
      </c>
      <c r="C551" s="1" t="n">
        <v>45883</v>
      </c>
      <c r="D551" t="inlineStr">
        <is>
          <t>GÄVLEBORGS LÄN</t>
        </is>
      </c>
      <c r="E551" t="inlineStr">
        <is>
          <t>GÄVLE</t>
        </is>
      </c>
      <c r="G551" t="n">
        <v>0.6</v>
      </c>
      <c r="H551" t="n">
        <v>0</v>
      </c>
      <c r="I551" t="n">
        <v>0</v>
      </c>
      <c r="J551" t="n">
        <v>0</v>
      </c>
      <c r="K551" t="n">
        <v>0</v>
      </c>
      <c r="L551" t="n">
        <v>0</v>
      </c>
      <c r="M551" t="n">
        <v>0</v>
      </c>
      <c r="N551" t="n">
        <v>0</v>
      </c>
      <c r="O551" t="n">
        <v>0</v>
      </c>
      <c r="P551" t="n">
        <v>0</v>
      </c>
      <c r="Q551" t="n">
        <v>0</v>
      </c>
      <c r="R551" s="2" t="inlineStr"/>
    </row>
    <row r="552" ht="15" customHeight="1">
      <c r="A552" t="inlineStr">
        <is>
          <t>A 14261-2021</t>
        </is>
      </c>
      <c r="B552" s="1" t="n">
        <v>44278</v>
      </c>
      <c r="C552" s="1" t="n">
        <v>45883</v>
      </c>
      <c r="D552" t="inlineStr">
        <is>
          <t>GÄVLEBORGS LÄN</t>
        </is>
      </c>
      <c r="E552" t="inlineStr">
        <is>
          <t>OVANÅKER</t>
        </is>
      </c>
      <c r="G552" t="n">
        <v>0.9</v>
      </c>
      <c r="H552" t="n">
        <v>0</v>
      </c>
      <c r="I552" t="n">
        <v>0</v>
      </c>
      <c r="J552" t="n">
        <v>0</v>
      </c>
      <c r="K552" t="n">
        <v>0</v>
      </c>
      <c r="L552" t="n">
        <v>0</v>
      </c>
      <c r="M552" t="n">
        <v>0</v>
      </c>
      <c r="N552" t="n">
        <v>0</v>
      </c>
      <c r="O552" t="n">
        <v>0</v>
      </c>
      <c r="P552" t="n">
        <v>0</v>
      </c>
      <c r="Q552" t="n">
        <v>0</v>
      </c>
      <c r="R552" s="2" t="inlineStr"/>
    </row>
    <row r="553" ht="15" customHeight="1">
      <c r="A553" t="inlineStr">
        <is>
          <t>A 51598-2020</t>
        </is>
      </c>
      <c r="B553" s="1" t="n">
        <v>44113</v>
      </c>
      <c r="C553" s="1" t="n">
        <v>45883</v>
      </c>
      <c r="D553" t="inlineStr">
        <is>
          <t>GÄVLEBORGS LÄN</t>
        </is>
      </c>
      <c r="E553" t="inlineStr">
        <is>
          <t>OCKELBO</t>
        </is>
      </c>
      <c r="G553" t="n">
        <v>2.2</v>
      </c>
      <c r="H553" t="n">
        <v>0</v>
      </c>
      <c r="I553" t="n">
        <v>0</v>
      </c>
      <c r="J553" t="n">
        <v>0</v>
      </c>
      <c r="K553" t="n">
        <v>0</v>
      </c>
      <c r="L553" t="n">
        <v>0</v>
      </c>
      <c r="M553" t="n">
        <v>0</v>
      </c>
      <c r="N553" t="n">
        <v>0</v>
      </c>
      <c r="O553" t="n">
        <v>0</v>
      </c>
      <c r="P553" t="n">
        <v>0</v>
      </c>
      <c r="Q553" t="n">
        <v>0</v>
      </c>
      <c r="R553" s="2" t="inlineStr"/>
    </row>
    <row r="554" ht="15" customHeight="1">
      <c r="A554" t="inlineStr">
        <is>
          <t>A 25335-2021</t>
        </is>
      </c>
      <c r="B554" s="1" t="n">
        <v>44342</v>
      </c>
      <c r="C554" s="1" t="n">
        <v>45883</v>
      </c>
      <c r="D554" t="inlineStr">
        <is>
          <t>GÄVLEBORGS LÄN</t>
        </is>
      </c>
      <c r="E554" t="inlineStr">
        <is>
          <t>GÄVLE</t>
        </is>
      </c>
      <c r="F554" t="inlineStr">
        <is>
          <t>Kyrkan</t>
        </is>
      </c>
      <c r="G554" t="n">
        <v>1.4</v>
      </c>
      <c r="H554" t="n">
        <v>0</v>
      </c>
      <c r="I554" t="n">
        <v>0</v>
      </c>
      <c r="J554" t="n">
        <v>0</v>
      </c>
      <c r="K554" t="n">
        <v>0</v>
      </c>
      <c r="L554" t="n">
        <v>0</v>
      </c>
      <c r="M554" t="n">
        <v>0</v>
      </c>
      <c r="N554" t="n">
        <v>0</v>
      </c>
      <c r="O554" t="n">
        <v>0</v>
      </c>
      <c r="P554" t="n">
        <v>0</v>
      </c>
      <c r="Q554" t="n">
        <v>0</v>
      </c>
      <c r="R554" s="2" t="inlineStr"/>
    </row>
    <row r="555" ht="15" customHeight="1">
      <c r="A555" t="inlineStr">
        <is>
          <t>A 43030-2020</t>
        </is>
      </c>
      <c r="B555" s="1" t="n">
        <v>44078.66269675926</v>
      </c>
      <c r="C555" s="1" t="n">
        <v>45883</v>
      </c>
      <c r="D555" t="inlineStr">
        <is>
          <t>GÄVLEBORGS LÄN</t>
        </is>
      </c>
      <c r="E555" t="inlineStr">
        <is>
          <t>SANDVIKEN</t>
        </is>
      </c>
      <c r="G555" t="n">
        <v>1.3</v>
      </c>
      <c r="H555" t="n">
        <v>0</v>
      </c>
      <c r="I555" t="n">
        <v>0</v>
      </c>
      <c r="J555" t="n">
        <v>0</v>
      </c>
      <c r="K555" t="n">
        <v>0</v>
      </c>
      <c r="L555" t="n">
        <v>0</v>
      </c>
      <c r="M555" t="n">
        <v>0</v>
      </c>
      <c r="N555" t="n">
        <v>0</v>
      </c>
      <c r="O555" t="n">
        <v>0</v>
      </c>
      <c r="P555" t="n">
        <v>0</v>
      </c>
      <c r="Q555" t="n">
        <v>0</v>
      </c>
      <c r="R555" s="2" t="inlineStr"/>
    </row>
    <row r="556" ht="15" customHeight="1">
      <c r="A556" t="inlineStr">
        <is>
          <t>A 44017-2020</t>
        </is>
      </c>
      <c r="B556" s="1" t="n">
        <v>44083</v>
      </c>
      <c r="C556" s="1" t="n">
        <v>45883</v>
      </c>
      <c r="D556" t="inlineStr">
        <is>
          <t>GÄVLEBORGS LÄN</t>
        </is>
      </c>
      <c r="E556" t="inlineStr">
        <is>
          <t>BOLLNÄS</t>
        </is>
      </c>
      <c r="G556" t="n">
        <v>0.4</v>
      </c>
      <c r="H556" t="n">
        <v>0</v>
      </c>
      <c r="I556" t="n">
        <v>0</v>
      </c>
      <c r="J556" t="n">
        <v>0</v>
      </c>
      <c r="K556" t="n">
        <v>0</v>
      </c>
      <c r="L556" t="n">
        <v>0</v>
      </c>
      <c r="M556" t="n">
        <v>0</v>
      </c>
      <c r="N556" t="n">
        <v>0</v>
      </c>
      <c r="O556" t="n">
        <v>0</v>
      </c>
      <c r="P556" t="n">
        <v>0</v>
      </c>
      <c r="Q556" t="n">
        <v>0</v>
      </c>
      <c r="R556" s="2" t="inlineStr"/>
    </row>
    <row r="557" ht="15" customHeight="1">
      <c r="A557" t="inlineStr">
        <is>
          <t>A 20017-2021</t>
        </is>
      </c>
      <c r="B557" s="1" t="n">
        <v>44314.2571875</v>
      </c>
      <c r="C557" s="1" t="n">
        <v>45883</v>
      </c>
      <c r="D557" t="inlineStr">
        <is>
          <t>GÄVLEBORGS LÄN</t>
        </is>
      </c>
      <c r="E557" t="inlineStr">
        <is>
          <t>BOLLNÄS</t>
        </is>
      </c>
      <c r="G557" t="n">
        <v>6.8</v>
      </c>
      <c r="H557" t="n">
        <v>0</v>
      </c>
      <c r="I557" t="n">
        <v>0</v>
      </c>
      <c r="J557" t="n">
        <v>0</v>
      </c>
      <c r="K557" t="n">
        <v>0</v>
      </c>
      <c r="L557" t="n">
        <v>0</v>
      </c>
      <c r="M557" t="n">
        <v>0</v>
      </c>
      <c r="N557" t="n">
        <v>0</v>
      </c>
      <c r="O557" t="n">
        <v>0</v>
      </c>
      <c r="P557" t="n">
        <v>0</v>
      </c>
      <c r="Q557" t="n">
        <v>0</v>
      </c>
      <c r="R557" s="2" t="inlineStr"/>
    </row>
    <row r="558" ht="15" customHeight="1">
      <c r="A558" t="inlineStr">
        <is>
          <t>A 20018-2021</t>
        </is>
      </c>
      <c r="B558" s="1" t="n">
        <v>44314.26172453703</v>
      </c>
      <c r="C558" s="1" t="n">
        <v>45883</v>
      </c>
      <c r="D558" t="inlineStr">
        <is>
          <t>GÄVLEBORGS LÄN</t>
        </is>
      </c>
      <c r="E558" t="inlineStr">
        <is>
          <t>BOLLNÄS</t>
        </is>
      </c>
      <c r="G558" t="n">
        <v>4.9</v>
      </c>
      <c r="H558" t="n">
        <v>0</v>
      </c>
      <c r="I558" t="n">
        <v>0</v>
      </c>
      <c r="J558" t="n">
        <v>0</v>
      </c>
      <c r="K558" t="n">
        <v>0</v>
      </c>
      <c r="L558" t="n">
        <v>0</v>
      </c>
      <c r="M558" t="n">
        <v>0</v>
      </c>
      <c r="N558" t="n">
        <v>0</v>
      </c>
      <c r="O558" t="n">
        <v>0</v>
      </c>
      <c r="P558" t="n">
        <v>0</v>
      </c>
      <c r="Q558" t="n">
        <v>0</v>
      </c>
      <c r="R558" s="2" t="inlineStr"/>
    </row>
    <row r="559" ht="15" customHeight="1">
      <c r="A559" t="inlineStr">
        <is>
          <t>A 20021-2021</t>
        </is>
      </c>
      <c r="B559" s="1" t="n">
        <v>44314.26922453703</v>
      </c>
      <c r="C559" s="1" t="n">
        <v>45883</v>
      </c>
      <c r="D559" t="inlineStr">
        <is>
          <t>GÄVLEBORGS LÄN</t>
        </is>
      </c>
      <c r="E559" t="inlineStr">
        <is>
          <t>BOLLNÄS</t>
        </is>
      </c>
      <c r="G559" t="n">
        <v>0.4</v>
      </c>
      <c r="H559" t="n">
        <v>0</v>
      </c>
      <c r="I559" t="n">
        <v>0</v>
      </c>
      <c r="J559" t="n">
        <v>0</v>
      </c>
      <c r="K559" t="n">
        <v>0</v>
      </c>
      <c r="L559" t="n">
        <v>0</v>
      </c>
      <c r="M559" t="n">
        <v>0</v>
      </c>
      <c r="N559" t="n">
        <v>0</v>
      </c>
      <c r="O559" t="n">
        <v>0</v>
      </c>
      <c r="P559" t="n">
        <v>0</v>
      </c>
      <c r="Q559" t="n">
        <v>0</v>
      </c>
      <c r="R559" s="2" t="inlineStr"/>
    </row>
    <row r="560" ht="15" customHeight="1">
      <c r="A560" t="inlineStr">
        <is>
          <t>A 5035-2021</t>
        </is>
      </c>
      <c r="B560" s="1" t="n">
        <v>44228</v>
      </c>
      <c r="C560" s="1" t="n">
        <v>45883</v>
      </c>
      <c r="D560" t="inlineStr">
        <is>
          <t>GÄVLEBORGS LÄN</t>
        </is>
      </c>
      <c r="E560" t="inlineStr">
        <is>
          <t>SÖDERHAMN</t>
        </is>
      </c>
      <c r="G560" t="n">
        <v>0.9</v>
      </c>
      <c r="H560" t="n">
        <v>0</v>
      </c>
      <c r="I560" t="n">
        <v>0</v>
      </c>
      <c r="J560" t="n">
        <v>0</v>
      </c>
      <c r="K560" t="n">
        <v>0</v>
      </c>
      <c r="L560" t="n">
        <v>0</v>
      </c>
      <c r="M560" t="n">
        <v>0</v>
      </c>
      <c r="N560" t="n">
        <v>0</v>
      </c>
      <c r="O560" t="n">
        <v>0</v>
      </c>
      <c r="P560" t="n">
        <v>0</v>
      </c>
      <c r="Q560" t="n">
        <v>0</v>
      </c>
      <c r="R560" s="2" t="inlineStr"/>
    </row>
    <row r="561" ht="15" customHeight="1">
      <c r="A561" t="inlineStr">
        <is>
          <t>A 19178-2021</t>
        </is>
      </c>
      <c r="B561" s="1" t="n">
        <v>44308</v>
      </c>
      <c r="C561" s="1" t="n">
        <v>45883</v>
      </c>
      <c r="D561" t="inlineStr">
        <is>
          <t>GÄVLEBORGS LÄN</t>
        </is>
      </c>
      <c r="E561" t="inlineStr">
        <is>
          <t>GÄVLE</t>
        </is>
      </c>
      <c r="G561" t="n">
        <v>0.9</v>
      </c>
      <c r="H561" t="n">
        <v>0</v>
      </c>
      <c r="I561" t="n">
        <v>0</v>
      </c>
      <c r="J561" t="n">
        <v>0</v>
      </c>
      <c r="K561" t="n">
        <v>0</v>
      </c>
      <c r="L561" t="n">
        <v>0</v>
      </c>
      <c r="M561" t="n">
        <v>0</v>
      </c>
      <c r="N561" t="n">
        <v>0</v>
      </c>
      <c r="O561" t="n">
        <v>0</v>
      </c>
      <c r="P561" t="n">
        <v>0</v>
      </c>
      <c r="Q561" t="n">
        <v>0</v>
      </c>
      <c r="R561" s="2" t="inlineStr"/>
    </row>
    <row r="562" ht="15" customHeight="1">
      <c r="A562" t="inlineStr">
        <is>
          <t>A 43867-2020</t>
        </is>
      </c>
      <c r="B562" s="1" t="n">
        <v>44083</v>
      </c>
      <c r="C562" s="1" t="n">
        <v>45883</v>
      </c>
      <c r="D562" t="inlineStr">
        <is>
          <t>GÄVLEBORGS LÄN</t>
        </is>
      </c>
      <c r="E562" t="inlineStr">
        <is>
          <t>LJUSDAL</t>
        </is>
      </c>
      <c r="G562" t="n">
        <v>2.5</v>
      </c>
      <c r="H562" t="n">
        <v>0</v>
      </c>
      <c r="I562" t="n">
        <v>0</v>
      </c>
      <c r="J562" t="n">
        <v>0</v>
      </c>
      <c r="K562" t="n">
        <v>0</v>
      </c>
      <c r="L562" t="n">
        <v>0</v>
      </c>
      <c r="M562" t="n">
        <v>0</v>
      </c>
      <c r="N562" t="n">
        <v>0</v>
      </c>
      <c r="O562" t="n">
        <v>0</v>
      </c>
      <c r="P562" t="n">
        <v>0</v>
      </c>
      <c r="Q562" t="n">
        <v>0</v>
      </c>
      <c r="R562" s="2" t="inlineStr"/>
    </row>
    <row r="563" ht="15" customHeight="1">
      <c r="A563" t="inlineStr">
        <is>
          <t>A 61313-2020</t>
        </is>
      </c>
      <c r="B563" s="1" t="n">
        <v>44155</v>
      </c>
      <c r="C563" s="1" t="n">
        <v>45883</v>
      </c>
      <c r="D563" t="inlineStr">
        <is>
          <t>GÄVLEBORGS LÄN</t>
        </is>
      </c>
      <c r="E563" t="inlineStr">
        <is>
          <t>SÖDERHAMN</t>
        </is>
      </c>
      <c r="G563" t="n">
        <v>2</v>
      </c>
      <c r="H563" t="n">
        <v>0</v>
      </c>
      <c r="I563" t="n">
        <v>0</v>
      </c>
      <c r="J563" t="n">
        <v>0</v>
      </c>
      <c r="K563" t="n">
        <v>0</v>
      </c>
      <c r="L563" t="n">
        <v>0</v>
      </c>
      <c r="M563" t="n">
        <v>0</v>
      </c>
      <c r="N563" t="n">
        <v>0</v>
      </c>
      <c r="O563" t="n">
        <v>0</v>
      </c>
      <c r="P563" t="n">
        <v>0</v>
      </c>
      <c r="Q563" t="n">
        <v>0</v>
      </c>
      <c r="R563" s="2" t="inlineStr"/>
    </row>
    <row r="564" ht="15" customHeight="1">
      <c r="A564" t="inlineStr">
        <is>
          <t>A 51306-2020</t>
        </is>
      </c>
      <c r="B564" s="1" t="n">
        <v>44112</v>
      </c>
      <c r="C564" s="1" t="n">
        <v>45883</v>
      </c>
      <c r="D564" t="inlineStr">
        <is>
          <t>GÄVLEBORGS LÄN</t>
        </is>
      </c>
      <c r="E564" t="inlineStr">
        <is>
          <t>LJUSDAL</t>
        </is>
      </c>
      <c r="F564" t="inlineStr">
        <is>
          <t>Kommuner</t>
        </is>
      </c>
      <c r="G564" t="n">
        <v>3.7</v>
      </c>
      <c r="H564" t="n">
        <v>0</v>
      </c>
      <c r="I564" t="n">
        <v>0</v>
      </c>
      <c r="J564" t="n">
        <v>0</v>
      </c>
      <c r="K564" t="n">
        <v>0</v>
      </c>
      <c r="L564" t="n">
        <v>0</v>
      </c>
      <c r="M564" t="n">
        <v>0</v>
      </c>
      <c r="N564" t="n">
        <v>0</v>
      </c>
      <c r="O564" t="n">
        <v>0</v>
      </c>
      <c r="P564" t="n">
        <v>0</v>
      </c>
      <c r="Q564" t="n">
        <v>0</v>
      </c>
      <c r="R564" s="2" t="inlineStr"/>
    </row>
    <row r="565" ht="15" customHeight="1">
      <c r="A565" t="inlineStr">
        <is>
          <t>A 43385-2020</t>
        </is>
      </c>
      <c r="B565" s="1" t="n">
        <v>44081</v>
      </c>
      <c r="C565" s="1" t="n">
        <v>45883</v>
      </c>
      <c r="D565" t="inlineStr">
        <is>
          <t>GÄVLEBORGS LÄN</t>
        </is>
      </c>
      <c r="E565" t="inlineStr">
        <is>
          <t>GÄVLE</t>
        </is>
      </c>
      <c r="F565" t="inlineStr">
        <is>
          <t>Bergvik skog öst AB</t>
        </is>
      </c>
      <c r="G565" t="n">
        <v>2.3</v>
      </c>
      <c r="H565" t="n">
        <v>0</v>
      </c>
      <c r="I565" t="n">
        <v>0</v>
      </c>
      <c r="J565" t="n">
        <v>0</v>
      </c>
      <c r="K565" t="n">
        <v>0</v>
      </c>
      <c r="L565" t="n">
        <v>0</v>
      </c>
      <c r="M565" t="n">
        <v>0</v>
      </c>
      <c r="N565" t="n">
        <v>0</v>
      </c>
      <c r="O565" t="n">
        <v>0</v>
      </c>
      <c r="P565" t="n">
        <v>0</v>
      </c>
      <c r="Q565" t="n">
        <v>0</v>
      </c>
      <c r="R565" s="2" t="inlineStr"/>
    </row>
    <row r="566" ht="15" customHeight="1">
      <c r="A566" t="inlineStr">
        <is>
          <t>A 39543-2020</t>
        </is>
      </c>
      <c r="B566" s="1" t="n">
        <v>44064</v>
      </c>
      <c r="C566" s="1" t="n">
        <v>45883</v>
      </c>
      <c r="D566" t="inlineStr">
        <is>
          <t>GÄVLEBORGS LÄN</t>
        </is>
      </c>
      <c r="E566" t="inlineStr">
        <is>
          <t>HUDIKSVALL</t>
        </is>
      </c>
      <c r="G566" t="n">
        <v>1.4</v>
      </c>
      <c r="H566" t="n">
        <v>0</v>
      </c>
      <c r="I566" t="n">
        <v>0</v>
      </c>
      <c r="J566" t="n">
        <v>0</v>
      </c>
      <c r="K566" t="n">
        <v>0</v>
      </c>
      <c r="L566" t="n">
        <v>0</v>
      </c>
      <c r="M566" t="n">
        <v>0</v>
      </c>
      <c r="N566" t="n">
        <v>0</v>
      </c>
      <c r="O566" t="n">
        <v>0</v>
      </c>
      <c r="P566" t="n">
        <v>0</v>
      </c>
      <c r="Q566" t="n">
        <v>0</v>
      </c>
      <c r="R566" s="2" t="inlineStr"/>
    </row>
    <row r="567" ht="15" customHeight="1">
      <c r="A567" t="inlineStr">
        <is>
          <t>A 67069-2020</t>
        </is>
      </c>
      <c r="B567" s="1" t="n">
        <v>44180</v>
      </c>
      <c r="C567" s="1" t="n">
        <v>45883</v>
      </c>
      <c r="D567" t="inlineStr">
        <is>
          <t>GÄVLEBORGS LÄN</t>
        </is>
      </c>
      <c r="E567" t="inlineStr">
        <is>
          <t>BOLLNÄS</t>
        </is>
      </c>
      <c r="G567" t="n">
        <v>2.3</v>
      </c>
      <c r="H567" t="n">
        <v>0</v>
      </c>
      <c r="I567" t="n">
        <v>0</v>
      </c>
      <c r="J567" t="n">
        <v>0</v>
      </c>
      <c r="K567" t="n">
        <v>0</v>
      </c>
      <c r="L567" t="n">
        <v>0</v>
      </c>
      <c r="M567" t="n">
        <v>0</v>
      </c>
      <c r="N567" t="n">
        <v>0</v>
      </c>
      <c r="O567" t="n">
        <v>0</v>
      </c>
      <c r="P567" t="n">
        <v>0</v>
      </c>
      <c r="Q567" t="n">
        <v>0</v>
      </c>
      <c r="R567" s="2" t="inlineStr"/>
    </row>
    <row r="568" ht="15" customHeight="1">
      <c r="A568" t="inlineStr">
        <is>
          <t>A 56626-2020</t>
        </is>
      </c>
      <c r="B568" s="1" t="n">
        <v>44137</v>
      </c>
      <c r="C568" s="1" t="n">
        <v>45883</v>
      </c>
      <c r="D568" t="inlineStr">
        <is>
          <t>GÄVLEBORGS LÄN</t>
        </is>
      </c>
      <c r="E568" t="inlineStr">
        <is>
          <t>OVANÅKER</t>
        </is>
      </c>
      <c r="G568" t="n">
        <v>11.4</v>
      </c>
      <c r="H568" t="n">
        <v>0</v>
      </c>
      <c r="I568" t="n">
        <v>0</v>
      </c>
      <c r="J568" t="n">
        <v>0</v>
      </c>
      <c r="K568" t="n">
        <v>0</v>
      </c>
      <c r="L568" t="n">
        <v>0</v>
      </c>
      <c r="M568" t="n">
        <v>0</v>
      </c>
      <c r="N568" t="n">
        <v>0</v>
      </c>
      <c r="O568" t="n">
        <v>0</v>
      </c>
      <c r="P568" t="n">
        <v>0</v>
      </c>
      <c r="Q568" t="n">
        <v>0</v>
      </c>
      <c r="R568" s="2" t="inlineStr"/>
    </row>
    <row r="569" ht="15" customHeight="1">
      <c r="A569" t="inlineStr">
        <is>
          <t>A 58352-2020</t>
        </is>
      </c>
      <c r="B569" s="1" t="n">
        <v>44145</v>
      </c>
      <c r="C569" s="1" t="n">
        <v>45883</v>
      </c>
      <c r="D569" t="inlineStr">
        <is>
          <t>GÄVLEBORGS LÄN</t>
        </is>
      </c>
      <c r="E569" t="inlineStr">
        <is>
          <t>OVANÅKER</t>
        </is>
      </c>
      <c r="G569" t="n">
        <v>0.8</v>
      </c>
      <c r="H569" t="n">
        <v>0</v>
      </c>
      <c r="I569" t="n">
        <v>0</v>
      </c>
      <c r="J569" t="n">
        <v>0</v>
      </c>
      <c r="K569" t="n">
        <v>0</v>
      </c>
      <c r="L569" t="n">
        <v>0</v>
      </c>
      <c r="M569" t="n">
        <v>0</v>
      </c>
      <c r="N569" t="n">
        <v>0</v>
      </c>
      <c r="O569" t="n">
        <v>0</v>
      </c>
      <c r="P569" t="n">
        <v>0</v>
      </c>
      <c r="Q569" t="n">
        <v>0</v>
      </c>
      <c r="R569" s="2" t="inlineStr"/>
    </row>
    <row r="570" ht="15" customHeight="1">
      <c r="A570" t="inlineStr">
        <is>
          <t>A 45317-2020</t>
        </is>
      </c>
      <c r="B570" s="1" t="n">
        <v>44089</v>
      </c>
      <c r="C570" s="1" t="n">
        <v>45883</v>
      </c>
      <c r="D570" t="inlineStr">
        <is>
          <t>GÄVLEBORGS LÄN</t>
        </is>
      </c>
      <c r="E570" t="inlineStr">
        <is>
          <t>BOLLNÄS</t>
        </is>
      </c>
      <c r="G570" t="n">
        <v>3.9</v>
      </c>
      <c r="H570" t="n">
        <v>0</v>
      </c>
      <c r="I570" t="n">
        <v>0</v>
      </c>
      <c r="J570" t="n">
        <v>0</v>
      </c>
      <c r="K570" t="n">
        <v>0</v>
      </c>
      <c r="L570" t="n">
        <v>0</v>
      </c>
      <c r="M570" t="n">
        <v>0</v>
      </c>
      <c r="N570" t="n">
        <v>0</v>
      </c>
      <c r="O570" t="n">
        <v>0</v>
      </c>
      <c r="P570" t="n">
        <v>0</v>
      </c>
      <c r="Q570" t="n">
        <v>0</v>
      </c>
      <c r="R570" s="2" t="inlineStr"/>
    </row>
    <row r="571" ht="15" customHeight="1">
      <c r="A571" t="inlineStr">
        <is>
          <t>A 48997-2020</t>
        </is>
      </c>
      <c r="B571" s="1" t="n">
        <v>44104</v>
      </c>
      <c r="C571" s="1" t="n">
        <v>45883</v>
      </c>
      <c r="D571" t="inlineStr">
        <is>
          <t>GÄVLEBORGS LÄN</t>
        </is>
      </c>
      <c r="E571" t="inlineStr">
        <is>
          <t>HUDIKSVALL</t>
        </is>
      </c>
      <c r="G571" t="n">
        <v>2.1</v>
      </c>
      <c r="H571" t="n">
        <v>0</v>
      </c>
      <c r="I571" t="n">
        <v>0</v>
      </c>
      <c r="J571" t="n">
        <v>0</v>
      </c>
      <c r="K571" t="n">
        <v>0</v>
      </c>
      <c r="L571" t="n">
        <v>0</v>
      </c>
      <c r="M571" t="n">
        <v>0</v>
      </c>
      <c r="N571" t="n">
        <v>0</v>
      </c>
      <c r="O571" t="n">
        <v>0</v>
      </c>
      <c r="P571" t="n">
        <v>0</v>
      </c>
      <c r="Q571" t="n">
        <v>0</v>
      </c>
      <c r="R571" s="2" t="inlineStr"/>
    </row>
    <row r="572" ht="15" customHeight="1">
      <c r="A572" t="inlineStr">
        <is>
          <t>A 32883-2021</t>
        </is>
      </c>
      <c r="B572" s="1" t="n">
        <v>44375.72134259259</v>
      </c>
      <c r="C572" s="1" t="n">
        <v>45883</v>
      </c>
      <c r="D572" t="inlineStr">
        <is>
          <t>GÄVLEBORGS LÄN</t>
        </is>
      </c>
      <c r="E572" t="inlineStr">
        <is>
          <t>HUDIKSVALL</t>
        </is>
      </c>
      <c r="F572" t="inlineStr">
        <is>
          <t>Holmen skog AB</t>
        </is>
      </c>
      <c r="G572" t="n">
        <v>0.8</v>
      </c>
      <c r="H572" t="n">
        <v>0</v>
      </c>
      <c r="I572" t="n">
        <v>0</v>
      </c>
      <c r="J572" t="n">
        <v>0</v>
      </c>
      <c r="K572" t="n">
        <v>0</v>
      </c>
      <c r="L572" t="n">
        <v>0</v>
      </c>
      <c r="M572" t="n">
        <v>0</v>
      </c>
      <c r="N572" t="n">
        <v>0</v>
      </c>
      <c r="O572" t="n">
        <v>0</v>
      </c>
      <c r="P572" t="n">
        <v>0</v>
      </c>
      <c r="Q572" t="n">
        <v>0</v>
      </c>
      <c r="R572" s="2" t="inlineStr"/>
    </row>
    <row r="573" ht="15" customHeight="1">
      <c r="A573" t="inlineStr">
        <is>
          <t>A 64152-2021</t>
        </is>
      </c>
      <c r="B573" s="1" t="n">
        <v>44510.54027777778</v>
      </c>
      <c r="C573" s="1" t="n">
        <v>45883</v>
      </c>
      <c r="D573" t="inlineStr">
        <is>
          <t>GÄVLEBORGS LÄN</t>
        </is>
      </c>
      <c r="E573" t="inlineStr">
        <is>
          <t>SÖDERHAMN</t>
        </is>
      </c>
      <c r="F573" t="inlineStr">
        <is>
          <t>Bergvik skog väst AB</t>
        </is>
      </c>
      <c r="G573" t="n">
        <v>2.6</v>
      </c>
      <c r="H573" t="n">
        <v>0</v>
      </c>
      <c r="I573" t="n">
        <v>0</v>
      </c>
      <c r="J573" t="n">
        <v>0</v>
      </c>
      <c r="K573" t="n">
        <v>0</v>
      </c>
      <c r="L573" t="n">
        <v>0</v>
      </c>
      <c r="M573" t="n">
        <v>0</v>
      </c>
      <c r="N573" t="n">
        <v>0</v>
      </c>
      <c r="O573" t="n">
        <v>0</v>
      </c>
      <c r="P573" t="n">
        <v>0</v>
      </c>
      <c r="Q573" t="n">
        <v>0</v>
      </c>
      <c r="R573" s="2" t="inlineStr"/>
    </row>
    <row r="574" ht="15" customHeight="1">
      <c r="A574" t="inlineStr">
        <is>
          <t>A 62426-2020</t>
        </is>
      </c>
      <c r="B574" s="1" t="n">
        <v>44160</v>
      </c>
      <c r="C574" s="1" t="n">
        <v>45883</v>
      </c>
      <c r="D574" t="inlineStr">
        <is>
          <t>GÄVLEBORGS LÄN</t>
        </is>
      </c>
      <c r="E574" t="inlineStr">
        <is>
          <t>LJUSDAL</t>
        </is>
      </c>
      <c r="F574" t="inlineStr">
        <is>
          <t>Holmen skog AB</t>
        </is>
      </c>
      <c r="G574" t="n">
        <v>14.7</v>
      </c>
      <c r="H574" t="n">
        <v>0</v>
      </c>
      <c r="I574" t="n">
        <v>0</v>
      </c>
      <c r="J574" t="n">
        <v>0</v>
      </c>
      <c r="K574" t="n">
        <v>0</v>
      </c>
      <c r="L574" t="n">
        <v>0</v>
      </c>
      <c r="M574" t="n">
        <v>0</v>
      </c>
      <c r="N574" t="n">
        <v>0</v>
      </c>
      <c r="O574" t="n">
        <v>0</v>
      </c>
      <c r="P574" t="n">
        <v>0</v>
      </c>
      <c r="Q574" t="n">
        <v>0</v>
      </c>
      <c r="R574" s="2" t="inlineStr"/>
    </row>
    <row r="575" ht="15" customHeight="1">
      <c r="A575" t="inlineStr">
        <is>
          <t>A 12723-2021</t>
        </is>
      </c>
      <c r="B575" s="1" t="n">
        <v>44270</v>
      </c>
      <c r="C575" s="1" t="n">
        <v>45883</v>
      </c>
      <c r="D575" t="inlineStr">
        <is>
          <t>GÄVLEBORGS LÄN</t>
        </is>
      </c>
      <c r="E575" t="inlineStr">
        <is>
          <t>BOLLNÄS</t>
        </is>
      </c>
      <c r="G575" t="n">
        <v>2.3</v>
      </c>
      <c r="H575" t="n">
        <v>0</v>
      </c>
      <c r="I575" t="n">
        <v>0</v>
      </c>
      <c r="J575" t="n">
        <v>0</v>
      </c>
      <c r="K575" t="n">
        <v>0</v>
      </c>
      <c r="L575" t="n">
        <v>0</v>
      </c>
      <c r="M575" t="n">
        <v>0</v>
      </c>
      <c r="N575" t="n">
        <v>0</v>
      </c>
      <c r="O575" t="n">
        <v>0</v>
      </c>
      <c r="P575" t="n">
        <v>0</v>
      </c>
      <c r="Q575" t="n">
        <v>0</v>
      </c>
      <c r="R575" s="2" t="inlineStr"/>
    </row>
    <row r="576" ht="15" customHeight="1">
      <c r="A576" t="inlineStr">
        <is>
          <t>A 65531-2020</t>
        </is>
      </c>
      <c r="B576" s="1" t="n">
        <v>44173.64872685185</v>
      </c>
      <c r="C576" s="1" t="n">
        <v>45883</v>
      </c>
      <c r="D576" t="inlineStr">
        <is>
          <t>GÄVLEBORGS LÄN</t>
        </is>
      </c>
      <c r="E576" t="inlineStr">
        <is>
          <t>HUDIKSVALL</t>
        </is>
      </c>
      <c r="G576" t="n">
        <v>0.7</v>
      </c>
      <c r="H576" t="n">
        <v>0</v>
      </c>
      <c r="I576" t="n">
        <v>0</v>
      </c>
      <c r="J576" t="n">
        <v>0</v>
      </c>
      <c r="K576" t="n">
        <v>0</v>
      </c>
      <c r="L576" t="n">
        <v>0</v>
      </c>
      <c r="M576" t="n">
        <v>0</v>
      </c>
      <c r="N576" t="n">
        <v>0</v>
      </c>
      <c r="O576" t="n">
        <v>0</v>
      </c>
      <c r="P576" t="n">
        <v>0</v>
      </c>
      <c r="Q576" t="n">
        <v>0</v>
      </c>
      <c r="R576" s="2" t="inlineStr"/>
    </row>
    <row r="577" ht="15" customHeight="1">
      <c r="A577" t="inlineStr">
        <is>
          <t>A 4040-2021</t>
        </is>
      </c>
      <c r="B577" s="1" t="n">
        <v>44218</v>
      </c>
      <c r="C577" s="1" t="n">
        <v>45883</v>
      </c>
      <c r="D577" t="inlineStr">
        <is>
          <t>GÄVLEBORGS LÄN</t>
        </is>
      </c>
      <c r="E577" t="inlineStr">
        <is>
          <t>SÖDERHAMN</t>
        </is>
      </c>
      <c r="G577" t="n">
        <v>2.2</v>
      </c>
      <c r="H577" t="n">
        <v>0</v>
      </c>
      <c r="I577" t="n">
        <v>0</v>
      </c>
      <c r="J577" t="n">
        <v>0</v>
      </c>
      <c r="K577" t="n">
        <v>0</v>
      </c>
      <c r="L577" t="n">
        <v>0</v>
      </c>
      <c r="M577" t="n">
        <v>0</v>
      </c>
      <c r="N577" t="n">
        <v>0</v>
      </c>
      <c r="O577" t="n">
        <v>0</v>
      </c>
      <c r="P577" t="n">
        <v>0</v>
      </c>
      <c r="Q577" t="n">
        <v>0</v>
      </c>
      <c r="R577" s="2" t="inlineStr"/>
    </row>
    <row r="578" ht="15" customHeight="1">
      <c r="A578" t="inlineStr">
        <is>
          <t>A 27078-2021</t>
        </is>
      </c>
      <c r="B578" s="1" t="n">
        <v>44350.47921296296</v>
      </c>
      <c r="C578" s="1" t="n">
        <v>45883</v>
      </c>
      <c r="D578" t="inlineStr">
        <is>
          <t>GÄVLEBORGS LÄN</t>
        </is>
      </c>
      <c r="E578" t="inlineStr">
        <is>
          <t>OVANÅKER</t>
        </is>
      </c>
      <c r="G578" t="n">
        <v>1.2</v>
      </c>
      <c r="H578" t="n">
        <v>0</v>
      </c>
      <c r="I578" t="n">
        <v>0</v>
      </c>
      <c r="J578" t="n">
        <v>0</v>
      </c>
      <c r="K578" t="n">
        <v>0</v>
      </c>
      <c r="L578" t="n">
        <v>0</v>
      </c>
      <c r="M578" t="n">
        <v>0</v>
      </c>
      <c r="N578" t="n">
        <v>0</v>
      </c>
      <c r="O578" t="n">
        <v>0</v>
      </c>
      <c r="P578" t="n">
        <v>0</v>
      </c>
      <c r="Q578" t="n">
        <v>0</v>
      </c>
      <c r="R578" s="2" t="inlineStr"/>
    </row>
    <row r="579" ht="15" customHeight="1">
      <c r="A579" t="inlineStr">
        <is>
          <t>A 63086-2021</t>
        </is>
      </c>
      <c r="B579" s="1" t="n">
        <v>44505.57928240741</v>
      </c>
      <c r="C579" s="1" t="n">
        <v>45883</v>
      </c>
      <c r="D579" t="inlineStr">
        <is>
          <t>GÄVLEBORGS LÄN</t>
        </is>
      </c>
      <c r="E579" t="inlineStr">
        <is>
          <t>SANDVIKEN</t>
        </is>
      </c>
      <c r="G579" t="n">
        <v>1.9</v>
      </c>
      <c r="H579" t="n">
        <v>0</v>
      </c>
      <c r="I579" t="n">
        <v>0</v>
      </c>
      <c r="J579" t="n">
        <v>0</v>
      </c>
      <c r="K579" t="n">
        <v>0</v>
      </c>
      <c r="L579" t="n">
        <v>0</v>
      </c>
      <c r="M579" t="n">
        <v>0</v>
      </c>
      <c r="N579" t="n">
        <v>0</v>
      </c>
      <c r="O579" t="n">
        <v>0</v>
      </c>
      <c r="P579" t="n">
        <v>0</v>
      </c>
      <c r="Q579" t="n">
        <v>0</v>
      </c>
      <c r="R579" s="2" t="inlineStr"/>
    </row>
    <row r="580" ht="15" customHeight="1">
      <c r="A580" t="inlineStr">
        <is>
          <t>A 39820-2021</t>
        </is>
      </c>
      <c r="B580" s="1" t="n">
        <v>44417.60410879629</v>
      </c>
      <c r="C580" s="1" t="n">
        <v>45883</v>
      </c>
      <c r="D580" t="inlineStr">
        <is>
          <t>GÄVLEBORGS LÄN</t>
        </is>
      </c>
      <c r="E580" t="inlineStr">
        <is>
          <t>LJUSDAL</t>
        </is>
      </c>
      <c r="G580" t="n">
        <v>1.5</v>
      </c>
      <c r="H580" t="n">
        <v>0</v>
      </c>
      <c r="I580" t="n">
        <v>0</v>
      </c>
      <c r="J580" t="n">
        <v>0</v>
      </c>
      <c r="K580" t="n">
        <v>0</v>
      </c>
      <c r="L580" t="n">
        <v>0</v>
      </c>
      <c r="M580" t="n">
        <v>0</v>
      </c>
      <c r="N580" t="n">
        <v>0</v>
      </c>
      <c r="O580" t="n">
        <v>0</v>
      </c>
      <c r="P580" t="n">
        <v>0</v>
      </c>
      <c r="Q580" t="n">
        <v>0</v>
      </c>
      <c r="R580" s="2" t="inlineStr"/>
    </row>
    <row r="581" ht="15" customHeight="1">
      <c r="A581" t="inlineStr">
        <is>
          <t>A 20906-2021</t>
        </is>
      </c>
      <c r="B581" s="1" t="n">
        <v>44319.43662037037</v>
      </c>
      <c r="C581" s="1" t="n">
        <v>45883</v>
      </c>
      <c r="D581" t="inlineStr">
        <is>
          <t>GÄVLEBORGS LÄN</t>
        </is>
      </c>
      <c r="E581" t="inlineStr">
        <is>
          <t>BOLLNÄS</t>
        </is>
      </c>
      <c r="G581" t="n">
        <v>0.6</v>
      </c>
      <c r="H581" t="n">
        <v>0</v>
      </c>
      <c r="I581" t="n">
        <v>0</v>
      </c>
      <c r="J581" t="n">
        <v>0</v>
      </c>
      <c r="K581" t="n">
        <v>0</v>
      </c>
      <c r="L581" t="n">
        <v>0</v>
      </c>
      <c r="M581" t="n">
        <v>0</v>
      </c>
      <c r="N581" t="n">
        <v>0</v>
      </c>
      <c r="O581" t="n">
        <v>0</v>
      </c>
      <c r="P581" t="n">
        <v>0</v>
      </c>
      <c r="Q581" t="n">
        <v>0</v>
      </c>
      <c r="R581" s="2" t="inlineStr"/>
    </row>
    <row r="582" ht="15" customHeight="1">
      <c r="A582" t="inlineStr">
        <is>
          <t>A 5810-2022</t>
        </is>
      </c>
      <c r="B582" s="1" t="n">
        <v>44596.57570601852</v>
      </c>
      <c r="C582" s="1" t="n">
        <v>45883</v>
      </c>
      <c r="D582" t="inlineStr">
        <is>
          <t>GÄVLEBORGS LÄN</t>
        </is>
      </c>
      <c r="E582" t="inlineStr">
        <is>
          <t>BOLLNÄS</t>
        </is>
      </c>
      <c r="G582" t="n">
        <v>1.1</v>
      </c>
      <c r="H582" t="n">
        <v>0</v>
      </c>
      <c r="I582" t="n">
        <v>0</v>
      </c>
      <c r="J582" t="n">
        <v>0</v>
      </c>
      <c r="K582" t="n">
        <v>0</v>
      </c>
      <c r="L582" t="n">
        <v>0</v>
      </c>
      <c r="M582" t="n">
        <v>0</v>
      </c>
      <c r="N582" t="n">
        <v>0</v>
      </c>
      <c r="O582" t="n">
        <v>0</v>
      </c>
      <c r="P582" t="n">
        <v>0</v>
      </c>
      <c r="Q582" t="n">
        <v>0</v>
      </c>
      <c r="R582" s="2" t="inlineStr"/>
    </row>
    <row r="583" ht="15" customHeight="1">
      <c r="A583" t="inlineStr">
        <is>
          <t>A 7548-2022</t>
        </is>
      </c>
      <c r="B583" s="1" t="n">
        <v>44607</v>
      </c>
      <c r="C583" s="1" t="n">
        <v>45883</v>
      </c>
      <c r="D583" t="inlineStr">
        <is>
          <t>GÄVLEBORGS LÄN</t>
        </is>
      </c>
      <c r="E583" t="inlineStr">
        <is>
          <t>HUDIKSVALL</t>
        </is>
      </c>
      <c r="G583" t="n">
        <v>1.2</v>
      </c>
      <c r="H583" t="n">
        <v>0</v>
      </c>
      <c r="I583" t="n">
        <v>0</v>
      </c>
      <c r="J583" t="n">
        <v>0</v>
      </c>
      <c r="K583" t="n">
        <v>0</v>
      </c>
      <c r="L583" t="n">
        <v>0</v>
      </c>
      <c r="M583" t="n">
        <v>0</v>
      </c>
      <c r="N583" t="n">
        <v>0</v>
      </c>
      <c r="O583" t="n">
        <v>0</v>
      </c>
      <c r="P583" t="n">
        <v>0</v>
      </c>
      <c r="Q583" t="n">
        <v>0</v>
      </c>
      <c r="R583" s="2" t="inlineStr"/>
    </row>
    <row r="584" ht="15" customHeight="1">
      <c r="A584" t="inlineStr">
        <is>
          <t>A 541-2022</t>
        </is>
      </c>
      <c r="B584" s="1" t="n">
        <v>44566.62109953703</v>
      </c>
      <c r="C584" s="1" t="n">
        <v>45883</v>
      </c>
      <c r="D584" t="inlineStr">
        <is>
          <t>GÄVLEBORGS LÄN</t>
        </is>
      </c>
      <c r="E584" t="inlineStr">
        <is>
          <t>BOLLNÄS</t>
        </is>
      </c>
      <c r="G584" t="n">
        <v>1.3</v>
      </c>
      <c r="H584" t="n">
        <v>0</v>
      </c>
      <c r="I584" t="n">
        <v>0</v>
      </c>
      <c r="J584" t="n">
        <v>0</v>
      </c>
      <c r="K584" t="n">
        <v>0</v>
      </c>
      <c r="L584" t="n">
        <v>0</v>
      </c>
      <c r="M584" t="n">
        <v>0</v>
      </c>
      <c r="N584" t="n">
        <v>0</v>
      </c>
      <c r="O584" t="n">
        <v>0</v>
      </c>
      <c r="P584" t="n">
        <v>0</v>
      </c>
      <c r="Q584" t="n">
        <v>0</v>
      </c>
      <c r="R584" s="2" t="inlineStr"/>
    </row>
    <row r="585" ht="15" customHeight="1">
      <c r="A585" t="inlineStr">
        <is>
          <t>A 3109-2021</t>
        </is>
      </c>
      <c r="B585" s="1" t="n">
        <v>44217</v>
      </c>
      <c r="C585" s="1" t="n">
        <v>45883</v>
      </c>
      <c r="D585" t="inlineStr">
        <is>
          <t>GÄVLEBORGS LÄN</t>
        </is>
      </c>
      <c r="E585" t="inlineStr">
        <is>
          <t>BOLLNÄS</t>
        </is>
      </c>
      <c r="F585" t="inlineStr">
        <is>
          <t>Kommuner</t>
        </is>
      </c>
      <c r="G585" t="n">
        <v>1.5</v>
      </c>
      <c r="H585" t="n">
        <v>0</v>
      </c>
      <c r="I585" t="n">
        <v>0</v>
      </c>
      <c r="J585" t="n">
        <v>0</v>
      </c>
      <c r="K585" t="n">
        <v>0</v>
      </c>
      <c r="L585" t="n">
        <v>0</v>
      </c>
      <c r="M585" t="n">
        <v>0</v>
      </c>
      <c r="N585" t="n">
        <v>0</v>
      </c>
      <c r="O585" t="n">
        <v>0</v>
      </c>
      <c r="P585" t="n">
        <v>0</v>
      </c>
      <c r="Q585" t="n">
        <v>0</v>
      </c>
      <c r="R585" s="2" t="inlineStr"/>
    </row>
    <row r="586" ht="15" customHeight="1">
      <c r="A586" t="inlineStr">
        <is>
          <t>A 60953-2020</t>
        </is>
      </c>
      <c r="B586" s="1" t="n">
        <v>44154</v>
      </c>
      <c r="C586" s="1" t="n">
        <v>45883</v>
      </c>
      <c r="D586" t="inlineStr">
        <is>
          <t>GÄVLEBORGS LÄN</t>
        </is>
      </c>
      <c r="E586" t="inlineStr">
        <is>
          <t>GÄVLE</t>
        </is>
      </c>
      <c r="G586" t="n">
        <v>1.6</v>
      </c>
      <c r="H586" t="n">
        <v>0</v>
      </c>
      <c r="I586" t="n">
        <v>0</v>
      </c>
      <c r="J586" t="n">
        <v>0</v>
      </c>
      <c r="K586" t="n">
        <v>0</v>
      </c>
      <c r="L586" t="n">
        <v>0</v>
      </c>
      <c r="M586" t="n">
        <v>0</v>
      </c>
      <c r="N586" t="n">
        <v>0</v>
      </c>
      <c r="O586" t="n">
        <v>0</v>
      </c>
      <c r="P586" t="n">
        <v>0</v>
      </c>
      <c r="Q586" t="n">
        <v>0</v>
      </c>
      <c r="R586" s="2" t="inlineStr"/>
    </row>
    <row r="587" ht="15" customHeight="1">
      <c r="A587" t="inlineStr">
        <is>
          <t>A 59267-2021</t>
        </is>
      </c>
      <c r="B587" s="1" t="n">
        <v>44490</v>
      </c>
      <c r="C587" s="1" t="n">
        <v>45883</v>
      </c>
      <c r="D587" t="inlineStr">
        <is>
          <t>GÄVLEBORGS LÄN</t>
        </is>
      </c>
      <c r="E587" t="inlineStr">
        <is>
          <t>NORDANSTIG</t>
        </is>
      </c>
      <c r="G587" t="n">
        <v>10.3</v>
      </c>
      <c r="H587" t="n">
        <v>0</v>
      </c>
      <c r="I587" t="n">
        <v>0</v>
      </c>
      <c r="J587" t="n">
        <v>0</v>
      </c>
      <c r="K587" t="n">
        <v>0</v>
      </c>
      <c r="L587" t="n">
        <v>0</v>
      </c>
      <c r="M587" t="n">
        <v>0</v>
      </c>
      <c r="N587" t="n">
        <v>0</v>
      </c>
      <c r="O587" t="n">
        <v>0</v>
      </c>
      <c r="P587" t="n">
        <v>0</v>
      </c>
      <c r="Q587" t="n">
        <v>0</v>
      </c>
      <c r="R587" s="2" t="inlineStr"/>
    </row>
    <row r="588" ht="15" customHeight="1">
      <c r="A588" t="inlineStr">
        <is>
          <t>A 65038-2020</t>
        </is>
      </c>
      <c r="B588" s="1" t="n">
        <v>44172</v>
      </c>
      <c r="C588" s="1" t="n">
        <v>45883</v>
      </c>
      <c r="D588" t="inlineStr">
        <is>
          <t>GÄVLEBORGS LÄN</t>
        </is>
      </c>
      <c r="E588" t="inlineStr">
        <is>
          <t>HUDIKSVALL</t>
        </is>
      </c>
      <c r="G588" t="n">
        <v>0.8</v>
      </c>
      <c r="H588" t="n">
        <v>0</v>
      </c>
      <c r="I588" t="n">
        <v>0</v>
      </c>
      <c r="J588" t="n">
        <v>0</v>
      </c>
      <c r="K588" t="n">
        <v>0</v>
      </c>
      <c r="L588" t="n">
        <v>0</v>
      </c>
      <c r="M588" t="n">
        <v>0</v>
      </c>
      <c r="N588" t="n">
        <v>0</v>
      </c>
      <c r="O588" t="n">
        <v>0</v>
      </c>
      <c r="P588" t="n">
        <v>0</v>
      </c>
      <c r="Q588" t="n">
        <v>0</v>
      </c>
      <c r="R588" s="2" t="inlineStr"/>
    </row>
    <row r="589" ht="15" customHeight="1">
      <c r="A589" t="inlineStr">
        <is>
          <t>A 522-2022</t>
        </is>
      </c>
      <c r="B589" s="1" t="n">
        <v>44566.5825</v>
      </c>
      <c r="C589" s="1" t="n">
        <v>45883</v>
      </c>
      <c r="D589" t="inlineStr">
        <is>
          <t>GÄVLEBORGS LÄN</t>
        </is>
      </c>
      <c r="E589" t="inlineStr">
        <is>
          <t>BOLLNÄS</t>
        </is>
      </c>
      <c r="G589" t="n">
        <v>1.8</v>
      </c>
      <c r="H589" t="n">
        <v>0</v>
      </c>
      <c r="I589" t="n">
        <v>0</v>
      </c>
      <c r="J589" t="n">
        <v>0</v>
      </c>
      <c r="K589" t="n">
        <v>0</v>
      </c>
      <c r="L589" t="n">
        <v>0</v>
      </c>
      <c r="M589" t="n">
        <v>0</v>
      </c>
      <c r="N589" t="n">
        <v>0</v>
      </c>
      <c r="O589" t="n">
        <v>0</v>
      </c>
      <c r="P589" t="n">
        <v>0</v>
      </c>
      <c r="Q589" t="n">
        <v>0</v>
      </c>
      <c r="R589" s="2" t="inlineStr"/>
    </row>
    <row r="590" ht="15" customHeight="1">
      <c r="A590" t="inlineStr">
        <is>
          <t>A 62495-2020</t>
        </is>
      </c>
      <c r="B590" s="1" t="n">
        <v>44160</v>
      </c>
      <c r="C590" s="1" t="n">
        <v>45883</v>
      </c>
      <c r="D590" t="inlineStr">
        <is>
          <t>GÄVLEBORGS LÄN</t>
        </is>
      </c>
      <c r="E590" t="inlineStr">
        <is>
          <t>GÄVLE</t>
        </is>
      </c>
      <c r="G590" t="n">
        <v>2</v>
      </c>
      <c r="H590" t="n">
        <v>0</v>
      </c>
      <c r="I590" t="n">
        <v>0</v>
      </c>
      <c r="J590" t="n">
        <v>0</v>
      </c>
      <c r="K590" t="n">
        <v>0</v>
      </c>
      <c r="L590" t="n">
        <v>0</v>
      </c>
      <c r="M590" t="n">
        <v>0</v>
      </c>
      <c r="N590" t="n">
        <v>0</v>
      </c>
      <c r="O590" t="n">
        <v>0</v>
      </c>
      <c r="P590" t="n">
        <v>0</v>
      </c>
      <c r="Q590" t="n">
        <v>0</v>
      </c>
      <c r="R590" s="2" t="inlineStr"/>
    </row>
    <row r="591" ht="15" customHeight="1">
      <c r="A591" t="inlineStr">
        <is>
          <t>A 66342-2020</t>
        </is>
      </c>
      <c r="B591" s="1" t="n">
        <v>44176</v>
      </c>
      <c r="C591" s="1" t="n">
        <v>45883</v>
      </c>
      <c r="D591" t="inlineStr">
        <is>
          <t>GÄVLEBORGS LÄN</t>
        </is>
      </c>
      <c r="E591" t="inlineStr">
        <is>
          <t>BOLLNÄS</t>
        </is>
      </c>
      <c r="G591" t="n">
        <v>0.5</v>
      </c>
      <c r="H591" t="n">
        <v>0</v>
      </c>
      <c r="I591" t="n">
        <v>0</v>
      </c>
      <c r="J591" t="n">
        <v>0</v>
      </c>
      <c r="K591" t="n">
        <v>0</v>
      </c>
      <c r="L591" t="n">
        <v>0</v>
      </c>
      <c r="M591" t="n">
        <v>0</v>
      </c>
      <c r="N591" t="n">
        <v>0</v>
      </c>
      <c r="O591" t="n">
        <v>0</v>
      </c>
      <c r="P591" t="n">
        <v>0</v>
      </c>
      <c r="Q591" t="n">
        <v>0</v>
      </c>
      <c r="R591" s="2" t="inlineStr"/>
    </row>
    <row r="592" ht="15" customHeight="1">
      <c r="A592" t="inlineStr">
        <is>
          <t>A 63149-2021</t>
        </is>
      </c>
      <c r="B592" s="1" t="n">
        <v>44505.92024305555</v>
      </c>
      <c r="C592" s="1" t="n">
        <v>45883</v>
      </c>
      <c r="D592" t="inlineStr">
        <is>
          <t>GÄVLEBORGS LÄN</t>
        </is>
      </c>
      <c r="E592" t="inlineStr">
        <is>
          <t>LJUSDAL</t>
        </is>
      </c>
      <c r="G592" t="n">
        <v>0.9</v>
      </c>
      <c r="H592" t="n">
        <v>0</v>
      </c>
      <c r="I592" t="n">
        <v>0</v>
      </c>
      <c r="J592" t="n">
        <v>0</v>
      </c>
      <c r="K592" t="n">
        <v>0</v>
      </c>
      <c r="L592" t="n">
        <v>0</v>
      </c>
      <c r="M592" t="n">
        <v>0</v>
      </c>
      <c r="N592" t="n">
        <v>0</v>
      </c>
      <c r="O592" t="n">
        <v>0</v>
      </c>
      <c r="P592" t="n">
        <v>0</v>
      </c>
      <c r="Q592" t="n">
        <v>0</v>
      </c>
      <c r="R592" s="2" t="inlineStr"/>
    </row>
    <row r="593" ht="15" customHeight="1">
      <c r="A593" t="inlineStr">
        <is>
          <t>A 66494-2021</t>
        </is>
      </c>
      <c r="B593" s="1" t="n">
        <v>44519.0362962963</v>
      </c>
      <c r="C593" s="1" t="n">
        <v>45883</v>
      </c>
      <c r="D593" t="inlineStr">
        <is>
          <t>GÄVLEBORGS LÄN</t>
        </is>
      </c>
      <c r="E593" t="inlineStr">
        <is>
          <t>GÄVLE</t>
        </is>
      </c>
      <c r="G593" t="n">
        <v>1.3</v>
      </c>
      <c r="H593" t="n">
        <v>0</v>
      </c>
      <c r="I593" t="n">
        <v>0</v>
      </c>
      <c r="J593" t="n">
        <v>0</v>
      </c>
      <c r="K593" t="n">
        <v>0</v>
      </c>
      <c r="L593" t="n">
        <v>0</v>
      </c>
      <c r="M593" t="n">
        <v>0</v>
      </c>
      <c r="N593" t="n">
        <v>0</v>
      </c>
      <c r="O593" t="n">
        <v>0</v>
      </c>
      <c r="P593" t="n">
        <v>0</v>
      </c>
      <c r="Q593" t="n">
        <v>0</v>
      </c>
      <c r="R593" s="2" t="inlineStr"/>
    </row>
    <row r="594" ht="15" customHeight="1">
      <c r="A594" t="inlineStr">
        <is>
          <t>A 33049-2022</t>
        </is>
      </c>
      <c r="B594" s="1" t="n">
        <v>44785.39850694445</v>
      </c>
      <c r="C594" s="1" t="n">
        <v>45883</v>
      </c>
      <c r="D594" t="inlineStr">
        <is>
          <t>GÄVLEBORGS LÄN</t>
        </is>
      </c>
      <c r="E594" t="inlineStr">
        <is>
          <t>BOLLNÄS</t>
        </is>
      </c>
      <c r="F594" t="inlineStr">
        <is>
          <t>Kyrkan</t>
        </is>
      </c>
      <c r="G594" t="n">
        <v>0.5</v>
      </c>
      <c r="H594" t="n">
        <v>0</v>
      </c>
      <c r="I594" t="n">
        <v>0</v>
      </c>
      <c r="J594" t="n">
        <v>0</v>
      </c>
      <c r="K594" t="n">
        <v>0</v>
      </c>
      <c r="L594" t="n">
        <v>0</v>
      </c>
      <c r="M594" t="n">
        <v>0</v>
      </c>
      <c r="N594" t="n">
        <v>0</v>
      </c>
      <c r="O594" t="n">
        <v>0</v>
      </c>
      <c r="P594" t="n">
        <v>0</v>
      </c>
      <c r="Q594" t="n">
        <v>0</v>
      </c>
      <c r="R594" s="2" t="inlineStr"/>
    </row>
    <row r="595" ht="15" customHeight="1">
      <c r="A595" t="inlineStr">
        <is>
          <t>A 34116-2022</t>
        </is>
      </c>
      <c r="B595" s="1" t="n">
        <v>44791.49346064815</v>
      </c>
      <c r="C595" s="1" t="n">
        <v>45883</v>
      </c>
      <c r="D595" t="inlineStr">
        <is>
          <t>GÄVLEBORGS LÄN</t>
        </is>
      </c>
      <c r="E595" t="inlineStr">
        <is>
          <t>HUDIKSVALL</t>
        </is>
      </c>
      <c r="F595" t="inlineStr">
        <is>
          <t>Holmen skog AB</t>
        </is>
      </c>
      <c r="G595" t="n">
        <v>1.7</v>
      </c>
      <c r="H595" t="n">
        <v>0</v>
      </c>
      <c r="I595" t="n">
        <v>0</v>
      </c>
      <c r="J595" t="n">
        <v>0</v>
      </c>
      <c r="K595" t="n">
        <v>0</v>
      </c>
      <c r="L595" t="n">
        <v>0</v>
      </c>
      <c r="M595" t="n">
        <v>0</v>
      </c>
      <c r="N595" t="n">
        <v>0</v>
      </c>
      <c r="O595" t="n">
        <v>0</v>
      </c>
      <c r="P595" t="n">
        <v>0</v>
      </c>
      <c r="Q595" t="n">
        <v>0</v>
      </c>
      <c r="R595" s="2" t="inlineStr"/>
    </row>
    <row r="596" ht="15" customHeight="1">
      <c r="A596" t="inlineStr">
        <is>
          <t>A 41960-2022</t>
        </is>
      </c>
      <c r="B596" s="1" t="n">
        <v>44830.40199074074</v>
      </c>
      <c r="C596" s="1" t="n">
        <v>45883</v>
      </c>
      <c r="D596" t="inlineStr">
        <is>
          <t>GÄVLEBORGS LÄN</t>
        </is>
      </c>
      <c r="E596" t="inlineStr">
        <is>
          <t>BOLLNÄS</t>
        </is>
      </c>
      <c r="G596" t="n">
        <v>0.5</v>
      </c>
      <c r="H596" t="n">
        <v>0</v>
      </c>
      <c r="I596" t="n">
        <v>0</v>
      </c>
      <c r="J596" t="n">
        <v>0</v>
      </c>
      <c r="K596" t="n">
        <v>0</v>
      </c>
      <c r="L596" t="n">
        <v>0</v>
      </c>
      <c r="M596" t="n">
        <v>0</v>
      </c>
      <c r="N596" t="n">
        <v>0</v>
      </c>
      <c r="O596" t="n">
        <v>0</v>
      </c>
      <c r="P596" t="n">
        <v>0</v>
      </c>
      <c r="Q596" t="n">
        <v>0</v>
      </c>
      <c r="R596" s="2" t="inlineStr"/>
    </row>
    <row r="597" ht="15" customHeight="1">
      <c r="A597" t="inlineStr">
        <is>
          <t>A 29486-2021</t>
        </is>
      </c>
      <c r="B597" s="1" t="n">
        <v>44361</v>
      </c>
      <c r="C597" s="1" t="n">
        <v>45883</v>
      </c>
      <c r="D597" t="inlineStr">
        <is>
          <t>GÄVLEBORGS LÄN</t>
        </is>
      </c>
      <c r="E597" t="inlineStr">
        <is>
          <t>HUDIKSVALL</t>
        </is>
      </c>
      <c r="F597" t="inlineStr">
        <is>
          <t>Holmen skog AB</t>
        </is>
      </c>
      <c r="G597" t="n">
        <v>2.1</v>
      </c>
      <c r="H597" t="n">
        <v>0</v>
      </c>
      <c r="I597" t="n">
        <v>0</v>
      </c>
      <c r="J597" t="n">
        <v>0</v>
      </c>
      <c r="K597" t="n">
        <v>0</v>
      </c>
      <c r="L597" t="n">
        <v>0</v>
      </c>
      <c r="M597" t="n">
        <v>0</v>
      </c>
      <c r="N597" t="n">
        <v>0</v>
      </c>
      <c r="O597" t="n">
        <v>0</v>
      </c>
      <c r="P597" t="n">
        <v>0</v>
      </c>
      <c r="Q597" t="n">
        <v>0</v>
      </c>
      <c r="R597" s="2" t="inlineStr"/>
    </row>
    <row r="598" ht="15" customHeight="1">
      <c r="A598" t="inlineStr">
        <is>
          <t>A 28757-2022</t>
        </is>
      </c>
      <c r="B598" s="1" t="n">
        <v>44749.32502314815</v>
      </c>
      <c r="C598" s="1" t="n">
        <v>45883</v>
      </c>
      <c r="D598" t="inlineStr">
        <is>
          <t>GÄVLEBORGS LÄN</t>
        </is>
      </c>
      <c r="E598" t="inlineStr">
        <is>
          <t>GÄVLE</t>
        </is>
      </c>
      <c r="G598" t="n">
        <v>8.6</v>
      </c>
      <c r="H598" t="n">
        <v>0</v>
      </c>
      <c r="I598" t="n">
        <v>0</v>
      </c>
      <c r="J598" t="n">
        <v>0</v>
      </c>
      <c r="K598" t="n">
        <v>0</v>
      </c>
      <c r="L598" t="n">
        <v>0</v>
      </c>
      <c r="M598" t="n">
        <v>0</v>
      </c>
      <c r="N598" t="n">
        <v>0</v>
      </c>
      <c r="O598" t="n">
        <v>0</v>
      </c>
      <c r="P598" t="n">
        <v>0</v>
      </c>
      <c r="Q598" t="n">
        <v>0</v>
      </c>
      <c r="R598" s="2" t="inlineStr"/>
    </row>
    <row r="599" ht="15" customHeight="1">
      <c r="A599" t="inlineStr">
        <is>
          <t>A 31531-2022</t>
        </is>
      </c>
      <c r="B599" s="1" t="n">
        <v>44775</v>
      </c>
      <c r="C599" s="1" t="n">
        <v>45883</v>
      </c>
      <c r="D599" t="inlineStr">
        <is>
          <t>GÄVLEBORGS LÄN</t>
        </is>
      </c>
      <c r="E599" t="inlineStr">
        <is>
          <t>GÄVLE</t>
        </is>
      </c>
      <c r="G599" t="n">
        <v>1.6</v>
      </c>
      <c r="H599" t="n">
        <v>0</v>
      </c>
      <c r="I599" t="n">
        <v>0</v>
      </c>
      <c r="J599" t="n">
        <v>0</v>
      </c>
      <c r="K599" t="n">
        <v>0</v>
      </c>
      <c r="L599" t="n">
        <v>0</v>
      </c>
      <c r="M599" t="n">
        <v>0</v>
      </c>
      <c r="N599" t="n">
        <v>0</v>
      </c>
      <c r="O599" t="n">
        <v>0</v>
      </c>
      <c r="P599" t="n">
        <v>0</v>
      </c>
      <c r="Q599" t="n">
        <v>0</v>
      </c>
      <c r="R599" s="2" t="inlineStr"/>
    </row>
    <row r="600" ht="15" customHeight="1">
      <c r="A600" t="inlineStr">
        <is>
          <t>A 1588-2022</t>
        </is>
      </c>
      <c r="B600" s="1" t="n">
        <v>44573.66903935185</v>
      </c>
      <c r="C600" s="1" t="n">
        <v>45883</v>
      </c>
      <c r="D600" t="inlineStr">
        <is>
          <t>GÄVLEBORGS LÄN</t>
        </is>
      </c>
      <c r="E600" t="inlineStr">
        <is>
          <t>OVANÅKER</t>
        </is>
      </c>
      <c r="G600" t="n">
        <v>0.4</v>
      </c>
      <c r="H600" t="n">
        <v>0</v>
      </c>
      <c r="I600" t="n">
        <v>0</v>
      </c>
      <c r="J600" t="n">
        <v>0</v>
      </c>
      <c r="K600" t="n">
        <v>0</v>
      </c>
      <c r="L600" t="n">
        <v>0</v>
      </c>
      <c r="M600" t="n">
        <v>0</v>
      </c>
      <c r="N600" t="n">
        <v>0</v>
      </c>
      <c r="O600" t="n">
        <v>0</v>
      </c>
      <c r="P600" t="n">
        <v>0</v>
      </c>
      <c r="Q600" t="n">
        <v>0</v>
      </c>
      <c r="R600" s="2" t="inlineStr"/>
    </row>
    <row r="601" ht="15" customHeight="1">
      <c r="A601" t="inlineStr">
        <is>
          <t>A 1594-2022</t>
        </is>
      </c>
      <c r="B601" s="1" t="n">
        <v>44573.68275462963</v>
      </c>
      <c r="C601" s="1" t="n">
        <v>45883</v>
      </c>
      <c r="D601" t="inlineStr">
        <is>
          <t>GÄVLEBORGS LÄN</t>
        </is>
      </c>
      <c r="E601" t="inlineStr">
        <is>
          <t>OVANÅKER</t>
        </is>
      </c>
      <c r="G601" t="n">
        <v>0.4</v>
      </c>
      <c r="H601" t="n">
        <v>0</v>
      </c>
      <c r="I601" t="n">
        <v>0</v>
      </c>
      <c r="J601" t="n">
        <v>0</v>
      </c>
      <c r="K601" t="n">
        <v>0</v>
      </c>
      <c r="L601" t="n">
        <v>0</v>
      </c>
      <c r="M601" t="n">
        <v>0</v>
      </c>
      <c r="N601" t="n">
        <v>0</v>
      </c>
      <c r="O601" t="n">
        <v>0</v>
      </c>
      <c r="P601" t="n">
        <v>0</v>
      </c>
      <c r="Q601" t="n">
        <v>0</v>
      </c>
      <c r="R601" s="2" t="inlineStr"/>
    </row>
    <row r="602" ht="15" customHeight="1">
      <c r="A602" t="inlineStr">
        <is>
          <t>A 41161-2022</t>
        </is>
      </c>
      <c r="B602" s="1" t="n">
        <v>44825</v>
      </c>
      <c r="C602" s="1" t="n">
        <v>45883</v>
      </c>
      <c r="D602" t="inlineStr">
        <is>
          <t>GÄVLEBORGS LÄN</t>
        </is>
      </c>
      <c r="E602" t="inlineStr">
        <is>
          <t>NORDANSTIG</t>
        </is>
      </c>
      <c r="G602" t="n">
        <v>4.8</v>
      </c>
      <c r="H602" t="n">
        <v>0</v>
      </c>
      <c r="I602" t="n">
        <v>0</v>
      </c>
      <c r="J602" t="n">
        <v>0</v>
      </c>
      <c r="K602" t="n">
        <v>0</v>
      </c>
      <c r="L602" t="n">
        <v>0</v>
      </c>
      <c r="M602" t="n">
        <v>0</v>
      </c>
      <c r="N602" t="n">
        <v>0</v>
      </c>
      <c r="O602" t="n">
        <v>0</v>
      </c>
      <c r="P602" t="n">
        <v>0</v>
      </c>
      <c r="Q602" t="n">
        <v>0</v>
      </c>
      <c r="R602" s="2" t="inlineStr"/>
    </row>
    <row r="603" ht="15" customHeight="1">
      <c r="A603" t="inlineStr">
        <is>
          <t>A 43341-2021</t>
        </is>
      </c>
      <c r="B603" s="1" t="n">
        <v>44432.48314814815</v>
      </c>
      <c r="C603" s="1" t="n">
        <v>45883</v>
      </c>
      <c r="D603" t="inlineStr">
        <is>
          <t>GÄVLEBORGS LÄN</t>
        </is>
      </c>
      <c r="E603" t="inlineStr">
        <is>
          <t>BOLLNÄS</t>
        </is>
      </c>
      <c r="G603" t="n">
        <v>0.5</v>
      </c>
      <c r="H603" t="n">
        <v>0</v>
      </c>
      <c r="I603" t="n">
        <v>0</v>
      </c>
      <c r="J603" t="n">
        <v>0</v>
      </c>
      <c r="K603" t="n">
        <v>0</v>
      </c>
      <c r="L603" t="n">
        <v>0</v>
      </c>
      <c r="M603" t="n">
        <v>0</v>
      </c>
      <c r="N603" t="n">
        <v>0</v>
      </c>
      <c r="O603" t="n">
        <v>0</v>
      </c>
      <c r="P603" t="n">
        <v>0</v>
      </c>
      <c r="Q603" t="n">
        <v>0</v>
      </c>
      <c r="R603" s="2" t="inlineStr"/>
    </row>
    <row r="604" ht="15" customHeight="1">
      <c r="A604" t="inlineStr">
        <is>
          <t>A 50277-2022</t>
        </is>
      </c>
      <c r="B604" s="1" t="n">
        <v>44865.77954861111</v>
      </c>
      <c r="C604" s="1" t="n">
        <v>45883</v>
      </c>
      <c r="D604" t="inlineStr">
        <is>
          <t>GÄVLEBORGS LÄN</t>
        </is>
      </c>
      <c r="E604" t="inlineStr">
        <is>
          <t>SANDVIKEN</t>
        </is>
      </c>
      <c r="G604" t="n">
        <v>0.7</v>
      </c>
      <c r="H604" t="n">
        <v>0</v>
      </c>
      <c r="I604" t="n">
        <v>0</v>
      </c>
      <c r="J604" t="n">
        <v>0</v>
      </c>
      <c r="K604" t="n">
        <v>0</v>
      </c>
      <c r="L604" t="n">
        <v>0</v>
      </c>
      <c r="M604" t="n">
        <v>0</v>
      </c>
      <c r="N604" t="n">
        <v>0</v>
      </c>
      <c r="O604" t="n">
        <v>0</v>
      </c>
      <c r="P604" t="n">
        <v>0</v>
      </c>
      <c r="Q604" t="n">
        <v>0</v>
      </c>
      <c r="R604" s="2" t="inlineStr"/>
    </row>
    <row r="605" ht="15" customHeight="1">
      <c r="A605" t="inlineStr">
        <is>
          <t>A 41861-2022</t>
        </is>
      </c>
      <c r="B605" s="1" t="n">
        <v>44829.71965277778</v>
      </c>
      <c r="C605" s="1" t="n">
        <v>45883</v>
      </c>
      <c r="D605" t="inlineStr">
        <is>
          <t>GÄVLEBORGS LÄN</t>
        </is>
      </c>
      <c r="E605" t="inlineStr">
        <is>
          <t>SANDVIKEN</t>
        </is>
      </c>
      <c r="F605" t="inlineStr">
        <is>
          <t>Sveaskog</t>
        </is>
      </c>
      <c r="G605" t="n">
        <v>18.2</v>
      </c>
      <c r="H605" t="n">
        <v>0</v>
      </c>
      <c r="I605" t="n">
        <v>0</v>
      </c>
      <c r="J605" t="n">
        <v>0</v>
      </c>
      <c r="K605" t="n">
        <v>0</v>
      </c>
      <c r="L605" t="n">
        <v>0</v>
      </c>
      <c r="M605" t="n">
        <v>0</v>
      </c>
      <c r="N605" t="n">
        <v>0</v>
      </c>
      <c r="O605" t="n">
        <v>0</v>
      </c>
      <c r="P605" t="n">
        <v>0</v>
      </c>
      <c r="Q605" t="n">
        <v>0</v>
      </c>
      <c r="R605" s="2" t="inlineStr"/>
    </row>
    <row r="606" ht="15" customHeight="1">
      <c r="A606" t="inlineStr">
        <is>
          <t>A 30857-2022</t>
        </is>
      </c>
      <c r="B606" s="1" t="n">
        <v>44767</v>
      </c>
      <c r="C606" s="1" t="n">
        <v>45883</v>
      </c>
      <c r="D606" t="inlineStr">
        <is>
          <t>GÄVLEBORGS LÄN</t>
        </is>
      </c>
      <c r="E606" t="inlineStr">
        <is>
          <t>NORDANSTIG</t>
        </is>
      </c>
      <c r="G606" t="n">
        <v>0.4</v>
      </c>
      <c r="H606" t="n">
        <v>0</v>
      </c>
      <c r="I606" t="n">
        <v>0</v>
      </c>
      <c r="J606" t="n">
        <v>0</v>
      </c>
      <c r="K606" t="n">
        <v>0</v>
      </c>
      <c r="L606" t="n">
        <v>0</v>
      </c>
      <c r="M606" t="n">
        <v>0</v>
      </c>
      <c r="N606" t="n">
        <v>0</v>
      </c>
      <c r="O606" t="n">
        <v>0</v>
      </c>
      <c r="P606" t="n">
        <v>0</v>
      </c>
      <c r="Q606" t="n">
        <v>0</v>
      </c>
      <c r="R606" s="2" t="inlineStr"/>
    </row>
    <row r="607" ht="15" customHeight="1">
      <c r="A607" t="inlineStr">
        <is>
          <t>A 30869-2022</t>
        </is>
      </c>
      <c r="B607" s="1" t="n">
        <v>44767.51855324074</v>
      </c>
      <c r="C607" s="1" t="n">
        <v>45883</v>
      </c>
      <c r="D607" t="inlineStr">
        <is>
          <t>GÄVLEBORGS LÄN</t>
        </is>
      </c>
      <c r="E607" t="inlineStr">
        <is>
          <t>LJUSDAL</t>
        </is>
      </c>
      <c r="F607" t="inlineStr">
        <is>
          <t>Holmen skog AB</t>
        </is>
      </c>
      <c r="G607" t="n">
        <v>1.1</v>
      </c>
      <c r="H607" t="n">
        <v>0</v>
      </c>
      <c r="I607" t="n">
        <v>0</v>
      </c>
      <c r="J607" t="n">
        <v>0</v>
      </c>
      <c r="K607" t="n">
        <v>0</v>
      </c>
      <c r="L607" t="n">
        <v>0</v>
      </c>
      <c r="M607" t="n">
        <v>0</v>
      </c>
      <c r="N607" t="n">
        <v>0</v>
      </c>
      <c r="O607" t="n">
        <v>0</v>
      </c>
      <c r="P607" t="n">
        <v>0</v>
      </c>
      <c r="Q607" t="n">
        <v>0</v>
      </c>
      <c r="R607" s="2" t="inlineStr"/>
    </row>
    <row r="608" ht="15" customHeight="1">
      <c r="A608" t="inlineStr">
        <is>
          <t>A 21873-2022</t>
        </is>
      </c>
      <c r="B608" s="1" t="n">
        <v>44711.40037037037</v>
      </c>
      <c r="C608" s="1" t="n">
        <v>45883</v>
      </c>
      <c r="D608" t="inlineStr">
        <is>
          <t>GÄVLEBORGS LÄN</t>
        </is>
      </c>
      <c r="E608" t="inlineStr">
        <is>
          <t>NORDANSTIG</t>
        </is>
      </c>
      <c r="G608" t="n">
        <v>1.1</v>
      </c>
      <c r="H608" t="n">
        <v>0</v>
      </c>
      <c r="I608" t="n">
        <v>0</v>
      </c>
      <c r="J608" t="n">
        <v>0</v>
      </c>
      <c r="K608" t="n">
        <v>0</v>
      </c>
      <c r="L608" t="n">
        <v>0</v>
      </c>
      <c r="M608" t="n">
        <v>0</v>
      </c>
      <c r="N608" t="n">
        <v>0</v>
      </c>
      <c r="O608" t="n">
        <v>0</v>
      </c>
      <c r="P608" t="n">
        <v>0</v>
      </c>
      <c r="Q608" t="n">
        <v>0</v>
      </c>
      <c r="R608" s="2" t="inlineStr"/>
    </row>
    <row r="609" ht="15" customHeight="1">
      <c r="A609" t="inlineStr">
        <is>
          <t>A 55150-2022</t>
        </is>
      </c>
      <c r="B609" s="1" t="n">
        <v>44886.67766203704</v>
      </c>
      <c r="C609" s="1" t="n">
        <v>45883</v>
      </c>
      <c r="D609" t="inlineStr">
        <is>
          <t>GÄVLEBORGS LÄN</t>
        </is>
      </c>
      <c r="E609" t="inlineStr">
        <is>
          <t>SANDVIKEN</t>
        </is>
      </c>
      <c r="F609" t="inlineStr">
        <is>
          <t>Sveaskog</t>
        </is>
      </c>
      <c r="G609" t="n">
        <v>5</v>
      </c>
      <c r="H609" t="n">
        <v>0</v>
      </c>
      <c r="I609" t="n">
        <v>0</v>
      </c>
      <c r="J609" t="n">
        <v>0</v>
      </c>
      <c r="K609" t="n">
        <v>0</v>
      </c>
      <c r="L609" t="n">
        <v>0</v>
      </c>
      <c r="M609" t="n">
        <v>0</v>
      </c>
      <c r="N609" t="n">
        <v>0</v>
      </c>
      <c r="O609" t="n">
        <v>0</v>
      </c>
      <c r="P609" t="n">
        <v>0</v>
      </c>
      <c r="Q609" t="n">
        <v>0</v>
      </c>
      <c r="R609" s="2" t="inlineStr"/>
    </row>
    <row r="610" ht="15" customHeight="1">
      <c r="A610" t="inlineStr">
        <is>
          <t>A 55189-2022</t>
        </is>
      </c>
      <c r="B610" s="1" t="n">
        <v>44886.91054398148</v>
      </c>
      <c r="C610" s="1" t="n">
        <v>45883</v>
      </c>
      <c r="D610" t="inlineStr">
        <is>
          <t>GÄVLEBORGS LÄN</t>
        </is>
      </c>
      <c r="E610" t="inlineStr">
        <is>
          <t>GÄVLE</t>
        </is>
      </c>
      <c r="G610" t="n">
        <v>0.5</v>
      </c>
      <c r="H610" t="n">
        <v>0</v>
      </c>
      <c r="I610" t="n">
        <v>0</v>
      </c>
      <c r="J610" t="n">
        <v>0</v>
      </c>
      <c r="K610" t="n">
        <v>0</v>
      </c>
      <c r="L610" t="n">
        <v>0</v>
      </c>
      <c r="M610" t="n">
        <v>0</v>
      </c>
      <c r="N610" t="n">
        <v>0</v>
      </c>
      <c r="O610" t="n">
        <v>0</v>
      </c>
      <c r="P610" t="n">
        <v>0</v>
      </c>
      <c r="Q610" t="n">
        <v>0</v>
      </c>
      <c r="R610" s="2" t="inlineStr"/>
    </row>
    <row r="611" ht="15" customHeight="1">
      <c r="A611" t="inlineStr">
        <is>
          <t>A 32750-2022</t>
        </is>
      </c>
      <c r="B611" s="1" t="n">
        <v>44783.76981481481</v>
      </c>
      <c r="C611" s="1" t="n">
        <v>45883</v>
      </c>
      <c r="D611" t="inlineStr">
        <is>
          <t>GÄVLEBORGS LÄN</t>
        </is>
      </c>
      <c r="E611" t="inlineStr">
        <is>
          <t>SÖDERHAMN</t>
        </is>
      </c>
      <c r="G611" t="n">
        <v>1.2</v>
      </c>
      <c r="H611" t="n">
        <v>0</v>
      </c>
      <c r="I611" t="n">
        <v>0</v>
      </c>
      <c r="J611" t="n">
        <v>0</v>
      </c>
      <c r="K611" t="n">
        <v>0</v>
      </c>
      <c r="L611" t="n">
        <v>0</v>
      </c>
      <c r="M611" t="n">
        <v>0</v>
      </c>
      <c r="N611" t="n">
        <v>0</v>
      </c>
      <c r="O611" t="n">
        <v>0</v>
      </c>
      <c r="P611" t="n">
        <v>0</v>
      </c>
      <c r="Q611" t="n">
        <v>0</v>
      </c>
      <c r="R611" s="2" t="inlineStr"/>
    </row>
    <row r="612" ht="15" customHeight="1">
      <c r="A612" t="inlineStr">
        <is>
          <t>A 38680-2020</t>
        </is>
      </c>
      <c r="B612" s="1" t="n">
        <v>44061</v>
      </c>
      <c r="C612" s="1" t="n">
        <v>45883</v>
      </c>
      <c r="D612" t="inlineStr">
        <is>
          <t>GÄVLEBORGS LÄN</t>
        </is>
      </c>
      <c r="E612" t="inlineStr">
        <is>
          <t>BOLLNÄS</t>
        </is>
      </c>
      <c r="G612" t="n">
        <v>1.1</v>
      </c>
      <c r="H612" t="n">
        <v>0</v>
      </c>
      <c r="I612" t="n">
        <v>0</v>
      </c>
      <c r="J612" t="n">
        <v>0</v>
      </c>
      <c r="K612" t="n">
        <v>0</v>
      </c>
      <c r="L612" t="n">
        <v>0</v>
      </c>
      <c r="M612" t="n">
        <v>0</v>
      </c>
      <c r="N612" t="n">
        <v>0</v>
      </c>
      <c r="O612" t="n">
        <v>0</v>
      </c>
      <c r="P612" t="n">
        <v>0</v>
      </c>
      <c r="Q612" t="n">
        <v>0</v>
      </c>
      <c r="R612" s="2" t="inlineStr"/>
    </row>
    <row r="613" ht="15" customHeight="1">
      <c r="A613" t="inlineStr">
        <is>
          <t>A 53079-2022</t>
        </is>
      </c>
      <c r="B613" s="1" t="n">
        <v>44876</v>
      </c>
      <c r="C613" s="1" t="n">
        <v>45883</v>
      </c>
      <c r="D613" t="inlineStr">
        <is>
          <t>GÄVLEBORGS LÄN</t>
        </is>
      </c>
      <c r="E613" t="inlineStr">
        <is>
          <t>NORDANSTIG</t>
        </is>
      </c>
      <c r="F613" t="inlineStr">
        <is>
          <t>Holmen skog AB</t>
        </is>
      </c>
      <c r="G613" t="n">
        <v>7.2</v>
      </c>
      <c r="H613" t="n">
        <v>0</v>
      </c>
      <c r="I613" t="n">
        <v>0</v>
      </c>
      <c r="J613" t="n">
        <v>0</v>
      </c>
      <c r="K613" t="n">
        <v>0</v>
      </c>
      <c r="L613" t="n">
        <v>0</v>
      </c>
      <c r="M613" t="n">
        <v>0</v>
      </c>
      <c r="N613" t="n">
        <v>0</v>
      </c>
      <c r="O613" t="n">
        <v>0</v>
      </c>
      <c r="P613" t="n">
        <v>0</v>
      </c>
      <c r="Q613" t="n">
        <v>0</v>
      </c>
      <c r="R613" s="2" t="inlineStr"/>
    </row>
    <row r="614" ht="15" customHeight="1">
      <c r="A614" t="inlineStr">
        <is>
          <t>A 31419-2022</t>
        </is>
      </c>
      <c r="B614" s="1" t="n">
        <v>44774.70063657407</v>
      </c>
      <c r="C614" s="1" t="n">
        <v>45883</v>
      </c>
      <c r="D614" t="inlineStr">
        <is>
          <t>GÄVLEBORGS LÄN</t>
        </is>
      </c>
      <c r="E614" t="inlineStr">
        <is>
          <t>SANDVIKEN</t>
        </is>
      </c>
      <c r="F614" t="inlineStr">
        <is>
          <t>Sveaskog</t>
        </is>
      </c>
      <c r="G614" t="n">
        <v>0.4</v>
      </c>
      <c r="H614" t="n">
        <v>0</v>
      </c>
      <c r="I614" t="n">
        <v>0</v>
      </c>
      <c r="J614" t="n">
        <v>0</v>
      </c>
      <c r="K614" t="n">
        <v>0</v>
      </c>
      <c r="L614" t="n">
        <v>0</v>
      </c>
      <c r="M614" t="n">
        <v>0</v>
      </c>
      <c r="N614" t="n">
        <v>0</v>
      </c>
      <c r="O614" t="n">
        <v>0</v>
      </c>
      <c r="P614" t="n">
        <v>0</v>
      </c>
      <c r="Q614" t="n">
        <v>0</v>
      </c>
      <c r="R614" s="2" t="inlineStr"/>
    </row>
    <row r="615" ht="15" customHeight="1">
      <c r="A615" t="inlineStr">
        <is>
          <t>A 31432-2022</t>
        </is>
      </c>
      <c r="B615" s="1" t="n">
        <v>44774.92493055556</v>
      </c>
      <c r="C615" s="1" t="n">
        <v>45883</v>
      </c>
      <c r="D615" t="inlineStr">
        <is>
          <t>GÄVLEBORGS LÄN</t>
        </is>
      </c>
      <c r="E615" t="inlineStr">
        <is>
          <t>NORDANSTIG</t>
        </is>
      </c>
      <c r="G615" t="n">
        <v>0.6</v>
      </c>
      <c r="H615" t="n">
        <v>0</v>
      </c>
      <c r="I615" t="n">
        <v>0</v>
      </c>
      <c r="J615" t="n">
        <v>0</v>
      </c>
      <c r="K615" t="n">
        <v>0</v>
      </c>
      <c r="L615" t="n">
        <v>0</v>
      </c>
      <c r="M615" t="n">
        <v>0</v>
      </c>
      <c r="N615" t="n">
        <v>0</v>
      </c>
      <c r="O615" t="n">
        <v>0</v>
      </c>
      <c r="P615" t="n">
        <v>0</v>
      </c>
      <c r="Q615" t="n">
        <v>0</v>
      </c>
      <c r="R615" s="2" t="inlineStr"/>
    </row>
    <row r="616" ht="15" customHeight="1">
      <c r="A616" t="inlineStr">
        <is>
          <t>A 34722-2022</t>
        </is>
      </c>
      <c r="B616" s="1" t="n">
        <v>44795.59144675926</v>
      </c>
      <c r="C616" s="1" t="n">
        <v>45883</v>
      </c>
      <c r="D616" t="inlineStr">
        <is>
          <t>GÄVLEBORGS LÄN</t>
        </is>
      </c>
      <c r="E616" t="inlineStr">
        <is>
          <t>OCKELBO</t>
        </is>
      </c>
      <c r="G616" t="n">
        <v>0.3</v>
      </c>
      <c r="H616" t="n">
        <v>0</v>
      </c>
      <c r="I616" t="n">
        <v>0</v>
      </c>
      <c r="J616" t="n">
        <v>0</v>
      </c>
      <c r="K616" t="n">
        <v>0</v>
      </c>
      <c r="L616" t="n">
        <v>0</v>
      </c>
      <c r="M616" t="n">
        <v>0</v>
      </c>
      <c r="N616" t="n">
        <v>0</v>
      </c>
      <c r="O616" t="n">
        <v>0</v>
      </c>
      <c r="P616" t="n">
        <v>0</v>
      </c>
      <c r="Q616" t="n">
        <v>0</v>
      </c>
      <c r="R616" s="2" t="inlineStr"/>
    </row>
    <row r="617" ht="15" customHeight="1">
      <c r="A617" t="inlineStr">
        <is>
          <t>A 36236-2022</t>
        </is>
      </c>
      <c r="B617" s="1" t="n">
        <v>44803</v>
      </c>
      <c r="C617" s="1" t="n">
        <v>45883</v>
      </c>
      <c r="D617" t="inlineStr">
        <is>
          <t>GÄVLEBORGS LÄN</t>
        </is>
      </c>
      <c r="E617" t="inlineStr">
        <is>
          <t>HUDIKSVALL</t>
        </is>
      </c>
      <c r="G617" t="n">
        <v>0.6</v>
      </c>
      <c r="H617" t="n">
        <v>0</v>
      </c>
      <c r="I617" t="n">
        <v>0</v>
      </c>
      <c r="J617" t="n">
        <v>0</v>
      </c>
      <c r="K617" t="n">
        <v>0</v>
      </c>
      <c r="L617" t="n">
        <v>0</v>
      </c>
      <c r="M617" t="n">
        <v>0</v>
      </c>
      <c r="N617" t="n">
        <v>0</v>
      </c>
      <c r="O617" t="n">
        <v>0</v>
      </c>
      <c r="P617" t="n">
        <v>0</v>
      </c>
      <c r="Q617" t="n">
        <v>0</v>
      </c>
      <c r="R617" s="2" t="inlineStr"/>
    </row>
    <row r="618" ht="15" customHeight="1">
      <c r="A618" t="inlineStr">
        <is>
          <t>A 48201-2022</t>
        </is>
      </c>
      <c r="B618" s="1" t="n">
        <v>44858.42059027778</v>
      </c>
      <c r="C618" s="1" t="n">
        <v>45883</v>
      </c>
      <c r="D618" t="inlineStr">
        <is>
          <t>GÄVLEBORGS LÄN</t>
        </is>
      </c>
      <c r="E618" t="inlineStr">
        <is>
          <t>OCKELBO</t>
        </is>
      </c>
      <c r="F618" t="inlineStr">
        <is>
          <t>Bergvik skog väst AB</t>
        </is>
      </c>
      <c r="G618" t="n">
        <v>2.4</v>
      </c>
      <c r="H618" t="n">
        <v>0</v>
      </c>
      <c r="I618" t="n">
        <v>0</v>
      </c>
      <c r="J618" t="n">
        <v>0</v>
      </c>
      <c r="K618" t="n">
        <v>0</v>
      </c>
      <c r="L618" t="n">
        <v>0</v>
      </c>
      <c r="M618" t="n">
        <v>0</v>
      </c>
      <c r="N618" t="n">
        <v>0</v>
      </c>
      <c r="O618" t="n">
        <v>0</v>
      </c>
      <c r="P618" t="n">
        <v>0</v>
      </c>
      <c r="Q618" t="n">
        <v>0</v>
      </c>
      <c r="R618" s="2" t="inlineStr"/>
    </row>
    <row r="619" ht="15" customHeight="1">
      <c r="A619" t="inlineStr">
        <is>
          <t>A 69432-2020</t>
        </is>
      </c>
      <c r="B619" s="1" t="n">
        <v>44194</v>
      </c>
      <c r="C619" s="1" t="n">
        <v>45883</v>
      </c>
      <c r="D619" t="inlineStr">
        <is>
          <t>GÄVLEBORGS LÄN</t>
        </is>
      </c>
      <c r="E619" t="inlineStr">
        <is>
          <t>BOLLNÄS</t>
        </is>
      </c>
      <c r="G619" t="n">
        <v>2.5</v>
      </c>
      <c r="H619" t="n">
        <v>0</v>
      </c>
      <c r="I619" t="n">
        <v>0</v>
      </c>
      <c r="J619" t="n">
        <v>0</v>
      </c>
      <c r="K619" t="n">
        <v>0</v>
      </c>
      <c r="L619" t="n">
        <v>0</v>
      </c>
      <c r="M619" t="n">
        <v>0</v>
      </c>
      <c r="N619" t="n">
        <v>0</v>
      </c>
      <c r="O619" t="n">
        <v>0</v>
      </c>
      <c r="P619" t="n">
        <v>0</v>
      </c>
      <c r="Q619" t="n">
        <v>0</v>
      </c>
      <c r="R619" s="2" t="inlineStr"/>
    </row>
    <row r="620" ht="15" customHeight="1">
      <c r="A620" t="inlineStr">
        <is>
          <t>A 4866-2021</t>
        </is>
      </c>
      <c r="B620" s="1" t="n">
        <v>44225</v>
      </c>
      <c r="C620" s="1" t="n">
        <v>45883</v>
      </c>
      <c r="D620" t="inlineStr">
        <is>
          <t>GÄVLEBORGS LÄN</t>
        </is>
      </c>
      <c r="E620" t="inlineStr">
        <is>
          <t>HUDIKSVALL</t>
        </is>
      </c>
      <c r="G620" t="n">
        <v>3</v>
      </c>
      <c r="H620" t="n">
        <v>0</v>
      </c>
      <c r="I620" t="n">
        <v>0</v>
      </c>
      <c r="J620" t="n">
        <v>0</v>
      </c>
      <c r="K620" t="n">
        <v>0</v>
      </c>
      <c r="L620" t="n">
        <v>0</v>
      </c>
      <c r="M620" t="n">
        <v>0</v>
      </c>
      <c r="N620" t="n">
        <v>0</v>
      </c>
      <c r="O620" t="n">
        <v>0</v>
      </c>
      <c r="P620" t="n">
        <v>0</v>
      </c>
      <c r="Q620" t="n">
        <v>0</v>
      </c>
      <c r="R620" s="2" t="inlineStr"/>
    </row>
    <row r="621" ht="15" customHeight="1">
      <c r="A621" t="inlineStr">
        <is>
          <t>A 51062-2020</t>
        </is>
      </c>
      <c r="B621" s="1" t="n">
        <v>44112</v>
      </c>
      <c r="C621" s="1" t="n">
        <v>45883</v>
      </c>
      <c r="D621" t="inlineStr">
        <is>
          <t>GÄVLEBORGS LÄN</t>
        </is>
      </c>
      <c r="E621" t="inlineStr">
        <is>
          <t>NORDANSTIG</t>
        </is>
      </c>
      <c r="G621" t="n">
        <v>1.8</v>
      </c>
      <c r="H621" t="n">
        <v>0</v>
      </c>
      <c r="I621" t="n">
        <v>0</v>
      </c>
      <c r="J621" t="n">
        <v>0</v>
      </c>
      <c r="K621" t="n">
        <v>0</v>
      </c>
      <c r="L621" t="n">
        <v>0</v>
      </c>
      <c r="M621" t="n">
        <v>0</v>
      </c>
      <c r="N621" t="n">
        <v>0</v>
      </c>
      <c r="O621" t="n">
        <v>0</v>
      </c>
      <c r="P621" t="n">
        <v>0</v>
      </c>
      <c r="Q621" t="n">
        <v>0</v>
      </c>
      <c r="R621" s="2" t="inlineStr"/>
    </row>
    <row r="622" ht="15" customHeight="1">
      <c r="A622" t="inlineStr">
        <is>
          <t>A 580-2021</t>
        </is>
      </c>
      <c r="B622" s="1" t="n">
        <v>44201</v>
      </c>
      <c r="C622" s="1" t="n">
        <v>45883</v>
      </c>
      <c r="D622" t="inlineStr">
        <is>
          <t>GÄVLEBORGS LÄN</t>
        </is>
      </c>
      <c r="E622" t="inlineStr">
        <is>
          <t>SÖDERHAMN</t>
        </is>
      </c>
      <c r="G622" t="n">
        <v>2.7</v>
      </c>
      <c r="H622" t="n">
        <v>0</v>
      </c>
      <c r="I622" t="n">
        <v>0</v>
      </c>
      <c r="J622" t="n">
        <v>0</v>
      </c>
      <c r="K622" t="n">
        <v>0</v>
      </c>
      <c r="L622" t="n">
        <v>0</v>
      </c>
      <c r="M622" t="n">
        <v>0</v>
      </c>
      <c r="N622" t="n">
        <v>0</v>
      </c>
      <c r="O622" t="n">
        <v>0</v>
      </c>
      <c r="P622" t="n">
        <v>0</v>
      </c>
      <c r="Q622" t="n">
        <v>0</v>
      </c>
      <c r="R622" s="2" t="inlineStr"/>
    </row>
    <row r="623" ht="15" customHeight="1">
      <c r="A623" t="inlineStr">
        <is>
          <t>A 629-2021</t>
        </is>
      </c>
      <c r="B623" s="1" t="n">
        <v>44203</v>
      </c>
      <c r="C623" s="1" t="n">
        <v>45883</v>
      </c>
      <c r="D623" t="inlineStr">
        <is>
          <t>GÄVLEBORGS LÄN</t>
        </is>
      </c>
      <c r="E623" t="inlineStr">
        <is>
          <t>BOLLNÄS</t>
        </is>
      </c>
      <c r="F623" t="inlineStr">
        <is>
          <t>Bergvik skog väst AB</t>
        </is>
      </c>
      <c r="G623" t="n">
        <v>1.7</v>
      </c>
      <c r="H623" t="n">
        <v>0</v>
      </c>
      <c r="I623" t="n">
        <v>0</v>
      </c>
      <c r="J623" t="n">
        <v>0</v>
      </c>
      <c r="K623" t="n">
        <v>0</v>
      </c>
      <c r="L623" t="n">
        <v>0</v>
      </c>
      <c r="M623" t="n">
        <v>0</v>
      </c>
      <c r="N623" t="n">
        <v>0</v>
      </c>
      <c r="O623" t="n">
        <v>0</v>
      </c>
      <c r="P623" t="n">
        <v>0</v>
      </c>
      <c r="Q623" t="n">
        <v>0</v>
      </c>
      <c r="R623" s="2" t="inlineStr"/>
    </row>
    <row r="624" ht="15" customHeight="1">
      <c r="A624" t="inlineStr">
        <is>
          <t>A 71526-2021</t>
        </is>
      </c>
      <c r="B624" s="1" t="n">
        <v>44540.61243055556</v>
      </c>
      <c r="C624" s="1" t="n">
        <v>45883</v>
      </c>
      <c r="D624" t="inlineStr">
        <is>
          <t>GÄVLEBORGS LÄN</t>
        </is>
      </c>
      <c r="E624" t="inlineStr">
        <is>
          <t>NORDANSTIG</t>
        </is>
      </c>
      <c r="F624" t="inlineStr">
        <is>
          <t>Holmen skog AB</t>
        </is>
      </c>
      <c r="G624" t="n">
        <v>0.6</v>
      </c>
      <c r="H624" t="n">
        <v>0</v>
      </c>
      <c r="I624" t="n">
        <v>0</v>
      </c>
      <c r="J624" t="n">
        <v>0</v>
      </c>
      <c r="K624" t="n">
        <v>0</v>
      </c>
      <c r="L624" t="n">
        <v>0</v>
      </c>
      <c r="M624" t="n">
        <v>0</v>
      </c>
      <c r="N624" t="n">
        <v>0</v>
      </c>
      <c r="O624" t="n">
        <v>0</v>
      </c>
      <c r="P624" t="n">
        <v>0</v>
      </c>
      <c r="Q624" t="n">
        <v>0</v>
      </c>
      <c r="R624" s="2" t="inlineStr"/>
    </row>
    <row r="625" ht="15" customHeight="1">
      <c r="A625" t="inlineStr">
        <is>
          <t>A 18786-2021</t>
        </is>
      </c>
      <c r="B625" s="1" t="n">
        <v>44307</v>
      </c>
      <c r="C625" s="1" t="n">
        <v>45883</v>
      </c>
      <c r="D625" t="inlineStr">
        <is>
          <t>GÄVLEBORGS LÄN</t>
        </is>
      </c>
      <c r="E625" t="inlineStr">
        <is>
          <t>LJUSDAL</t>
        </is>
      </c>
      <c r="G625" t="n">
        <v>4.9</v>
      </c>
      <c r="H625" t="n">
        <v>0</v>
      </c>
      <c r="I625" t="n">
        <v>0</v>
      </c>
      <c r="J625" t="n">
        <v>0</v>
      </c>
      <c r="K625" t="n">
        <v>0</v>
      </c>
      <c r="L625" t="n">
        <v>0</v>
      </c>
      <c r="M625" t="n">
        <v>0</v>
      </c>
      <c r="N625" t="n">
        <v>0</v>
      </c>
      <c r="O625" t="n">
        <v>0</v>
      </c>
      <c r="P625" t="n">
        <v>0</v>
      </c>
      <c r="Q625" t="n">
        <v>0</v>
      </c>
      <c r="R625" s="2" t="inlineStr"/>
    </row>
    <row r="626" ht="15" customHeight="1">
      <c r="A626" t="inlineStr">
        <is>
          <t>A 69569-2020</t>
        </is>
      </c>
      <c r="B626" s="1" t="n">
        <v>44194</v>
      </c>
      <c r="C626" s="1" t="n">
        <v>45883</v>
      </c>
      <c r="D626" t="inlineStr">
        <is>
          <t>GÄVLEBORGS LÄN</t>
        </is>
      </c>
      <c r="E626" t="inlineStr">
        <is>
          <t>LJUSDAL</t>
        </is>
      </c>
      <c r="G626" t="n">
        <v>1.7</v>
      </c>
      <c r="H626" t="n">
        <v>0</v>
      </c>
      <c r="I626" t="n">
        <v>0</v>
      </c>
      <c r="J626" t="n">
        <v>0</v>
      </c>
      <c r="K626" t="n">
        <v>0</v>
      </c>
      <c r="L626" t="n">
        <v>0</v>
      </c>
      <c r="M626" t="n">
        <v>0</v>
      </c>
      <c r="N626" t="n">
        <v>0</v>
      </c>
      <c r="O626" t="n">
        <v>0</v>
      </c>
      <c r="P626" t="n">
        <v>0</v>
      </c>
      <c r="Q626" t="n">
        <v>0</v>
      </c>
      <c r="R626" s="2" t="inlineStr"/>
    </row>
    <row r="627" ht="15" customHeight="1">
      <c r="A627" t="inlineStr">
        <is>
          <t>A 50876-2021</t>
        </is>
      </c>
      <c r="B627" s="1" t="n">
        <v>44460</v>
      </c>
      <c r="C627" s="1" t="n">
        <v>45883</v>
      </c>
      <c r="D627" t="inlineStr">
        <is>
          <t>GÄVLEBORGS LÄN</t>
        </is>
      </c>
      <c r="E627" t="inlineStr">
        <is>
          <t>SANDVIKEN</t>
        </is>
      </c>
      <c r="F627" t="inlineStr">
        <is>
          <t>Sveaskog</t>
        </is>
      </c>
      <c r="G627" t="n">
        <v>0.6</v>
      </c>
      <c r="H627" t="n">
        <v>0</v>
      </c>
      <c r="I627" t="n">
        <v>0</v>
      </c>
      <c r="J627" t="n">
        <v>0</v>
      </c>
      <c r="K627" t="n">
        <v>0</v>
      </c>
      <c r="L627" t="n">
        <v>0</v>
      </c>
      <c r="M627" t="n">
        <v>0</v>
      </c>
      <c r="N627" t="n">
        <v>0</v>
      </c>
      <c r="O627" t="n">
        <v>0</v>
      </c>
      <c r="P627" t="n">
        <v>0</v>
      </c>
      <c r="Q627" t="n">
        <v>0</v>
      </c>
      <c r="R627" s="2" t="inlineStr"/>
    </row>
    <row r="628" ht="15" customHeight="1">
      <c r="A628" t="inlineStr">
        <is>
          <t>A 63370-2020</t>
        </is>
      </c>
      <c r="B628" s="1" t="n">
        <v>44165.4840625</v>
      </c>
      <c r="C628" s="1" t="n">
        <v>45883</v>
      </c>
      <c r="D628" t="inlineStr">
        <is>
          <t>GÄVLEBORGS LÄN</t>
        </is>
      </c>
      <c r="E628" t="inlineStr">
        <is>
          <t>OCKELBO</t>
        </is>
      </c>
      <c r="G628" t="n">
        <v>3.8</v>
      </c>
      <c r="H628" t="n">
        <v>0</v>
      </c>
      <c r="I628" t="n">
        <v>0</v>
      </c>
      <c r="J628" t="n">
        <v>0</v>
      </c>
      <c r="K628" t="n">
        <v>0</v>
      </c>
      <c r="L628" t="n">
        <v>0</v>
      </c>
      <c r="M628" t="n">
        <v>0</v>
      </c>
      <c r="N628" t="n">
        <v>0</v>
      </c>
      <c r="O628" t="n">
        <v>0</v>
      </c>
      <c r="P628" t="n">
        <v>0</v>
      </c>
      <c r="Q628" t="n">
        <v>0</v>
      </c>
      <c r="R628" s="2" t="inlineStr"/>
    </row>
    <row r="629" ht="15" customHeight="1">
      <c r="A629" t="inlineStr">
        <is>
          <t>A 1850-2021</t>
        </is>
      </c>
      <c r="B629" s="1" t="n">
        <v>44210</v>
      </c>
      <c r="C629" s="1" t="n">
        <v>45883</v>
      </c>
      <c r="D629" t="inlineStr">
        <is>
          <t>GÄVLEBORGS LÄN</t>
        </is>
      </c>
      <c r="E629" t="inlineStr">
        <is>
          <t>BOLLNÄS</t>
        </is>
      </c>
      <c r="F629" t="inlineStr">
        <is>
          <t>Bergvik skog väst AB</t>
        </is>
      </c>
      <c r="G629" t="n">
        <v>0.5</v>
      </c>
      <c r="H629" t="n">
        <v>0</v>
      </c>
      <c r="I629" t="n">
        <v>0</v>
      </c>
      <c r="J629" t="n">
        <v>0</v>
      </c>
      <c r="K629" t="n">
        <v>0</v>
      </c>
      <c r="L629" t="n">
        <v>0</v>
      </c>
      <c r="M629" t="n">
        <v>0</v>
      </c>
      <c r="N629" t="n">
        <v>0</v>
      </c>
      <c r="O629" t="n">
        <v>0</v>
      </c>
      <c r="P629" t="n">
        <v>0</v>
      </c>
      <c r="Q629" t="n">
        <v>0</v>
      </c>
      <c r="R629" s="2" t="inlineStr"/>
    </row>
    <row r="630" ht="15" customHeight="1">
      <c r="A630" t="inlineStr">
        <is>
          <t>A 55269-2020</t>
        </is>
      </c>
      <c r="B630" s="1" t="n">
        <v>44130</v>
      </c>
      <c r="C630" s="1" t="n">
        <v>45883</v>
      </c>
      <c r="D630" t="inlineStr">
        <is>
          <t>GÄVLEBORGS LÄN</t>
        </is>
      </c>
      <c r="E630" t="inlineStr">
        <is>
          <t>SÖDERHAMN</t>
        </is>
      </c>
      <c r="G630" t="n">
        <v>1.2</v>
      </c>
      <c r="H630" t="n">
        <v>0</v>
      </c>
      <c r="I630" t="n">
        <v>0</v>
      </c>
      <c r="J630" t="n">
        <v>0</v>
      </c>
      <c r="K630" t="n">
        <v>0</v>
      </c>
      <c r="L630" t="n">
        <v>0</v>
      </c>
      <c r="M630" t="n">
        <v>0</v>
      </c>
      <c r="N630" t="n">
        <v>0</v>
      </c>
      <c r="O630" t="n">
        <v>0</v>
      </c>
      <c r="P630" t="n">
        <v>0</v>
      </c>
      <c r="Q630" t="n">
        <v>0</v>
      </c>
      <c r="R630" s="2" t="inlineStr"/>
    </row>
    <row r="631" ht="15" customHeight="1">
      <c r="A631" t="inlineStr">
        <is>
          <t>A 16307-2021</t>
        </is>
      </c>
      <c r="B631" s="1" t="n">
        <v>44292.69246527777</v>
      </c>
      <c r="C631" s="1" t="n">
        <v>45883</v>
      </c>
      <c r="D631" t="inlineStr">
        <is>
          <t>GÄVLEBORGS LÄN</t>
        </is>
      </c>
      <c r="E631" t="inlineStr">
        <is>
          <t>SÖDERHAMN</t>
        </is>
      </c>
      <c r="G631" t="n">
        <v>1.2</v>
      </c>
      <c r="H631" t="n">
        <v>0</v>
      </c>
      <c r="I631" t="n">
        <v>0</v>
      </c>
      <c r="J631" t="n">
        <v>0</v>
      </c>
      <c r="K631" t="n">
        <v>0</v>
      </c>
      <c r="L631" t="n">
        <v>0</v>
      </c>
      <c r="M631" t="n">
        <v>0</v>
      </c>
      <c r="N631" t="n">
        <v>0</v>
      </c>
      <c r="O631" t="n">
        <v>0</v>
      </c>
      <c r="P631" t="n">
        <v>0</v>
      </c>
      <c r="Q631" t="n">
        <v>0</v>
      </c>
      <c r="R631" s="2" t="inlineStr"/>
    </row>
    <row r="632" ht="15" customHeight="1">
      <c r="A632" t="inlineStr">
        <is>
          <t>A 55600-2020</t>
        </is>
      </c>
      <c r="B632" s="1" t="n">
        <v>44131</v>
      </c>
      <c r="C632" s="1" t="n">
        <v>45883</v>
      </c>
      <c r="D632" t="inlineStr">
        <is>
          <t>GÄVLEBORGS LÄN</t>
        </is>
      </c>
      <c r="E632" t="inlineStr">
        <is>
          <t>OVANÅKER</t>
        </is>
      </c>
      <c r="G632" t="n">
        <v>0.9</v>
      </c>
      <c r="H632" t="n">
        <v>0</v>
      </c>
      <c r="I632" t="n">
        <v>0</v>
      </c>
      <c r="J632" t="n">
        <v>0</v>
      </c>
      <c r="K632" t="n">
        <v>0</v>
      </c>
      <c r="L632" t="n">
        <v>0</v>
      </c>
      <c r="M632" t="n">
        <v>0</v>
      </c>
      <c r="N632" t="n">
        <v>0</v>
      </c>
      <c r="O632" t="n">
        <v>0</v>
      </c>
      <c r="P632" t="n">
        <v>0</v>
      </c>
      <c r="Q632" t="n">
        <v>0</v>
      </c>
      <c r="R632" s="2" t="inlineStr"/>
    </row>
    <row r="633" ht="15" customHeight="1">
      <c r="A633" t="inlineStr">
        <is>
          <t>A 55604-2020</t>
        </is>
      </c>
      <c r="B633" s="1" t="n">
        <v>44131</v>
      </c>
      <c r="C633" s="1" t="n">
        <v>45883</v>
      </c>
      <c r="D633" t="inlineStr">
        <is>
          <t>GÄVLEBORGS LÄN</t>
        </is>
      </c>
      <c r="E633" t="inlineStr">
        <is>
          <t>OVANÅKER</t>
        </is>
      </c>
      <c r="G633" t="n">
        <v>1</v>
      </c>
      <c r="H633" t="n">
        <v>0</v>
      </c>
      <c r="I633" t="n">
        <v>0</v>
      </c>
      <c r="J633" t="n">
        <v>0</v>
      </c>
      <c r="K633" t="n">
        <v>0</v>
      </c>
      <c r="L633" t="n">
        <v>0</v>
      </c>
      <c r="M633" t="n">
        <v>0</v>
      </c>
      <c r="N633" t="n">
        <v>0</v>
      </c>
      <c r="O633" t="n">
        <v>0</v>
      </c>
      <c r="P633" t="n">
        <v>0</v>
      </c>
      <c r="Q633" t="n">
        <v>0</v>
      </c>
      <c r="R633" s="2" t="inlineStr"/>
    </row>
    <row r="634" ht="15" customHeight="1">
      <c r="A634" t="inlineStr">
        <is>
          <t>A 69675-2020</t>
        </is>
      </c>
      <c r="B634" s="1" t="n">
        <v>44196</v>
      </c>
      <c r="C634" s="1" t="n">
        <v>45883</v>
      </c>
      <c r="D634" t="inlineStr">
        <is>
          <t>GÄVLEBORGS LÄN</t>
        </is>
      </c>
      <c r="E634" t="inlineStr">
        <is>
          <t>GÄVLE</t>
        </is>
      </c>
      <c r="F634" t="inlineStr">
        <is>
          <t>Bergvik skog öst AB</t>
        </is>
      </c>
      <c r="G634" t="n">
        <v>0.7</v>
      </c>
      <c r="H634" t="n">
        <v>0</v>
      </c>
      <c r="I634" t="n">
        <v>0</v>
      </c>
      <c r="J634" t="n">
        <v>0</v>
      </c>
      <c r="K634" t="n">
        <v>0</v>
      </c>
      <c r="L634" t="n">
        <v>0</v>
      </c>
      <c r="M634" t="n">
        <v>0</v>
      </c>
      <c r="N634" t="n">
        <v>0</v>
      </c>
      <c r="O634" t="n">
        <v>0</v>
      </c>
      <c r="P634" t="n">
        <v>0</v>
      </c>
      <c r="Q634" t="n">
        <v>0</v>
      </c>
      <c r="R634" s="2" t="inlineStr"/>
    </row>
    <row r="635" ht="15" customHeight="1">
      <c r="A635" t="inlineStr">
        <is>
          <t>A 64068-2021</t>
        </is>
      </c>
      <c r="B635" s="1" t="n">
        <v>44510.39528935185</v>
      </c>
      <c r="C635" s="1" t="n">
        <v>45883</v>
      </c>
      <c r="D635" t="inlineStr">
        <is>
          <t>GÄVLEBORGS LÄN</t>
        </is>
      </c>
      <c r="E635" t="inlineStr">
        <is>
          <t>SANDVIKEN</t>
        </is>
      </c>
      <c r="G635" t="n">
        <v>4.8</v>
      </c>
      <c r="H635" t="n">
        <v>0</v>
      </c>
      <c r="I635" t="n">
        <v>0</v>
      </c>
      <c r="J635" t="n">
        <v>0</v>
      </c>
      <c r="K635" t="n">
        <v>0</v>
      </c>
      <c r="L635" t="n">
        <v>0</v>
      </c>
      <c r="M635" t="n">
        <v>0</v>
      </c>
      <c r="N635" t="n">
        <v>0</v>
      </c>
      <c r="O635" t="n">
        <v>0</v>
      </c>
      <c r="P635" t="n">
        <v>0</v>
      </c>
      <c r="Q635" t="n">
        <v>0</v>
      </c>
      <c r="R635" s="2" t="inlineStr"/>
    </row>
    <row r="636" ht="15" customHeight="1">
      <c r="A636" t="inlineStr">
        <is>
          <t>A 15280-2021</t>
        </is>
      </c>
      <c r="B636" s="1" t="n">
        <v>44284.57682870371</v>
      </c>
      <c r="C636" s="1" t="n">
        <v>45883</v>
      </c>
      <c r="D636" t="inlineStr">
        <is>
          <t>GÄVLEBORGS LÄN</t>
        </is>
      </c>
      <c r="E636" t="inlineStr">
        <is>
          <t>GÄVLE</t>
        </is>
      </c>
      <c r="F636" t="inlineStr">
        <is>
          <t>Bergvik skog öst AB</t>
        </is>
      </c>
      <c r="G636" t="n">
        <v>1.9</v>
      </c>
      <c r="H636" t="n">
        <v>0</v>
      </c>
      <c r="I636" t="n">
        <v>0</v>
      </c>
      <c r="J636" t="n">
        <v>0</v>
      </c>
      <c r="K636" t="n">
        <v>0</v>
      </c>
      <c r="L636" t="n">
        <v>0</v>
      </c>
      <c r="M636" t="n">
        <v>0</v>
      </c>
      <c r="N636" t="n">
        <v>0</v>
      </c>
      <c r="O636" t="n">
        <v>0</v>
      </c>
      <c r="P636" t="n">
        <v>0</v>
      </c>
      <c r="Q636" t="n">
        <v>0</v>
      </c>
      <c r="R636" s="2" t="inlineStr"/>
    </row>
    <row r="637" ht="15" customHeight="1">
      <c r="A637" t="inlineStr">
        <is>
          <t>A 63084-2021</t>
        </is>
      </c>
      <c r="B637" s="1" t="n">
        <v>44505.57767361111</v>
      </c>
      <c r="C637" s="1" t="n">
        <v>45883</v>
      </c>
      <c r="D637" t="inlineStr">
        <is>
          <t>GÄVLEBORGS LÄN</t>
        </is>
      </c>
      <c r="E637" t="inlineStr">
        <is>
          <t>SANDVIKEN</t>
        </is>
      </c>
      <c r="G637" t="n">
        <v>2.5</v>
      </c>
      <c r="H637" t="n">
        <v>0</v>
      </c>
      <c r="I637" t="n">
        <v>0</v>
      </c>
      <c r="J637" t="n">
        <v>0</v>
      </c>
      <c r="K637" t="n">
        <v>0</v>
      </c>
      <c r="L637" t="n">
        <v>0</v>
      </c>
      <c r="M637" t="n">
        <v>0</v>
      </c>
      <c r="N637" t="n">
        <v>0</v>
      </c>
      <c r="O637" t="n">
        <v>0</v>
      </c>
      <c r="P637" t="n">
        <v>0</v>
      </c>
      <c r="Q637" t="n">
        <v>0</v>
      </c>
      <c r="R637" s="2" t="inlineStr"/>
    </row>
    <row r="638" ht="15" customHeight="1">
      <c r="A638" t="inlineStr">
        <is>
          <t>A 13030-2021</t>
        </is>
      </c>
      <c r="B638" s="1" t="n">
        <v>44271</v>
      </c>
      <c r="C638" s="1" t="n">
        <v>45883</v>
      </c>
      <c r="D638" t="inlineStr">
        <is>
          <t>GÄVLEBORGS LÄN</t>
        </is>
      </c>
      <c r="E638" t="inlineStr">
        <is>
          <t>GÄVLE</t>
        </is>
      </c>
      <c r="F638" t="inlineStr">
        <is>
          <t>Bergvik skog öst AB</t>
        </is>
      </c>
      <c r="G638" t="n">
        <v>0.9</v>
      </c>
      <c r="H638" t="n">
        <v>0</v>
      </c>
      <c r="I638" t="n">
        <v>0</v>
      </c>
      <c r="J638" t="n">
        <v>0</v>
      </c>
      <c r="K638" t="n">
        <v>0</v>
      </c>
      <c r="L638" t="n">
        <v>0</v>
      </c>
      <c r="M638" t="n">
        <v>0</v>
      </c>
      <c r="N638" t="n">
        <v>0</v>
      </c>
      <c r="O638" t="n">
        <v>0</v>
      </c>
      <c r="P638" t="n">
        <v>0</v>
      </c>
      <c r="Q638" t="n">
        <v>0</v>
      </c>
      <c r="R638" s="2" t="inlineStr"/>
    </row>
    <row r="639" ht="15" customHeight="1">
      <c r="A639" t="inlineStr">
        <is>
          <t>A 63423-2021</t>
        </is>
      </c>
      <c r="B639" s="1" t="n">
        <v>44508.56807870371</v>
      </c>
      <c r="C639" s="1" t="n">
        <v>45883</v>
      </c>
      <c r="D639" t="inlineStr">
        <is>
          <t>GÄVLEBORGS LÄN</t>
        </is>
      </c>
      <c r="E639" t="inlineStr">
        <is>
          <t>SÖDERHAMN</t>
        </is>
      </c>
      <c r="G639" t="n">
        <v>1.7</v>
      </c>
      <c r="H639" t="n">
        <v>0</v>
      </c>
      <c r="I639" t="n">
        <v>0</v>
      </c>
      <c r="J639" t="n">
        <v>0</v>
      </c>
      <c r="K639" t="n">
        <v>0</v>
      </c>
      <c r="L639" t="n">
        <v>0</v>
      </c>
      <c r="M639" t="n">
        <v>0</v>
      </c>
      <c r="N639" t="n">
        <v>0</v>
      </c>
      <c r="O639" t="n">
        <v>0</v>
      </c>
      <c r="P639" t="n">
        <v>0</v>
      </c>
      <c r="Q639" t="n">
        <v>0</v>
      </c>
      <c r="R639" s="2" t="inlineStr"/>
    </row>
    <row r="640" ht="15" customHeight="1">
      <c r="A640" t="inlineStr">
        <is>
          <t>A 3418-2021</t>
        </is>
      </c>
      <c r="B640" s="1" t="n">
        <v>44218</v>
      </c>
      <c r="C640" s="1" t="n">
        <v>45883</v>
      </c>
      <c r="D640" t="inlineStr">
        <is>
          <t>GÄVLEBORGS LÄN</t>
        </is>
      </c>
      <c r="E640" t="inlineStr">
        <is>
          <t>SÖDERHAMN</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65025-2020</t>
        </is>
      </c>
      <c r="B641" s="1" t="n">
        <v>44172.48135416667</v>
      </c>
      <c r="C641" s="1" t="n">
        <v>45883</v>
      </c>
      <c r="D641" t="inlineStr">
        <is>
          <t>GÄVLEBORGS LÄN</t>
        </is>
      </c>
      <c r="E641" t="inlineStr">
        <is>
          <t>SANDVIKEN</t>
        </is>
      </c>
      <c r="G641" t="n">
        <v>1.4</v>
      </c>
      <c r="H641" t="n">
        <v>0</v>
      </c>
      <c r="I641" t="n">
        <v>0</v>
      </c>
      <c r="J641" t="n">
        <v>0</v>
      </c>
      <c r="K641" t="n">
        <v>0</v>
      </c>
      <c r="L641" t="n">
        <v>0</v>
      </c>
      <c r="M641" t="n">
        <v>0</v>
      </c>
      <c r="N641" t="n">
        <v>0</v>
      </c>
      <c r="O641" t="n">
        <v>0</v>
      </c>
      <c r="P641" t="n">
        <v>0</v>
      </c>
      <c r="Q641" t="n">
        <v>0</v>
      </c>
      <c r="R641" s="2" t="inlineStr"/>
    </row>
    <row r="642" ht="15" customHeight="1">
      <c r="A642" t="inlineStr">
        <is>
          <t>A 67064-2020</t>
        </is>
      </c>
      <c r="B642" s="1" t="n">
        <v>44180</v>
      </c>
      <c r="C642" s="1" t="n">
        <v>45883</v>
      </c>
      <c r="D642" t="inlineStr">
        <is>
          <t>GÄVLEBORGS LÄN</t>
        </is>
      </c>
      <c r="E642" t="inlineStr">
        <is>
          <t>BOLLNÄS</t>
        </is>
      </c>
      <c r="G642" t="n">
        <v>3.2</v>
      </c>
      <c r="H642" t="n">
        <v>0</v>
      </c>
      <c r="I642" t="n">
        <v>0</v>
      </c>
      <c r="J642" t="n">
        <v>0</v>
      </c>
      <c r="K642" t="n">
        <v>0</v>
      </c>
      <c r="L642" t="n">
        <v>0</v>
      </c>
      <c r="M642" t="n">
        <v>0</v>
      </c>
      <c r="N642" t="n">
        <v>0</v>
      </c>
      <c r="O642" t="n">
        <v>0</v>
      </c>
      <c r="P642" t="n">
        <v>0</v>
      </c>
      <c r="Q642" t="n">
        <v>0</v>
      </c>
      <c r="R642" s="2" t="inlineStr"/>
    </row>
    <row r="643" ht="15" customHeight="1">
      <c r="A643" t="inlineStr">
        <is>
          <t>A 22585-2021</t>
        </is>
      </c>
      <c r="B643" s="1" t="n">
        <v>44327.39894675926</v>
      </c>
      <c r="C643" s="1" t="n">
        <v>45883</v>
      </c>
      <c r="D643" t="inlineStr">
        <is>
          <t>GÄVLEBORGS LÄN</t>
        </is>
      </c>
      <c r="E643" t="inlineStr">
        <is>
          <t>OCKELBO</t>
        </is>
      </c>
      <c r="G643" t="n">
        <v>0.8</v>
      </c>
      <c r="H643" t="n">
        <v>0</v>
      </c>
      <c r="I643" t="n">
        <v>0</v>
      </c>
      <c r="J643" t="n">
        <v>0</v>
      </c>
      <c r="K643" t="n">
        <v>0</v>
      </c>
      <c r="L643" t="n">
        <v>0</v>
      </c>
      <c r="M643" t="n">
        <v>0</v>
      </c>
      <c r="N643" t="n">
        <v>0</v>
      </c>
      <c r="O643" t="n">
        <v>0</v>
      </c>
      <c r="P643" t="n">
        <v>0</v>
      </c>
      <c r="Q643" t="n">
        <v>0</v>
      </c>
      <c r="R643" s="2" t="inlineStr"/>
    </row>
    <row r="644" ht="15" customHeight="1">
      <c r="A644" t="inlineStr">
        <is>
          <t>A 56991-2020</t>
        </is>
      </c>
      <c r="B644" s="1" t="n">
        <v>44138</v>
      </c>
      <c r="C644" s="1" t="n">
        <v>45883</v>
      </c>
      <c r="D644" t="inlineStr">
        <is>
          <t>GÄVLEBORGS LÄN</t>
        </is>
      </c>
      <c r="E644" t="inlineStr">
        <is>
          <t>NORDANSTIG</t>
        </is>
      </c>
      <c r="G644" t="n">
        <v>1.6</v>
      </c>
      <c r="H644" t="n">
        <v>0</v>
      </c>
      <c r="I644" t="n">
        <v>0</v>
      </c>
      <c r="J644" t="n">
        <v>0</v>
      </c>
      <c r="K644" t="n">
        <v>0</v>
      </c>
      <c r="L644" t="n">
        <v>0</v>
      </c>
      <c r="M644" t="n">
        <v>0</v>
      </c>
      <c r="N644" t="n">
        <v>0</v>
      </c>
      <c r="O644" t="n">
        <v>0</v>
      </c>
      <c r="P644" t="n">
        <v>0</v>
      </c>
      <c r="Q644" t="n">
        <v>0</v>
      </c>
      <c r="R644" s="2" t="inlineStr"/>
    </row>
    <row r="645" ht="15" customHeight="1">
      <c r="A645" t="inlineStr">
        <is>
          <t>A 546-2021</t>
        </is>
      </c>
      <c r="B645" s="1" t="n">
        <v>44203</v>
      </c>
      <c r="C645" s="1" t="n">
        <v>45883</v>
      </c>
      <c r="D645" t="inlineStr">
        <is>
          <t>GÄVLEBORGS LÄN</t>
        </is>
      </c>
      <c r="E645" t="inlineStr">
        <is>
          <t>BOLLNÄS</t>
        </is>
      </c>
      <c r="F645" t="inlineStr">
        <is>
          <t>Bergvik skog väst AB</t>
        </is>
      </c>
      <c r="G645" t="n">
        <v>0.6</v>
      </c>
      <c r="H645" t="n">
        <v>0</v>
      </c>
      <c r="I645" t="n">
        <v>0</v>
      </c>
      <c r="J645" t="n">
        <v>0</v>
      </c>
      <c r="K645" t="n">
        <v>0</v>
      </c>
      <c r="L645" t="n">
        <v>0</v>
      </c>
      <c r="M645" t="n">
        <v>0</v>
      </c>
      <c r="N645" t="n">
        <v>0</v>
      </c>
      <c r="O645" t="n">
        <v>0</v>
      </c>
      <c r="P645" t="n">
        <v>0</v>
      </c>
      <c r="Q645" t="n">
        <v>0</v>
      </c>
      <c r="R645" s="2" t="inlineStr"/>
    </row>
    <row r="646" ht="15" customHeight="1">
      <c r="A646" t="inlineStr">
        <is>
          <t>A 55147-2020</t>
        </is>
      </c>
      <c r="B646" s="1" t="n">
        <v>44130</v>
      </c>
      <c r="C646" s="1" t="n">
        <v>45883</v>
      </c>
      <c r="D646" t="inlineStr">
        <is>
          <t>GÄVLEBORGS LÄN</t>
        </is>
      </c>
      <c r="E646" t="inlineStr">
        <is>
          <t>NORDANSTIG</t>
        </is>
      </c>
      <c r="G646" t="n">
        <v>0.2</v>
      </c>
      <c r="H646" t="n">
        <v>0</v>
      </c>
      <c r="I646" t="n">
        <v>0</v>
      </c>
      <c r="J646" t="n">
        <v>0</v>
      </c>
      <c r="K646" t="n">
        <v>0</v>
      </c>
      <c r="L646" t="n">
        <v>0</v>
      </c>
      <c r="M646" t="n">
        <v>0</v>
      </c>
      <c r="N646" t="n">
        <v>0</v>
      </c>
      <c r="O646" t="n">
        <v>0</v>
      </c>
      <c r="P646" t="n">
        <v>0</v>
      </c>
      <c r="Q646" t="n">
        <v>0</v>
      </c>
      <c r="R646" s="2" t="inlineStr"/>
    </row>
    <row r="647" ht="15" customHeight="1">
      <c r="A647" t="inlineStr">
        <is>
          <t>A 64088-2020</t>
        </is>
      </c>
      <c r="B647" s="1" t="n">
        <v>44167</v>
      </c>
      <c r="C647" s="1" t="n">
        <v>45883</v>
      </c>
      <c r="D647" t="inlineStr">
        <is>
          <t>GÄVLEBORGS LÄN</t>
        </is>
      </c>
      <c r="E647" t="inlineStr">
        <is>
          <t>OVANÅKER</t>
        </is>
      </c>
      <c r="G647" t="n">
        <v>1.2</v>
      </c>
      <c r="H647" t="n">
        <v>0</v>
      </c>
      <c r="I647" t="n">
        <v>0</v>
      </c>
      <c r="J647" t="n">
        <v>0</v>
      </c>
      <c r="K647" t="n">
        <v>0</v>
      </c>
      <c r="L647" t="n">
        <v>0</v>
      </c>
      <c r="M647" t="n">
        <v>0</v>
      </c>
      <c r="N647" t="n">
        <v>0</v>
      </c>
      <c r="O647" t="n">
        <v>0</v>
      </c>
      <c r="P647" t="n">
        <v>0</v>
      </c>
      <c r="Q647" t="n">
        <v>0</v>
      </c>
      <c r="R647" s="2" t="inlineStr"/>
    </row>
    <row r="648" ht="15" customHeight="1">
      <c r="A648" t="inlineStr">
        <is>
          <t>A 17215-2021</t>
        </is>
      </c>
      <c r="B648" s="1" t="n">
        <v>44298.48946759259</v>
      </c>
      <c r="C648" s="1" t="n">
        <v>45883</v>
      </c>
      <c r="D648" t="inlineStr">
        <is>
          <t>GÄVLEBORGS LÄN</t>
        </is>
      </c>
      <c r="E648" t="inlineStr">
        <is>
          <t>OVANÅKER</t>
        </is>
      </c>
      <c r="G648" t="n">
        <v>0.9</v>
      </c>
      <c r="H648" t="n">
        <v>0</v>
      </c>
      <c r="I648" t="n">
        <v>0</v>
      </c>
      <c r="J648" t="n">
        <v>0</v>
      </c>
      <c r="K648" t="n">
        <v>0</v>
      </c>
      <c r="L648" t="n">
        <v>0</v>
      </c>
      <c r="M648" t="n">
        <v>0</v>
      </c>
      <c r="N648" t="n">
        <v>0</v>
      </c>
      <c r="O648" t="n">
        <v>0</v>
      </c>
      <c r="P648" t="n">
        <v>0</v>
      </c>
      <c r="Q648" t="n">
        <v>0</v>
      </c>
      <c r="R648" s="2" t="inlineStr"/>
    </row>
    <row r="649" ht="15" customHeight="1">
      <c r="A649" t="inlineStr">
        <is>
          <t>A 22580-2021</t>
        </is>
      </c>
      <c r="B649" s="1" t="n">
        <v>44327.39097222222</v>
      </c>
      <c r="C649" s="1" t="n">
        <v>45883</v>
      </c>
      <c r="D649" t="inlineStr">
        <is>
          <t>GÄVLEBORGS LÄN</t>
        </is>
      </c>
      <c r="E649" t="inlineStr">
        <is>
          <t>OCKELBO</t>
        </is>
      </c>
      <c r="G649" t="n">
        <v>1.9</v>
      </c>
      <c r="H649" t="n">
        <v>0</v>
      </c>
      <c r="I649" t="n">
        <v>0</v>
      </c>
      <c r="J649" t="n">
        <v>0</v>
      </c>
      <c r="K649" t="n">
        <v>0</v>
      </c>
      <c r="L649" t="n">
        <v>0</v>
      </c>
      <c r="M649" t="n">
        <v>0</v>
      </c>
      <c r="N649" t="n">
        <v>0</v>
      </c>
      <c r="O649" t="n">
        <v>0</v>
      </c>
      <c r="P649" t="n">
        <v>0</v>
      </c>
      <c r="Q649" t="n">
        <v>0</v>
      </c>
      <c r="R649" s="2" t="inlineStr"/>
    </row>
    <row r="650" ht="15" customHeight="1">
      <c r="A650" t="inlineStr">
        <is>
          <t>A 65031-2020</t>
        </is>
      </c>
      <c r="B650" s="1" t="n">
        <v>44172</v>
      </c>
      <c r="C650" s="1" t="n">
        <v>45883</v>
      </c>
      <c r="D650" t="inlineStr">
        <is>
          <t>GÄVLEBORGS LÄN</t>
        </is>
      </c>
      <c r="E650" t="inlineStr">
        <is>
          <t>SÖDERHAMN</t>
        </is>
      </c>
      <c r="G650" t="n">
        <v>1.1</v>
      </c>
      <c r="H650" t="n">
        <v>0</v>
      </c>
      <c r="I650" t="n">
        <v>0</v>
      </c>
      <c r="J650" t="n">
        <v>0</v>
      </c>
      <c r="K650" t="n">
        <v>0</v>
      </c>
      <c r="L650" t="n">
        <v>0</v>
      </c>
      <c r="M650" t="n">
        <v>0</v>
      </c>
      <c r="N650" t="n">
        <v>0</v>
      </c>
      <c r="O650" t="n">
        <v>0</v>
      </c>
      <c r="P650" t="n">
        <v>0</v>
      </c>
      <c r="Q650" t="n">
        <v>0</v>
      </c>
      <c r="R650" s="2" t="inlineStr"/>
    </row>
    <row r="651" ht="15" customHeight="1">
      <c r="A651" t="inlineStr">
        <is>
          <t>A 15738-2021</t>
        </is>
      </c>
      <c r="B651" s="1" t="n">
        <v>44286.49304398148</v>
      </c>
      <c r="C651" s="1" t="n">
        <v>45883</v>
      </c>
      <c r="D651" t="inlineStr">
        <is>
          <t>GÄVLEBORGS LÄN</t>
        </is>
      </c>
      <c r="E651" t="inlineStr">
        <is>
          <t>GÄVLE</t>
        </is>
      </c>
      <c r="G651" t="n">
        <v>2.8</v>
      </c>
      <c r="H651" t="n">
        <v>0</v>
      </c>
      <c r="I651" t="n">
        <v>0</v>
      </c>
      <c r="J651" t="n">
        <v>0</v>
      </c>
      <c r="K651" t="n">
        <v>0</v>
      </c>
      <c r="L651" t="n">
        <v>0</v>
      </c>
      <c r="M651" t="n">
        <v>0</v>
      </c>
      <c r="N651" t="n">
        <v>0</v>
      </c>
      <c r="O651" t="n">
        <v>0</v>
      </c>
      <c r="P651" t="n">
        <v>0</v>
      </c>
      <c r="Q651" t="n">
        <v>0</v>
      </c>
      <c r="R651" s="2" t="inlineStr"/>
    </row>
    <row r="652" ht="15" customHeight="1">
      <c r="A652" t="inlineStr">
        <is>
          <t>A 4047-2021</t>
        </is>
      </c>
      <c r="B652" s="1" t="n">
        <v>44218</v>
      </c>
      <c r="C652" s="1" t="n">
        <v>45883</v>
      </c>
      <c r="D652" t="inlineStr">
        <is>
          <t>GÄVLEBORGS LÄN</t>
        </is>
      </c>
      <c r="E652" t="inlineStr">
        <is>
          <t>SÖDERHAMN</t>
        </is>
      </c>
      <c r="G652" t="n">
        <v>1.2</v>
      </c>
      <c r="H652" t="n">
        <v>0</v>
      </c>
      <c r="I652" t="n">
        <v>0</v>
      </c>
      <c r="J652" t="n">
        <v>0</v>
      </c>
      <c r="K652" t="n">
        <v>0</v>
      </c>
      <c r="L652" t="n">
        <v>0</v>
      </c>
      <c r="M652" t="n">
        <v>0</v>
      </c>
      <c r="N652" t="n">
        <v>0</v>
      </c>
      <c r="O652" t="n">
        <v>0</v>
      </c>
      <c r="P652" t="n">
        <v>0</v>
      </c>
      <c r="Q652" t="n">
        <v>0</v>
      </c>
      <c r="R652" s="2" t="inlineStr"/>
    </row>
    <row r="653" ht="15" customHeight="1">
      <c r="A653" t="inlineStr">
        <is>
          <t>A 39747-2020</t>
        </is>
      </c>
      <c r="B653" s="1" t="n">
        <v>44067.35888888889</v>
      </c>
      <c r="C653" s="1" t="n">
        <v>45883</v>
      </c>
      <c r="D653" t="inlineStr">
        <is>
          <t>GÄVLEBORGS LÄN</t>
        </is>
      </c>
      <c r="E653" t="inlineStr">
        <is>
          <t>HUDIKSVALL</t>
        </is>
      </c>
      <c r="G653" t="n">
        <v>1.6</v>
      </c>
      <c r="H653" t="n">
        <v>0</v>
      </c>
      <c r="I653" t="n">
        <v>0</v>
      </c>
      <c r="J653" t="n">
        <v>0</v>
      </c>
      <c r="K653" t="n">
        <v>0</v>
      </c>
      <c r="L653" t="n">
        <v>0</v>
      </c>
      <c r="M653" t="n">
        <v>0</v>
      </c>
      <c r="N653" t="n">
        <v>0</v>
      </c>
      <c r="O653" t="n">
        <v>0</v>
      </c>
      <c r="P653" t="n">
        <v>0</v>
      </c>
      <c r="Q653" t="n">
        <v>0</v>
      </c>
      <c r="R653" s="2" t="inlineStr"/>
    </row>
    <row r="654" ht="15" customHeight="1">
      <c r="A654" t="inlineStr">
        <is>
          <t>A 20108-2021</t>
        </is>
      </c>
      <c r="B654" s="1" t="n">
        <v>44314.45354166667</v>
      </c>
      <c r="C654" s="1" t="n">
        <v>45883</v>
      </c>
      <c r="D654" t="inlineStr">
        <is>
          <t>GÄVLEBORGS LÄN</t>
        </is>
      </c>
      <c r="E654" t="inlineStr">
        <is>
          <t>OVANÅKER</t>
        </is>
      </c>
      <c r="F654" t="inlineStr">
        <is>
          <t>Sveaskog</t>
        </is>
      </c>
      <c r="G654" t="n">
        <v>0.9</v>
      </c>
      <c r="H654" t="n">
        <v>0</v>
      </c>
      <c r="I654" t="n">
        <v>0</v>
      </c>
      <c r="J654" t="n">
        <v>0</v>
      </c>
      <c r="K654" t="n">
        <v>0</v>
      </c>
      <c r="L654" t="n">
        <v>0</v>
      </c>
      <c r="M654" t="n">
        <v>0</v>
      </c>
      <c r="N654" t="n">
        <v>0</v>
      </c>
      <c r="O654" t="n">
        <v>0</v>
      </c>
      <c r="P654" t="n">
        <v>0</v>
      </c>
      <c r="Q654" t="n">
        <v>0</v>
      </c>
      <c r="R654" s="2" t="inlineStr"/>
    </row>
    <row r="655" ht="15" customHeight="1">
      <c r="A655" t="inlineStr">
        <is>
          <t>A 66121-2021</t>
        </is>
      </c>
      <c r="B655" s="1" t="n">
        <v>44517.75414351852</v>
      </c>
      <c r="C655" s="1" t="n">
        <v>45883</v>
      </c>
      <c r="D655" t="inlineStr">
        <is>
          <t>GÄVLEBORGS LÄN</t>
        </is>
      </c>
      <c r="E655" t="inlineStr">
        <is>
          <t>BOLLNÄS</t>
        </is>
      </c>
      <c r="G655" t="n">
        <v>0.2</v>
      </c>
      <c r="H655" t="n">
        <v>0</v>
      </c>
      <c r="I655" t="n">
        <v>0</v>
      </c>
      <c r="J655" t="n">
        <v>0</v>
      </c>
      <c r="K655" t="n">
        <v>0</v>
      </c>
      <c r="L655" t="n">
        <v>0</v>
      </c>
      <c r="M655" t="n">
        <v>0</v>
      </c>
      <c r="N655" t="n">
        <v>0</v>
      </c>
      <c r="O655" t="n">
        <v>0</v>
      </c>
      <c r="P655" t="n">
        <v>0</v>
      </c>
      <c r="Q655" t="n">
        <v>0</v>
      </c>
      <c r="R655" s="2" t="inlineStr"/>
    </row>
    <row r="656" ht="15" customHeight="1">
      <c r="A656" t="inlineStr">
        <is>
          <t>A 66125-2021</t>
        </is>
      </c>
      <c r="B656" s="1" t="n">
        <v>44517</v>
      </c>
      <c r="C656" s="1" t="n">
        <v>45883</v>
      </c>
      <c r="D656" t="inlineStr">
        <is>
          <t>GÄVLEBORGS LÄN</t>
        </is>
      </c>
      <c r="E656" t="inlineStr">
        <is>
          <t>BOLLNÄS</t>
        </is>
      </c>
      <c r="G656" t="n">
        <v>0.5</v>
      </c>
      <c r="H656" t="n">
        <v>0</v>
      </c>
      <c r="I656" t="n">
        <v>0</v>
      </c>
      <c r="J656" t="n">
        <v>0</v>
      </c>
      <c r="K656" t="n">
        <v>0</v>
      </c>
      <c r="L656" t="n">
        <v>0</v>
      </c>
      <c r="M656" t="n">
        <v>0</v>
      </c>
      <c r="N656" t="n">
        <v>0</v>
      </c>
      <c r="O656" t="n">
        <v>0</v>
      </c>
      <c r="P656" t="n">
        <v>0</v>
      </c>
      <c r="Q656" t="n">
        <v>0</v>
      </c>
      <c r="R656" s="2" t="inlineStr"/>
    </row>
    <row r="657" ht="15" customHeight="1">
      <c r="A657" t="inlineStr">
        <is>
          <t>A 54675-2020</t>
        </is>
      </c>
      <c r="B657" s="1" t="n">
        <v>44127</v>
      </c>
      <c r="C657" s="1" t="n">
        <v>45883</v>
      </c>
      <c r="D657" t="inlineStr">
        <is>
          <t>GÄVLEBORGS LÄN</t>
        </is>
      </c>
      <c r="E657" t="inlineStr">
        <is>
          <t>BOLLNÄS</t>
        </is>
      </c>
      <c r="G657" t="n">
        <v>1.2</v>
      </c>
      <c r="H657" t="n">
        <v>0</v>
      </c>
      <c r="I657" t="n">
        <v>0</v>
      </c>
      <c r="J657" t="n">
        <v>0</v>
      </c>
      <c r="K657" t="n">
        <v>0</v>
      </c>
      <c r="L657" t="n">
        <v>0</v>
      </c>
      <c r="M657" t="n">
        <v>0</v>
      </c>
      <c r="N657" t="n">
        <v>0</v>
      </c>
      <c r="O657" t="n">
        <v>0</v>
      </c>
      <c r="P657" t="n">
        <v>0</v>
      </c>
      <c r="Q657" t="n">
        <v>0</v>
      </c>
      <c r="R657" s="2" t="inlineStr"/>
    </row>
    <row r="658" ht="15" customHeight="1">
      <c r="A658" t="inlineStr">
        <is>
          <t>A 24230-2021</t>
        </is>
      </c>
      <c r="B658" s="1" t="n">
        <v>44336</v>
      </c>
      <c r="C658" s="1" t="n">
        <v>45883</v>
      </c>
      <c r="D658" t="inlineStr">
        <is>
          <t>GÄVLEBORGS LÄN</t>
        </is>
      </c>
      <c r="E658" t="inlineStr">
        <is>
          <t>BOLLNÄS</t>
        </is>
      </c>
      <c r="G658" t="n">
        <v>0.2</v>
      </c>
      <c r="H658" t="n">
        <v>0</v>
      </c>
      <c r="I658" t="n">
        <v>0</v>
      </c>
      <c r="J658" t="n">
        <v>0</v>
      </c>
      <c r="K658" t="n">
        <v>0</v>
      </c>
      <c r="L658" t="n">
        <v>0</v>
      </c>
      <c r="M658" t="n">
        <v>0</v>
      </c>
      <c r="N658" t="n">
        <v>0</v>
      </c>
      <c r="O658" t="n">
        <v>0</v>
      </c>
      <c r="P658" t="n">
        <v>0</v>
      </c>
      <c r="Q658" t="n">
        <v>0</v>
      </c>
      <c r="R658" s="2" t="inlineStr"/>
    </row>
    <row r="659" ht="15" customHeight="1">
      <c r="A659" t="inlineStr">
        <is>
          <t>A 33767-2021</t>
        </is>
      </c>
      <c r="B659" s="1" t="n">
        <v>44378.52729166667</v>
      </c>
      <c r="C659" s="1" t="n">
        <v>45883</v>
      </c>
      <c r="D659" t="inlineStr">
        <is>
          <t>GÄVLEBORGS LÄN</t>
        </is>
      </c>
      <c r="E659" t="inlineStr">
        <is>
          <t>LJUSDAL</t>
        </is>
      </c>
      <c r="F659" t="inlineStr">
        <is>
          <t>Kommuner</t>
        </is>
      </c>
      <c r="G659" t="n">
        <v>4.9</v>
      </c>
      <c r="H659" t="n">
        <v>0</v>
      </c>
      <c r="I659" t="n">
        <v>0</v>
      </c>
      <c r="J659" t="n">
        <v>0</v>
      </c>
      <c r="K659" t="n">
        <v>0</v>
      </c>
      <c r="L659" t="n">
        <v>0</v>
      </c>
      <c r="M659" t="n">
        <v>0</v>
      </c>
      <c r="N659" t="n">
        <v>0</v>
      </c>
      <c r="O659" t="n">
        <v>0</v>
      </c>
      <c r="P659" t="n">
        <v>0</v>
      </c>
      <c r="Q659" t="n">
        <v>0</v>
      </c>
      <c r="R659" s="2" t="inlineStr"/>
    </row>
    <row r="660" ht="15" customHeight="1">
      <c r="A660" t="inlineStr">
        <is>
          <t>A 61729-2021</t>
        </is>
      </c>
      <c r="B660" s="1" t="n">
        <v>44501.61454861111</v>
      </c>
      <c r="C660" s="1" t="n">
        <v>45883</v>
      </c>
      <c r="D660" t="inlineStr">
        <is>
          <t>GÄVLEBORGS LÄN</t>
        </is>
      </c>
      <c r="E660" t="inlineStr">
        <is>
          <t>SANDVIKEN</t>
        </is>
      </c>
      <c r="G660" t="n">
        <v>3.7</v>
      </c>
      <c r="H660" t="n">
        <v>0</v>
      </c>
      <c r="I660" t="n">
        <v>0</v>
      </c>
      <c r="J660" t="n">
        <v>0</v>
      </c>
      <c r="K660" t="n">
        <v>0</v>
      </c>
      <c r="L660" t="n">
        <v>0</v>
      </c>
      <c r="M660" t="n">
        <v>0</v>
      </c>
      <c r="N660" t="n">
        <v>0</v>
      </c>
      <c r="O660" t="n">
        <v>0</v>
      </c>
      <c r="P660" t="n">
        <v>0</v>
      </c>
      <c r="Q660" t="n">
        <v>0</v>
      </c>
      <c r="R660" s="2" t="inlineStr"/>
    </row>
    <row r="661" ht="15" customHeight="1">
      <c r="A661" t="inlineStr">
        <is>
          <t>A 24342-2022</t>
        </is>
      </c>
      <c r="B661" s="1" t="n">
        <v>44726</v>
      </c>
      <c r="C661" s="1" t="n">
        <v>45883</v>
      </c>
      <c r="D661" t="inlineStr">
        <is>
          <t>GÄVLEBORGS LÄN</t>
        </is>
      </c>
      <c r="E661" t="inlineStr">
        <is>
          <t>LJUSDAL</t>
        </is>
      </c>
      <c r="G661" t="n">
        <v>1.7</v>
      </c>
      <c r="H661" t="n">
        <v>0</v>
      </c>
      <c r="I661" t="n">
        <v>0</v>
      </c>
      <c r="J661" t="n">
        <v>0</v>
      </c>
      <c r="K661" t="n">
        <v>0</v>
      </c>
      <c r="L661" t="n">
        <v>0</v>
      </c>
      <c r="M661" t="n">
        <v>0</v>
      </c>
      <c r="N661" t="n">
        <v>0</v>
      </c>
      <c r="O661" t="n">
        <v>0</v>
      </c>
      <c r="P661" t="n">
        <v>0</v>
      </c>
      <c r="Q661" t="n">
        <v>0</v>
      </c>
      <c r="R661" s="2" t="inlineStr"/>
    </row>
    <row r="662" ht="15" customHeight="1">
      <c r="A662" t="inlineStr">
        <is>
          <t>A 24344-2021</t>
        </is>
      </c>
      <c r="B662" s="1" t="n">
        <v>44337.40543981481</v>
      </c>
      <c r="C662" s="1" t="n">
        <v>45883</v>
      </c>
      <c r="D662" t="inlineStr">
        <is>
          <t>GÄVLEBORGS LÄN</t>
        </is>
      </c>
      <c r="E662" t="inlineStr">
        <is>
          <t>OVANÅKER</t>
        </is>
      </c>
      <c r="G662" t="n">
        <v>3.5</v>
      </c>
      <c r="H662" t="n">
        <v>0</v>
      </c>
      <c r="I662" t="n">
        <v>0</v>
      </c>
      <c r="J662" t="n">
        <v>0</v>
      </c>
      <c r="K662" t="n">
        <v>0</v>
      </c>
      <c r="L662" t="n">
        <v>0</v>
      </c>
      <c r="M662" t="n">
        <v>0</v>
      </c>
      <c r="N662" t="n">
        <v>0</v>
      </c>
      <c r="O662" t="n">
        <v>0</v>
      </c>
      <c r="P662" t="n">
        <v>0</v>
      </c>
      <c r="Q662" t="n">
        <v>0</v>
      </c>
      <c r="R662" s="2" t="inlineStr"/>
    </row>
    <row r="663" ht="15" customHeight="1">
      <c r="A663" t="inlineStr">
        <is>
          <t>A 62595-2021</t>
        </is>
      </c>
      <c r="B663" s="1" t="n">
        <v>44503.67311342592</v>
      </c>
      <c r="C663" s="1" t="n">
        <v>45883</v>
      </c>
      <c r="D663" t="inlineStr">
        <is>
          <t>GÄVLEBORGS LÄN</t>
        </is>
      </c>
      <c r="E663" t="inlineStr">
        <is>
          <t>OVANÅKER</t>
        </is>
      </c>
      <c r="G663" t="n">
        <v>3</v>
      </c>
      <c r="H663" t="n">
        <v>0</v>
      </c>
      <c r="I663" t="n">
        <v>0</v>
      </c>
      <c r="J663" t="n">
        <v>0</v>
      </c>
      <c r="K663" t="n">
        <v>0</v>
      </c>
      <c r="L663" t="n">
        <v>0</v>
      </c>
      <c r="M663" t="n">
        <v>0</v>
      </c>
      <c r="N663" t="n">
        <v>0</v>
      </c>
      <c r="O663" t="n">
        <v>0</v>
      </c>
      <c r="P663" t="n">
        <v>0</v>
      </c>
      <c r="Q663" t="n">
        <v>0</v>
      </c>
      <c r="R663" s="2" t="inlineStr"/>
    </row>
    <row r="664" ht="15" customHeight="1">
      <c r="A664" t="inlineStr">
        <is>
          <t>A 68734-2020</t>
        </is>
      </c>
      <c r="B664" s="1" t="n">
        <v>44187</v>
      </c>
      <c r="C664" s="1" t="n">
        <v>45883</v>
      </c>
      <c r="D664" t="inlineStr">
        <is>
          <t>GÄVLEBORGS LÄN</t>
        </is>
      </c>
      <c r="E664" t="inlineStr">
        <is>
          <t>BOLLNÄS</t>
        </is>
      </c>
      <c r="G664" t="n">
        <v>1.1</v>
      </c>
      <c r="H664" t="n">
        <v>0</v>
      </c>
      <c r="I664" t="n">
        <v>0</v>
      </c>
      <c r="J664" t="n">
        <v>0</v>
      </c>
      <c r="K664" t="n">
        <v>0</v>
      </c>
      <c r="L664" t="n">
        <v>0</v>
      </c>
      <c r="M664" t="n">
        <v>0</v>
      </c>
      <c r="N664" t="n">
        <v>0</v>
      </c>
      <c r="O664" t="n">
        <v>0</v>
      </c>
      <c r="P664" t="n">
        <v>0</v>
      </c>
      <c r="Q664" t="n">
        <v>0</v>
      </c>
      <c r="R664" s="2" t="inlineStr"/>
    </row>
    <row r="665" ht="15" customHeight="1">
      <c r="A665" t="inlineStr">
        <is>
          <t>A 45985-2021</t>
        </is>
      </c>
      <c r="B665" s="1" t="n">
        <v>44441</v>
      </c>
      <c r="C665" s="1" t="n">
        <v>45883</v>
      </c>
      <c r="D665" t="inlineStr">
        <is>
          <t>GÄVLEBORGS LÄN</t>
        </is>
      </c>
      <c r="E665" t="inlineStr">
        <is>
          <t>SANDVIKEN</t>
        </is>
      </c>
      <c r="F665" t="inlineStr">
        <is>
          <t>Sveaskog</t>
        </is>
      </c>
      <c r="G665" t="n">
        <v>6.7</v>
      </c>
      <c r="H665" t="n">
        <v>0</v>
      </c>
      <c r="I665" t="n">
        <v>0</v>
      </c>
      <c r="J665" t="n">
        <v>0</v>
      </c>
      <c r="K665" t="n">
        <v>0</v>
      </c>
      <c r="L665" t="n">
        <v>0</v>
      </c>
      <c r="M665" t="n">
        <v>0</v>
      </c>
      <c r="N665" t="n">
        <v>0</v>
      </c>
      <c r="O665" t="n">
        <v>0</v>
      </c>
      <c r="P665" t="n">
        <v>0</v>
      </c>
      <c r="Q665" t="n">
        <v>0</v>
      </c>
      <c r="R665" s="2" t="inlineStr"/>
    </row>
    <row r="666" ht="15" customHeight="1">
      <c r="A666" t="inlineStr">
        <is>
          <t>A 55241-2021</t>
        </is>
      </c>
      <c r="B666" s="1" t="n">
        <v>44475.39550925926</v>
      </c>
      <c r="C666" s="1" t="n">
        <v>45883</v>
      </c>
      <c r="D666" t="inlineStr">
        <is>
          <t>GÄVLEBORGS LÄN</t>
        </is>
      </c>
      <c r="E666" t="inlineStr">
        <is>
          <t>OVANÅKER</t>
        </is>
      </c>
      <c r="G666" t="n">
        <v>1.6</v>
      </c>
      <c r="H666" t="n">
        <v>0</v>
      </c>
      <c r="I666" t="n">
        <v>0</v>
      </c>
      <c r="J666" t="n">
        <v>0</v>
      </c>
      <c r="K666" t="n">
        <v>0</v>
      </c>
      <c r="L666" t="n">
        <v>0</v>
      </c>
      <c r="M666" t="n">
        <v>0</v>
      </c>
      <c r="N666" t="n">
        <v>0</v>
      </c>
      <c r="O666" t="n">
        <v>0</v>
      </c>
      <c r="P666" t="n">
        <v>0</v>
      </c>
      <c r="Q666" t="n">
        <v>0</v>
      </c>
      <c r="R666" s="2" t="inlineStr"/>
    </row>
    <row r="667" ht="15" customHeight="1">
      <c r="A667" t="inlineStr">
        <is>
          <t>A 40764-2021</t>
        </is>
      </c>
      <c r="B667" s="1" t="n">
        <v>44420.91974537037</v>
      </c>
      <c r="C667" s="1" t="n">
        <v>45883</v>
      </c>
      <c r="D667" t="inlineStr">
        <is>
          <t>GÄVLEBORGS LÄN</t>
        </is>
      </c>
      <c r="E667" t="inlineStr">
        <is>
          <t>NORDANSTIG</t>
        </is>
      </c>
      <c r="G667" t="n">
        <v>0.6</v>
      </c>
      <c r="H667" t="n">
        <v>0</v>
      </c>
      <c r="I667" t="n">
        <v>0</v>
      </c>
      <c r="J667" t="n">
        <v>0</v>
      </c>
      <c r="K667" t="n">
        <v>0</v>
      </c>
      <c r="L667" t="n">
        <v>0</v>
      </c>
      <c r="M667" t="n">
        <v>0</v>
      </c>
      <c r="N667" t="n">
        <v>0</v>
      </c>
      <c r="O667" t="n">
        <v>0</v>
      </c>
      <c r="P667" t="n">
        <v>0</v>
      </c>
      <c r="Q667" t="n">
        <v>0</v>
      </c>
      <c r="R667" s="2" t="inlineStr"/>
    </row>
    <row r="668" ht="15" customHeight="1">
      <c r="A668" t="inlineStr">
        <is>
          <t>A 51257-2021</t>
        </is>
      </c>
      <c r="B668" s="1" t="n">
        <v>44460</v>
      </c>
      <c r="C668" s="1" t="n">
        <v>45883</v>
      </c>
      <c r="D668" t="inlineStr">
        <is>
          <t>GÄVLEBORGS LÄN</t>
        </is>
      </c>
      <c r="E668" t="inlineStr">
        <is>
          <t>OCKELBO</t>
        </is>
      </c>
      <c r="G668" t="n">
        <v>2.7</v>
      </c>
      <c r="H668" t="n">
        <v>0</v>
      </c>
      <c r="I668" t="n">
        <v>0</v>
      </c>
      <c r="J668" t="n">
        <v>0</v>
      </c>
      <c r="K668" t="n">
        <v>0</v>
      </c>
      <c r="L668" t="n">
        <v>0</v>
      </c>
      <c r="M668" t="n">
        <v>0</v>
      </c>
      <c r="N668" t="n">
        <v>0</v>
      </c>
      <c r="O668" t="n">
        <v>0</v>
      </c>
      <c r="P668" t="n">
        <v>0</v>
      </c>
      <c r="Q668" t="n">
        <v>0</v>
      </c>
      <c r="R668" s="2" t="inlineStr"/>
    </row>
    <row r="669" ht="15" customHeight="1">
      <c r="A669" t="inlineStr">
        <is>
          <t>A 23358-2022</t>
        </is>
      </c>
      <c r="B669" s="1" t="n">
        <v>44720</v>
      </c>
      <c r="C669" s="1" t="n">
        <v>45883</v>
      </c>
      <c r="D669" t="inlineStr">
        <is>
          <t>GÄVLEBORGS LÄN</t>
        </is>
      </c>
      <c r="E669" t="inlineStr">
        <is>
          <t>BOLLNÄS</t>
        </is>
      </c>
      <c r="G669" t="n">
        <v>0.7</v>
      </c>
      <c r="H669" t="n">
        <v>0</v>
      </c>
      <c r="I669" t="n">
        <v>0</v>
      </c>
      <c r="J669" t="n">
        <v>0</v>
      </c>
      <c r="K669" t="n">
        <v>0</v>
      </c>
      <c r="L669" t="n">
        <v>0</v>
      </c>
      <c r="M669" t="n">
        <v>0</v>
      </c>
      <c r="N669" t="n">
        <v>0</v>
      </c>
      <c r="O669" t="n">
        <v>0</v>
      </c>
      <c r="P669" t="n">
        <v>0</v>
      </c>
      <c r="Q669" t="n">
        <v>0</v>
      </c>
      <c r="R669" s="2" t="inlineStr"/>
    </row>
    <row r="670" ht="15" customHeight="1">
      <c r="A670" t="inlineStr">
        <is>
          <t>A 37965-2022</t>
        </is>
      </c>
      <c r="B670" s="1" t="n">
        <v>44811.50528935185</v>
      </c>
      <c r="C670" s="1" t="n">
        <v>45883</v>
      </c>
      <c r="D670" t="inlineStr">
        <is>
          <t>GÄVLEBORGS LÄN</t>
        </is>
      </c>
      <c r="E670" t="inlineStr">
        <is>
          <t>NORDANSTIG</t>
        </is>
      </c>
      <c r="G670" t="n">
        <v>1.9</v>
      </c>
      <c r="H670" t="n">
        <v>0</v>
      </c>
      <c r="I670" t="n">
        <v>0</v>
      </c>
      <c r="J670" t="n">
        <v>0</v>
      </c>
      <c r="K670" t="n">
        <v>0</v>
      </c>
      <c r="L670" t="n">
        <v>0</v>
      </c>
      <c r="M670" t="n">
        <v>0</v>
      </c>
      <c r="N670" t="n">
        <v>0</v>
      </c>
      <c r="O670" t="n">
        <v>0</v>
      </c>
      <c r="P670" t="n">
        <v>0</v>
      </c>
      <c r="Q670" t="n">
        <v>0</v>
      </c>
      <c r="R670" s="2" t="inlineStr"/>
    </row>
    <row r="671" ht="15" customHeight="1">
      <c r="A671" t="inlineStr">
        <is>
          <t>A 55408-2021</t>
        </is>
      </c>
      <c r="B671" s="1" t="n">
        <v>44475</v>
      </c>
      <c r="C671" s="1" t="n">
        <v>45883</v>
      </c>
      <c r="D671" t="inlineStr">
        <is>
          <t>GÄVLEBORGS LÄN</t>
        </is>
      </c>
      <c r="E671" t="inlineStr">
        <is>
          <t>OVANÅKER</t>
        </is>
      </c>
      <c r="G671" t="n">
        <v>0.5</v>
      </c>
      <c r="H671" t="n">
        <v>0</v>
      </c>
      <c r="I671" t="n">
        <v>0</v>
      </c>
      <c r="J671" t="n">
        <v>0</v>
      </c>
      <c r="K671" t="n">
        <v>0</v>
      </c>
      <c r="L671" t="n">
        <v>0</v>
      </c>
      <c r="M671" t="n">
        <v>0</v>
      </c>
      <c r="N671" t="n">
        <v>0</v>
      </c>
      <c r="O671" t="n">
        <v>0</v>
      </c>
      <c r="P671" t="n">
        <v>0</v>
      </c>
      <c r="Q671" t="n">
        <v>0</v>
      </c>
      <c r="R671" s="2" t="inlineStr"/>
    </row>
    <row r="672" ht="15" customHeight="1">
      <c r="A672" t="inlineStr">
        <is>
          <t>A 42972-2022</t>
        </is>
      </c>
      <c r="B672" s="1" t="n">
        <v>44833</v>
      </c>
      <c r="C672" s="1" t="n">
        <v>45883</v>
      </c>
      <c r="D672" t="inlineStr">
        <is>
          <t>GÄVLEBORGS LÄN</t>
        </is>
      </c>
      <c r="E672" t="inlineStr">
        <is>
          <t>LJUSDAL</t>
        </is>
      </c>
      <c r="F672" t="inlineStr">
        <is>
          <t>Bergvik skog väst AB</t>
        </is>
      </c>
      <c r="G672" t="n">
        <v>3.7</v>
      </c>
      <c r="H672" t="n">
        <v>0</v>
      </c>
      <c r="I672" t="n">
        <v>0</v>
      </c>
      <c r="J672" t="n">
        <v>0</v>
      </c>
      <c r="K672" t="n">
        <v>0</v>
      </c>
      <c r="L672" t="n">
        <v>0</v>
      </c>
      <c r="M672" t="n">
        <v>0</v>
      </c>
      <c r="N672" t="n">
        <v>0</v>
      </c>
      <c r="O672" t="n">
        <v>0</v>
      </c>
      <c r="P672" t="n">
        <v>0</v>
      </c>
      <c r="Q672" t="n">
        <v>0</v>
      </c>
      <c r="R672" s="2" t="inlineStr"/>
    </row>
    <row r="673" ht="15" customHeight="1">
      <c r="A673" t="inlineStr">
        <is>
          <t>A 16312-2021</t>
        </is>
      </c>
      <c r="B673" s="1" t="n">
        <v>44292</v>
      </c>
      <c r="C673" s="1" t="n">
        <v>45883</v>
      </c>
      <c r="D673" t="inlineStr">
        <is>
          <t>GÄVLEBORGS LÄN</t>
        </is>
      </c>
      <c r="E673" t="inlineStr">
        <is>
          <t>SÖDERHAMN</t>
        </is>
      </c>
      <c r="G673" t="n">
        <v>6.4</v>
      </c>
      <c r="H673" t="n">
        <v>0</v>
      </c>
      <c r="I673" t="n">
        <v>0</v>
      </c>
      <c r="J673" t="n">
        <v>0</v>
      </c>
      <c r="K673" t="n">
        <v>0</v>
      </c>
      <c r="L673" t="n">
        <v>0</v>
      </c>
      <c r="M673" t="n">
        <v>0</v>
      </c>
      <c r="N673" t="n">
        <v>0</v>
      </c>
      <c r="O673" t="n">
        <v>0</v>
      </c>
      <c r="P673" t="n">
        <v>0</v>
      </c>
      <c r="Q673" t="n">
        <v>0</v>
      </c>
      <c r="R673" s="2" t="inlineStr"/>
    </row>
    <row r="674" ht="15" customHeight="1">
      <c r="A674" t="inlineStr">
        <is>
          <t>A 6549-2022</t>
        </is>
      </c>
      <c r="B674" s="1" t="n">
        <v>44601</v>
      </c>
      <c r="C674" s="1" t="n">
        <v>45883</v>
      </c>
      <c r="D674" t="inlineStr">
        <is>
          <t>GÄVLEBORGS LÄN</t>
        </is>
      </c>
      <c r="E674" t="inlineStr">
        <is>
          <t>BOLLNÄS</t>
        </is>
      </c>
      <c r="G674" t="n">
        <v>3</v>
      </c>
      <c r="H674" t="n">
        <v>0</v>
      </c>
      <c r="I674" t="n">
        <v>0</v>
      </c>
      <c r="J674" t="n">
        <v>0</v>
      </c>
      <c r="K674" t="n">
        <v>0</v>
      </c>
      <c r="L674" t="n">
        <v>0</v>
      </c>
      <c r="M674" t="n">
        <v>0</v>
      </c>
      <c r="N674" t="n">
        <v>0</v>
      </c>
      <c r="O674" t="n">
        <v>0</v>
      </c>
      <c r="P674" t="n">
        <v>0</v>
      </c>
      <c r="Q674" t="n">
        <v>0</v>
      </c>
      <c r="R674" s="2" t="inlineStr"/>
    </row>
    <row r="675" ht="15" customHeight="1">
      <c r="A675" t="inlineStr">
        <is>
          <t>A 50244-2020</t>
        </is>
      </c>
      <c r="B675" s="1" t="n">
        <v>44109</v>
      </c>
      <c r="C675" s="1" t="n">
        <v>45883</v>
      </c>
      <c r="D675" t="inlineStr">
        <is>
          <t>GÄVLEBORGS LÄN</t>
        </is>
      </c>
      <c r="E675" t="inlineStr">
        <is>
          <t>OVANÅKER</t>
        </is>
      </c>
      <c r="G675" t="n">
        <v>0.6</v>
      </c>
      <c r="H675" t="n">
        <v>0</v>
      </c>
      <c r="I675" t="n">
        <v>0</v>
      </c>
      <c r="J675" t="n">
        <v>0</v>
      </c>
      <c r="K675" t="n">
        <v>0</v>
      </c>
      <c r="L675" t="n">
        <v>0</v>
      </c>
      <c r="M675" t="n">
        <v>0</v>
      </c>
      <c r="N675" t="n">
        <v>0</v>
      </c>
      <c r="O675" t="n">
        <v>0</v>
      </c>
      <c r="P675" t="n">
        <v>0</v>
      </c>
      <c r="Q675" t="n">
        <v>0</v>
      </c>
      <c r="R675" s="2" t="inlineStr"/>
    </row>
    <row r="676" ht="15" customHeight="1">
      <c r="A676" t="inlineStr">
        <is>
          <t>A 18503-2022</t>
        </is>
      </c>
      <c r="B676" s="1" t="n">
        <v>44686</v>
      </c>
      <c r="C676" s="1" t="n">
        <v>45883</v>
      </c>
      <c r="D676" t="inlineStr">
        <is>
          <t>GÄVLEBORGS LÄN</t>
        </is>
      </c>
      <c r="E676" t="inlineStr">
        <is>
          <t>SÖDERHAMN</t>
        </is>
      </c>
      <c r="G676" t="n">
        <v>2</v>
      </c>
      <c r="H676" t="n">
        <v>0</v>
      </c>
      <c r="I676" t="n">
        <v>0</v>
      </c>
      <c r="J676" t="n">
        <v>0</v>
      </c>
      <c r="K676" t="n">
        <v>0</v>
      </c>
      <c r="L676" t="n">
        <v>0</v>
      </c>
      <c r="M676" t="n">
        <v>0</v>
      </c>
      <c r="N676" t="n">
        <v>0</v>
      </c>
      <c r="O676" t="n">
        <v>0</v>
      </c>
      <c r="P676" t="n">
        <v>0</v>
      </c>
      <c r="Q676" t="n">
        <v>0</v>
      </c>
      <c r="R676" s="2" t="inlineStr"/>
    </row>
    <row r="677" ht="15" customHeight="1">
      <c r="A677" t="inlineStr">
        <is>
          <t>A 25056-2021</t>
        </is>
      </c>
      <c r="B677" s="1" t="n">
        <v>44341.60780092593</v>
      </c>
      <c r="C677" s="1" t="n">
        <v>45883</v>
      </c>
      <c r="D677" t="inlineStr">
        <is>
          <t>GÄVLEBORGS LÄN</t>
        </is>
      </c>
      <c r="E677" t="inlineStr">
        <is>
          <t>SANDVIKEN</t>
        </is>
      </c>
      <c r="G677" t="n">
        <v>3</v>
      </c>
      <c r="H677" t="n">
        <v>0</v>
      </c>
      <c r="I677" t="n">
        <v>0</v>
      </c>
      <c r="J677" t="n">
        <v>0</v>
      </c>
      <c r="K677" t="n">
        <v>0</v>
      </c>
      <c r="L677" t="n">
        <v>0</v>
      </c>
      <c r="M677" t="n">
        <v>0</v>
      </c>
      <c r="N677" t="n">
        <v>0</v>
      </c>
      <c r="O677" t="n">
        <v>0</v>
      </c>
      <c r="P677" t="n">
        <v>0</v>
      </c>
      <c r="Q677" t="n">
        <v>0</v>
      </c>
      <c r="R677" s="2" t="inlineStr"/>
    </row>
    <row r="678" ht="15" customHeight="1">
      <c r="A678" t="inlineStr">
        <is>
          <t>A 72815-2021</t>
        </is>
      </c>
      <c r="B678" s="1" t="n">
        <v>44547.40262731481</v>
      </c>
      <c r="C678" s="1" t="n">
        <v>45883</v>
      </c>
      <c r="D678" t="inlineStr">
        <is>
          <t>GÄVLEBORGS LÄN</t>
        </is>
      </c>
      <c r="E678" t="inlineStr">
        <is>
          <t>NORDANSTIG</t>
        </is>
      </c>
      <c r="G678" t="n">
        <v>0.3</v>
      </c>
      <c r="H678" t="n">
        <v>0</v>
      </c>
      <c r="I678" t="n">
        <v>0</v>
      </c>
      <c r="J678" t="n">
        <v>0</v>
      </c>
      <c r="K678" t="n">
        <v>0</v>
      </c>
      <c r="L678" t="n">
        <v>0</v>
      </c>
      <c r="M678" t="n">
        <v>0</v>
      </c>
      <c r="N678" t="n">
        <v>0</v>
      </c>
      <c r="O678" t="n">
        <v>0</v>
      </c>
      <c r="P678" t="n">
        <v>0</v>
      </c>
      <c r="Q678" t="n">
        <v>0</v>
      </c>
      <c r="R678" s="2" t="inlineStr"/>
    </row>
    <row r="679" ht="15" customHeight="1">
      <c r="A679" t="inlineStr">
        <is>
          <t>A 58523-2021</t>
        </is>
      </c>
      <c r="B679" s="1" t="n">
        <v>44488.65658564815</v>
      </c>
      <c r="C679" s="1" t="n">
        <v>45883</v>
      </c>
      <c r="D679" t="inlineStr">
        <is>
          <t>GÄVLEBORGS LÄN</t>
        </is>
      </c>
      <c r="E679" t="inlineStr">
        <is>
          <t>BOLLNÄS</t>
        </is>
      </c>
      <c r="G679" t="n">
        <v>2.4</v>
      </c>
      <c r="H679" t="n">
        <v>0</v>
      </c>
      <c r="I679" t="n">
        <v>0</v>
      </c>
      <c r="J679" t="n">
        <v>0</v>
      </c>
      <c r="K679" t="n">
        <v>0</v>
      </c>
      <c r="L679" t="n">
        <v>0</v>
      </c>
      <c r="M679" t="n">
        <v>0</v>
      </c>
      <c r="N679" t="n">
        <v>0</v>
      </c>
      <c r="O679" t="n">
        <v>0</v>
      </c>
      <c r="P679" t="n">
        <v>0</v>
      </c>
      <c r="Q679" t="n">
        <v>0</v>
      </c>
      <c r="R679" s="2" t="inlineStr"/>
    </row>
    <row r="680" ht="15" customHeight="1">
      <c r="A680" t="inlineStr">
        <is>
          <t>A 55534-2021</t>
        </is>
      </c>
      <c r="B680" s="1" t="n">
        <v>44475</v>
      </c>
      <c r="C680" s="1" t="n">
        <v>45883</v>
      </c>
      <c r="D680" t="inlineStr">
        <is>
          <t>GÄVLEBORGS LÄN</t>
        </is>
      </c>
      <c r="E680" t="inlineStr">
        <is>
          <t>LJUSDAL</t>
        </is>
      </c>
      <c r="G680" t="n">
        <v>1.6</v>
      </c>
      <c r="H680" t="n">
        <v>0</v>
      </c>
      <c r="I680" t="n">
        <v>0</v>
      </c>
      <c r="J680" t="n">
        <v>0</v>
      </c>
      <c r="K680" t="n">
        <v>0</v>
      </c>
      <c r="L680" t="n">
        <v>0</v>
      </c>
      <c r="M680" t="n">
        <v>0</v>
      </c>
      <c r="N680" t="n">
        <v>0</v>
      </c>
      <c r="O680" t="n">
        <v>0</v>
      </c>
      <c r="P680" t="n">
        <v>0</v>
      </c>
      <c r="Q680" t="n">
        <v>0</v>
      </c>
      <c r="R680" s="2" t="inlineStr"/>
    </row>
    <row r="681" ht="15" customHeight="1">
      <c r="A681" t="inlineStr">
        <is>
          <t>A 40273-2021</t>
        </is>
      </c>
      <c r="B681" s="1" t="n">
        <v>44419</v>
      </c>
      <c r="C681" s="1" t="n">
        <v>45883</v>
      </c>
      <c r="D681" t="inlineStr">
        <is>
          <t>GÄVLEBORGS LÄN</t>
        </is>
      </c>
      <c r="E681" t="inlineStr">
        <is>
          <t>SÖDERHAMN</t>
        </is>
      </c>
      <c r="G681" t="n">
        <v>0.9</v>
      </c>
      <c r="H681" t="n">
        <v>0</v>
      </c>
      <c r="I681" t="n">
        <v>0</v>
      </c>
      <c r="J681" t="n">
        <v>0</v>
      </c>
      <c r="K681" t="n">
        <v>0</v>
      </c>
      <c r="L681" t="n">
        <v>0</v>
      </c>
      <c r="M681" t="n">
        <v>0</v>
      </c>
      <c r="N681" t="n">
        <v>0</v>
      </c>
      <c r="O681" t="n">
        <v>0</v>
      </c>
      <c r="P681" t="n">
        <v>0</v>
      </c>
      <c r="Q681" t="n">
        <v>0</v>
      </c>
      <c r="R681" s="2" t="inlineStr"/>
    </row>
    <row r="682" ht="15" customHeight="1">
      <c r="A682" t="inlineStr">
        <is>
          <t>A 34712-2022</t>
        </is>
      </c>
      <c r="B682" s="1" t="n">
        <v>44795.58167824074</v>
      </c>
      <c r="C682" s="1" t="n">
        <v>45883</v>
      </c>
      <c r="D682" t="inlineStr">
        <is>
          <t>GÄVLEBORGS LÄN</t>
        </is>
      </c>
      <c r="E682" t="inlineStr">
        <is>
          <t>OCKELBO</t>
        </is>
      </c>
      <c r="G682" t="n">
        <v>0.3</v>
      </c>
      <c r="H682" t="n">
        <v>0</v>
      </c>
      <c r="I682" t="n">
        <v>0</v>
      </c>
      <c r="J682" t="n">
        <v>0</v>
      </c>
      <c r="K682" t="n">
        <v>0</v>
      </c>
      <c r="L682" t="n">
        <v>0</v>
      </c>
      <c r="M682" t="n">
        <v>0</v>
      </c>
      <c r="N682" t="n">
        <v>0</v>
      </c>
      <c r="O682" t="n">
        <v>0</v>
      </c>
      <c r="P682" t="n">
        <v>0</v>
      </c>
      <c r="Q682" t="n">
        <v>0</v>
      </c>
      <c r="R682" s="2" t="inlineStr"/>
    </row>
    <row r="683" ht="15" customHeight="1">
      <c r="A683" t="inlineStr">
        <is>
          <t>A 20119-2021</t>
        </is>
      </c>
      <c r="B683" s="1" t="n">
        <v>44314</v>
      </c>
      <c r="C683" s="1" t="n">
        <v>45883</v>
      </c>
      <c r="D683" t="inlineStr">
        <is>
          <t>GÄVLEBORGS LÄN</t>
        </is>
      </c>
      <c r="E683" t="inlineStr">
        <is>
          <t>HOFORS</t>
        </is>
      </c>
      <c r="G683" t="n">
        <v>3.9</v>
      </c>
      <c r="H683" t="n">
        <v>0</v>
      </c>
      <c r="I683" t="n">
        <v>0</v>
      </c>
      <c r="J683" t="n">
        <v>0</v>
      </c>
      <c r="K683" t="n">
        <v>0</v>
      </c>
      <c r="L683" t="n">
        <v>0</v>
      </c>
      <c r="M683" t="n">
        <v>0</v>
      </c>
      <c r="N683" t="n">
        <v>0</v>
      </c>
      <c r="O683" t="n">
        <v>0</v>
      </c>
      <c r="P683" t="n">
        <v>0</v>
      </c>
      <c r="Q683" t="n">
        <v>0</v>
      </c>
      <c r="R683" s="2" t="inlineStr"/>
    </row>
    <row r="684" ht="15" customHeight="1">
      <c r="A684" t="inlineStr">
        <is>
          <t>A 24997-2022</t>
        </is>
      </c>
      <c r="B684" s="1" t="n">
        <v>44728.92792824074</v>
      </c>
      <c r="C684" s="1" t="n">
        <v>45883</v>
      </c>
      <c r="D684" t="inlineStr">
        <is>
          <t>GÄVLEBORGS LÄN</t>
        </is>
      </c>
      <c r="E684" t="inlineStr">
        <is>
          <t>NORDANSTIG</t>
        </is>
      </c>
      <c r="G684" t="n">
        <v>2.9</v>
      </c>
      <c r="H684" t="n">
        <v>0</v>
      </c>
      <c r="I684" t="n">
        <v>0</v>
      </c>
      <c r="J684" t="n">
        <v>0</v>
      </c>
      <c r="K684" t="n">
        <v>0</v>
      </c>
      <c r="L684" t="n">
        <v>0</v>
      </c>
      <c r="M684" t="n">
        <v>0</v>
      </c>
      <c r="N684" t="n">
        <v>0</v>
      </c>
      <c r="O684" t="n">
        <v>0</v>
      </c>
      <c r="P684" t="n">
        <v>0</v>
      </c>
      <c r="Q684" t="n">
        <v>0</v>
      </c>
      <c r="R684" s="2" t="inlineStr"/>
    </row>
    <row r="685" ht="15" customHeight="1">
      <c r="A685" t="inlineStr">
        <is>
          <t>A 45784-2022</t>
        </is>
      </c>
      <c r="B685" s="1" t="n">
        <v>44846</v>
      </c>
      <c r="C685" s="1" t="n">
        <v>45883</v>
      </c>
      <c r="D685" t="inlineStr">
        <is>
          <t>GÄVLEBORGS LÄN</t>
        </is>
      </c>
      <c r="E685" t="inlineStr">
        <is>
          <t>HUDIKSVALL</t>
        </is>
      </c>
      <c r="G685" t="n">
        <v>3.2</v>
      </c>
      <c r="H685" t="n">
        <v>0</v>
      </c>
      <c r="I685" t="n">
        <v>0</v>
      </c>
      <c r="J685" t="n">
        <v>0</v>
      </c>
      <c r="K685" t="n">
        <v>0</v>
      </c>
      <c r="L685" t="n">
        <v>0</v>
      </c>
      <c r="M685" t="n">
        <v>0</v>
      </c>
      <c r="N685" t="n">
        <v>0</v>
      </c>
      <c r="O685" t="n">
        <v>0</v>
      </c>
      <c r="P685" t="n">
        <v>0</v>
      </c>
      <c r="Q685" t="n">
        <v>0</v>
      </c>
      <c r="R685" s="2" t="inlineStr"/>
    </row>
    <row r="686" ht="15" customHeight="1">
      <c r="A686" t="inlineStr">
        <is>
          <t>A 72077-2021</t>
        </is>
      </c>
      <c r="B686" s="1" t="n">
        <v>44544.51</v>
      </c>
      <c r="C686" s="1" t="n">
        <v>45883</v>
      </c>
      <c r="D686" t="inlineStr">
        <is>
          <t>GÄVLEBORGS LÄN</t>
        </is>
      </c>
      <c r="E686" t="inlineStr">
        <is>
          <t>HUDIKSVALL</t>
        </is>
      </c>
      <c r="G686" t="n">
        <v>0.5</v>
      </c>
      <c r="H686" t="n">
        <v>0</v>
      </c>
      <c r="I686" t="n">
        <v>0</v>
      </c>
      <c r="J686" t="n">
        <v>0</v>
      </c>
      <c r="K686" t="n">
        <v>0</v>
      </c>
      <c r="L686" t="n">
        <v>0</v>
      </c>
      <c r="M686" t="n">
        <v>0</v>
      </c>
      <c r="N686" t="n">
        <v>0</v>
      </c>
      <c r="O686" t="n">
        <v>0</v>
      </c>
      <c r="P686" t="n">
        <v>0</v>
      </c>
      <c r="Q686" t="n">
        <v>0</v>
      </c>
      <c r="R686" s="2" t="inlineStr"/>
    </row>
    <row r="687" ht="15" customHeight="1">
      <c r="A687" t="inlineStr">
        <is>
          <t>A 39888-2021</t>
        </is>
      </c>
      <c r="B687" s="1" t="n">
        <v>44417.70143518518</v>
      </c>
      <c r="C687" s="1" t="n">
        <v>45883</v>
      </c>
      <c r="D687" t="inlineStr">
        <is>
          <t>GÄVLEBORGS LÄN</t>
        </is>
      </c>
      <c r="E687" t="inlineStr">
        <is>
          <t>OCKELBO</t>
        </is>
      </c>
      <c r="G687" t="n">
        <v>2</v>
      </c>
      <c r="H687" t="n">
        <v>0</v>
      </c>
      <c r="I687" t="n">
        <v>0</v>
      </c>
      <c r="J687" t="n">
        <v>0</v>
      </c>
      <c r="K687" t="n">
        <v>0</v>
      </c>
      <c r="L687" t="n">
        <v>0</v>
      </c>
      <c r="M687" t="n">
        <v>0</v>
      </c>
      <c r="N687" t="n">
        <v>0</v>
      </c>
      <c r="O687" t="n">
        <v>0</v>
      </c>
      <c r="P687" t="n">
        <v>0</v>
      </c>
      <c r="Q687" t="n">
        <v>0</v>
      </c>
      <c r="R687" s="2" t="inlineStr"/>
    </row>
    <row r="688" ht="15" customHeight="1">
      <c r="A688" t="inlineStr">
        <is>
          <t>A 8569-2021</t>
        </is>
      </c>
      <c r="B688" s="1" t="n">
        <v>44245</v>
      </c>
      <c r="C688" s="1" t="n">
        <v>45883</v>
      </c>
      <c r="D688" t="inlineStr">
        <is>
          <t>GÄVLEBORGS LÄN</t>
        </is>
      </c>
      <c r="E688" t="inlineStr">
        <is>
          <t>HUDIKSVALL</t>
        </is>
      </c>
      <c r="G688" t="n">
        <v>3.3</v>
      </c>
      <c r="H688" t="n">
        <v>0</v>
      </c>
      <c r="I688" t="n">
        <v>0</v>
      </c>
      <c r="J688" t="n">
        <v>0</v>
      </c>
      <c r="K688" t="n">
        <v>0</v>
      </c>
      <c r="L688" t="n">
        <v>0</v>
      </c>
      <c r="M688" t="n">
        <v>0</v>
      </c>
      <c r="N688" t="n">
        <v>0</v>
      </c>
      <c r="O688" t="n">
        <v>0</v>
      </c>
      <c r="P688" t="n">
        <v>0</v>
      </c>
      <c r="Q688" t="n">
        <v>0</v>
      </c>
      <c r="R688" s="2" t="inlineStr"/>
    </row>
    <row r="689" ht="15" customHeight="1">
      <c r="A689" t="inlineStr">
        <is>
          <t>A 3509-2021</t>
        </is>
      </c>
      <c r="B689" s="1" t="n">
        <v>44218</v>
      </c>
      <c r="C689" s="1" t="n">
        <v>45883</v>
      </c>
      <c r="D689" t="inlineStr">
        <is>
          <t>GÄVLEBORGS LÄN</t>
        </is>
      </c>
      <c r="E689" t="inlineStr">
        <is>
          <t>NORDANSTIG</t>
        </is>
      </c>
      <c r="F689" t="inlineStr">
        <is>
          <t>Holmen skog AB</t>
        </is>
      </c>
      <c r="G689" t="n">
        <v>0.8</v>
      </c>
      <c r="H689" t="n">
        <v>0</v>
      </c>
      <c r="I689" t="n">
        <v>0</v>
      </c>
      <c r="J689" t="n">
        <v>0</v>
      </c>
      <c r="K689" t="n">
        <v>0</v>
      </c>
      <c r="L689" t="n">
        <v>0</v>
      </c>
      <c r="M689" t="n">
        <v>0</v>
      </c>
      <c r="N689" t="n">
        <v>0</v>
      </c>
      <c r="O689" t="n">
        <v>0</v>
      </c>
      <c r="P689" t="n">
        <v>0</v>
      </c>
      <c r="Q689" t="n">
        <v>0</v>
      </c>
      <c r="R689" s="2" t="inlineStr"/>
    </row>
    <row r="690" ht="15" customHeight="1">
      <c r="A690" t="inlineStr">
        <is>
          <t>A 32008-2021</t>
        </is>
      </c>
      <c r="B690" s="1" t="n">
        <v>44370.63228009259</v>
      </c>
      <c r="C690" s="1" t="n">
        <v>45883</v>
      </c>
      <c r="D690" t="inlineStr">
        <is>
          <t>GÄVLEBORGS LÄN</t>
        </is>
      </c>
      <c r="E690" t="inlineStr">
        <is>
          <t>GÄVLE</t>
        </is>
      </c>
      <c r="G690" t="n">
        <v>5.1</v>
      </c>
      <c r="H690" t="n">
        <v>0</v>
      </c>
      <c r="I690" t="n">
        <v>0</v>
      </c>
      <c r="J690" t="n">
        <v>0</v>
      </c>
      <c r="K690" t="n">
        <v>0</v>
      </c>
      <c r="L690" t="n">
        <v>0</v>
      </c>
      <c r="M690" t="n">
        <v>0</v>
      </c>
      <c r="N690" t="n">
        <v>0</v>
      </c>
      <c r="O690" t="n">
        <v>0</v>
      </c>
      <c r="P690" t="n">
        <v>0</v>
      </c>
      <c r="Q690" t="n">
        <v>0</v>
      </c>
      <c r="R690" s="2" t="inlineStr"/>
    </row>
    <row r="691" ht="15" customHeight="1">
      <c r="A691" t="inlineStr">
        <is>
          <t>A 12971-2021</t>
        </is>
      </c>
      <c r="B691" s="1" t="n">
        <v>44271</v>
      </c>
      <c r="C691" s="1" t="n">
        <v>45883</v>
      </c>
      <c r="D691" t="inlineStr">
        <is>
          <t>GÄVLEBORGS LÄN</t>
        </is>
      </c>
      <c r="E691" t="inlineStr">
        <is>
          <t>SANDVIKEN</t>
        </is>
      </c>
      <c r="G691" t="n">
        <v>2.2</v>
      </c>
      <c r="H691" t="n">
        <v>0</v>
      </c>
      <c r="I691" t="n">
        <v>0</v>
      </c>
      <c r="J691" t="n">
        <v>0</v>
      </c>
      <c r="K691" t="n">
        <v>0</v>
      </c>
      <c r="L691" t="n">
        <v>0</v>
      </c>
      <c r="M691" t="n">
        <v>0</v>
      </c>
      <c r="N691" t="n">
        <v>0</v>
      </c>
      <c r="O691" t="n">
        <v>0</v>
      </c>
      <c r="P691" t="n">
        <v>0</v>
      </c>
      <c r="Q691" t="n">
        <v>0</v>
      </c>
      <c r="R691" s="2" t="inlineStr"/>
    </row>
    <row r="692" ht="15" customHeight="1">
      <c r="A692" t="inlineStr">
        <is>
          <t>A 29476-2021</t>
        </is>
      </c>
      <c r="B692" s="1" t="n">
        <v>44361</v>
      </c>
      <c r="C692" s="1" t="n">
        <v>45883</v>
      </c>
      <c r="D692" t="inlineStr">
        <is>
          <t>GÄVLEBORGS LÄN</t>
        </is>
      </c>
      <c r="E692" t="inlineStr">
        <is>
          <t>HUDIKSVALL</t>
        </is>
      </c>
      <c r="F692" t="inlineStr">
        <is>
          <t>Holmen skog AB</t>
        </is>
      </c>
      <c r="G692" t="n">
        <v>1.9</v>
      </c>
      <c r="H692" t="n">
        <v>0</v>
      </c>
      <c r="I692" t="n">
        <v>0</v>
      </c>
      <c r="J692" t="n">
        <v>0</v>
      </c>
      <c r="K692" t="n">
        <v>0</v>
      </c>
      <c r="L692" t="n">
        <v>0</v>
      </c>
      <c r="M692" t="n">
        <v>0</v>
      </c>
      <c r="N692" t="n">
        <v>0</v>
      </c>
      <c r="O692" t="n">
        <v>0</v>
      </c>
      <c r="P692" t="n">
        <v>0</v>
      </c>
      <c r="Q692" t="n">
        <v>0</v>
      </c>
      <c r="R692" s="2" t="inlineStr"/>
    </row>
    <row r="693" ht="15" customHeight="1">
      <c r="A693" t="inlineStr">
        <is>
          <t>A 29828-2021</t>
        </is>
      </c>
      <c r="B693" s="1" t="n">
        <v>44362</v>
      </c>
      <c r="C693" s="1" t="n">
        <v>45883</v>
      </c>
      <c r="D693" t="inlineStr">
        <is>
          <t>GÄVLEBORGS LÄN</t>
        </is>
      </c>
      <c r="E693" t="inlineStr">
        <is>
          <t>NORDANSTIG</t>
        </is>
      </c>
      <c r="F693" t="inlineStr">
        <is>
          <t>Holmen skog AB</t>
        </is>
      </c>
      <c r="G693" t="n">
        <v>0.1</v>
      </c>
      <c r="H693" t="n">
        <v>0</v>
      </c>
      <c r="I693" t="n">
        <v>0</v>
      </c>
      <c r="J693" t="n">
        <v>0</v>
      </c>
      <c r="K693" t="n">
        <v>0</v>
      </c>
      <c r="L693" t="n">
        <v>0</v>
      </c>
      <c r="M693" t="n">
        <v>0</v>
      </c>
      <c r="N693" t="n">
        <v>0</v>
      </c>
      <c r="O693" t="n">
        <v>0</v>
      </c>
      <c r="P693" t="n">
        <v>0</v>
      </c>
      <c r="Q693" t="n">
        <v>0</v>
      </c>
      <c r="R693" s="2" t="inlineStr"/>
    </row>
    <row r="694" ht="15" customHeight="1">
      <c r="A694" t="inlineStr">
        <is>
          <t>A 12469-2021</t>
        </is>
      </c>
      <c r="B694" s="1" t="n">
        <v>44267</v>
      </c>
      <c r="C694" s="1" t="n">
        <v>45883</v>
      </c>
      <c r="D694" t="inlineStr">
        <is>
          <t>GÄVLEBORGS LÄN</t>
        </is>
      </c>
      <c r="E694" t="inlineStr">
        <is>
          <t>SÖDERHAMN</t>
        </is>
      </c>
      <c r="G694" t="n">
        <v>4.6</v>
      </c>
      <c r="H694" t="n">
        <v>0</v>
      </c>
      <c r="I694" t="n">
        <v>0</v>
      </c>
      <c r="J694" t="n">
        <v>0</v>
      </c>
      <c r="K694" t="n">
        <v>0</v>
      </c>
      <c r="L694" t="n">
        <v>0</v>
      </c>
      <c r="M694" t="n">
        <v>0</v>
      </c>
      <c r="N694" t="n">
        <v>0</v>
      </c>
      <c r="O694" t="n">
        <v>0</v>
      </c>
      <c r="P694" t="n">
        <v>0</v>
      </c>
      <c r="Q694" t="n">
        <v>0</v>
      </c>
      <c r="R694" s="2" t="inlineStr"/>
    </row>
    <row r="695" ht="15" customHeight="1">
      <c r="A695" t="inlineStr">
        <is>
          <t>A 9367-2022</t>
        </is>
      </c>
      <c r="B695" s="1" t="n">
        <v>44616.60581018519</v>
      </c>
      <c r="C695" s="1" t="n">
        <v>45883</v>
      </c>
      <c r="D695" t="inlineStr">
        <is>
          <t>GÄVLEBORGS LÄN</t>
        </is>
      </c>
      <c r="E695" t="inlineStr">
        <is>
          <t>BOLLNÄS</t>
        </is>
      </c>
      <c r="G695" t="n">
        <v>12.8</v>
      </c>
      <c r="H695" t="n">
        <v>0</v>
      </c>
      <c r="I695" t="n">
        <v>0</v>
      </c>
      <c r="J695" t="n">
        <v>0</v>
      </c>
      <c r="K695" t="n">
        <v>0</v>
      </c>
      <c r="L695" t="n">
        <v>0</v>
      </c>
      <c r="M695" t="n">
        <v>0</v>
      </c>
      <c r="N695" t="n">
        <v>0</v>
      </c>
      <c r="O695" t="n">
        <v>0</v>
      </c>
      <c r="P695" t="n">
        <v>0</v>
      </c>
      <c r="Q695" t="n">
        <v>0</v>
      </c>
      <c r="R695" s="2" t="inlineStr"/>
    </row>
    <row r="696" ht="15" customHeight="1">
      <c r="A696" t="inlineStr">
        <is>
          <t>A 18417-2021</t>
        </is>
      </c>
      <c r="B696" s="1" t="n">
        <v>44305</v>
      </c>
      <c r="C696" s="1" t="n">
        <v>45883</v>
      </c>
      <c r="D696" t="inlineStr">
        <is>
          <t>GÄVLEBORGS LÄN</t>
        </is>
      </c>
      <c r="E696" t="inlineStr">
        <is>
          <t>HUDIKSVALL</t>
        </is>
      </c>
      <c r="F696" t="inlineStr">
        <is>
          <t>Kommuner</t>
        </is>
      </c>
      <c r="G696" t="n">
        <v>0.9</v>
      </c>
      <c r="H696" t="n">
        <v>0</v>
      </c>
      <c r="I696" t="n">
        <v>0</v>
      </c>
      <c r="J696" t="n">
        <v>0</v>
      </c>
      <c r="K696" t="n">
        <v>0</v>
      </c>
      <c r="L696" t="n">
        <v>0</v>
      </c>
      <c r="M696" t="n">
        <v>0</v>
      </c>
      <c r="N696" t="n">
        <v>0</v>
      </c>
      <c r="O696" t="n">
        <v>0</v>
      </c>
      <c r="P696" t="n">
        <v>0</v>
      </c>
      <c r="Q696" t="n">
        <v>0</v>
      </c>
      <c r="R696" s="2" t="inlineStr"/>
    </row>
    <row r="697" ht="15" customHeight="1">
      <c r="A697" t="inlineStr">
        <is>
          <t>A 41471-2021</t>
        </is>
      </c>
      <c r="B697" s="1" t="n">
        <v>44424</v>
      </c>
      <c r="C697" s="1" t="n">
        <v>45883</v>
      </c>
      <c r="D697" t="inlineStr">
        <is>
          <t>GÄVLEBORGS LÄN</t>
        </is>
      </c>
      <c r="E697" t="inlineStr">
        <is>
          <t>BOLLNÄS</t>
        </is>
      </c>
      <c r="G697" t="n">
        <v>3.9</v>
      </c>
      <c r="H697" t="n">
        <v>0</v>
      </c>
      <c r="I697" t="n">
        <v>0</v>
      </c>
      <c r="J697" t="n">
        <v>0</v>
      </c>
      <c r="K697" t="n">
        <v>0</v>
      </c>
      <c r="L697" t="n">
        <v>0</v>
      </c>
      <c r="M697" t="n">
        <v>0</v>
      </c>
      <c r="N697" t="n">
        <v>0</v>
      </c>
      <c r="O697" t="n">
        <v>0</v>
      </c>
      <c r="P697" t="n">
        <v>0</v>
      </c>
      <c r="Q697" t="n">
        <v>0</v>
      </c>
      <c r="R697" s="2" t="inlineStr"/>
    </row>
    <row r="698" ht="15" customHeight="1">
      <c r="A698" t="inlineStr">
        <is>
          <t>A 22851-2022</t>
        </is>
      </c>
      <c r="B698" s="1" t="n">
        <v>44715.47230324074</v>
      </c>
      <c r="C698" s="1" t="n">
        <v>45883</v>
      </c>
      <c r="D698" t="inlineStr">
        <is>
          <t>GÄVLEBORGS LÄN</t>
        </is>
      </c>
      <c r="E698" t="inlineStr">
        <is>
          <t>LJUSDAL</t>
        </is>
      </c>
      <c r="F698" t="inlineStr">
        <is>
          <t>Sveaskog</t>
        </is>
      </c>
      <c r="G698" t="n">
        <v>0.8</v>
      </c>
      <c r="H698" t="n">
        <v>0</v>
      </c>
      <c r="I698" t="n">
        <v>0</v>
      </c>
      <c r="J698" t="n">
        <v>0</v>
      </c>
      <c r="K698" t="n">
        <v>0</v>
      </c>
      <c r="L698" t="n">
        <v>0</v>
      </c>
      <c r="M698" t="n">
        <v>0</v>
      </c>
      <c r="N698" t="n">
        <v>0</v>
      </c>
      <c r="O698" t="n">
        <v>0</v>
      </c>
      <c r="P698" t="n">
        <v>0</v>
      </c>
      <c r="Q698" t="n">
        <v>0</v>
      </c>
      <c r="R698" s="2" t="inlineStr"/>
    </row>
    <row r="699" ht="15" customHeight="1">
      <c r="A699" t="inlineStr">
        <is>
          <t>A 28148-2021</t>
        </is>
      </c>
      <c r="B699" s="1" t="n">
        <v>44355.55023148148</v>
      </c>
      <c r="C699" s="1" t="n">
        <v>45883</v>
      </c>
      <c r="D699" t="inlineStr">
        <is>
          <t>GÄVLEBORGS LÄN</t>
        </is>
      </c>
      <c r="E699" t="inlineStr">
        <is>
          <t>HUDIKSVALL</t>
        </is>
      </c>
      <c r="G699" t="n">
        <v>2.4</v>
      </c>
      <c r="H699" t="n">
        <v>0</v>
      </c>
      <c r="I699" t="n">
        <v>0</v>
      </c>
      <c r="J699" t="n">
        <v>0</v>
      </c>
      <c r="K699" t="n">
        <v>0</v>
      </c>
      <c r="L699" t="n">
        <v>0</v>
      </c>
      <c r="M699" t="n">
        <v>0</v>
      </c>
      <c r="N699" t="n">
        <v>0</v>
      </c>
      <c r="O699" t="n">
        <v>0</v>
      </c>
      <c r="P699" t="n">
        <v>0</v>
      </c>
      <c r="Q699" t="n">
        <v>0</v>
      </c>
      <c r="R699" s="2" t="inlineStr"/>
    </row>
    <row r="700" ht="15" customHeight="1">
      <c r="A700" t="inlineStr">
        <is>
          <t>A 51083-2020</t>
        </is>
      </c>
      <c r="B700" s="1" t="n">
        <v>44112.396875</v>
      </c>
      <c r="C700" s="1" t="n">
        <v>45883</v>
      </c>
      <c r="D700" t="inlineStr">
        <is>
          <t>GÄVLEBORGS LÄN</t>
        </is>
      </c>
      <c r="E700" t="inlineStr">
        <is>
          <t>OVANÅKER</t>
        </is>
      </c>
      <c r="G700" t="n">
        <v>2</v>
      </c>
      <c r="H700" t="n">
        <v>0</v>
      </c>
      <c r="I700" t="n">
        <v>0</v>
      </c>
      <c r="J700" t="n">
        <v>0</v>
      </c>
      <c r="K700" t="n">
        <v>0</v>
      </c>
      <c r="L700" t="n">
        <v>0</v>
      </c>
      <c r="M700" t="n">
        <v>0</v>
      </c>
      <c r="N700" t="n">
        <v>0</v>
      </c>
      <c r="O700" t="n">
        <v>0</v>
      </c>
      <c r="P700" t="n">
        <v>0</v>
      </c>
      <c r="Q700" t="n">
        <v>0</v>
      </c>
      <c r="R700" s="2" t="inlineStr"/>
    </row>
    <row r="701" ht="15" customHeight="1">
      <c r="A701" t="inlineStr">
        <is>
          <t>A 17962-2022</t>
        </is>
      </c>
      <c r="B701" s="1" t="n">
        <v>44683.67664351852</v>
      </c>
      <c r="C701" s="1" t="n">
        <v>45883</v>
      </c>
      <c r="D701" t="inlineStr">
        <is>
          <t>GÄVLEBORGS LÄN</t>
        </is>
      </c>
      <c r="E701" t="inlineStr">
        <is>
          <t>HUDIKSVALL</t>
        </is>
      </c>
      <c r="F701" t="inlineStr">
        <is>
          <t>Holmen skog AB</t>
        </is>
      </c>
      <c r="G701" t="n">
        <v>9.1</v>
      </c>
      <c r="H701" t="n">
        <v>0</v>
      </c>
      <c r="I701" t="n">
        <v>0</v>
      </c>
      <c r="J701" t="n">
        <v>0</v>
      </c>
      <c r="K701" t="n">
        <v>0</v>
      </c>
      <c r="L701" t="n">
        <v>0</v>
      </c>
      <c r="M701" t="n">
        <v>0</v>
      </c>
      <c r="N701" t="n">
        <v>0</v>
      </c>
      <c r="O701" t="n">
        <v>0</v>
      </c>
      <c r="P701" t="n">
        <v>0</v>
      </c>
      <c r="Q701" t="n">
        <v>0</v>
      </c>
      <c r="R701" s="2" t="inlineStr"/>
    </row>
    <row r="702" ht="15" customHeight="1">
      <c r="A702" t="inlineStr">
        <is>
          <t>A 21552-2021</t>
        </is>
      </c>
      <c r="B702" s="1" t="n">
        <v>44321.62322916667</v>
      </c>
      <c r="C702" s="1" t="n">
        <v>45883</v>
      </c>
      <c r="D702" t="inlineStr">
        <is>
          <t>GÄVLEBORGS LÄN</t>
        </is>
      </c>
      <c r="E702" t="inlineStr">
        <is>
          <t>GÄVLE</t>
        </is>
      </c>
      <c r="G702" t="n">
        <v>1.1</v>
      </c>
      <c r="H702" t="n">
        <v>0</v>
      </c>
      <c r="I702" t="n">
        <v>0</v>
      </c>
      <c r="J702" t="n">
        <v>0</v>
      </c>
      <c r="K702" t="n">
        <v>0</v>
      </c>
      <c r="L702" t="n">
        <v>0</v>
      </c>
      <c r="M702" t="n">
        <v>0</v>
      </c>
      <c r="N702" t="n">
        <v>0</v>
      </c>
      <c r="O702" t="n">
        <v>0</v>
      </c>
      <c r="P702" t="n">
        <v>0</v>
      </c>
      <c r="Q702" t="n">
        <v>0</v>
      </c>
      <c r="R702" s="2" t="inlineStr"/>
    </row>
    <row r="703" ht="15" customHeight="1">
      <c r="A703" t="inlineStr">
        <is>
          <t>A 7146-2021</t>
        </is>
      </c>
      <c r="B703" s="1" t="n">
        <v>44238</v>
      </c>
      <c r="C703" s="1" t="n">
        <v>45883</v>
      </c>
      <c r="D703" t="inlineStr">
        <is>
          <t>GÄVLEBORGS LÄN</t>
        </is>
      </c>
      <c r="E703" t="inlineStr">
        <is>
          <t>HUDIKSVALL</t>
        </is>
      </c>
      <c r="G703" t="n">
        <v>0.7</v>
      </c>
      <c r="H703" t="n">
        <v>0</v>
      </c>
      <c r="I703" t="n">
        <v>0</v>
      </c>
      <c r="J703" t="n">
        <v>0</v>
      </c>
      <c r="K703" t="n">
        <v>0</v>
      </c>
      <c r="L703" t="n">
        <v>0</v>
      </c>
      <c r="M703" t="n">
        <v>0</v>
      </c>
      <c r="N703" t="n">
        <v>0</v>
      </c>
      <c r="O703" t="n">
        <v>0</v>
      </c>
      <c r="P703" t="n">
        <v>0</v>
      </c>
      <c r="Q703" t="n">
        <v>0</v>
      </c>
      <c r="R703" s="2" t="inlineStr"/>
    </row>
    <row r="704" ht="15" customHeight="1">
      <c r="A704" t="inlineStr">
        <is>
          <t>A 34260-2021</t>
        </is>
      </c>
      <c r="B704" s="1" t="n">
        <v>44379</v>
      </c>
      <c r="C704" s="1" t="n">
        <v>45883</v>
      </c>
      <c r="D704" t="inlineStr">
        <is>
          <t>GÄVLEBORGS LÄN</t>
        </is>
      </c>
      <c r="E704" t="inlineStr">
        <is>
          <t>OVANÅKER</t>
        </is>
      </c>
      <c r="F704" t="inlineStr">
        <is>
          <t>Kyrkan</t>
        </is>
      </c>
      <c r="G704" t="n">
        <v>8.300000000000001</v>
      </c>
      <c r="H704" t="n">
        <v>0</v>
      </c>
      <c r="I704" t="n">
        <v>0</v>
      </c>
      <c r="J704" t="n">
        <v>0</v>
      </c>
      <c r="K704" t="n">
        <v>0</v>
      </c>
      <c r="L704" t="n">
        <v>0</v>
      </c>
      <c r="M704" t="n">
        <v>0</v>
      </c>
      <c r="N704" t="n">
        <v>0</v>
      </c>
      <c r="O704" t="n">
        <v>0</v>
      </c>
      <c r="P704" t="n">
        <v>0</v>
      </c>
      <c r="Q704" t="n">
        <v>0</v>
      </c>
      <c r="R704" s="2" t="inlineStr"/>
    </row>
    <row r="705" ht="15" customHeight="1">
      <c r="A705" t="inlineStr">
        <is>
          <t>A 11235-2022</t>
        </is>
      </c>
      <c r="B705" s="1" t="n">
        <v>44629.59020833333</v>
      </c>
      <c r="C705" s="1" t="n">
        <v>45883</v>
      </c>
      <c r="D705" t="inlineStr">
        <is>
          <t>GÄVLEBORGS LÄN</t>
        </is>
      </c>
      <c r="E705" t="inlineStr">
        <is>
          <t>GÄVLE</t>
        </is>
      </c>
      <c r="G705" t="n">
        <v>5.9</v>
      </c>
      <c r="H705" t="n">
        <v>0</v>
      </c>
      <c r="I705" t="n">
        <v>0</v>
      </c>
      <c r="J705" t="n">
        <v>0</v>
      </c>
      <c r="K705" t="n">
        <v>0</v>
      </c>
      <c r="L705" t="n">
        <v>0</v>
      </c>
      <c r="M705" t="n">
        <v>0</v>
      </c>
      <c r="N705" t="n">
        <v>0</v>
      </c>
      <c r="O705" t="n">
        <v>0</v>
      </c>
      <c r="P705" t="n">
        <v>0</v>
      </c>
      <c r="Q705" t="n">
        <v>0</v>
      </c>
      <c r="R705" s="2" t="inlineStr"/>
    </row>
    <row r="706" ht="15" customHeight="1">
      <c r="A706" t="inlineStr">
        <is>
          <t>A 19241-2021</t>
        </is>
      </c>
      <c r="B706" s="1" t="n">
        <v>44309.36331018519</v>
      </c>
      <c r="C706" s="1" t="n">
        <v>45883</v>
      </c>
      <c r="D706" t="inlineStr">
        <is>
          <t>GÄVLEBORGS LÄN</t>
        </is>
      </c>
      <c r="E706" t="inlineStr">
        <is>
          <t>OCKELBO</t>
        </is>
      </c>
      <c r="F706" t="inlineStr">
        <is>
          <t>Bergvik skog väst AB</t>
        </is>
      </c>
      <c r="G706" t="n">
        <v>1.5</v>
      </c>
      <c r="H706" t="n">
        <v>0</v>
      </c>
      <c r="I706" t="n">
        <v>0</v>
      </c>
      <c r="J706" t="n">
        <v>0</v>
      </c>
      <c r="K706" t="n">
        <v>0</v>
      </c>
      <c r="L706" t="n">
        <v>0</v>
      </c>
      <c r="M706" t="n">
        <v>0</v>
      </c>
      <c r="N706" t="n">
        <v>0</v>
      </c>
      <c r="O706" t="n">
        <v>0</v>
      </c>
      <c r="P706" t="n">
        <v>0</v>
      </c>
      <c r="Q706" t="n">
        <v>0</v>
      </c>
      <c r="R706" s="2" t="inlineStr"/>
    </row>
    <row r="707" ht="15" customHeight="1">
      <c r="A707" t="inlineStr">
        <is>
          <t>A 14277-2021</t>
        </is>
      </c>
      <c r="B707" s="1" t="n">
        <v>44278.63457175926</v>
      </c>
      <c r="C707" s="1" t="n">
        <v>45883</v>
      </c>
      <c r="D707" t="inlineStr">
        <is>
          <t>GÄVLEBORGS LÄN</t>
        </is>
      </c>
      <c r="E707" t="inlineStr">
        <is>
          <t>SANDVIKEN</t>
        </is>
      </c>
      <c r="G707" t="n">
        <v>3.3</v>
      </c>
      <c r="H707" t="n">
        <v>0</v>
      </c>
      <c r="I707" t="n">
        <v>0</v>
      </c>
      <c r="J707" t="n">
        <v>0</v>
      </c>
      <c r="K707" t="n">
        <v>0</v>
      </c>
      <c r="L707" t="n">
        <v>0</v>
      </c>
      <c r="M707" t="n">
        <v>0</v>
      </c>
      <c r="N707" t="n">
        <v>0</v>
      </c>
      <c r="O707" t="n">
        <v>0</v>
      </c>
      <c r="P707" t="n">
        <v>0</v>
      </c>
      <c r="Q707" t="n">
        <v>0</v>
      </c>
      <c r="R707" s="2" t="inlineStr"/>
    </row>
    <row r="708" ht="15" customHeight="1">
      <c r="A708" t="inlineStr">
        <is>
          <t>A 49604-2021</t>
        </is>
      </c>
      <c r="B708" s="1" t="n">
        <v>44455.41347222222</v>
      </c>
      <c r="C708" s="1" t="n">
        <v>45883</v>
      </c>
      <c r="D708" t="inlineStr">
        <is>
          <t>GÄVLEBORGS LÄN</t>
        </is>
      </c>
      <c r="E708" t="inlineStr">
        <is>
          <t>HUDIKSVALL</t>
        </is>
      </c>
      <c r="F708" t="inlineStr">
        <is>
          <t>Holmen skog AB</t>
        </is>
      </c>
      <c r="G708" t="n">
        <v>2.4</v>
      </c>
      <c r="H708" t="n">
        <v>0</v>
      </c>
      <c r="I708" t="n">
        <v>0</v>
      </c>
      <c r="J708" t="n">
        <v>0</v>
      </c>
      <c r="K708" t="n">
        <v>0</v>
      </c>
      <c r="L708" t="n">
        <v>0</v>
      </c>
      <c r="M708" t="n">
        <v>0</v>
      </c>
      <c r="N708" t="n">
        <v>0</v>
      </c>
      <c r="O708" t="n">
        <v>0</v>
      </c>
      <c r="P708" t="n">
        <v>0</v>
      </c>
      <c r="Q708" t="n">
        <v>0</v>
      </c>
      <c r="R708" s="2" t="inlineStr"/>
    </row>
    <row r="709" ht="15" customHeight="1">
      <c r="A709" t="inlineStr">
        <is>
          <t>A 37709-2021</t>
        </is>
      </c>
      <c r="B709" s="1" t="n">
        <v>44400.56368055556</v>
      </c>
      <c r="C709" s="1" t="n">
        <v>45883</v>
      </c>
      <c r="D709" t="inlineStr">
        <is>
          <t>GÄVLEBORGS LÄN</t>
        </is>
      </c>
      <c r="E709" t="inlineStr">
        <is>
          <t>OCKELBO</t>
        </is>
      </c>
      <c r="G709" t="n">
        <v>2.7</v>
      </c>
      <c r="H709" t="n">
        <v>0</v>
      </c>
      <c r="I709" t="n">
        <v>0</v>
      </c>
      <c r="J709" t="n">
        <v>0</v>
      </c>
      <c r="K709" t="n">
        <v>0</v>
      </c>
      <c r="L709" t="n">
        <v>0</v>
      </c>
      <c r="M709" t="n">
        <v>0</v>
      </c>
      <c r="N709" t="n">
        <v>0</v>
      </c>
      <c r="O709" t="n">
        <v>0</v>
      </c>
      <c r="P709" t="n">
        <v>0</v>
      </c>
      <c r="Q709" t="n">
        <v>0</v>
      </c>
      <c r="R709" s="2" t="inlineStr"/>
    </row>
    <row r="710" ht="15" customHeight="1">
      <c r="A710" t="inlineStr">
        <is>
          <t>A 34200-2021</t>
        </is>
      </c>
      <c r="B710" s="1" t="n">
        <v>44379</v>
      </c>
      <c r="C710" s="1" t="n">
        <v>45883</v>
      </c>
      <c r="D710" t="inlineStr">
        <is>
          <t>GÄVLEBORGS LÄN</t>
        </is>
      </c>
      <c r="E710" t="inlineStr">
        <is>
          <t>OVANÅKER</t>
        </is>
      </c>
      <c r="F710" t="inlineStr">
        <is>
          <t>Kyrkan</t>
        </is>
      </c>
      <c r="G710" t="n">
        <v>16.3</v>
      </c>
      <c r="H710" t="n">
        <v>0</v>
      </c>
      <c r="I710" t="n">
        <v>0</v>
      </c>
      <c r="J710" t="n">
        <v>0</v>
      </c>
      <c r="K710" t="n">
        <v>0</v>
      </c>
      <c r="L710" t="n">
        <v>0</v>
      </c>
      <c r="M710" t="n">
        <v>0</v>
      </c>
      <c r="N710" t="n">
        <v>0</v>
      </c>
      <c r="O710" t="n">
        <v>0</v>
      </c>
      <c r="P710" t="n">
        <v>0</v>
      </c>
      <c r="Q710" t="n">
        <v>0</v>
      </c>
      <c r="R710" s="2" t="inlineStr"/>
    </row>
    <row r="711" ht="15" customHeight="1">
      <c r="A711" t="inlineStr">
        <is>
          <t>A 45841-2021</t>
        </is>
      </c>
      <c r="B711" s="1" t="n">
        <v>44441.54539351852</v>
      </c>
      <c r="C711" s="1" t="n">
        <v>45883</v>
      </c>
      <c r="D711" t="inlineStr">
        <is>
          <t>GÄVLEBORGS LÄN</t>
        </is>
      </c>
      <c r="E711" t="inlineStr">
        <is>
          <t>BOLLNÄS</t>
        </is>
      </c>
      <c r="G711" t="n">
        <v>9.6</v>
      </c>
      <c r="H711" t="n">
        <v>0</v>
      </c>
      <c r="I711" t="n">
        <v>0</v>
      </c>
      <c r="J711" t="n">
        <v>0</v>
      </c>
      <c r="K711" t="n">
        <v>0</v>
      </c>
      <c r="L711" t="n">
        <v>0</v>
      </c>
      <c r="M711" t="n">
        <v>0</v>
      </c>
      <c r="N711" t="n">
        <v>0</v>
      </c>
      <c r="O711" t="n">
        <v>0</v>
      </c>
      <c r="P711" t="n">
        <v>0</v>
      </c>
      <c r="Q711" t="n">
        <v>0</v>
      </c>
      <c r="R711" s="2" t="inlineStr"/>
    </row>
    <row r="712" ht="15" customHeight="1">
      <c r="A712" t="inlineStr">
        <is>
          <t>A 25409-2022</t>
        </is>
      </c>
      <c r="B712" s="1" t="n">
        <v>44732.4490625</v>
      </c>
      <c r="C712" s="1" t="n">
        <v>45883</v>
      </c>
      <c r="D712" t="inlineStr">
        <is>
          <t>GÄVLEBORGS LÄN</t>
        </is>
      </c>
      <c r="E712" t="inlineStr">
        <is>
          <t>OVANÅKER</t>
        </is>
      </c>
      <c r="G712" t="n">
        <v>2.8</v>
      </c>
      <c r="H712" t="n">
        <v>0</v>
      </c>
      <c r="I712" t="n">
        <v>0</v>
      </c>
      <c r="J712" t="n">
        <v>0</v>
      </c>
      <c r="K712" t="n">
        <v>0</v>
      </c>
      <c r="L712" t="n">
        <v>0</v>
      </c>
      <c r="M712" t="n">
        <v>0</v>
      </c>
      <c r="N712" t="n">
        <v>0</v>
      </c>
      <c r="O712" t="n">
        <v>0</v>
      </c>
      <c r="P712" t="n">
        <v>0</v>
      </c>
      <c r="Q712" t="n">
        <v>0</v>
      </c>
      <c r="R712" s="2" t="inlineStr"/>
    </row>
    <row r="713" ht="15" customHeight="1">
      <c r="A713" t="inlineStr">
        <is>
          <t>A 10641-2021</t>
        </is>
      </c>
      <c r="B713" s="1" t="n">
        <v>44258.57385416667</v>
      </c>
      <c r="C713" s="1" t="n">
        <v>45883</v>
      </c>
      <c r="D713" t="inlineStr">
        <is>
          <t>GÄVLEBORGS LÄN</t>
        </is>
      </c>
      <c r="E713" t="inlineStr">
        <is>
          <t>OVANÅKER</t>
        </is>
      </c>
      <c r="G713" t="n">
        <v>1.5</v>
      </c>
      <c r="H713" t="n">
        <v>0</v>
      </c>
      <c r="I713" t="n">
        <v>0</v>
      </c>
      <c r="J713" t="n">
        <v>0</v>
      </c>
      <c r="K713" t="n">
        <v>0</v>
      </c>
      <c r="L713" t="n">
        <v>0</v>
      </c>
      <c r="M713" t="n">
        <v>0</v>
      </c>
      <c r="N713" t="n">
        <v>0</v>
      </c>
      <c r="O713" t="n">
        <v>0</v>
      </c>
      <c r="P713" t="n">
        <v>0</v>
      </c>
      <c r="Q713" t="n">
        <v>0</v>
      </c>
      <c r="R713" s="2" t="inlineStr"/>
    </row>
    <row r="714" ht="15" customHeight="1">
      <c r="A714" t="inlineStr">
        <is>
          <t>A 48731-2021</t>
        </is>
      </c>
      <c r="B714" s="1" t="n">
        <v>44452.60431712963</v>
      </c>
      <c r="C714" s="1" t="n">
        <v>45883</v>
      </c>
      <c r="D714" t="inlineStr">
        <is>
          <t>GÄVLEBORGS LÄN</t>
        </is>
      </c>
      <c r="E714" t="inlineStr">
        <is>
          <t>NORDANSTIG</t>
        </is>
      </c>
      <c r="F714" t="inlineStr">
        <is>
          <t>Holmen skog AB</t>
        </is>
      </c>
      <c r="G714" t="n">
        <v>3.8</v>
      </c>
      <c r="H714" t="n">
        <v>0</v>
      </c>
      <c r="I714" t="n">
        <v>0</v>
      </c>
      <c r="J714" t="n">
        <v>0</v>
      </c>
      <c r="K714" t="n">
        <v>0</v>
      </c>
      <c r="L714" t="n">
        <v>0</v>
      </c>
      <c r="M714" t="n">
        <v>0</v>
      </c>
      <c r="N714" t="n">
        <v>0</v>
      </c>
      <c r="O714" t="n">
        <v>0</v>
      </c>
      <c r="P714" t="n">
        <v>0</v>
      </c>
      <c r="Q714" t="n">
        <v>0</v>
      </c>
      <c r="R714" s="2" t="inlineStr"/>
    </row>
    <row r="715" ht="15" customHeight="1">
      <c r="A715" t="inlineStr">
        <is>
          <t>A 61670-2021</t>
        </is>
      </c>
      <c r="B715" s="1" t="n">
        <v>44501.56204861111</v>
      </c>
      <c r="C715" s="1" t="n">
        <v>45883</v>
      </c>
      <c r="D715" t="inlineStr">
        <is>
          <t>GÄVLEBORGS LÄN</t>
        </is>
      </c>
      <c r="E715" t="inlineStr">
        <is>
          <t>LJUSDAL</t>
        </is>
      </c>
      <c r="F715" t="inlineStr">
        <is>
          <t>Holmen skog AB</t>
        </is>
      </c>
      <c r="G715" t="n">
        <v>0.9</v>
      </c>
      <c r="H715" t="n">
        <v>0</v>
      </c>
      <c r="I715" t="n">
        <v>0</v>
      </c>
      <c r="J715" t="n">
        <v>0</v>
      </c>
      <c r="K715" t="n">
        <v>0</v>
      </c>
      <c r="L715" t="n">
        <v>0</v>
      </c>
      <c r="M715" t="n">
        <v>0</v>
      </c>
      <c r="N715" t="n">
        <v>0</v>
      </c>
      <c r="O715" t="n">
        <v>0</v>
      </c>
      <c r="P715" t="n">
        <v>0</v>
      </c>
      <c r="Q715" t="n">
        <v>0</v>
      </c>
      <c r="R715" s="2" t="inlineStr"/>
    </row>
    <row r="716" ht="15" customHeight="1">
      <c r="A716" t="inlineStr">
        <is>
          <t>A 24745-2021</t>
        </is>
      </c>
      <c r="B716" s="1" t="n">
        <v>44340.59168981481</v>
      </c>
      <c r="C716" s="1" t="n">
        <v>45883</v>
      </c>
      <c r="D716" t="inlineStr">
        <is>
          <t>GÄVLEBORGS LÄN</t>
        </is>
      </c>
      <c r="E716" t="inlineStr">
        <is>
          <t>HUDIKSVALL</t>
        </is>
      </c>
      <c r="F716" t="inlineStr">
        <is>
          <t>Holmen skog AB</t>
        </is>
      </c>
      <c r="G716" t="n">
        <v>3.8</v>
      </c>
      <c r="H716" t="n">
        <v>0</v>
      </c>
      <c r="I716" t="n">
        <v>0</v>
      </c>
      <c r="J716" t="n">
        <v>0</v>
      </c>
      <c r="K716" t="n">
        <v>0</v>
      </c>
      <c r="L716" t="n">
        <v>0</v>
      </c>
      <c r="M716" t="n">
        <v>0</v>
      </c>
      <c r="N716" t="n">
        <v>0</v>
      </c>
      <c r="O716" t="n">
        <v>0</v>
      </c>
      <c r="P716" t="n">
        <v>0</v>
      </c>
      <c r="Q716" t="n">
        <v>0</v>
      </c>
      <c r="R716" s="2" t="inlineStr"/>
    </row>
    <row r="717" ht="15" customHeight="1">
      <c r="A717" t="inlineStr">
        <is>
          <t>A 24803-2021</t>
        </is>
      </c>
      <c r="B717" s="1" t="n">
        <v>44340.65736111111</v>
      </c>
      <c r="C717" s="1" t="n">
        <v>45883</v>
      </c>
      <c r="D717" t="inlineStr">
        <is>
          <t>GÄVLEBORGS LÄN</t>
        </is>
      </c>
      <c r="E717" t="inlineStr">
        <is>
          <t>OCKELBO</t>
        </is>
      </c>
      <c r="G717" t="n">
        <v>1.5</v>
      </c>
      <c r="H717" t="n">
        <v>0</v>
      </c>
      <c r="I717" t="n">
        <v>0</v>
      </c>
      <c r="J717" t="n">
        <v>0</v>
      </c>
      <c r="K717" t="n">
        <v>0</v>
      </c>
      <c r="L717" t="n">
        <v>0</v>
      </c>
      <c r="M717" t="n">
        <v>0</v>
      </c>
      <c r="N717" t="n">
        <v>0</v>
      </c>
      <c r="O717" t="n">
        <v>0</v>
      </c>
      <c r="P717" t="n">
        <v>0</v>
      </c>
      <c r="Q717" t="n">
        <v>0</v>
      </c>
      <c r="R717" s="2" t="inlineStr"/>
    </row>
    <row r="718" ht="15" customHeight="1">
      <c r="A718" t="inlineStr">
        <is>
          <t>A 18797-2022</t>
        </is>
      </c>
      <c r="B718" s="1" t="n">
        <v>44690.3471875</v>
      </c>
      <c r="C718" s="1" t="n">
        <v>45883</v>
      </c>
      <c r="D718" t="inlineStr">
        <is>
          <t>GÄVLEBORGS LÄN</t>
        </is>
      </c>
      <c r="E718" t="inlineStr">
        <is>
          <t>HUDIKSVALL</t>
        </is>
      </c>
      <c r="F718" t="inlineStr">
        <is>
          <t>Holmen skog AB</t>
        </is>
      </c>
      <c r="G718" t="n">
        <v>13.5</v>
      </c>
      <c r="H718" t="n">
        <v>0</v>
      </c>
      <c r="I718" t="n">
        <v>0</v>
      </c>
      <c r="J718" t="n">
        <v>0</v>
      </c>
      <c r="K718" t="n">
        <v>0</v>
      </c>
      <c r="L718" t="n">
        <v>0</v>
      </c>
      <c r="M718" t="n">
        <v>0</v>
      </c>
      <c r="N718" t="n">
        <v>0</v>
      </c>
      <c r="O718" t="n">
        <v>0</v>
      </c>
      <c r="P718" t="n">
        <v>0</v>
      </c>
      <c r="Q718" t="n">
        <v>0</v>
      </c>
      <c r="R718" s="2" t="inlineStr"/>
    </row>
    <row r="719" ht="15" customHeight="1">
      <c r="A719" t="inlineStr">
        <is>
          <t>A 40729-2022</t>
        </is>
      </c>
      <c r="B719" s="1" t="n">
        <v>44824</v>
      </c>
      <c r="C719" s="1" t="n">
        <v>45883</v>
      </c>
      <c r="D719" t="inlineStr">
        <is>
          <t>GÄVLEBORGS LÄN</t>
        </is>
      </c>
      <c r="E719" t="inlineStr">
        <is>
          <t>LJUSDAL</t>
        </is>
      </c>
      <c r="F719" t="inlineStr">
        <is>
          <t>Holmen skog AB</t>
        </is>
      </c>
      <c r="G719" t="n">
        <v>1.5</v>
      </c>
      <c r="H719" t="n">
        <v>0</v>
      </c>
      <c r="I719" t="n">
        <v>0</v>
      </c>
      <c r="J719" t="n">
        <v>0</v>
      </c>
      <c r="K719" t="n">
        <v>0</v>
      </c>
      <c r="L719" t="n">
        <v>0</v>
      </c>
      <c r="M719" t="n">
        <v>0</v>
      </c>
      <c r="N719" t="n">
        <v>0</v>
      </c>
      <c r="O719" t="n">
        <v>0</v>
      </c>
      <c r="P719" t="n">
        <v>0</v>
      </c>
      <c r="Q719" t="n">
        <v>0</v>
      </c>
      <c r="R719" s="2" t="inlineStr"/>
    </row>
    <row r="720" ht="15" customHeight="1">
      <c r="A720" t="inlineStr">
        <is>
          <t>A 28760-2021</t>
        </is>
      </c>
      <c r="B720" s="1" t="n">
        <v>44357.52563657407</v>
      </c>
      <c r="C720" s="1" t="n">
        <v>45883</v>
      </c>
      <c r="D720" t="inlineStr">
        <is>
          <t>GÄVLEBORGS LÄN</t>
        </is>
      </c>
      <c r="E720" t="inlineStr">
        <is>
          <t>NORDANSTIG</t>
        </is>
      </c>
      <c r="G720" t="n">
        <v>0.5</v>
      </c>
      <c r="H720" t="n">
        <v>0</v>
      </c>
      <c r="I720" t="n">
        <v>0</v>
      </c>
      <c r="J720" t="n">
        <v>0</v>
      </c>
      <c r="K720" t="n">
        <v>0</v>
      </c>
      <c r="L720" t="n">
        <v>0</v>
      </c>
      <c r="M720" t="n">
        <v>0</v>
      </c>
      <c r="N720" t="n">
        <v>0</v>
      </c>
      <c r="O720" t="n">
        <v>0</v>
      </c>
      <c r="P720" t="n">
        <v>0</v>
      </c>
      <c r="Q720" t="n">
        <v>0</v>
      </c>
      <c r="R720" s="2" t="inlineStr"/>
    </row>
    <row r="721" ht="15" customHeight="1">
      <c r="A721" t="inlineStr">
        <is>
          <t>A 18516-2022</t>
        </is>
      </c>
      <c r="B721" s="1" t="n">
        <v>44686</v>
      </c>
      <c r="C721" s="1" t="n">
        <v>45883</v>
      </c>
      <c r="D721" t="inlineStr">
        <is>
          <t>GÄVLEBORGS LÄN</t>
        </is>
      </c>
      <c r="E721" t="inlineStr">
        <is>
          <t>NORDANSTIG</t>
        </is>
      </c>
      <c r="G721" t="n">
        <v>2.9</v>
      </c>
      <c r="H721" t="n">
        <v>0</v>
      </c>
      <c r="I721" t="n">
        <v>0</v>
      </c>
      <c r="J721" t="n">
        <v>0</v>
      </c>
      <c r="K721" t="n">
        <v>0</v>
      </c>
      <c r="L721" t="n">
        <v>0</v>
      </c>
      <c r="M721" t="n">
        <v>0</v>
      </c>
      <c r="N721" t="n">
        <v>0</v>
      </c>
      <c r="O721" t="n">
        <v>0</v>
      </c>
      <c r="P721" t="n">
        <v>0</v>
      </c>
      <c r="Q721" t="n">
        <v>0</v>
      </c>
      <c r="R721" s="2" t="inlineStr"/>
    </row>
    <row r="722" ht="15" customHeight="1">
      <c r="A722" t="inlineStr">
        <is>
          <t>A 28023-2022</t>
        </is>
      </c>
      <c r="B722" s="1" t="n">
        <v>44746</v>
      </c>
      <c r="C722" s="1" t="n">
        <v>45883</v>
      </c>
      <c r="D722" t="inlineStr">
        <is>
          <t>GÄVLEBORGS LÄN</t>
        </is>
      </c>
      <c r="E722" t="inlineStr">
        <is>
          <t>HUDIKSVALL</t>
        </is>
      </c>
      <c r="G722" t="n">
        <v>2.9</v>
      </c>
      <c r="H722" t="n">
        <v>0</v>
      </c>
      <c r="I722" t="n">
        <v>0</v>
      </c>
      <c r="J722" t="n">
        <v>0</v>
      </c>
      <c r="K722" t="n">
        <v>0</v>
      </c>
      <c r="L722" t="n">
        <v>0</v>
      </c>
      <c r="M722" t="n">
        <v>0</v>
      </c>
      <c r="N722" t="n">
        <v>0</v>
      </c>
      <c r="O722" t="n">
        <v>0</v>
      </c>
      <c r="P722" t="n">
        <v>0</v>
      </c>
      <c r="Q722" t="n">
        <v>0</v>
      </c>
      <c r="R722" s="2" t="inlineStr"/>
    </row>
    <row r="723" ht="15" customHeight="1">
      <c r="A723" t="inlineStr">
        <is>
          <t>A 29676-2022</t>
        </is>
      </c>
      <c r="B723" s="1" t="n">
        <v>44754</v>
      </c>
      <c r="C723" s="1" t="n">
        <v>45883</v>
      </c>
      <c r="D723" t="inlineStr">
        <is>
          <t>GÄVLEBORGS LÄN</t>
        </is>
      </c>
      <c r="E723" t="inlineStr">
        <is>
          <t>OVANÅKER</t>
        </is>
      </c>
      <c r="G723" t="n">
        <v>1</v>
      </c>
      <c r="H723" t="n">
        <v>0</v>
      </c>
      <c r="I723" t="n">
        <v>0</v>
      </c>
      <c r="J723" t="n">
        <v>0</v>
      </c>
      <c r="K723" t="n">
        <v>0</v>
      </c>
      <c r="L723" t="n">
        <v>0</v>
      </c>
      <c r="M723" t="n">
        <v>0</v>
      </c>
      <c r="N723" t="n">
        <v>0</v>
      </c>
      <c r="O723" t="n">
        <v>0</v>
      </c>
      <c r="P723" t="n">
        <v>0</v>
      </c>
      <c r="Q723" t="n">
        <v>0</v>
      </c>
      <c r="R723" s="2" t="inlineStr"/>
    </row>
    <row r="724" ht="15" customHeight="1">
      <c r="A724" t="inlineStr">
        <is>
          <t>A 51206-2021</t>
        </is>
      </c>
      <c r="B724" s="1" t="n">
        <v>44460</v>
      </c>
      <c r="C724" s="1" t="n">
        <v>45883</v>
      </c>
      <c r="D724" t="inlineStr">
        <is>
          <t>GÄVLEBORGS LÄN</t>
        </is>
      </c>
      <c r="E724" t="inlineStr">
        <is>
          <t>OCKELBO</t>
        </is>
      </c>
      <c r="G724" t="n">
        <v>16.8</v>
      </c>
      <c r="H724" t="n">
        <v>0</v>
      </c>
      <c r="I724" t="n">
        <v>0</v>
      </c>
      <c r="J724" t="n">
        <v>0</v>
      </c>
      <c r="K724" t="n">
        <v>0</v>
      </c>
      <c r="L724" t="n">
        <v>0</v>
      </c>
      <c r="M724" t="n">
        <v>0</v>
      </c>
      <c r="N724" t="n">
        <v>0</v>
      </c>
      <c r="O724" t="n">
        <v>0</v>
      </c>
      <c r="P724" t="n">
        <v>0</v>
      </c>
      <c r="Q724" t="n">
        <v>0</v>
      </c>
      <c r="R724" s="2" t="inlineStr"/>
    </row>
    <row r="725" ht="15" customHeight="1">
      <c r="A725" t="inlineStr">
        <is>
          <t>A 3052-2022</t>
        </is>
      </c>
      <c r="B725" s="1" t="n">
        <v>44582.37412037037</v>
      </c>
      <c r="C725" s="1" t="n">
        <v>45883</v>
      </c>
      <c r="D725" t="inlineStr">
        <is>
          <t>GÄVLEBORGS LÄN</t>
        </is>
      </c>
      <c r="E725" t="inlineStr">
        <is>
          <t>HOFORS</t>
        </is>
      </c>
      <c r="G725" t="n">
        <v>0.7</v>
      </c>
      <c r="H725" t="n">
        <v>0</v>
      </c>
      <c r="I725" t="n">
        <v>0</v>
      </c>
      <c r="J725" t="n">
        <v>0</v>
      </c>
      <c r="K725" t="n">
        <v>0</v>
      </c>
      <c r="L725" t="n">
        <v>0</v>
      </c>
      <c r="M725" t="n">
        <v>0</v>
      </c>
      <c r="N725" t="n">
        <v>0</v>
      </c>
      <c r="O725" t="n">
        <v>0</v>
      </c>
      <c r="P725" t="n">
        <v>0</v>
      </c>
      <c r="Q725" t="n">
        <v>0</v>
      </c>
      <c r="R725" s="2" t="inlineStr"/>
    </row>
    <row r="726" ht="15" customHeight="1">
      <c r="A726" t="inlineStr">
        <is>
          <t>A 21286-2022</t>
        </is>
      </c>
      <c r="B726" s="1" t="n">
        <v>44705.48375</v>
      </c>
      <c r="C726" s="1" t="n">
        <v>45883</v>
      </c>
      <c r="D726" t="inlineStr">
        <is>
          <t>GÄVLEBORGS LÄN</t>
        </is>
      </c>
      <c r="E726" t="inlineStr">
        <is>
          <t>NORDANSTIG</t>
        </is>
      </c>
      <c r="F726" t="inlineStr">
        <is>
          <t>Holmen skog AB</t>
        </is>
      </c>
      <c r="G726" t="n">
        <v>3.9</v>
      </c>
      <c r="H726" t="n">
        <v>0</v>
      </c>
      <c r="I726" t="n">
        <v>0</v>
      </c>
      <c r="J726" t="n">
        <v>0</v>
      </c>
      <c r="K726" t="n">
        <v>0</v>
      </c>
      <c r="L726" t="n">
        <v>0</v>
      </c>
      <c r="M726" t="n">
        <v>0</v>
      </c>
      <c r="N726" t="n">
        <v>0</v>
      </c>
      <c r="O726" t="n">
        <v>0</v>
      </c>
      <c r="P726" t="n">
        <v>0</v>
      </c>
      <c r="Q726" t="n">
        <v>0</v>
      </c>
      <c r="R726" s="2" t="inlineStr"/>
    </row>
    <row r="727" ht="15" customHeight="1">
      <c r="A727" t="inlineStr">
        <is>
          <t>A 21297-2022</t>
        </is>
      </c>
      <c r="B727" s="1" t="n">
        <v>44705</v>
      </c>
      <c r="C727" s="1" t="n">
        <v>45883</v>
      </c>
      <c r="D727" t="inlineStr">
        <is>
          <t>GÄVLEBORGS LÄN</t>
        </is>
      </c>
      <c r="E727" t="inlineStr">
        <is>
          <t>SANDVIKEN</t>
        </is>
      </c>
      <c r="G727" t="n">
        <v>1.5</v>
      </c>
      <c r="H727" t="n">
        <v>0</v>
      </c>
      <c r="I727" t="n">
        <v>0</v>
      </c>
      <c r="J727" t="n">
        <v>0</v>
      </c>
      <c r="K727" t="n">
        <v>0</v>
      </c>
      <c r="L727" t="n">
        <v>0</v>
      </c>
      <c r="M727" t="n">
        <v>0</v>
      </c>
      <c r="N727" t="n">
        <v>0</v>
      </c>
      <c r="O727" t="n">
        <v>0</v>
      </c>
      <c r="P727" t="n">
        <v>0</v>
      </c>
      <c r="Q727" t="n">
        <v>0</v>
      </c>
      <c r="R727" s="2" t="inlineStr"/>
    </row>
    <row r="728" ht="15" customHeight="1">
      <c r="A728" t="inlineStr">
        <is>
          <t>A 21382-2022</t>
        </is>
      </c>
      <c r="B728" s="1" t="n">
        <v>44705</v>
      </c>
      <c r="C728" s="1" t="n">
        <v>45883</v>
      </c>
      <c r="D728" t="inlineStr">
        <is>
          <t>GÄVLEBORGS LÄN</t>
        </is>
      </c>
      <c r="E728" t="inlineStr">
        <is>
          <t>HUDIKSVALL</t>
        </is>
      </c>
      <c r="G728" t="n">
        <v>1.6</v>
      </c>
      <c r="H728" t="n">
        <v>0</v>
      </c>
      <c r="I728" t="n">
        <v>0</v>
      </c>
      <c r="J728" t="n">
        <v>0</v>
      </c>
      <c r="K728" t="n">
        <v>0</v>
      </c>
      <c r="L728" t="n">
        <v>0</v>
      </c>
      <c r="M728" t="n">
        <v>0</v>
      </c>
      <c r="N728" t="n">
        <v>0</v>
      </c>
      <c r="O728" t="n">
        <v>0</v>
      </c>
      <c r="P728" t="n">
        <v>0</v>
      </c>
      <c r="Q728" t="n">
        <v>0</v>
      </c>
      <c r="R728" s="2" t="inlineStr"/>
    </row>
    <row r="729" ht="15" customHeight="1">
      <c r="A729" t="inlineStr">
        <is>
          <t>A 38480-2022</t>
        </is>
      </c>
      <c r="B729" s="1" t="n">
        <v>44813</v>
      </c>
      <c r="C729" s="1" t="n">
        <v>45883</v>
      </c>
      <c r="D729" t="inlineStr">
        <is>
          <t>GÄVLEBORGS LÄN</t>
        </is>
      </c>
      <c r="E729" t="inlineStr">
        <is>
          <t>HUDIKSVALL</t>
        </is>
      </c>
      <c r="G729" t="n">
        <v>0.8</v>
      </c>
      <c r="H729" t="n">
        <v>0</v>
      </c>
      <c r="I729" t="n">
        <v>0</v>
      </c>
      <c r="J729" t="n">
        <v>0</v>
      </c>
      <c r="K729" t="n">
        <v>0</v>
      </c>
      <c r="L729" t="n">
        <v>0</v>
      </c>
      <c r="M729" t="n">
        <v>0</v>
      </c>
      <c r="N729" t="n">
        <v>0</v>
      </c>
      <c r="O729" t="n">
        <v>0</v>
      </c>
      <c r="P729" t="n">
        <v>0</v>
      </c>
      <c r="Q729" t="n">
        <v>0</v>
      </c>
      <c r="R729" s="2" t="inlineStr"/>
    </row>
    <row r="730" ht="15" customHeight="1">
      <c r="A730" t="inlineStr">
        <is>
          <t>A 54014-2022</t>
        </is>
      </c>
      <c r="B730" s="1" t="n">
        <v>44881.42024305555</v>
      </c>
      <c r="C730" s="1" t="n">
        <v>45883</v>
      </c>
      <c r="D730" t="inlineStr">
        <is>
          <t>GÄVLEBORGS LÄN</t>
        </is>
      </c>
      <c r="E730" t="inlineStr">
        <is>
          <t>HUDIKSVALL</t>
        </is>
      </c>
      <c r="G730" t="n">
        <v>0.3</v>
      </c>
      <c r="H730" t="n">
        <v>0</v>
      </c>
      <c r="I730" t="n">
        <v>0</v>
      </c>
      <c r="J730" t="n">
        <v>0</v>
      </c>
      <c r="K730" t="n">
        <v>0</v>
      </c>
      <c r="L730" t="n">
        <v>0</v>
      </c>
      <c r="M730" t="n">
        <v>0</v>
      </c>
      <c r="N730" t="n">
        <v>0</v>
      </c>
      <c r="O730" t="n">
        <v>0</v>
      </c>
      <c r="P730" t="n">
        <v>0</v>
      </c>
      <c r="Q730" t="n">
        <v>0</v>
      </c>
      <c r="R730" s="2" t="inlineStr"/>
    </row>
    <row r="731" ht="15" customHeight="1">
      <c r="A731" t="inlineStr">
        <is>
          <t>A 30168-2022</t>
        </is>
      </c>
      <c r="B731" s="1" t="n">
        <v>44757.56515046296</v>
      </c>
      <c r="C731" s="1" t="n">
        <v>45883</v>
      </c>
      <c r="D731" t="inlineStr">
        <is>
          <t>GÄVLEBORGS LÄN</t>
        </is>
      </c>
      <c r="E731" t="inlineStr">
        <is>
          <t>OVANÅKER</t>
        </is>
      </c>
      <c r="G731" t="n">
        <v>1.5</v>
      </c>
      <c r="H731" t="n">
        <v>0</v>
      </c>
      <c r="I731" t="n">
        <v>0</v>
      </c>
      <c r="J731" t="n">
        <v>0</v>
      </c>
      <c r="K731" t="n">
        <v>0</v>
      </c>
      <c r="L731" t="n">
        <v>0</v>
      </c>
      <c r="M731" t="n">
        <v>0</v>
      </c>
      <c r="N731" t="n">
        <v>0</v>
      </c>
      <c r="O731" t="n">
        <v>0</v>
      </c>
      <c r="P731" t="n">
        <v>0</v>
      </c>
      <c r="Q731" t="n">
        <v>0</v>
      </c>
      <c r="R731" s="2" t="inlineStr"/>
    </row>
    <row r="732" ht="15" customHeight="1">
      <c r="A732" t="inlineStr">
        <is>
          <t>A 32342-2022</t>
        </is>
      </c>
      <c r="B732" s="1" t="n">
        <v>44781.83763888889</v>
      </c>
      <c r="C732" s="1" t="n">
        <v>45883</v>
      </c>
      <c r="D732" t="inlineStr">
        <is>
          <t>GÄVLEBORGS LÄN</t>
        </is>
      </c>
      <c r="E732" t="inlineStr">
        <is>
          <t>NORDANSTIG</t>
        </is>
      </c>
      <c r="G732" t="n">
        <v>1.2</v>
      </c>
      <c r="H732" t="n">
        <v>0</v>
      </c>
      <c r="I732" t="n">
        <v>0</v>
      </c>
      <c r="J732" t="n">
        <v>0</v>
      </c>
      <c r="K732" t="n">
        <v>0</v>
      </c>
      <c r="L732" t="n">
        <v>0</v>
      </c>
      <c r="M732" t="n">
        <v>0</v>
      </c>
      <c r="N732" t="n">
        <v>0</v>
      </c>
      <c r="O732" t="n">
        <v>0</v>
      </c>
      <c r="P732" t="n">
        <v>0</v>
      </c>
      <c r="Q732" t="n">
        <v>0</v>
      </c>
      <c r="R732" s="2" t="inlineStr"/>
    </row>
    <row r="733" ht="15" customHeight="1">
      <c r="A733" t="inlineStr">
        <is>
          <t>A 64730-2020</t>
        </is>
      </c>
      <c r="B733" s="1" t="n">
        <v>44169.61136574074</v>
      </c>
      <c r="C733" s="1" t="n">
        <v>45883</v>
      </c>
      <c r="D733" t="inlineStr">
        <is>
          <t>GÄVLEBORGS LÄN</t>
        </is>
      </c>
      <c r="E733" t="inlineStr">
        <is>
          <t>OVANÅKER</t>
        </is>
      </c>
      <c r="G733" t="n">
        <v>2.7</v>
      </c>
      <c r="H733" t="n">
        <v>0</v>
      </c>
      <c r="I733" t="n">
        <v>0</v>
      </c>
      <c r="J733" t="n">
        <v>0</v>
      </c>
      <c r="K733" t="n">
        <v>0</v>
      </c>
      <c r="L733" t="n">
        <v>0</v>
      </c>
      <c r="M733" t="n">
        <v>0</v>
      </c>
      <c r="N733" t="n">
        <v>0</v>
      </c>
      <c r="O733" t="n">
        <v>0</v>
      </c>
      <c r="P733" t="n">
        <v>0</v>
      </c>
      <c r="Q733" t="n">
        <v>0</v>
      </c>
      <c r="R733" s="2" t="inlineStr"/>
    </row>
    <row r="734" ht="15" customHeight="1">
      <c r="A734" t="inlineStr">
        <is>
          <t>A 46198-2021</t>
        </is>
      </c>
      <c r="B734" s="1" t="n">
        <v>44442</v>
      </c>
      <c r="C734" s="1" t="n">
        <v>45883</v>
      </c>
      <c r="D734" t="inlineStr">
        <is>
          <t>GÄVLEBORGS LÄN</t>
        </is>
      </c>
      <c r="E734" t="inlineStr">
        <is>
          <t>NORDANSTIG</t>
        </is>
      </c>
      <c r="F734" t="inlineStr">
        <is>
          <t>Holmen skog AB</t>
        </is>
      </c>
      <c r="G734" t="n">
        <v>2.5</v>
      </c>
      <c r="H734" t="n">
        <v>0</v>
      </c>
      <c r="I734" t="n">
        <v>0</v>
      </c>
      <c r="J734" t="n">
        <v>0</v>
      </c>
      <c r="K734" t="n">
        <v>0</v>
      </c>
      <c r="L734" t="n">
        <v>0</v>
      </c>
      <c r="M734" t="n">
        <v>0</v>
      </c>
      <c r="N734" t="n">
        <v>0</v>
      </c>
      <c r="O734" t="n">
        <v>0</v>
      </c>
      <c r="P734" t="n">
        <v>0</v>
      </c>
      <c r="Q734" t="n">
        <v>0</v>
      </c>
      <c r="R734" s="2" t="inlineStr"/>
      <c r="U734">
        <f>HYPERLINK("https://klasma.github.io/Logging_2132/knärot/A 46198-2021 karta knärot.png", "A 46198-2021")</f>
        <v/>
      </c>
      <c r="V734">
        <f>HYPERLINK("https://klasma.github.io/Logging_2132/klagomål/A 46198-2021 FSC-klagomål.docx", "A 46198-2021")</f>
        <v/>
      </c>
      <c r="W734">
        <f>HYPERLINK("https://klasma.github.io/Logging_2132/klagomålsmail/A 46198-2021 FSC-klagomål mail.docx", "A 46198-2021")</f>
        <v/>
      </c>
      <c r="X734">
        <f>HYPERLINK("https://klasma.github.io/Logging_2132/tillsyn/A 46198-2021 tillsynsbegäran.docx", "A 46198-2021")</f>
        <v/>
      </c>
      <c r="Y734">
        <f>HYPERLINK("https://klasma.github.io/Logging_2132/tillsynsmail/A 46198-2021 tillsynsbegäran mail.docx", "A 46198-2021")</f>
        <v/>
      </c>
    </row>
    <row r="735" ht="15" customHeight="1">
      <c r="A735" t="inlineStr">
        <is>
          <t>A 56282-2021</t>
        </is>
      </c>
      <c r="B735" s="1" t="n">
        <v>44479</v>
      </c>
      <c r="C735" s="1" t="n">
        <v>45883</v>
      </c>
      <c r="D735" t="inlineStr">
        <is>
          <t>GÄVLEBORGS LÄN</t>
        </is>
      </c>
      <c r="E735" t="inlineStr">
        <is>
          <t>OCKELBO</t>
        </is>
      </c>
      <c r="G735" t="n">
        <v>0.7</v>
      </c>
      <c r="H735" t="n">
        <v>0</v>
      </c>
      <c r="I735" t="n">
        <v>0</v>
      </c>
      <c r="J735" t="n">
        <v>0</v>
      </c>
      <c r="K735" t="n">
        <v>0</v>
      </c>
      <c r="L735" t="n">
        <v>0</v>
      </c>
      <c r="M735" t="n">
        <v>0</v>
      </c>
      <c r="N735" t="n">
        <v>0</v>
      </c>
      <c r="O735" t="n">
        <v>0</v>
      </c>
      <c r="P735" t="n">
        <v>0</v>
      </c>
      <c r="Q735" t="n">
        <v>0</v>
      </c>
      <c r="R735" s="2" t="inlineStr"/>
    </row>
    <row r="736" ht="15" customHeight="1">
      <c r="A736" t="inlineStr">
        <is>
          <t>A 45369-2021</t>
        </is>
      </c>
      <c r="B736" s="1" t="n">
        <v>44440.27561342593</v>
      </c>
      <c r="C736" s="1" t="n">
        <v>45883</v>
      </c>
      <c r="D736" t="inlineStr">
        <is>
          <t>GÄVLEBORGS LÄN</t>
        </is>
      </c>
      <c r="E736" t="inlineStr">
        <is>
          <t>LJUSDAL</t>
        </is>
      </c>
      <c r="G736" t="n">
        <v>0.6</v>
      </c>
      <c r="H736" t="n">
        <v>0</v>
      </c>
      <c r="I736" t="n">
        <v>0</v>
      </c>
      <c r="J736" t="n">
        <v>0</v>
      </c>
      <c r="K736" t="n">
        <v>0</v>
      </c>
      <c r="L736" t="n">
        <v>0</v>
      </c>
      <c r="M736" t="n">
        <v>0</v>
      </c>
      <c r="N736" t="n">
        <v>0</v>
      </c>
      <c r="O736" t="n">
        <v>0</v>
      </c>
      <c r="P736" t="n">
        <v>0</v>
      </c>
      <c r="Q736" t="n">
        <v>0</v>
      </c>
      <c r="R736" s="2" t="inlineStr"/>
    </row>
    <row r="737" ht="15" customHeight="1">
      <c r="A737" t="inlineStr">
        <is>
          <t>A 45370-2021</t>
        </is>
      </c>
      <c r="B737" s="1" t="n">
        <v>44440.27954861111</v>
      </c>
      <c r="C737" s="1" t="n">
        <v>45883</v>
      </c>
      <c r="D737" t="inlineStr">
        <is>
          <t>GÄVLEBORGS LÄN</t>
        </is>
      </c>
      <c r="E737" t="inlineStr">
        <is>
          <t>LJUSDAL</t>
        </is>
      </c>
      <c r="G737" t="n">
        <v>0.8</v>
      </c>
      <c r="H737" t="n">
        <v>0</v>
      </c>
      <c r="I737" t="n">
        <v>0</v>
      </c>
      <c r="J737" t="n">
        <v>0</v>
      </c>
      <c r="K737" t="n">
        <v>0</v>
      </c>
      <c r="L737" t="n">
        <v>0</v>
      </c>
      <c r="M737" t="n">
        <v>0</v>
      </c>
      <c r="N737" t="n">
        <v>0</v>
      </c>
      <c r="O737" t="n">
        <v>0</v>
      </c>
      <c r="P737" t="n">
        <v>0</v>
      </c>
      <c r="Q737" t="n">
        <v>0</v>
      </c>
      <c r="R737" s="2" t="inlineStr"/>
    </row>
    <row r="738" ht="15" customHeight="1">
      <c r="A738" t="inlineStr">
        <is>
          <t>A 22354-2021</t>
        </is>
      </c>
      <c r="B738" s="1" t="n">
        <v>44326.55663194445</v>
      </c>
      <c r="C738" s="1" t="n">
        <v>45883</v>
      </c>
      <c r="D738" t="inlineStr">
        <is>
          <t>GÄVLEBORGS LÄN</t>
        </is>
      </c>
      <c r="E738" t="inlineStr">
        <is>
          <t>SÖDERHAMN</t>
        </is>
      </c>
      <c r="G738" t="n">
        <v>0.5</v>
      </c>
      <c r="H738" t="n">
        <v>0</v>
      </c>
      <c r="I738" t="n">
        <v>0</v>
      </c>
      <c r="J738" t="n">
        <v>0</v>
      </c>
      <c r="K738" t="n">
        <v>0</v>
      </c>
      <c r="L738" t="n">
        <v>0</v>
      </c>
      <c r="M738" t="n">
        <v>0</v>
      </c>
      <c r="N738" t="n">
        <v>0</v>
      </c>
      <c r="O738" t="n">
        <v>0</v>
      </c>
      <c r="P738" t="n">
        <v>0</v>
      </c>
      <c r="Q738" t="n">
        <v>0</v>
      </c>
      <c r="R738" s="2" t="inlineStr"/>
    </row>
    <row r="739" ht="15" customHeight="1">
      <c r="A739" t="inlineStr">
        <is>
          <t>A 30817-2022</t>
        </is>
      </c>
      <c r="B739" s="1" t="n">
        <v>44765.52855324074</v>
      </c>
      <c r="C739" s="1" t="n">
        <v>45883</v>
      </c>
      <c r="D739" t="inlineStr">
        <is>
          <t>GÄVLEBORGS LÄN</t>
        </is>
      </c>
      <c r="E739" t="inlineStr">
        <is>
          <t>NORDANSTIG</t>
        </is>
      </c>
      <c r="G739" t="n">
        <v>2.4</v>
      </c>
      <c r="H739" t="n">
        <v>0</v>
      </c>
      <c r="I739" t="n">
        <v>0</v>
      </c>
      <c r="J739" t="n">
        <v>0</v>
      </c>
      <c r="K739" t="n">
        <v>0</v>
      </c>
      <c r="L739" t="n">
        <v>0</v>
      </c>
      <c r="M739" t="n">
        <v>0</v>
      </c>
      <c r="N739" t="n">
        <v>0</v>
      </c>
      <c r="O739" t="n">
        <v>0</v>
      </c>
      <c r="P739" t="n">
        <v>0</v>
      </c>
      <c r="Q739" t="n">
        <v>0</v>
      </c>
      <c r="R739" s="2" t="inlineStr"/>
    </row>
    <row r="740" ht="15" customHeight="1">
      <c r="A740" t="inlineStr">
        <is>
          <t>A 32948-2022</t>
        </is>
      </c>
      <c r="B740" s="1" t="n">
        <v>44784.71929398148</v>
      </c>
      <c r="C740" s="1" t="n">
        <v>45883</v>
      </c>
      <c r="D740" t="inlineStr">
        <is>
          <t>GÄVLEBORGS LÄN</t>
        </is>
      </c>
      <c r="E740" t="inlineStr">
        <is>
          <t>BOLLNÄS</t>
        </is>
      </c>
      <c r="G740" t="n">
        <v>0.7</v>
      </c>
      <c r="H740" t="n">
        <v>0</v>
      </c>
      <c r="I740" t="n">
        <v>0</v>
      </c>
      <c r="J740" t="n">
        <v>0</v>
      </c>
      <c r="K740" t="n">
        <v>0</v>
      </c>
      <c r="L740" t="n">
        <v>0</v>
      </c>
      <c r="M740" t="n">
        <v>0</v>
      </c>
      <c r="N740" t="n">
        <v>0</v>
      </c>
      <c r="O740" t="n">
        <v>0</v>
      </c>
      <c r="P740" t="n">
        <v>0</v>
      </c>
      <c r="Q740" t="n">
        <v>0</v>
      </c>
      <c r="R740" s="2" t="inlineStr"/>
    </row>
    <row r="741" ht="15" customHeight="1">
      <c r="A741" t="inlineStr">
        <is>
          <t>A 58883-2020</t>
        </is>
      </c>
      <c r="B741" s="1" t="n">
        <v>44146</v>
      </c>
      <c r="C741" s="1" t="n">
        <v>45883</v>
      </c>
      <c r="D741" t="inlineStr">
        <is>
          <t>GÄVLEBORGS LÄN</t>
        </is>
      </c>
      <c r="E741" t="inlineStr">
        <is>
          <t>BOLLNÄS</t>
        </is>
      </c>
      <c r="G741" t="n">
        <v>6</v>
      </c>
      <c r="H741" t="n">
        <v>0</v>
      </c>
      <c r="I741" t="n">
        <v>0</v>
      </c>
      <c r="J741" t="n">
        <v>0</v>
      </c>
      <c r="K741" t="n">
        <v>0</v>
      </c>
      <c r="L741" t="n">
        <v>0</v>
      </c>
      <c r="M741" t="n">
        <v>0</v>
      </c>
      <c r="N741" t="n">
        <v>0</v>
      </c>
      <c r="O741" t="n">
        <v>0</v>
      </c>
      <c r="P741" t="n">
        <v>0</v>
      </c>
      <c r="Q741" t="n">
        <v>0</v>
      </c>
      <c r="R741" s="2" t="inlineStr"/>
    </row>
    <row r="742" ht="15" customHeight="1">
      <c r="A742" t="inlineStr">
        <is>
          <t>A 65270-2021</t>
        </is>
      </c>
      <c r="B742" s="1" t="n">
        <v>44515</v>
      </c>
      <c r="C742" s="1" t="n">
        <v>45883</v>
      </c>
      <c r="D742" t="inlineStr">
        <is>
          <t>GÄVLEBORGS LÄN</t>
        </is>
      </c>
      <c r="E742" t="inlineStr">
        <is>
          <t>SANDVIKEN</t>
        </is>
      </c>
      <c r="G742" t="n">
        <v>1.4</v>
      </c>
      <c r="H742" t="n">
        <v>0</v>
      </c>
      <c r="I742" t="n">
        <v>0</v>
      </c>
      <c r="J742" t="n">
        <v>0</v>
      </c>
      <c r="K742" t="n">
        <v>0</v>
      </c>
      <c r="L742" t="n">
        <v>0</v>
      </c>
      <c r="M742" t="n">
        <v>0</v>
      </c>
      <c r="N742" t="n">
        <v>0</v>
      </c>
      <c r="O742" t="n">
        <v>0</v>
      </c>
      <c r="P742" t="n">
        <v>0</v>
      </c>
      <c r="Q742" t="n">
        <v>0</v>
      </c>
      <c r="R742" s="2" t="inlineStr"/>
    </row>
    <row r="743" ht="15" customHeight="1">
      <c r="A743" t="inlineStr">
        <is>
          <t>A 58528-2021</t>
        </is>
      </c>
      <c r="B743" s="1" t="n">
        <v>44488.65960648148</v>
      </c>
      <c r="C743" s="1" t="n">
        <v>45883</v>
      </c>
      <c r="D743" t="inlineStr">
        <is>
          <t>GÄVLEBORGS LÄN</t>
        </is>
      </c>
      <c r="E743" t="inlineStr">
        <is>
          <t>BOLLNÄS</t>
        </is>
      </c>
      <c r="G743" t="n">
        <v>3.1</v>
      </c>
      <c r="H743" t="n">
        <v>0</v>
      </c>
      <c r="I743" t="n">
        <v>0</v>
      </c>
      <c r="J743" t="n">
        <v>0</v>
      </c>
      <c r="K743" t="n">
        <v>0</v>
      </c>
      <c r="L743" t="n">
        <v>0</v>
      </c>
      <c r="M743" t="n">
        <v>0</v>
      </c>
      <c r="N743" t="n">
        <v>0</v>
      </c>
      <c r="O743" t="n">
        <v>0</v>
      </c>
      <c r="P743" t="n">
        <v>0</v>
      </c>
      <c r="Q743" t="n">
        <v>0</v>
      </c>
      <c r="R743" s="2" t="inlineStr"/>
    </row>
    <row r="744" ht="15" customHeight="1">
      <c r="A744" t="inlineStr">
        <is>
          <t>A 61687-2021</t>
        </is>
      </c>
      <c r="B744" s="1" t="n">
        <v>44501.57883101852</v>
      </c>
      <c r="C744" s="1" t="n">
        <v>45883</v>
      </c>
      <c r="D744" t="inlineStr">
        <is>
          <t>GÄVLEBORGS LÄN</t>
        </is>
      </c>
      <c r="E744" t="inlineStr">
        <is>
          <t>HOFORS</t>
        </is>
      </c>
      <c r="G744" t="n">
        <v>1.6</v>
      </c>
      <c r="H744" t="n">
        <v>0</v>
      </c>
      <c r="I744" t="n">
        <v>0</v>
      </c>
      <c r="J744" t="n">
        <v>0</v>
      </c>
      <c r="K744" t="n">
        <v>0</v>
      </c>
      <c r="L744" t="n">
        <v>0</v>
      </c>
      <c r="M744" t="n">
        <v>0</v>
      </c>
      <c r="N744" t="n">
        <v>0</v>
      </c>
      <c r="O744" t="n">
        <v>0</v>
      </c>
      <c r="P744" t="n">
        <v>0</v>
      </c>
      <c r="Q744" t="n">
        <v>0</v>
      </c>
      <c r="R744" s="2" t="inlineStr"/>
    </row>
    <row r="745" ht="15" customHeight="1">
      <c r="A745" t="inlineStr">
        <is>
          <t>A 36323-2021</t>
        </is>
      </c>
      <c r="B745" s="1" t="n">
        <v>44390</v>
      </c>
      <c r="C745" s="1" t="n">
        <v>45883</v>
      </c>
      <c r="D745" t="inlineStr">
        <is>
          <t>GÄVLEBORGS LÄN</t>
        </is>
      </c>
      <c r="E745" t="inlineStr">
        <is>
          <t>LJUSDAL</t>
        </is>
      </c>
      <c r="G745" t="n">
        <v>0.8</v>
      </c>
      <c r="H745" t="n">
        <v>0</v>
      </c>
      <c r="I745" t="n">
        <v>0</v>
      </c>
      <c r="J745" t="n">
        <v>0</v>
      </c>
      <c r="K745" t="n">
        <v>0</v>
      </c>
      <c r="L745" t="n">
        <v>0</v>
      </c>
      <c r="M745" t="n">
        <v>0</v>
      </c>
      <c r="N745" t="n">
        <v>0</v>
      </c>
      <c r="O745" t="n">
        <v>0</v>
      </c>
      <c r="P745" t="n">
        <v>0</v>
      </c>
      <c r="Q745" t="n">
        <v>0</v>
      </c>
      <c r="R745" s="2" t="inlineStr"/>
    </row>
    <row r="746" ht="15" customHeight="1">
      <c r="A746" t="inlineStr">
        <is>
          <t>A 68541-2021</t>
        </is>
      </c>
      <c r="B746" s="1" t="n">
        <v>44529.48662037037</v>
      </c>
      <c r="C746" s="1" t="n">
        <v>45883</v>
      </c>
      <c r="D746" t="inlineStr">
        <is>
          <t>GÄVLEBORGS LÄN</t>
        </is>
      </c>
      <c r="E746" t="inlineStr">
        <is>
          <t>OCKELBO</t>
        </is>
      </c>
      <c r="G746" t="n">
        <v>3.4</v>
      </c>
      <c r="H746" t="n">
        <v>0</v>
      </c>
      <c r="I746" t="n">
        <v>0</v>
      </c>
      <c r="J746" t="n">
        <v>0</v>
      </c>
      <c r="K746" t="n">
        <v>0</v>
      </c>
      <c r="L746" t="n">
        <v>0</v>
      </c>
      <c r="M746" t="n">
        <v>0</v>
      </c>
      <c r="N746" t="n">
        <v>0</v>
      </c>
      <c r="O746" t="n">
        <v>0</v>
      </c>
      <c r="P746" t="n">
        <v>0</v>
      </c>
      <c r="Q746" t="n">
        <v>0</v>
      </c>
      <c r="R746" s="2" t="inlineStr"/>
    </row>
    <row r="747" ht="15" customHeight="1">
      <c r="A747" t="inlineStr">
        <is>
          <t>A 67634-2021</t>
        </is>
      </c>
      <c r="B747" s="1" t="n">
        <v>44524.6865625</v>
      </c>
      <c r="C747" s="1" t="n">
        <v>45883</v>
      </c>
      <c r="D747" t="inlineStr">
        <is>
          <t>GÄVLEBORGS LÄN</t>
        </is>
      </c>
      <c r="E747" t="inlineStr">
        <is>
          <t>SÖDERHAMN</t>
        </is>
      </c>
      <c r="G747" t="n">
        <v>1</v>
      </c>
      <c r="H747" t="n">
        <v>0</v>
      </c>
      <c r="I747" t="n">
        <v>0</v>
      </c>
      <c r="J747" t="n">
        <v>0</v>
      </c>
      <c r="K747" t="n">
        <v>0</v>
      </c>
      <c r="L747" t="n">
        <v>0</v>
      </c>
      <c r="M747" t="n">
        <v>0</v>
      </c>
      <c r="N747" t="n">
        <v>0</v>
      </c>
      <c r="O747" t="n">
        <v>0</v>
      </c>
      <c r="P747" t="n">
        <v>0</v>
      </c>
      <c r="Q747" t="n">
        <v>0</v>
      </c>
      <c r="R747" s="2" t="inlineStr"/>
    </row>
    <row r="748" ht="15" customHeight="1">
      <c r="A748" t="inlineStr">
        <is>
          <t>A 36768-2022</t>
        </is>
      </c>
      <c r="B748" s="1" t="n">
        <v>44805.45609953703</v>
      </c>
      <c r="C748" s="1" t="n">
        <v>45883</v>
      </c>
      <c r="D748" t="inlineStr">
        <is>
          <t>GÄVLEBORGS LÄN</t>
        </is>
      </c>
      <c r="E748" t="inlineStr">
        <is>
          <t>GÄVLE</t>
        </is>
      </c>
      <c r="F748" t="inlineStr">
        <is>
          <t>Kyrkan</t>
        </is>
      </c>
      <c r="G748" t="n">
        <v>2</v>
      </c>
      <c r="H748" t="n">
        <v>0</v>
      </c>
      <c r="I748" t="n">
        <v>0</v>
      </c>
      <c r="J748" t="n">
        <v>0</v>
      </c>
      <c r="K748" t="n">
        <v>0</v>
      </c>
      <c r="L748" t="n">
        <v>0</v>
      </c>
      <c r="M748" t="n">
        <v>0</v>
      </c>
      <c r="N748" t="n">
        <v>0</v>
      </c>
      <c r="O748" t="n">
        <v>0</v>
      </c>
      <c r="P748" t="n">
        <v>0</v>
      </c>
      <c r="Q748" t="n">
        <v>0</v>
      </c>
      <c r="R748" s="2" t="inlineStr"/>
    </row>
    <row r="749" ht="15" customHeight="1">
      <c r="A749" t="inlineStr">
        <is>
          <t>A 52222-2022</t>
        </is>
      </c>
      <c r="B749" s="1" t="n">
        <v>44873</v>
      </c>
      <c r="C749" s="1" t="n">
        <v>45883</v>
      </c>
      <c r="D749" t="inlineStr">
        <is>
          <t>GÄVLEBORGS LÄN</t>
        </is>
      </c>
      <c r="E749" t="inlineStr">
        <is>
          <t>LJUSDAL</t>
        </is>
      </c>
      <c r="G749" t="n">
        <v>2</v>
      </c>
      <c r="H749" t="n">
        <v>0</v>
      </c>
      <c r="I749" t="n">
        <v>0</v>
      </c>
      <c r="J749" t="n">
        <v>0</v>
      </c>
      <c r="K749" t="n">
        <v>0</v>
      </c>
      <c r="L749" t="n">
        <v>0</v>
      </c>
      <c r="M749" t="n">
        <v>0</v>
      </c>
      <c r="N749" t="n">
        <v>0</v>
      </c>
      <c r="O749" t="n">
        <v>0</v>
      </c>
      <c r="P749" t="n">
        <v>0</v>
      </c>
      <c r="Q749" t="n">
        <v>0</v>
      </c>
      <c r="R749" s="2" t="inlineStr"/>
    </row>
    <row r="750" ht="15" customHeight="1">
      <c r="A750" t="inlineStr">
        <is>
          <t>A 58648-2021</t>
        </is>
      </c>
      <c r="B750" s="1" t="n">
        <v>44489</v>
      </c>
      <c r="C750" s="1" t="n">
        <v>45883</v>
      </c>
      <c r="D750" t="inlineStr">
        <is>
          <t>GÄVLEBORGS LÄN</t>
        </is>
      </c>
      <c r="E750" t="inlineStr">
        <is>
          <t>LJUSDAL</t>
        </is>
      </c>
      <c r="F750" t="inlineStr">
        <is>
          <t>Holmen skog AB</t>
        </is>
      </c>
      <c r="G750" t="n">
        <v>4.5</v>
      </c>
      <c r="H750" t="n">
        <v>0</v>
      </c>
      <c r="I750" t="n">
        <v>0</v>
      </c>
      <c r="J750" t="n">
        <v>0</v>
      </c>
      <c r="K750" t="n">
        <v>0</v>
      </c>
      <c r="L750" t="n">
        <v>0</v>
      </c>
      <c r="M750" t="n">
        <v>0</v>
      </c>
      <c r="N750" t="n">
        <v>0</v>
      </c>
      <c r="O750" t="n">
        <v>0</v>
      </c>
      <c r="P750" t="n">
        <v>0</v>
      </c>
      <c r="Q750" t="n">
        <v>0</v>
      </c>
      <c r="R750" s="2" t="inlineStr"/>
    </row>
    <row r="751" ht="15" customHeight="1">
      <c r="A751" t="inlineStr">
        <is>
          <t>A 30424-2021</t>
        </is>
      </c>
      <c r="B751" s="1" t="n">
        <v>44364.55576388889</v>
      </c>
      <c r="C751" s="1" t="n">
        <v>45883</v>
      </c>
      <c r="D751" t="inlineStr">
        <is>
          <t>GÄVLEBORGS LÄN</t>
        </is>
      </c>
      <c r="E751" t="inlineStr">
        <is>
          <t>OVANÅKER</t>
        </is>
      </c>
      <c r="G751" t="n">
        <v>3.6</v>
      </c>
      <c r="H751" t="n">
        <v>0</v>
      </c>
      <c r="I751" t="n">
        <v>0</v>
      </c>
      <c r="J751" t="n">
        <v>0</v>
      </c>
      <c r="K751" t="n">
        <v>0</v>
      </c>
      <c r="L751" t="n">
        <v>0</v>
      </c>
      <c r="M751" t="n">
        <v>0</v>
      </c>
      <c r="N751" t="n">
        <v>0</v>
      </c>
      <c r="O751" t="n">
        <v>0</v>
      </c>
      <c r="P751" t="n">
        <v>0</v>
      </c>
      <c r="Q751" t="n">
        <v>0</v>
      </c>
      <c r="R751" s="2" t="inlineStr"/>
    </row>
    <row r="752" ht="15" customHeight="1">
      <c r="A752" t="inlineStr">
        <is>
          <t>A 54013-2021</t>
        </is>
      </c>
      <c r="B752" s="1" t="n">
        <v>44470.35314814815</v>
      </c>
      <c r="C752" s="1" t="n">
        <v>45883</v>
      </c>
      <c r="D752" t="inlineStr">
        <is>
          <t>GÄVLEBORGS LÄN</t>
        </is>
      </c>
      <c r="E752" t="inlineStr">
        <is>
          <t>OVANÅKER</t>
        </is>
      </c>
      <c r="G752" t="n">
        <v>2.5</v>
      </c>
      <c r="H752" t="n">
        <v>0</v>
      </c>
      <c r="I752" t="n">
        <v>0</v>
      </c>
      <c r="J752" t="n">
        <v>0</v>
      </c>
      <c r="K752" t="n">
        <v>0</v>
      </c>
      <c r="L752" t="n">
        <v>0</v>
      </c>
      <c r="M752" t="n">
        <v>0</v>
      </c>
      <c r="N752" t="n">
        <v>0</v>
      </c>
      <c r="O752" t="n">
        <v>0</v>
      </c>
      <c r="P752" t="n">
        <v>0</v>
      </c>
      <c r="Q752" t="n">
        <v>0</v>
      </c>
      <c r="R752" s="2" t="inlineStr"/>
    </row>
    <row r="753" ht="15" customHeight="1">
      <c r="A753" t="inlineStr">
        <is>
          <t>A 24627-2021</t>
        </is>
      </c>
      <c r="B753" s="1" t="n">
        <v>44340.3621875</v>
      </c>
      <c r="C753" s="1" t="n">
        <v>45883</v>
      </c>
      <c r="D753" t="inlineStr">
        <is>
          <t>GÄVLEBORGS LÄN</t>
        </is>
      </c>
      <c r="E753" t="inlineStr">
        <is>
          <t>LJUSDAL</t>
        </is>
      </c>
      <c r="G753" t="n">
        <v>4.4</v>
      </c>
      <c r="H753" t="n">
        <v>0</v>
      </c>
      <c r="I753" t="n">
        <v>0</v>
      </c>
      <c r="J753" t="n">
        <v>0</v>
      </c>
      <c r="K753" t="n">
        <v>0</v>
      </c>
      <c r="L753" t="n">
        <v>0</v>
      </c>
      <c r="M753" t="n">
        <v>0</v>
      </c>
      <c r="N753" t="n">
        <v>0</v>
      </c>
      <c r="O753" t="n">
        <v>0</v>
      </c>
      <c r="P753" t="n">
        <v>0</v>
      </c>
      <c r="Q753" t="n">
        <v>0</v>
      </c>
      <c r="R753" s="2" t="inlineStr"/>
    </row>
    <row r="754" ht="15" customHeight="1">
      <c r="A754" t="inlineStr">
        <is>
          <t>A 52438-2020</t>
        </is>
      </c>
      <c r="B754" s="1" t="n">
        <v>44118</v>
      </c>
      <c r="C754" s="1" t="n">
        <v>45883</v>
      </c>
      <c r="D754" t="inlineStr">
        <is>
          <t>GÄVLEBORGS LÄN</t>
        </is>
      </c>
      <c r="E754" t="inlineStr">
        <is>
          <t>SÖDERHAMN</t>
        </is>
      </c>
      <c r="G754" t="n">
        <v>2.5</v>
      </c>
      <c r="H754" t="n">
        <v>0</v>
      </c>
      <c r="I754" t="n">
        <v>0</v>
      </c>
      <c r="J754" t="n">
        <v>0</v>
      </c>
      <c r="K754" t="n">
        <v>0</v>
      </c>
      <c r="L754" t="n">
        <v>0</v>
      </c>
      <c r="M754" t="n">
        <v>0</v>
      </c>
      <c r="N754" t="n">
        <v>0</v>
      </c>
      <c r="O754" t="n">
        <v>0</v>
      </c>
      <c r="P754" t="n">
        <v>0</v>
      </c>
      <c r="Q754" t="n">
        <v>0</v>
      </c>
      <c r="R754" s="2" t="inlineStr"/>
    </row>
    <row r="755" ht="15" customHeight="1">
      <c r="A755" t="inlineStr">
        <is>
          <t>A 28739-2021</t>
        </is>
      </c>
      <c r="B755" s="1" t="n">
        <v>44357</v>
      </c>
      <c r="C755" s="1" t="n">
        <v>45883</v>
      </c>
      <c r="D755" t="inlineStr">
        <is>
          <t>GÄVLEBORGS LÄN</t>
        </is>
      </c>
      <c r="E755" t="inlineStr">
        <is>
          <t>SANDVIKEN</t>
        </is>
      </c>
      <c r="G755" t="n">
        <v>6.9</v>
      </c>
      <c r="H755" t="n">
        <v>0</v>
      </c>
      <c r="I755" t="n">
        <v>0</v>
      </c>
      <c r="J755" t="n">
        <v>0</v>
      </c>
      <c r="K755" t="n">
        <v>0</v>
      </c>
      <c r="L755" t="n">
        <v>0</v>
      </c>
      <c r="M755" t="n">
        <v>0</v>
      </c>
      <c r="N755" t="n">
        <v>0</v>
      </c>
      <c r="O755" t="n">
        <v>0</v>
      </c>
      <c r="P755" t="n">
        <v>0</v>
      </c>
      <c r="Q755" t="n">
        <v>0</v>
      </c>
      <c r="R755" s="2" t="inlineStr"/>
    </row>
    <row r="756" ht="15" customHeight="1">
      <c r="A756" t="inlineStr">
        <is>
          <t>A 48720-2020</t>
        </is>
      </c>
      <c r="B756" s="1" t="n">
        <v>44103.65337962963</v>
      </c>
      <c r="C756" s="1" t="n">
        <v>45883</v>
      </c>
      <c r="D756" t="inlineStr">
        <is>
          <t>GÄVLEBORGS LÄN</t>
        </is>
      </c>
      <c r="E756" t="inlineStr">
        <is>
          <t>OVANÅKER</t>
        </is>
      </c>
      <c r="G756" t="n">
        <v>0.7</v>
      </c>
      <c r="H756" t="n">
        <v>0</v>
      </c>
      <c r="I756" t="n">
        <v>0</v>
      </c>
      <c r="J756" t="n">
        <v>0</v>
      </c>
      <c r="K756" t="n">
        <v>0</v>
      </c>
      <c r="L756" t="n">
        <v>0</v>
      </c>
      <c r="M756" t="n">
        <v>0</v>
      </c>
      <c r="N756" t="n">
        <v>0</v>
      </c>
      <c r="O756" t="n">
        <v>0</v>
      </c>
      <c r="P756" t="n">
        <v>0</v>
      </c>
      <c r="Q756" t="n">
        <v>0</v>
      </c>
      <c r="R756" s="2" t="inlineStr"/>
    </row>
    <row r="757" ht="15" customHeight="1">
      <c r="A757" t="inlineStr">
        <is>
          <t>A 28628-2022</t>
        </is>
      </c>
      <c r="B757" s="1" t="n">
        <v>44748</v>
      </c>
      <c r="C757" s="1" t="n">
        <v>45883</v>
      </c>
      <c r="D757" t="inlineStr">
        <is>
          <t>GÄVLEBORGS LÄN</t>
        </is>
      </c>
      <c r="E757" t="inlineStr">
        <is>
          <t>SANDVIKEN</t>
        </is>
      </c>
      <c r="F757" t="inlineStr">
        <is>
          <t>Sveaskog</t>
        </is>
      </c>
      <c r="G757" t="n">
        <v>6.1</v>
      </c>
      <c r="H757" t="n">
        <v>0</v>
      </c>
      <c r="I757" t="n">
        <v>0</v>
      </c>
      <c r="J757" t="n">
        <v>0</v>
      </c>
      <c r="K757" t="n">
        <v>0</v>
      </c>
      <c r="L757" t="n">
        <v>0</v>
      </c>
      <c r="M757" t="n">
        <v>0</v>
      </c>
      <c r="N757" t="n">
        <v>0</v>
      </c>
      <c r="O757" t="n">
        <v>0</v>
      </c>
      <c r="P757" t="n">
        <v>0</v>
      </c>
      <c r="Q757" t="n">
        <v>0</v>
      </c>
      <c r="R757" s="2" t="inlineStr"/>
    </row>
    <row r="758" ht="15" customHeight="1">
      <c r="A758" t="inlineStr">
        <is>
          <t>A 60569-2021</t>
        </is>
      </c>
      <c r="B758" s="1" t="n">
        <v>44496.56317129629</v>
      </c>
      <c r="C758" s="1" t="n">
        <v>45883</v>
      </c>
      <c r="D758" t="inlineStr">
        <is>
          <t>GÄVLEBORGS LÄN</t>
        </is>
      </c>
      <c r="E758" t="inlineStr">
        <is>
          <t>LJUSDAL</t>
        </is>
      </c>
      <c r="F758" t="inlineStr">
        <is>
          <t>Bergvik skog väst AB</t>
        </is>
      </c>
      <c r="G758" t="n">
        <v>2.5</v>
      </c>
      <c r="H758" t="n">
        <v>0</v>
      </c>
      <c r="I758" t="n">
        <v>0</v>
      </c>
      <c r="J758" t="n">
        <v>0</v>
      </c>
      <c r="K758" t="n">
        <v>0</v>
      </c>
      <c r="L758" t="n">
        <v>0</v>
      </c>
      <c r="M758" t="n">
        <v>0</v>
      </c>
      <c r="N758" t="n">
        <v>0</v>
      </c>
      <c r="O758" t="n">
        <v>0</v>
      </c>
      <c r="P758" t="n">
        <v>0</v>
      </c>
      <c r="Q758" t="n">
        <v>0</v>
      </c>
      <c r="R758" s="2" t="inlineStr"/>
    </row>
    <row r="759" ht="15" customHeight="1">
      <c r="A759" t="inlineStr">
        <is>
          <t>A 69836-2021</t>
        </is>
      </c>
      <c r="B759" s="1" t="n">
        <v>44532</v>
      </c>
      <c r="C759" s="1" t="n">
        <v>45883</v>
      </c>
      <c r="D759" t="inlineStr">
        <is>
          <t>GÄVLEBORGS LÄN</t>
        </is>
      </c>
      <c r="E759" t="inlineStr">
        <is>
          <t>BOLLNÄS</t>
        </is>
      </c>
      <c r="F759" t="inlineStr">
        <is>
          <t>Sveaskog</t>
        </is>
      </c>
      <c r="G759" t="n">
        <v>2.3</v>
      </c>
      <c r="H759" t="n">
        <v>0</v>
      </c>
      <c r="I759" t="n">
        <v>0</v>
      </c>
      <c r="J759" t="n">
        <v>0</v>
      </c>
      <c r="K759" t="n">
        <v>0</v>
      </c>
      <c r="L759" t="n">
        <v>0</v>
      </c>
      <c r="M759" t="n">
        <v>0</v>
      </c>
      <c r="N759" t="n">
        <v>0</v>
      </c>
      <c r="O759" t="n">
        <v>0</v>
      </c>
      <c r="P759" t="n">
        <v>0</v>
      </c>
      <c r="Q759" t="n">
        <v>0</v>
      </c>
      <c r="R759" s="2" t="inlineStr"/>
    </row>
    <row r="760" ht="15" customHeight="1">
      <c r="A760" t="inlineStr">
        <is>
          <t>A 7183-2022</t>
        </is>
      </c>
      <c r="B760" s="1" t="n">
        <v>44605</v>
      </c>
      <c r="C760" s="1" t="n">
        <v>45883</v>
      </c>
      <c r="D760" t="inlineStr">
        <is>
          <t>GÄVLEBORGS LÄN</t>
        </is>
      </c>
      <c r="E760" t="inlineStr">
        <is>
          <t>NORDANSTIG</t>
        </is>
      </c>
      <c r="G760" t="n">
        <v>1.1</v>
      </c>
      <c r="H760" t="n">
        <v>0</v>
      </c>
      <c r="I760" t="n">
        <v>0</v>
      </c>
      <c r="J760" t="n">
        <v>0</v>
      </c>
      <c r="K760" t="n">
        <v>0</v>
      </c>
      <c r="L760" t="n">
        <v>0</v>
      </c>
      <c r="M760" t="n">
        <v>0</v>
      </c>
      <c r="N760" t="n">
        <v>0</v>
      </c>
      <c r="O760" t="n">
        <v>0</v>
      </c>
      <c r="P760" t="n">
        <v>0</v>
      </c>
      <c r="Q760" t="n">
        <v>0</v>
      </c>
      <c r="R760" s="2" t="inlineStr"/>
    </row>
    <row r="761" ht="15" customHeight="1">
      <c r="A761" t="inlineStr">
        <is>
          <t>A 69833-2021</t>
        </is>
      </c>
      <c r="B761" s="1" t="n">
        <v>44532.6444212963</v>
      </c>
      <c r="C761" s="1" t="n">
        <v>45883</v>
      </c>
      <c r="D761" t="inlineStr">
        <is>
          <t>GÄVLEBORGS LÄN</t>
        </is>
      </c>
      <c r="E761" t="inlineStr">
        <is>
          <t>OCKELBO</t>
        </is>
      </c>
      <c r="G761" t="n">
        <v>0.6</v>
      </c>
      <c r="H761" t="n">
        <v>0</v>
      </c>
      <c r="I761" t="n">
        <v>0</v>
      </c>
      <c r="J761" t="n">
        <v>0</v>
      </c>
      <c r="K761" t="n">
        <v>0</v>
      </c>
      <c r="L761" t="n">
        <v>0</v>
      </c>
      <c r="M761" t="n">
        <v>0</v>
      </c>
      <c r="N761" t="n">
        <v>0</v>
      </c>
      <c r="O761" t="n">
        <v>0</v>
      </c>
      <c r="P761" t="n">
        <v>0</v>
      </c>
      <c r="Q761" t="n">
        <v>0</v>
      </c>
      <c r="R761" s="2" t="inlineStr"/>
    </row>
    <row r="762" ht="15" customHeight="1">
      <c r="A762" t="inlineStr">
        <is>
          <t>A 54595-2020</t>
        </is>
      </c>
      <c r="B762" s="1" t="n">
        <v>44126</v>
      </c>
      <c r="C762" s="1" t="n">
        <v>45883</v>
      </c>
      <c r="D762" t="inlineStr">
        <is>
          <t>GÄVLEBORGS LÄN</t>
        </is>
      </c>
      <c r="E762" t="inlineStr">
        <is>
          <t>LJUSDAL</t>
        </is>
      </c>
      <c r="G762" t="n">
        <v>1.7</v>
      </c>
      <c r="H762" t="n">
        <v>0</v>
      </c>
      <c r="I762" t="n">
        <v>0</v>
      </c>
      <c r="J762" t="n">
        <v>0</v>
      </c>
      <c r="K762" t="n">
        <v>0</v>
      </c>
      <c r="L762" t="n">
        <v>0</v>
      </c>
      <c r="M762" t="n">
        <v>0</v>
      </c>
      <c r="N762" t="n">
        <v>0</v>
      </c>
      <c r="O762" t="n">
        <v>0</v>
      </c>
      <c r="P762" t="n">
        <v>0</v>
      </c>
      <c r="Q762" t="n">
        <v>0</v>
      </c>
      <c r="R762" s="2" t="inlineStr"/>
    </row>
    <row r="763" ht="15" customHeight="1">
      <c r="A763" t="inlineStr">
        <is>
          <t>A 41083-2020</t>
        </is>
      </c>
      <c r="B763" s="1" t="n">
        <v>44071</v>
      </c>
      <c r="C763" s="1" t="n">
        <v>45883</v>
      </c>
      <c r="D763" t="inlineStr">
        <is>
          <t>GÄVLEBORGS LÄN</t>
        </is>
      </c>
      <c r="E763" t="inlineStr">
        <is>
          <t>HUDIKSVALL</t>
        </is>
      </c>
      <c r="G763" t="n">
        <v>1.6</v>
      </c>
      <c r="H763" t="n">
        <v>0</v>
      </c>
      <c r="I763" t="n">
        <v>0</v>
      </c>
      <c r="J763" t="n">
        <v>0</v>
      </c>
      <c r="K763" t="n">
        <v>0</v>
      </c>
      <c r="L763" t="n">
        <v>0</v>
      </c>
      <c r="M763" t="n">
        <v>0</v>
      </c>
      <c r="N763" t="n">
        <v>0</v>
      </c>
      <c r="O763" t="n">
        <v>0</v>
      </c>
      <c r="P763" t="n">
        <v>0</v>
      </c>
      <c r="Q763" t="n">
        <v>0</v>
      </c>
      <c r="R763" s="2" t="inlineStr"/>
    </row>
    <row r="764" ht="15" customHeight="1">
      <c r="A764" t="inlineStr">
        <is>
          <t>A 66343-2020</t>
        </is>
      </c>
      <c r="B764" s="1" t="n">
        <v>44176</v>
      </c>
      <c r="C764" s="1" t="n">
        <v>45883</v>
      </c>
      <c r="D764" t="inlineStr">
        <is>
          <t>GÄVLEBORGS LÄN</t>
        </is>
      </c>
      <c r="E764" t="inlineStr">
        <is>
          <t>GÄVLE</t>
        </is>
      </c>
      <c r="F764" t="inlineStr">
        <is>
          <t>Bergvik skog öst AB</t>
        </is>
      </c>
      <c r="G764" t="n">
        <v>0.7</v>
      </c>
      <c r="H764" t="n">
        <v>0</v>
      </c>
      <c r="I764" t="n">
        <v>0</v>
      </c>
      <c r="J764" t="n">
        <v>0</v>
      </c>
      <c r="K764" t="n">
        <v>0</v>
      </c>
      <c r="L764" t="n">
        <v>0</v>
      </c>
      <c r="M764" t="n">
        <v>0</v>
      </c>
      <c r="N764" t="n">
        <v>0</v>
      </c>
      <c r="O764" t="n">
        <v>0</v>
      </c>
      <c r="P764" t="n">
        <v>0</v>
      </c>
      <c r="Q764" t="n">
        <v>0</v>
      </c>
      <c r="R764" s="2" t="inlineStr"/>
    </row>
    <row r="765" ht="15" customHeight="1">
      <c r="A765" t="inlineStr">
        <is>
          <t>A 66346-2020</t>
        </is>
      </c>
      <c r="B765" s="1" t="n">
        <v>44176.56532407407</v>
      </c>
      <c r="C765" s="1" t="n">
        <v>45883</v>
      </c>
      <c r="D765" t="inlineStr">
        <is>
          <t>GÄVLEBORGS LÄN</t>
        </is>
      </c>
      <c r="E765" t="inlineStr">
        <is>
          <t>GÄVLE</t>
        </is>
      </c>
      <c r="F765" t="inlineStr">
        <is>
          <t>Bergvik skog öst AB</t>
        </is>
      </c>
      <c r="G765" t="n">
        <v>1</v>
      </c>
      <c r="H765" t="n">
        <v>0</v>
      </c>
      <c r="I765" t="n">
        <v>0</v>
      </c>
      <c r="J765" t="n">
        <v>0</v>
      </c>
      <c r="K765" t="n">
        <v>0</v>
      </c>
      <c r="L765" t="n">
        <v>0</v>
      </c>
      <c r="M765" t="n">
        <v>0</v>
      </c>
      <c r="N765" t="n">
        <v>0</v>
      </c>
      <c r="O765" t="n">
        <v>0</v>
      </c>
      <c r="P765" t="n">
        <v>0</v>
      </c>
      <c r="Q765" t="n">
        <v>0</v>
      </c>
      <c r="R765" s="2" t="inlineStr"/>
    </row>
    <row r="766" ht="15" customHeight="1">
      <c r="A766" t="inlineStr">
        <is>
          <t>A 45591-2020</t>
        </is>
      </c>
      <c r="B766" s="1" t="n">
        <v>44090</v>
      </c>
      <c r="C766" s="1" t="n">
        <v>45883</v>
      </c>
      <c r="D766" t="inlineStr">
        <is>
          <t>GÄVLEBORGS LÄN</t>
        </is>
      </c>
      <c r="E766" t="inlineStr">
        <is>
          <t>HUDIKSVALL</t>
        </is>
      </c>
      <c r="G766" t="n">
        <v>3.9</v>
      </c>
      <c r="H766" t="n">
        <v>0</v>
      </c>
      <c r="I766" t="n">
        <v>0</v>
      </c>
      <c r="J766" t="n">
        <v>0</v>
      </c>
      <c r="K766" t="n">
        <v>0</v>
      </c>
      <c r="L766" t="n">
        <v>0</v>
      </c>
      <c r="M766" t="n">
        <v>0</v>
      </c>
      <c r="N766" t="n">
        <v>0</v>
      </c>
      <c r="O766" t="n">
        <v>0</v>
      </c>
      <c r="P766" t="n">
        <v>0</v>
      </c>
      <c r="Q766" t="n">
        <v>0</v>
      </c>
      <c r="R766" s="2" t="inlineStr"/>
    </row>
    <row r="767" ht="15" customHeight="1">
      <c r="A767" t="inlineStr">
        <is>
          <t>A 52121-2022</t>
        </is>
      </c>
      <c r="B767" s="1" t="n">
        <v>44873.42385416666</v>
      </c>
      <c r="C767" s="1" t="n">
        <v>45883</v>
      </c>
      <c r="D767" t="inlineStr">
        <is>
          <t>GÄVLEBORGS LÄN</t>
        </is>
      </c>
      <c r="E767" t="inlineStr">
        <is>
          <t>LJUSDAL</t>
        </is>
      </c>
      <c r="F767" t="inlineStr">
        <is>
          <t>Bergvik skog väst AB</t>
        </is>
      </c>
      <c r="G767" t="n">
        <v>6.9</v>
      </c>
      <c r="H767" t="n">
        <v>0</v>
      </c>
      <c r="I767" t="n">
        <v>0</v>
      </c>
      <c r="J767" t="n">
        <v>0</v>
      </c>
      <c r="K767" t="n">
        <v>0</v>
      </c>
      <c r="L767" t="n">
        <v>0</v>
      </c>
      <c r="M767" t="n">
        <v>0</v>
      </c>
      <c r="N767" t="n">
        <v>0</v>
      </c>
      <c r="O767" t="n">
        <v>0</v>
      </c>
      <c r="P767" t="n">
        <v>0</v>
      </c>
      <c r="Q767" t="n">
        <v>0</v>
      </c>
      <c r="R767" s="2" t="inlineStr"/>
    </row>
    <row r="768" ht="15" customHeight="1">
      <c r="A768" t="inlineStr">
        <is>
          <t>A 40422-2020</t>
        </is>
      </c>
      <c r="B768" s="1" t="n">
        <v>44069</v>
      </c>
      <c r="C768" s="1" t="n">
        <v>45883</v>
      </c>
      <c r="D768" t="inlineStr">
        <is>
          <t>GÄVLEBORGS LÄN</t>
        </is>
      </c>
      <c r="E768" t="inlineStr">
        <is>
          <t>LJUSDAL</t>
        </is>
      </c>
      <c r="F768" t="inlineStr">
        <is>
          <t>Sveaskog</t>
        </is>
      </c>
      <c r="G768" t="n">
        <v>3.2</v>
      </c>
      <c r="H768" t="n">
        <v>0</v>
      </c>
      <c r="I768" t="n">
        <v>0</v>
      </c>
      <c r="J768" t="n">
        <v>0</v>
      </c>
      <c r="K768" t="n">
        <v>0</v>
      </c>
      <c r="L768" t="n">
        <v>0</v>
      </c>
      <c r="M768" t="n">
        <v>0</v>
      </c>
      <c r="N768" t="n">
        <v>0</v>
      </c>
      <c r="O768" t="n">
        <v>0</v>
      </c>
      <c r="P768" t="n">
        <v>0</v>
      </c>
      <c r="Q768" t="n">
        <v>0</v>
      </c>
      <c r="R768" s="2" t="inlineStr"/>
    </row>
    <row r="769" ht="15" customHeight="1">
      <c r="A769" t="inlineStr">
        <is>
          <t>A 55243-2021</t>
        </is>
      </c>
      <c r="B769" s="1" t="n">
        <v>44475.39793981481</v>
      </c>
      <c r="C769" s="1" t="n">
        <v>45883</v>
      </c>
      <c r="D769" t="inlineStr">
        <is>
          <t>GÄVLEBORGS LÄN</t>
        </is>
      </c>
      <c r="E769" t="inlineStr">
        <is>
          <t>OVANÅKER</t>
        </is>
      </c>
      <c r="G769" t="n">
        <v>2.1</v>
      </c>
      <c r="H769" t="n">
        <v>0</v>
      </c>
      <c r="I769" t="n">
        <v>0</v>
      </c>
      <c r="J769" t="n">
        <v>0</v>
      </c>
      <c r="K769" t="n">
        <v>0</v>
      </c>
      <c r="L769" t="n">
        <v>0</v>
      </c>
      <c r="M769" t="n">
        <v>0</v>
      </c>
      <c r="N769" t="n">
        <v>0</v>
      </c>
      <c r="O769" t="n">
        <v>0</v>
      </c>
      <c r="P769" t="n">
        <v>0</v>
      </c>
      <c r="Q769" t="n">
        <v>0</v>
      </c>
      <c r="R769" s="2" t="inlineStr"/>
    </row>
    <row r="770" ht="15" customHeight="1">
      <c r="A770" t="inlineStr">
        <is>
          <t>A 11543-2021</t>
        </is>
      </c>
      <c r="B770" s="1" t="n">
        <v>44264</v>
      </c>
      <c r="C770" s="1" t="n">
        <v>45883</v>
      </c>
      <c r="D770" t="inlineStr">
        <is>
          <t>GÄVLEBORGS LÄN</t>
        </is>
      </c>
      <c r="E770" t="inlineStr">
        <is>
          <t>OVANÅKER</t>
        </is>
      </c>
      <c r="G770" t="n">
        <v>0.9</v>
      </c>
      <c r="H770" t="n">
        <v>0</v>
      </c>
      <c r="I770" t="n">
        <v>0</v>
      </c>
      <c r="J770" t="n">
        <v>0</v>
      </c>
      <c r="K770" t="n">
        <v>0</v>
      </c>
      <c r="L770" t="n">
        <v>0</v>
      </c>
      <c r="M770" t="n">
        <v>0</v>
      </c>
      <c r="N770" t="n">
        <v>0</v>
      </c>
      <c r="O770" t="n">
        <v>0</v>
      </c>
      <c r="P770" t="n">
        <v>0</v>
      </c>
      <c r="Q770" t="n">
        <v>0</v>
      </c>
      <c r="R770" s="2" t="inlineStr"/>
    </row>
    <row r="771" ht="15" customHeight="1">
      <c r="A771" t="inlineStr">
        <is>
          <t>A 65835-2020</t>
        </is>
      </c>
      <c r="B771" s="1" t="n">
        <v>44174</v>
      </c>
      <c r="C771" s="1" t="n">
        <v>45883</v>
      </c>
      <c r="D771" t="inlineStr">
        <is>
          <t>GÄVLEBORGS LÄN</t>
        </is>
      </c>
      <c r="E771" t="inlineStr">
        <is>
          <t>HUDIKSVALL</t>
        </is>
      </c>
      <c r="G771" t="n">
        <v>3.9</v>
      </c>
      <c r="H771" t="n">
        <v>0</v>
      </c>
      <c r="I771" t="n">
        <v>0</v>
      </c>
      <c r="J771" t="n">
        <v>0</v>
      </c>
      <c r="K771" t="n">
        <v>0</v>
      </c>
      <c r="L771" t="n">
        <v>0</v>
      </c>
      <c r="M771" t="n">
        <v>0</v>
      </c>
      <c r="N771" t="n">
        <v>0</v>
      </c>
      <c r="O771" t="n">
        <v>0</v>
      </c>
      <c r="P771" t="n">
        <v>0</v>
      </c>
      <c r="Q771" t="n">
        <v>0</v>
      </c>
      <c r="R771" s="2" t="inlineStr"/>
    </row>
    <row r="772" ht="15" customHeight="1">
      <c r="A772" t="inlineStr">
        <is>
          <t>A 61012-2021</t>
        </is>
      </c>
      <c r="B772" s="1" t="n">
        <v>44497</v>
      </c>
      <c r="C772" s="1" t="n">
        <v>45883</v>
      </c>
      <c r="D772" t="inlineStr">
        <is>
          <t>GÄVLEBORGS LÄN</t>
        </is>
      </c>
      <c r="E772" t="inlineStr">
        <is>
          <t>LJUSDAL</t>
        </is>
      </c>
      <c r="F772" t="inlineStr">
        <is>
          <t>Holmen skog AB</t>
        </is>
      </c>
      <c r="G772" t="n">
        <v>4</v>
      </c>
      <c r="H772" t="n">
        <v>0</v>
      </c>
      <c r="I772" t="n">
        <v>0</v>
      </c>
      <c r="J772" t="n">
        <v>0</v>
      </c>
      <c r="K772" t="n">
        <v>0</v>
      </c>
      <c r="L772" t="n">
        <v>0</v>
      </c>
      <c r="M772" t="n">
        <v>0</v>
      </c>
      <c r="N772" t="n">
        <v>0</v>
      </c>
      <c r="O772" t="n">
        <v>0</v>
      </c>
      <c r="P772" t="n">
        <v>0</v>
      </c>
      <c r="Q772" t="n">
        <v>0</v>
      </c>
      <c r="R772" s="2" t="inlineStr"/>
    </row>
    <row r="773" ht="15" customHeight="1">
      <c r="A773" t="inlineStr">
        <is>
          <t>A 66690-2020</t>
        </is>
      </c>
      <c r="B773" s="1" t="n">
        <v>44179</v>
      </c>
      <c r="C773" s="1" t="n">
        <v>45883</v>
      </c>
      <c r="D773" t="inlineStr">
        <is>
          <t>GÄVLEBORGS LÄN</t>
        </is>
      </c>
      <c r="E773" t="inlineStr">
        <is>
          <t>HUDIKSVALL</t>
        </is>
      </c>
      <c r="G773" t="n">
        <v>1.3</v>
      </c>
      <c r="H773" t="n">
        <v>0</v>
      </c>
      <c r="I773" t="n">
        <v>0</v>
      </c>
      <c r="J773" t="n">
        <v>0</v>
      </c>
      <c r="K773" t="n">
        <v>0</v>
      </c>
      <c r="L773" t="n">
        <v>0</v>
      </c>
      <c r="M773" t="n">
        <v>0</v>
      </c>
      <c r="N773" t="n">
        <v>0</v>
      </c>
      <c r="O773" t="n">
        <v>0</v>
      </c>
      <c r="P773" t="n">
        <v>0</v>
      </c>
      <c r="Q773" t="n">
        <v>0</v>
      </c>
      <c r="R773" s="2" t="inlineStr"/>
    </row>
    <row r="774" ht="15" customHeight="1">
      <c r="A774" t="inlineStr">
        <is>
          <t>A 3429-2022</t>
        </is>
      </c>
      <c r="B774" s="1" t="n">
        <v>44585</v>
      </c>
      <c r="C774" s="1" t="n">
        <v>45883</v>
      </c>
      <c r="D774" t="inlineStr">
        <is>
          <t>GÄVLEBORGS LÄN</t>
        </is>
      </c>
      <c r="E774" t="inlineStr">
        <is>
          <t>BOLLNÄS</t>
        </is>
      </c>
      <c r="G774" t="n">
        <v>0.6</v>
      </c>
      <c r="H774" t="n">
        <v>0</v>
      </c>
      <c r="I774" t="n">
        <v>0</v>
      </c>
      <c r="J774" t="n">
        <v>0</v>
      </c>
      <c r="K774" t="n">
        <v>0</v>
      </c>
      <c r="L774" t="n">
        <v>0</v>
      </c>
      <c r="M774" t="n">
        <v>0</v>
      </c>
      <c r="N774" t="n">
        <v>0</v>
      </c>
      <c r="O774" t="n">
        <v>0</v>
      </c>
      <c r="P774" t="n">
        <v>0</v>
      </c>
      <c r="Q774" t="n">
        <v>0</v>
      </c>
      <c r="R774" s="2" t="inlineStr"/>
    </row>
    <row r="775" ht="15" customHeight="1">
      <c r="A775" t="inlineStr">
        <is>
          <t>A 12358-2022</t>
        </is>
      </c>
      <c r="B775" s="1" t="n">
        <v>44637</v>
      </c>
      <c r="C775" s="1" t="n">
        <v>45883</v>
      </c>
      <c r="D775" t="inlineStr">
        <is>
          <t>GÄVLEBORGS LÄN</t>
        </is>
      </c>
      <c r="E775" t="inlineStr">
        <is>
          <t>SÖDERHAMN</t>
        </is>
      </c>
      <c r="G775" t="n">
        <v>2.5</v>
      </c>
      <c r="H775" t="n">
        <v>0</v>
      </c>
      <c r="I775" t="n">
        <v>0</v>
      </c>
      <c r="J775" t="n">
        <v>0</v>
      </c>
      <c r="K775" t="n">
        <v>0</v>
      </c>
      <c r="L775" t="n">
        <v>0</v>
      </c>
      <c r="M775" t="n">
        <v>0</v>
      </c>
      <c r="N775" t="n">
        <v>0</v>
      </c>
      <c r="O775" t="n">
        <v>0</v>
      </c>
      <c r="P775" t="n">
        <v>0</v>
      </c>
      <c r="Q775" t="n">
        <v>0</v>
      </c>
      <c r="R775" s="2" t="inlineStr"/>
    </row>
    <row r="776" ht="15" customHeight="1">
      <c r="A776" t="inlineStr">
        <is>
          <t>A 27992-2021</t>
        </is>
      </c>
      <c r="B776" s="1" t="n">
        <v>44355.22805555556</v>
      </c>
      <c r="C776" s="1" t="n">
        <v>45883</v>
      </c>
      <c r="D776" t="inlineStr">
        <is>
          <t>GÄVLEBORGS LÄN</t>
        </is>
      </c>
      <c r="E776" t="inlineStr">
        <is>
          <t>LJUSDAL</t>
        </is>
      </c>
      <c r="F776" t="inlineStr">
        <is>
          <t>Sveaskog</t>
        </is>
      </c>
      <c r="G776" t="n">
        <v>4.4</v>
      </c>
      <c r="H776" t="n">
        <v>0</v>
      </c>
      <c r="I776" t="n">
        <v>0</v>
      </c>
      <c r="J776" t="n">
        <v>0</v>
      </c>
      <c r="K776" t="n">
        <v>0</v>
      </c>
      <c r="L776" t="n">
        <v>0</v>
      </c>
      <c r="M776" t="n">
        <v>0</v>
      </c>
      <c r="N776" t="n">
        <v>0</v>
      </c>
      <c r="O776" t="n">
        <v>0</v>
      </c>
      <c r="P776" t="n">
        <v>0</v>
      </c>
      <c r="Q776" t="n">
        <v>0</v>
      </c>
      <c r="R776" s="2" t="inlineStr"/>
    </row>
    <row r="777" ht="15" customHeight="1">
      <c r="A777" t="inlineStr">
        <is>
          <t>A 32043-2021</t>
        </is>
      </c>
      <c r="B777" s="1" t="n">
        <v>44370.68188657407</v>
      </c>
      <c r="C777" s="1" t="n">
        <v>45883</v>
      </c>
      <c r="D777" t="inlineStr">
        <is>
          <t>GÄVLEBORGS LÄN</t>
        </is>
      </c>
      <c r="E777" t="inlineStr">
        <is>
          <t>NORDANSTIG</t>
        </is>
      </c>
      <c r="G777" t="n">
        <v>4.9</v>
      </c>
      <c r="H777" t="n">
        <v>0</v>
      </c>
      <c r="I777" t="n">
        <v>0</v>
      </c>
      <c r="J777" t="n">
        <v>0</v>
      </c>
      <c r="K777" t="n">
        <v>0</v>
      </c>
      <c r="L777" t="n">
        <v>0</v>
      </c>
      <c r="M777" t="n">
        <v>0</v>
      </c>
      <c r="N777" t="n">
        <v>0</v>
      </c>
      <c r="O777" t="n">
        <v>0</v>
      </c>
      <c r="P777" t="n">
        <v>0</v>
      </c>
      <c r="Q777" t="n">
        <v>0</v>
      </c>
      <c r="R777" s="2" t="inlineStr"/>
    </row>
    <row r="778" ht="15" customHeight="1">
      <c r="A778" t="inlineStr">
        <is>
          <t>A 40926-2021</t>
        </is>
      </c>
      <c r="B778" s="1" t="n">
        <v>44421</v>
      </c>
      <c r="C778" s="1" t="n">
        <v>45883</v>
      </c>
      <c r="D778" t="inlineStr">
        <is>
          <t>GÄVLEBORGS LÄN</t>
        </is>
      </c>
      <c r="E778" t="inlineStr">
        <is>
          <t>SANDVIKEN</t>
        </is>
      </c>
      <c r="F778" t="inlineStr">
        <is>
          <t>Naturvårdsverket</t>
        </is>
      </c>
      <c r="G778" t="n">
        <v>1.1</v>
      </c>
      <c r="H778" t="n">
        <v>0</v>
      </c>
      <c r="I778" t="n">
        <v>0</v>
      </c>
      <c r="J778" t="n">
        <v>0</v>
      </c>
      <c r="K778" t="n">
        <v>0</v>
      </c>
      <c r="L778" t="n">
        <v>0</v>
      </c>
      <c r="M778" t="n">
        <v>0</v>
      </c>
      <c r="N778" t="n">
        <v>0</v>
      </c>
      <c r="O778" t="n">
        <v>0</v>
      </c>
      <c r="P778" t="n">
        <v>0</v>
      </c>
      <c r="Q778" t="n">
        <v>0</v>
      </c>
      <c r="R778" s="2" t="inlineStr"/>
    </row>
    <row r="779" ht="15" customHeight="1">
      <c r="A779" t="inlineStr">
        <is>
          <t>A 12142-2021</t>
        </is>
      </c>
      <c r="B779" s="1" t="n">
        <v>44266.56960648148</v>
      </c>
      <c r="C779" s="1" t="n">
        <v>45883</v>
      </c>
      <c r="D779" t="inlineStr">
        <is>
          <t>GÄVLEBORGS LÄN</t>
        </is>
      </c>
      <c r="E779" t="inlineStr">
        <is>
          <t>HUDIKSVALL</t>
        </is>
      </c>
      <c r="F779" t="inlineStr">
        <is>
          <t>Holmen skog AB</t>
        </is>
      </c>
      <c r="G779" t="n">
        <v>2</v>
      </c>
      <c r="H779" t="n">
        <v>0</v>
      </c>
      <c r="I779" t="n">
        <v>0</v>
      </c>
      <c r="J779" t="n">
        <v>0</v>
      </c>
      <c r="K779" t="n">
        <v>0</v>
      </c>
      <c r="L779" t="n">
        <v>0</v>
      </c>
      <c r="M779" t="n">
        <v>0</v>
      </c>
      <c r="N779" t="n">
        <v>0</v>
      </c>
      <c r="O779" t="n">
        <v>0</v>
      </c>
      <c r="P779" t="n">
        <v>0</v>
      </c>
      <c r="Q779" t="n">
        <v>0</v>
      </c>
      <c r="R779" s="2" t="inlineStr"/>
    </row>
    <row r="780" ht="15" customHeight="1">
      <c r="A780" t="inlineStr">
        <is>
          <t>A 19976-2021</t>
        </is>
      </c>
      <c r="B780" s="1" t="n">
        <v>44313</v>
      </c>
      <c r="C780" s="1" t="n">
        <v>45883</v>
      </c>
      <c r="D780" t="inlineStr">
        <is>
          <t>GÄVLEBORGS LÄN</t>
        </is>
      </c>
      <c r="E780" t="inlineStr">
        <is>
          <t>LJUSDAL</t>
        </is>
      </c>
      <c r="F780" t="inlineStr">
        <is>
          <t>Sveaskog</t>
        </is>
      </c>
      <c r="G780" t="n">
        <v>40.1</v>
      </c>
      <c r="H780" t="n">
        <v>0</v>
      </c>
      <c r="I780" t="n">
        <v>0</v>
      </c>
      <c r="J780" t="n">
        <v>0</v>
      </c>
      <c r="K780" t="n">
        <v>0</v>
      </c>
      <c r="L780" t="n">
        <v>0</v>
      </c>
      <c r="M780" t="n">
        <v>0</v>
      </c>
      <c r="N780" t="n">
        <v>0</v>
      </c>
      <c r="O780" t="n">
        <v>0</v>
      </c>
      <c r="P780" t="n">
        <v>0</v>
      </c>
      <c r="Q780" t="n">
        <v>0</v>
      </c>
      <c r="R780" s="2" t="inlineStr"/>
    </row>
    <row r="781" ht="15" customHeight="1">
      <c r="A781" t="inlineStr">
        <is>
          <t>A 20101-2021</t>
        </is>
      </c>
      <c r="B781" s="1" t="n">
        <v>44314.44876157407</v>
      </c>
      <c r="C781" s="1" t="n">
        <v>45883</v>
      </c>
      <c r="D781" t="inlineStr">
        <is>
          <t>GÄVLEBORGS LÄN</t>
        </is>
      </c>
      <c r="E781" t="inlineStr">
        <is>
          <t>OVANÅKER</t>
        </is>
      </c>
      <c r="F781" t="inlineStr">
        <is>
          <t>Sveaskog</t>
        </is>
      </c>
      <c r="G781" t="n">
        <v>0.9</v>
      </c>
      <c r="H781" t="n">
        <v>0</v>
      </c>
      <c r="I781" t="n">
        <v>0</v>
      </c>
      <c r="J781" t="n">
        <v>0</v>
      </c>
      <c r="K781" t="n">
        <v>0</v>
      </c>
      <c r="L781" t="n">
        <v>0</v>
      </c>
      <c r="M781" t="n">
        <v>0</v>
      </c>
      <c r="N781" t="n">
        <v>0</v>
      </c>
      <c r="O781" t="n">
        <v>0</v>
      </c>
      <c r="P781" t="n">
        <v>0</v>
      </c>
      <c r="Q781" t="n">
        <v>0</v>
      </c>
      <c r="R781" s="2" t="inlineStr"/>
    </row>
    <row r="782" ht="15" customHeight="1">
      <c r="A782" t="inlineStr">
        <is>
          <t>A 50743-2022</t>
        </is>
      </c>
      <c r="B782" s="1" t="n">
        <v>44867.39114583333</v>
      </c>
      <c r="C782" s="1" t="n">
        <v>45883</v>
      </c>
      <c r="D782" t="inlineStr">
        <is>
          <t>GÄVLEBORGS LÄN</t>
        </is>
      </c>
      <c r="E782" t="inlineStr">
        <is>
          <t>LJUSDAL</t>
        </is>
      </c>
      <c r="F782" t="inlineStr">
        <is>
          <t>Kommuner</t>
        </is>
      </c>
      <c r="G782" t="n">
        <v>0.6</v>
      </c>
      <c r="H782" t="n">
        <v>0</v>
      </c>
      <c r="I782" t="n">
        <v>0</v>
      </c>
      <c r="J782" t="n">
        <v>0</v>
      </c>
      <c r="K782" t="n">
        <v>0</v>
      </c>
      <c r="L782" t="n">
        <v>0</v>
      </c>
      <c r="M782" t="n">
        <v>0</v>
      </c>
      <c r="N782" t="n">
        <v>0</v>
      </c>
      <c r="O782" t="n">
        <v>0</v>
      </c>
      <c r="P782" t="n">
        <v>0</v>
      </c>
      <c r="Q782" t="n">
        <v>0</v>
      </c>
      <c r="R782" s="2" t="inlineStr"/>
    </row>
    <row r="783" ht="15" customHeight="1">
      <c r="A783" t="inlineStr">
        <is>
          <t>A 27476-2021</t>
        </is>
      </c>
      <c r="B783" s="1" t="n">
        <v>44351.60512731481</v>
      </c>
      <c r="C783" s="1" t="n">
        <v>45883</v>
      </c>
      <c r="D783" t="inlineStr">
        <is>
          <t>GÄVLEBORGS LÄN</t>
        </is>
      </c>
      <c r="E783" t="inlineStr">
        <is>
          <t>GÄVLE</t>
        </is>
      </c>
      <c r="G783" t="n">
        <v>1.8</v>
      </c>
      <c r="H783" t="n">
        <v>0</v>
      </c>
      <c r="I783" t="n">
        <v>0</v>
      </c>
      <c r="J783" t="n">
        <v>0</v>
      </c>
      <c r="K783" t="n">
        <v>0</v>
      </c>
      <c r="L783" t="n">
        <v>0</v>
      </c>
      <c r="M783" t="n">
        <v>0</v>
      </c>
      <c r="N783" t="n">
        <v>0</v>
      </c>
      <c r="O783" t="n">
        <v>0</v>
      </c>
      <c r="P783" t="n">
        <v>0</v>
      </c>
      <c r="Q783" t="n">
        <v>0</v>
      </c>
      <c r="R783" s="2" t="inlineStr"/>
    </row>
    <row r="784" ht="15" customHeight="1">
      <c r="A784" t="inlineStr">
        <is>
          <t>A 39325-2022</t>
        </is>
      </c>
      <c r="B784" s="1" t="n">
        <v>44817</v>
      </c>
      <c r="C784" s="1" t="n">
        <v>45883</v>
      </c>
      <c r="D784" t="inlineStr">
        <is>
          <t>GÄVLEBORGS LÄN</t>
        </is>
      </c>
      <c r="E784" t="inlineStr">
        <is>
          <t>OCKELBO</t>
        </is>
      </c>
      <c r="F784" t="inlineStr">
        <is>
          <t>Bergvik skog väst AB</t>
        </is>
      </c>
      <c r="G784" t="n">
        <v>0.6</v>
      </c>
      <c r="H784" t="n">
        <v>0</v>
      </c>
      <c r="I784" t="n">
        <v>0</v>
      </c>
      <c r="J784" t="n">
        <v>0</v>
      </c>
      <c r="K784" t="n">
        <v>0</v>
      </c>
      <c r="L784" t="n">
        <v>0</v>
      </c>
      <c r="M784" t="n">
        <v>0</v>
      </c>
      <c r="N784" t="n">
        <v>0</v>
      </c>
      <c r="O784" t="n">
        <v>0</v>
      </c>
      <c r="P784" t="n">
        <v>0</v>
      </c>
      <c r="Q784" t="n">
        <v>0</v>
      </c>
      <c r="R784" s="2" t="inlineStr"/>
    </row>
    <row r="785" ht="15" customHeight="1">
      <c r="A785" t="inlineStr">
        <is>
          <t>A 7344-2021</t>
        </is>
      </c>
      <c r="B785" s="1" t="n">
        <v>44239</v>
      </c>
      <c r="C785" s="1" t="n">
        <v>45883</v>
      </c>
      <c r="D785" t="inlineStr">
        <is>
          <t>GÄVLEBORGS LÄN</t>
        </is>
      </c>
      <c r="E785" t="inlineStr">
        <is>
          <t>OCKELBO</t>
        </is>
      </c>
      <c r="F785" t="inlineStr">
        <is>
          <t>Bergvik skog väst AB</t>
        </is>
      </c>
      <c r="G785" t="n">
        <v>1</v>
      </c>
      <c r="H785" t="n">
        <v>0</v>
      </c>
      <c r="I785" t="n">
        <v>0</v>
      </c>
      <c r="J785" t="n">
        <v>0</v>
      </c>
      <c r="K785" t="n">
        <v>0</v>
      </c>
      <c r="L785" t="n">
        <v>0</v>
      </c>
      <c r="M785" t="n">
        <v>0</v>
      </c>
      <c r="N785" t="n">
        <v>0</v>
      </c>
      <c r="O785" t="n">
        <v>0</v>
      </c>
      <c r="P785" t="n">
        <v>0</v>
      </c>
      <c r="Q785" t="n">
        <v>0</v>
      </c>
      <c r="R785" s="2" t="inlineStr"/>
    </row>
    <row r="786" ht="15" customHeight="1">
      <c r="A786" t="inlineStr">
        <is>
          <t>A 7358-2021</t>
        </is>
      </c>
      <c r="B786" s="1" t="n">
        <v>44239</v>
      </c>
      <c r="C786" s="1" t="n">
        <v>45883</v>
      </c>
      <c r="D786" t="inlineStr">
        <is>
          <t>GÄVLEBORGS LÄN</t>
        </is>
      </c>
      <c r="E786" t="inlineStr">
        <is>
          <t>LJUSDAL</t>
        </is>
      </c>
      <c r="G786" t="n">
        <v>1.4</v>
      </c>
      <c r="H786" t="n">
        <v>0</v>
      </c>
      <c r="I786" t="n">
        <v>0</v>
      </c>
      <c r="J786" t="n">
        <v>0</v>
      </c>
      <c r="K786" t="n">
        <v>0</v>
      </c>
      <c r="L786" t="n">
        <v>0</v>
      </c>
      <c r="M786" t="n">
        <v>0</v>
      </c>
      <c r="N786" t="n">
        <v>0</v>
      </c>
      <c r="O786" t="n">
        <v>0</v>
      </c>
      <c r="P786" t="n">
        <v>0</v>
      </c>
      <c r="Q786" t="n">
        <v>0</v>
      </c>
      <c r="R786" s="2" t="inlineStr"/>
    </row>
    <row r="787" ht="15" customHeight="1">
      <c r="A787" t="inlineStr">
        <is>
          <t>A 46455-2020</t>
        </is>
      </c>
      <c r="B787" s="1" t="n">
        <v>44095</v>
      </c>
      <c r="C787" s="1" t="n">
        <v>45883</v>
      </c>
      <c r="D787" t="inlineStr">
        <is>
          <t>GÄVLEBORGS LÄN</t>
        </is>
      </c>
      <c r="E787" t="inlineStr">
        <is>
          <t>GÄVLE</t>
        </is>
      </c>
      <c r="F787" t="inlineStr">
        <is>
          <t>Bergvik skog öst AB</t>
        </is>
      </c>
      <c r="G787" t="n">
        <v>1.1</v>
      </c>
      <c r="H787" t="n">
        <v>0</v>
      </c>
      <c r="I787" t="n">
        <v>0</v>
      </c>
      <c r="J787" t="n">
        <v>0</v>
      </c>
      <c r="K787" t="n">
        <v>0</v>
      </c>
      <c r="L787" t="n">
        <v>0</v>
      </c>
      <c r="M787" t="n">
        <v>0</v>
      </c>
      <c r="N787" t="n">
        <v>0</v>
      </c>
      <c r="O787" t="n">
        <v>0</v>
      </c>
      <c r="P787" t="n">
        <v>0</v>
      </c>
      <c r="Q787" t="n">
        <v>0</v>
      </c>
      <c r="R787" s="2" t="inlineStr"/>
    </row>
    <row r="788" ht="15" customHeight="1">
      <c r="A788" t="inlineStr">
        <is>
          <t>A 18483-2021</t>
        </is>
      </c>
      <c r="B788" s="1" t="n">
        <v>44306.37357638889</v>
      </c>
      <c r="C788" s="1" t="n">
        <v>45883</v>
      </c>
      <c r="D788" t="inlineStr">
        <is>
          <t>GÄVLEBORGS LÄN</t>
        </is>
      </c>
      <c r="E788" t="inlineStr">
        <is>
          <t>SANDVIKEN</t>
        </is>
      </c>
      <c r="G788" t="n">
        <v>1.1</v>
      </c>
      <c r="H788" t="n">
        <v>0</v>
      </c>
      <c r="I788" t="n">
        <v>0</v>
      </c>
      <c r="J788" t="n">
        <v>0</v>
      </c>
      <c r="K788" t="n">
        <v>0</v>
      </c>
      <c r="L788" t="n">
        <v>0</v>
      </c>
      <c r="M788" t="n">
        <v>0</v>
      </c>
      <c r="N788" t="n">
        <v>0</v>
      </c>
      <c r="O788" t="n">
        <v>0</v>
      </c>
      <c r="P788" t="n">
        <v>0</v>
      </c>
      <c r="Q788" t="n">
        <v>0</v>
      </c>
      <c r="R788" s="2" t="inlineStr"/>
    </row>
    <row r="789" ht="15" customHeight="1">
      <c r="A789" t="inlineStr">
        <is>
          <t>A 51252-2022</t>
        </is>
      </c>
      <c r="B789" s="1" t="n">
        <v>44868</v>
      </c>
      <c r="C789" s="1" t="n">
        <v>45883</v>
      </c>
      <c r="D789" t="inlineStr">
        <is>
          <t>GÄVLEBORGS LÄN</t>
        </is>
      </c>
      <c r="E789" t="inlineStr">
        <is>
          <t>OVANÅKER</t>
        </is>
      </c>
      <c r="G789" t="n">
        <v>1.2</v>
      </c>
      <c r="H789" t="n">
        <v>0</v>
      </c>
      <c r="I789" t="n">
        <v>0</v>
      </c>
      <c r="J789" t="n">
        <v>0</v>
      </c>
      <c r="K789" t="n">
        <v>0</v>
      </c>
      <c r="L789" t="n">
        <v>0</v>
      </c>
      <c r="M789" t="n">
        <v>0</v>
      </c>
      <c r="N789" t="n">
        <v>0</v>
      </c>
      <c r="O789" t="n">
        <v>0</v>
      </c>
      <c r="P789" t="n">
        <v>0</v>
      </c>
      <c r="Q789" t="n">
        <v>0</v>
      </c>
      <c r="R789" s="2" t="inlineStr"/>
    </row>
    <row r="790" ht="15" customHeight="1">
      <c r="A790" t="inlineStr">
        <is>
          <t>A 37701-2021</t>
        </is>
      </c>
      <c r="B790" s="1" t="n">
        <v>44400.53994212963</v>
      </c>
      <c r="C790" s="1" t="n">
        <v>45883</v>
      </c>
      <c r="D790" t="inlineStr">
        <is>
          <t>GÄVLEBORGS LÄN</t>
        </is>
      </c>
      <c r="E790" t="inlineStr">
        <is>
          <t>OCKELBO</t>
        </is>
      </c>
      <c r="G790" t="n">
        <v>6.3</v>
      </c>
      <c r="H790" t="n">
        <v>0</v>
      </c>
      <c r="I790" t="n">
        <v>0</v>
      </c>
      <c r="J790" t="n">
        <v>0</v>
      </c>
      <c r="K790" t="n">
        <v>0</v>
      </c>
      <c r="L790" t="n">
        <v>0</v>
      </c>
      <c r="M790" t="n">
        <v>0</v>
      </c>
      <c r="N790" t="n">
        <v>0</v>
      </c>
      <c r="O790" t="n">
        <v>0</v>
      </c>
      <c r="P790" t="n">
        <v>0</v>
      </c>
      <c r="Q790" t="n">
        <v>0</v>
      </c>
      <c r="R790" s="2" t="inlineStr"/>
    </row>
    <row r="791" ht="15" customHeight="1">
      <c r="A791" t="inlineStr">
        <is>
          <t>A 43441-2021</t>
        </is>
      </c>
      <c r="B791" s="1" t="n">
        <v>44432.66142361111</v>
      </c>
      <c r="C791" s="1" t="n">
        <v>45883</v>
      </c>
      <c r="D791" t="inlineStr">
        <is>
          <t>GÄVLEBORGS LÄN</t>
        </is>
      </c>
      <c r="E791" t="inlineStr">
        <is>
          <t>NORDANSTIG</t>
        </is>
      </c>
      <c r="G791" t="n">
        <v>1.2</v>
      </c>
      <c r="H791" t="n">
        <v>0</v>
      </c>
      <c r="I791" t="n">
        <v>0</v>
      </c>
      <c r="J791" t="n">
        <v>0</v>
      </c>
      <c r="K791" t="n">
        <v>0</v>
      </c>
      <c r="L791" t="n">
        <v>0</v>
      </c>
      <c r="M791" t="n">
        <v>0</v>
      </c>
      <c r="N791" t="n">
        <v>0</v>
      </c>
      <c r="O791" t="n">
        <v>0</v>
      </c>
      <c r="P791" t="n">
        <v>0</v>
      </c>
      <c r="Q791" t="n">
        <v>0</v>
      </c>
      <c r="R791" s="2" t="inlineStr"/>
    </row>
    <row r="792" ht="15" customHeight="1">
      <c r="A792" t="inlineStr">
        <is>
          <t>A 66758-2021</t>
        </is>
      </c>
      <c r="B792" s="1" t="n">
        <v>44521.80271990741</v>
      </c>
      <c r="C792" s="1" t="n">
        <v>45883</v>
      </c>
      <c r="D792" t="inlineStr">
        <is>
          <t>GÄVLEBORGS LÄN</t>
        </is>
      </c>
      <c r="E792" t="inlineStr">
        <is>
          <t>HUDIKSVALL</t>
        </is>
      </c>
      <c r="G792" t="n">
        <v>0.5</v>
      </c>
      <c r="H792" t="n">
        <v>0</v>
      </c>
      <c r="I792" t="n">
        <v>0</v>
      </c>
      <c r="J792" t="n">
        <v>0</v>
      </c>
      <c r="K792" t="n">
        <v>0</v>
      </c>
      <c r="L792" t="n">
        <v>0</v>
      </c>
      <c r="M792" t="n">
        <v>0</v>
      </c>
      <c r="N792" t="n">
        <v>0</v>
      </c>
      <c r="O792" t="n">
        <v>0</v>
      </c>
      <c r="P792" t="n">
        <v>0</v>
      </c>
      <c r="Q792" t="n">
        <v>0</v>
      </c>
      <c r="R792" s="2" t="inlineStr"/>
    </row>
    <row r="793" ht="15" customHeight="1">
      <c r="A793" t="inlineStr">
        <is>
          <t>A 67716-2021</t>
        </is>
      </c>
      <c r="B793" s="1" t="n">
        <v>44525</v>
      </c>
      <c r="C793" s="1" t="n">
        <v>45883</v>
      </c>
      <c r="D793" t="inlineStr">
        <is>
          <t>GÄVLEBORGS LÄN</t>
        </is>
      </c>
      <c r="E793" t="inlineStr">
        <is>
          <t>NORDANSTIG</t>
        </is>
      </c>
      <c r="F793" t="inlineStr">
        <is>
          <t>Holmen skog AB</t>
        </is>
      </c>
      <c r="G793" t="n">
        <v>7.4</v>
      </c>
      <c r="H793" t="n">
        <v>0</v>
      </c>
      <c r="I793" t="n">
        <v>0</v>
      </c>
      <c r="J793" t="n">
        <v>0</v>
      </c>
      <c r="K793" t="n">
        <v>0</v>
      </c>
      <c r="L793" t="n">
        <v>0</v>
      </c>
      <c r="M793" t="n">
        <v>0</v>
      </c>
      <c r="N793" t="n">
        <v>0</v>
      </c>
      <c r="O793" t="n">
        <v>0</v>
      </c>
      <c r="P793" t="n">
        <v>0</v>
      </c>
      <c r="Q793" t="n">
        <v>0</v>
      </c>
      <c r="R793" s="2" t="inlineStr"/>
    </row>
    <row r="794" ht="15" customHeight="1">
      <c r="A794" t="inlineStr">
        <is>
          <t>A 60689-2021</t>
        </is>
      </c>
      <c r="B794" s="1" t="n">
        <v>44496.66270833334</v>
      </c>
      <c r="C794" s="1" t="n">
        <v>45883</v>
      </c>
      <c r="D794" t="inlineStr">
        <is>
          <t>GÄVLEBORGS LÄN</t>
        </is>
      </c>
      <c r="E794" t="inlineStr">
        <is>
          <t>LJUSDAL</t>
        </is>
      </c>
      <c r="G794" t="n">
        <v>2.6</v>
      </c>
      <c r="H794" t="n">
        <v>0</v>
      </c>
      <c r="I794" t="n">
        <v>0</v>
      </c>
      <c r="J794" t="n">
        <v>0</v>
      </c>
      <c r="K794" t="n">
        <v>0</v>
      </c>
      <c r="L794" t="n">
        <v>0</v>
      </c>
      <c r="M794" t="n">
        <v>0</v>
      </c>
      <c r="N794" t="n">
        <v>0</v>
      </c>
      <c r="O794" t="n">
        <v>0</v>
      </c>
      <c r="P794" t="n">
        <v>0</v>
      </c>
      <c r="Q794" t="n">
        <v>0</v>
      </c>
      <c r="R794" s="2" t="inlineStr"/>
    </row>
    <row r="795" ht="15" customHeight="1">
      <c r="A795" t="inlineStr">
        <is>
          <t>A 47427-2020</t>
        </is>
      </c>
      <c r="B795" s="1" t="n">
        <v>44097</v>
      </c>
      <c r="C795" s="1" t="n">
        <v>45883</v>
      </c>
      <c r="D795" t="inlineStr">
        <is>
          <t>GÄVLEBORGS LÄN</t>
        </is>
      </c>
      <c r="E795" t="inlineStr">
        <is>
          <t>OCKELBO</t>
        </is>
      </c>
      <c r="G795" t="n">
        <v>3</v>
      </c>
      <c r="H795" t="n">
        <v>0</v>
      </c>
      <c r="I795" t="n">
        <v>0</v>
      </c>
      <c r="J795" t="n">
        <v>0</v>
      </c>
      <c r="K795" t="n">
        <v>0</v>
      </c>
      <c r="L795" t="n">
        <v>0</v>
      </c>
      <c r="M795" t="n">
        <v>0</v>
      </c>
      <c r="N795" t="n">
        <v>0</v>
      </c>
      <c r="O795" t="n">
        <v>0</v>
      </c>
      <c r="P795" t="n">
        <v>0</v>
      </c>
      <c r="Q795" t="n">
        <v>0</v>
      </c>
      <c r="R795" s="2" t="inlineStr"/>
    </row>
    <row r="796" ht="15" customHeight="1">
      <c r="A796" t="inlineStr">
        <is>
          <t>A 44382-2021</t>
        </is>
      </c>
      <c r="B796" s="1" t="n">
        <v>44435.47162037037</v>
      </c>
      <c r="C796" s="1" t="n">
        <v>45883</v>
      </c>
      <c r="D796" t="inlineStr">
        <is>
          <t>GÄVLEBORGS LÄN</t>
        </is>
      </c>
      <c r="E796" t="inlineStr">
        <is>
          <t>LJUSDAL</t>
        </is>
      </c>
      <c r="F796" t="inlineStr">
        <is>
          <t>Sveaskog</t>
        </is>
      </c>
      <c r="G796" t="n">
        <v>6.6</v>
      </c>
      <c r="H796" t="n">
        <v>0</v>
      </c>
      <c r="I796" t="n">
        <v>0</v>
      </c>
      <c r="J796" t="n">
        <v>0</v>
      </c>
      <c r="K796" t="n">
        <v>0</v>
      </c>
      <c r="L796" t="n">
        <v>0</v>
      </c>
      <c r="M796" t="n">
        <v>0</v>
      </c>
      <c r="N796" t="n">
        <v>0</v>
      </c>
      <c r="O796" t="n">
        <v>0</v>
      </c>
      <c r="P796" t="n">
        <v>0</v>
      </c>
      <c r="Q796" t="n">
        <v>0</v>
      </c>
      <c r="R796" s="2" t="inlineStr"/>
    </row>
    <row r="797" ht="15" customHeight="1">
      <c r="A797" t="inlineStr">
        <is>
          <t>A 59810-2021</t>
        </is>
      </c>
      <c r="B797" s="1" t="n">
        <v>44494</v>
      </c>
      <c r="C797" s="1" t="n">
        <v>45883</v>
      </c>
      <c r="D797" t="inlineStr">
        <is>
          <t>GÄVLEBORGS LÄN</t>
        </is>
      </c>
      <c r="E797" t="inlineStr">
        <is>
          <t>GÄVLE</t>
        </is>
      </c>
      <c r="G797" t="n">
        <v>2.3</v>
      </c>
      <c r="H797" t="n">
        <v>0</v>
      </c>
      <c r="I797" t="n">
        <v>0</v>
      </c>
      <c r="J797" t="n">
        <v>0</v>
      </c>
      <c r="K797" t="n">
        <v>0</v>
      </c>
      <c r="L797" t="n">
        <v>0</v>
      </c>
      <c r="M797" t="n">
        <v>0</v>
      </c>
      <c r="N797" t="n">
        <v>0</v>
      </c>
      <c r="O797" t="n">
        <v>0</v>
      </c>
      <c r="P797" t="n">
        <v>0</v>
      </c>
      <c r="Q797" t="n">
        <v>0</v>
      </c>
      <c r="R797" s="2" t="inlineStr"/>
    </row>
    <row r="798" ht="15" customHeight="1">
      <c r="A798" t="inlineStr">
        <is>
          <t>A 44270-2020</t>
        </is>
      </c>
      <c r="B798" s="1" t="n">
        <v>44084</v>
      </c>
      <c r="C798" s="1" t="n">
        <v>45883</v>
      </c>
      <c r="D798" t="inlineStr">
        <is>
          <t>GÄVLEBORGS LÄN</t>
        </is>
      </c>
      <c r="E798" t="inlineStr">
        <is>
          <t>BOLLNÄS</t>
        </is>
      </c>
      <c r="G798" t="n">
        <v>1.7</v>
      </c>
      <c r="H798" t="n">
        <v>0</v>
      </c>
      <c r="I798" t="n">
        <v>0</v>
      </c>
      <c r="J798" t="n">
        <v>0</v>
      </c>
      <c r="K798" t="n">
        <v>0</v>
      </c>
      <c r="L798" t="n">
        <v>0</v>
      </c>
      <c r="M798" t="n">
        <v>0</v>
      </c>
      <c r="N798" t="n">
        <v>0</v>
      </c>
      <c r="O798" t="n">
        <v>0</v>
      </c>
      <c r="P798" t="n">
        <v>0</v>
      </c>
      <c r="Q798" t="n">
        <v>0</v>
      </c>
      <c r="R798" s="2" t="inlineStr"/>
    </row>
    <row r="799" ht="15" customHeight="1">
      <c r="A799" t="inlineStr">
        <is>
          <t>A 73750-2021</t>
        </is>
      </c>
      <c r="B799" s="1" t="n">
        <v>44552</v>
      </c>
      <c r="C799" s="1" t="n">
        <v>45883</v>
      </c>
      <c r="D799" t="inlineStr">
        <is>
          <t>GÄVLEBORGS LÄN</t>
        </is>
      </c>
      <c r="E799" t="inlineStr">
        <is>
          <t>LJUSDAL</t>
        </is>
      </c>
      <c r="G799" t="n">
        <v>1.4</v>
      </c>
      <c r="H799" t="n">
        <v>0</v>
      </c>
      <c r="I799" t="n">
        <v>0</v>
      </c>
      <c r="J799" t="n">
        <v>0</v>
      </c>
      <c r="K799" t="n">
        <v>0</v>
      </c>
      <c r="L799" t="n">
        <v>0</v>
      </c>
      <c r="M799" t="n">
        <v>0</v>
      </c>
      <c r="N799" t="n">
        <v>0</v>
      </c>
      <c r="O799" t="n">
        <v>0</v>
      </c>
      <c r="P799" t="n">
        <v>0</v>
      </c>
      <c r="Q799" t="n">
        <v>0</v>
      </c>
      <c r="R799" s="2" t="inlineStr"/>
    </row>
    <row r="800" ht="15" customHeight="1">
      <c r="A800" t="inlineStr">
        <is>
          <t>A 3868-2022</t>
        </is>
      </c>
      <c r="B800" s="1" t="n">
        <v>44587</v>
      </c>
      <c r="C800" s="1" t="n">
        <v>45883</v>
      </c>
      <c r="D800" t="inlineStr">
        <is>
          <t>GÄVLEBORGS LÄN</t>
        </is>
      </c>
      <c r="E800" t="inlineStr">
        <is>
          <t>LJUSDAL</t>
        </is>
      </c>
      <c r="F800" t="inlineStr">
        <is>
          <t>Sveaskog</t>
        </is>
      </c>
      <c r="G800" t="n">
        <v>0.2</v>
      </c>
      <c r="H800" t="n">
        <v>0</v>
      </c>
      <c r="I800" t="n">
        <v>0</v>
      </c>
      <c r="J800" t="n">
        <v>0</v>
      </c>
      <c r="K800" t="n">
        <v>0</v>
      </c>
      <c r="L800" t="n">
        <v>0</v>
      </c>
      <c r="M800" t="n">
        <v>0</v>
      </c>
      <c r="N800" t="n">
        <v>0</v>
      </c>
      <c r="O800" t="n">
        <v>0</v>
      </c>
      <c r="P800" t="n">
        <v>0</v>
      </c>
      <c r="Q800" t="n">
        <v>0</v>
      </c>
      <c r="R800" s="2" t="inlineStr"/>
    </row>
    <row r="801" ht="15" customHeight="1">
      <c r="A801" t="inlineStr">
        <is>
          <t>A 11826-2021</t>
        </is>
      </c>
      <c r="B801" s="1" t="n">
        <v>44265.5718287037</v>
      </c>
      <c r="C801" s="1" t="n">
        <v>45883</v>
      </c>
      <c r="D801" t="inlineStr">
        <is>
          <t>GÄVLEBORGS LÄN</t>
        </is>
      </c>
      <c r="E801" t="inlineStr">
        <is>
          <t>SÖDERHAMN</t>
        </is>
      </c>
      <c r="G801" t="n">
        <v>1.4</v>
      </c>
      <c r="H801" t="n">
        <v>0</v>
      </c>
      <c r="I801" t="n">
        <v>0</v>
      </c>
      <c r="J801" t="n">
        <v>0</v>
      </c>
      <c r="K801" t="n">
        <v>0</v>
      </c>
      <c r="L801" t="n">
        <v>0</v>
      </c>
      <c r="M801" t="n">
        <v>0</v>
      </c>
      <c r="N801" t="n">
        <v>0</v>
      </c>
      <c r="O801" t="n">
        <v>0</v>
      </c>
      <c r="P801" t="n">
        <v>0</v>
      </c>
      <c r="Q801" t="n">
        <v>0</v>
      </c>
      <c r="R801" s="2" t="inlineStr"/>
    </row>
    <row r="802" ht="15" customHeight="1">
      <c r="A802" t="inlineStr">
        <is>
          <t>A 51721-2021</t>
        </is>
      </c>
      <c r="B802" s="1" t="n">
        <v>44462</v>
      </c>
      <c r="C802" s="1" t="n">
        <v>45883</v>
      </c>
      <c r="D802" t="inlineStr">
        <is>
          <t>GÄVLEBORGS LÄN</t>
        </is>
      </c>
      <c r="E802" t="inlineStr">
        <is>
          <t>NORDANSTIG</t>
        </is>
      </c>
      <c r="F802" t="inlineStr">
        <is>
          <t>Holmen skog AB</t>
        </is>
      </c>
      <c r="G802" t="n">
        <v>1.6</v>
      </c>
      <c r="H802" t="n">
        <v>0</v>
      </c>
      <c r="I802" t="n">
        <v>0</v>
      </c>
      <c r="J802" t="n">
        <v>0</v>
      </c>
      <c r="K802" t="n">
        <v>0</v>
      </c>
      <c r="L802" t="n">
        <v>0</v>
      </c>
      <c r="M802" t="n">
        <v>0</v>
      </c>
      <c r="N802" t="n">
        <v>0</v>
      </c>
      <c r="O802" t="n">
        <v>0</v>
      </c>
      <c r="P802" t="n">
        <v>0</v>
      </c>
      <c r="Q802" t="n">
        <v>0</v>
      </c>
      <c r="R802" s="2" t="inlineStr"/>
    </row>
    <row r="803" ht="15" customHeight="1">
      <c r="A803" t="inlineStr">
        <is>
          <t>A 25238-2022</t>
        </is>
      </c>
      <c r="B803" s="1" t="n">
        <v>44729</v>
      </c>
      <c r="C803" s="1" t="n">
        <v>45883</v>
      </c>
      <c r="D803" t="inlineStr">
        <is>
          <t>GÄVLEBORGS LÄN</t>
        </is>
      </c>
      <c r="E803" t="inlineStr">
        <is>
          <t>BOLLNÄS</t>
        </is>
      </c>
      <c r="F803" t="inlineStr">
        <is>
          <t>Bergvik skog väst AB</t>
        </is>
      </c>
      <c r="G803" t="n">
        <v>2.2</v>
      </c>
      <c r="H803" t="n">
        <v>0</v>
      </c>
      <c r="I803" t="n">
        <v>0</v>
      </c>
      <c r="J803" t="n">
        <v>0</v>
      </c>
      <c r="K803" t="n">
        <v>0</v>
      </c>
      <c r="L803" t="n">
        <v>0</v>
      </c>
      <c r="M803" t="n">
        <v>0</v>
      </c>
      <c r="N803" t="n">
        <v>0</v>
      </c>
      <c r="O803" t="n">
        <v>0</v>
      </c>
      <c r="P803" t="n">
        <v>0</v>
      </c>
      <c r="Q803" t="n">
        <v>0</v>
      </c>
      <c r="R803" s="2" t="inlineStr"/>
    </row>
    <row r="804" ht="15" customHeight="1">
      <c r="A804" t="inlineStr">
        <is>
          <t>A 45879-2021</t>
        </is>
      </c>
      <c r="B804" s="1" t="n">
        <v>44441.58484953704</v>
      </c>
      <c r="C804" s="1" t="n">
        <v>45883</v>
      </c>
      <c r="D804" t="inlineStr">
        <is>
          <t>GÄVLEBORGS LÄN</t>
        </is>
      </c>
      <c r="E804" t="inlineStr">
        <is>
          <t>NORDANSTIG</t>
        </is>
      </c>
      <c r="F804" t="inlineStr">
        <is>
          <t>Holmen skog AB</t>
        </is>
      </c>
      <c r="G804" t="n">
        <v>13.6</v>
      </c>
      <c r="H804" t="n">
        <v>0</v>
      </c>
      <c r="I804" t="n">
        <v>0</v>
      </c>
      <c r="J804" t="n">
        <v>0</v>
      </c>
      <c r="K804" t="n">
        <v>0</v>
      </c>
      <c r="L804" t="n">
        <v>0</v>
      </c>
      <c r="M804" t="n">
        <v>0</v>
      </c>
      <c r="N804" t="n">
        <v>0</v>
      </c>
      <c r="O804" t="n">
        <v>0</v>
      </c>
      <c r="P804" t="n">
        <v>0</v>
      </c>
      <c r="Q804" t="n">
        <v>0</v>
      </c>
      <c r="R804" s="2" t="inlineStr"/>
    </row>
    <row r="805" ht="15" customHeight="1">
      <c r="A805" t="inlineStr">
        <is>
          <t>A 46642-2021</t>
        </is>
      </c>
      <c r="B805" s="1" t="n">
        <v>44445</v>
      </c>
      <c r="C805" s="1" t="n">
        <v>45883</v>
      </c>
      <c r="D805" t="inlineStr">
        <is>
          <t>GÄVLEBORGS LÄN</t>
        </is>
      </c>
      <c r="E805" t="inlineStr">
        <is>
          <t>LJUSDAL</t>
        </is>
      </c>
      <c r="F805" t="inlineStr">
        <is>
          <t>Sveaskog</t>
        </is>
      </c>
      <c r="G805" t="n">
        <v>2.9</v>
      </c>
      <c r="H805" t="n">
        <v>0</v>
      </c>
      <c r="I805" t="n">
        <v>0</v>
      </c>
      <c r="J805" t="n">
        <v>0</v>
      </c>
      <c r="K805" t="n">
        <v>0</v>
      </c>
      <c r="L805" t="n">
        <v>0</v>
      </c>
      <c r="M805" t="n">
        <v>0</v>
      </c>
      <c r="N805" t="n">
        <v>0</v>
      </c>
      <c r="O805" t="n">
        <v>0</v>
      </c>
      <c r="P805" t="n">
        <v>0</v>
      </c>
      <c r="Q805" t="n">
        <v>0</v>
      </c>
      <c r="R805" s="2" t="inlineStr"/>
      <c r="U805">
        <f>HYPERLINK("https://klasma.github.io/Logging_2161/knärot/A 46642-2021 karta knärot.png", "A 46642-2021")</f>
        <v/>
      </c>
      <c r="V805">
        <f>HYPERLINK("https://klasma.github.io/Logging_2161/klagomål/A 46642-2021 FSC-klagomål.docx", "A 46642-2021")</f>
        <v/>
      </c>
      <c r="W805">
        <f>HYPERLINK("https://klasma.github.io/Logging_2161/klagomålsmail/A 46642-2021 FSC-klagomål mail.docx", "A 46642-2021")</f>
        <v/>
      </c>
      <c r="X805">
        <f>HYPERLINK("https://klasma.github.io/Logging_2161/tillsyn/A 46642-2021 tillsynsbegäran.docx", "A 46642-2021")</f>
        <v/>
      </c>
      <c r="Y805">
        <f>HYPERLINK("https://klasma.github.io/Logging_2161/tillsynsmail/A 46642-2021 tillsynsbegäran mail.docx", "A 46642-2021")</f>
        <v/>
      </c>
    </row>
    <row r="806" ht="15" customHeight="1">
      <c r="A806" t="inlineStr">
        <is>
          <t>A 34419-2022</t>
        </is>
      </c>
      <c r="B806" s="1" t="n">
        <v>44792</v>
      </c>
      <c r="C806" s="1" t="n">
        <v>45883</v>
      </c>
      <c r="D806" t="inlineStr">
        <is>
          <t>GÄVLEBORGS LÄN</t>
        </is>
      </c>
      <c r="E806" t="inlineStr">
        <is>
          <t>LJUSDAL</t>
        </is>
      </c>
      <c r="F806" t="inlineStr">
        <is>
          <t>Sveaskog</t>
        </is>
      </c>
      <c r="G806" t="n">
        <v>3.6</v>
      </c>
      <c r="H806" t="n">
        <v>0</v>
      </c>
      <c r="I806" t="n">
        <v>0</v>
      </c>
      <c r="J806" t="n">
        <v>0</v>
      </c>
      <c r="K806" t="n">
        <v>0</v>
      </c>
      <c r="L806" t="n">
        <v>0</v>
      </c>
      <c r="M806" t="n">
        <v>0</v>
      </c>
      <c r="N806" t="n">
        <v>0</v>
      </c>
      <c r="O806" t="n">
        <v>0</v>
      </c>
      <c r="P806" t="n">
        <v>0</v>
      </c>
      <c r="Q806" t="n">
        <v>0</v>
      </c>
      <c r="R806" s="2" t="inlineStr"/>
    </row>
    <row r="807" ht="15" customHeight="1">
      <c r="A807" t="inlineStr">
        <is>
          <t>A 1306-2022</t>
        </is>
      </c>
      <c r="B807" s="1" t="n">
        <v>44572</v>
      </c>
      <c r="C807" s="1" t="n">
        <v>45883</v>
      </c>
      <c r="D807" t="inlineStr">
        <is>
          <t>GÄVLEBORGS LÄN</t>
        </is>
      </c>
      <c r="E807" t="inlineStr">
        <is>
          <t>BOLLNÄS</t>
        </is>
      </c>
      <c r="G807" t="n">
        <v>1.6</v>
      </c>
      <c r="H807" t="n">
        <v>0</v>
      </c>
      <c r="I807" t="n">
        <v>0</v>
      </c>
      <c r="J807" t="n">
        <v>0</v>
      </c>
      <c r="K807" t="n">
        <v>0</v>
      </c>
      <c r="L807" t="n">
        <v>0</v>
      </c>
      <c r="M807" t="n">
        <v>0</v>
      </c>
      <c r="N807" t="n">
        <v>0</v>
      </c>
      <c r="O807" t="n">
        <v>0</v>
      </c>
      <c r="P807" t="n">
        <v>0</v>
      </c>
      <c r="Q807" t="n">
        <v>0</v>
      </c>
      <c r="R807" s="2" t="inlineStr"/>
    </row>
    <row r="808" ht="15" customHeight="1">
      <c r="A808" t="inlineStr">
        <is>
          <t>A 42007-2020</t>
        </is>
      </c>
      <c r="B808" s="1" t="n">
        <v>44075</v>
      </c>
      <c r="C808" s="1" t="n">
        <v>45883</v>
      </c>
      <c r="D808" t="inlineStr">
        <is>
          <t>GÄVLEBORGS LÄN</t>
        </is>
      </c>
      <c r="E808" t="inlineStr">
        <is>
          <t>LJUSDAL</t>
        </is>
      </c>
      <c r="F808" t="inlineStr">
        <is>
          <t>Sveaskog</t>
        </is>
      </c>
      <c r="G808" t="n">
        <v>1.5</v>
      </c>
      <c r="H808" t="n">
        <v>0</v>
      </c>
      <c r="I808" t="n">
        <v>0</v>
      </c>
      <c r="J808" t="n">
        <v>0</v>
      </c>
      <c r="K808" t="n">
        <v>0</v>
      </c>
      <c r="L808" t="n">
        <v>0</v>
      </c>
      <c r="M808" t="n">
        <v>0</v>
      </c>
      <c r="N808" t="n">
        <v>0</v>
      </c>
      <c r="O808" t="n">
        <v>0</v>
      </c>
      <c r="P808" t="n">
        <v>0</v>
      </c>
      <c r="Q808" t="n">
        <v>0</v>
      </c>
      <c r="R808" s="2" t="inlineStr"/>
    </row>
    <row r="809" ht="15" customHeight="1">
      <c r="A809" t="inlineStr">
        <is>
          <t>A 52117-2021</t>
        </is>
      </c>
      <c r="B809" s="1" t="n">
        <v>44462</v>
      </c>
      <c r="C809" s="1" t="n">
        <v>45883</v>
      </c>
      <c r="D809" t="inlineStr">
        <is>
          <t>GÄVLEBORGS LÄN</t>
        </is>
      </c>
      <c r="E809" t="inlineStr">
        <is>
          <t>HUDIKSVALL</t>
        </is>
      </c>
      <c r="G809" t="n">
        <v>2.4</v>
      </c>
      <c r="H809" t="n">
        <v>0</v>
      </c>
      <c r="I809" t="n">
        <v>0</v>
      </c>
      <c r="J809" t="n">
        <v>0</v>
      </c>
      <c r="K809" t="n">
        <v>0</v>
      </c>
      <c r="L809" t="n">
        <v>0</v>
      </c>
      <c r="M809" t="n">
        <v>0</v>
      </c>
      <c r="N809" t="n">
        <v>0</v>
      </c>
      <c r="O809" t="n">
        <v>0</v>
      </c>
      <c r="P809" t="n">
        <v>0</v>
      </c>
      <c r="Q809" t="n">
        <v>0</v>
      </c>
      <c r="R809" s="2" t="inlineStr"/>
    </row>
    <row r="810" ht="15" customHeight="1">
      <c r="A810" t="inlineStr">
        <is>
          <t>A 14413-2021</t>
        </is>
      </c>
      <c r="B810" s="1" t="n">
        <v>44279</v>
      </c>
      <c r="C810" s="1" t="n">
        <v>45883</v>
      </c>
      <c r="D810" t="inlineStr">
        <is>
          <t>GÄVLEBORGS LÄN</t>
        </is>
      </c>
      <c r="E810" t="inlineStr">
        <is>
          <t>OVANÅKER</t>
        </is>
      </c>
      <c r="G810" t="n">
        <v>2.6</v>
      </c>
      <c r="H810" t="n">
        <v>0</v>
      </c>
      <c r="I810" t="n">
        <v>0</v>
      </c>
      <c r="J810" t="n">
        <v>0</v>
      </c>
      <c r="K810" t="n">
        <v>0</v>
      </c>
      <c r="L810" t="n">
        <v>0</v>
      </c>
      <c r="M810" t="n">
        <v>0</v>
      </c>
      <c r="N810" t="n">
        <v>0</v>
      </c>
      <c r="O810" t="n">
        <v>0</v>
      </c>
      <c r="P810" t="n">
        <v>0</v>
      </c>
      <c r="Q810" t="n">
        <v>0</v>
      </c>
      <c r="R810" s="2" t="inlineStr"/>
    </row>
    <row r="811" ht="15" customHeight="1">
      <c r="A811" t="inlineStr">
        <is>
          <t>A 55386-2022</t>
        </is>
      </c>
      <c r="B811" s="1" t="n">
        <v>44887.55108796297</v>
      </c>
      <c r="C811" s="1" t="n">
        <v>45883</v>
      </c>
      <c r="D811" t="inlineStr">
        <is>
          <t>GÄVLEBORGS LÄN</t>
        </is>
      </c>
      <c r="E811" t="inlineStr">
        <is>
          <t>HUDIKSVALL</t>
        </is>
      </c>
      <c r="G811" t="n">
        <v>0.8</v>
      </c>
      <c r="H811" t="n">
        <v>0</v>
      </c>
      <c r="I811" t="n">
        <v>0</v>
      </c>
      <c r="J811" t="n">
        <v>0</v>
      </c>
      <c r="K811" t="n">
        <v>0</v>
      </c>
      <c r="L811" t="n">
        <v>0</v>
      </c>
      <c r="M811" t="n">
        <v>0</v>
      </c>
      <c r="N811" t="n">
        <v>0</v>
      </c>
      <c r="O811" t="n">
        <v>0</v>
      </c>
      <c r="P811" t="n">
        <v>0</v>
      </c>
      <c r="Q811" t="n">
        <v>0</v>
      </c>
      <c r="R811" s="2" t="inlineStr"/>
    </row>
    <row r="812" ht="15" customHeight="1">
      <c r="A812" t="inlineStr">
        <is>
          <t>A 47632-2021</t>
        </is>
      </c>
      <c r="B812" s="1" t="n">
        <v>44448</v>
      </c>
      <c r="C812" s="1" t="n">
        <v>45883</v>
      </c>
      <c r="D812" t="inlineStr">
        <is>
          <t>GÄVLEBORGS LÄN</t>
        </is>
      </c>
      <c r="E812" t="inlineStr">
        <is>
          <t>SANDVIKEN</t>
        </is>
      </c>
      <c r="F812" t="inlineStr">
        <is>
          <t>Sveaskog</t>
        </is>
      </c>
      <c r="G812" t="n">
        <v>0.7</v>
      </c>
      <c r="H812" t="n">
        <v>0</v>
      </c>
      <c r="I812" t="n">
        <v>0</v>
      </c>
      <c r="J812" t="n">
        <v>0</v>
      </c>
      <c r="K812" t="n">
        <v>0</v>
      </c>
      <c r="L812" t="n">
        <v>0</v>
      </c>
      <c r="M812" t="n">
        <v>0</v>
      </c>
      <c r="N812" t="n">
        <v>0</v>
      </c>
      <c r="O812" t="n">
        <v>0</v>
      </c>
      <c r="P812" t="n">
        <v>0</v>
      </c>
      <c r="Q812" t="n">
        <v>0</v>
      </c>
      <c r="R812" s="2" t="inlineStr"/>
    </row>
    <row r="813" ht="15" customHeight="1">
      <c r="A813" t="inlineStr">
        <is>
          <t>A 41037-2022</t>
        </is>
      </c>
      <c r="B813" s="1" t="n">
        <v>44824</v>
      </c>
      <c r="C813" s="1" t="n">
        <v>45883</v>
      </c>
      <c r="D813" t="inlineStr">
        <is>
          <t>GÄVLEBORGS LÄN</t>
        </is>
      </c>
      <c r="E813" t="inlineStr">
        <is>
          <t>SÖDERHAMN</t>
        </is>
      </c>
      <c r="F813" t="inlineStr">
        <is>
          <t>Kommuner</t>
        </is>
      </c>
      <c r="G813" t="n">
        <v>21.6</v>
      </c>
      <c r="H813" t="n">
        <v>0</v>
      </c>
      <c r="I813" t="n">
        <v>0</v>
      </c>
      <c r="J813" t="n">
        <v>0</v>
      </c>
      <c r="K813" t="n">
        <v>0</v>
      </c>
      <c r="L813" t="n">
        <v>0</v>
      </c>
      <c r="M813" t="n">
        <v>0</v>
      </c>
      <c r="N813" t="n">
        <v>0</v>
      </c>
      <c r="O813" t="n">
        <v>0</v>
      </c>
      <c r="P813" t="n">
        <v>0</v>
      </c>
      <c r="Q813" t="n">
        <v>0</v>
      </c>
      <c r="R813" s="2" t="inlineStr"/>
    </row>
    <row r="814" ht="15" customHeight="1">
      <c r="A814" t="inlineStr">
        <is>
          <t>A 67188-2021</t>
        </is>
      </c>
      <c r="B814" s="1" t="n">
        <v>44523.44744212963</v>
      </c>
      <c r="C814" s="1" t="n">
        <v>45883</v>
      </c>
      <c r="D814" t="inlineStr">
        <is>
          <t>GÄVLEBORGS LÄN</t>
        </is>
      </c>
      <c r="E814" t="inlineStr">
        <is>
          <t>OVANÅKER</t>
        </is>
      </c>
      <c r="G814" t="n">
        <v>2.3</v>
      </c>
      <c r="H814" t="n">
        <v>0</v>
      </c>
      <c r="I814" t="n">
        <v>0</v>
      </c>
      <c r="J814" t="n">
        <v>0</v>
      </c>
      <c r="K814" t="n">
        <v>0</v>
      </c>
      <c r="L814" t="n">
        <v>0</v>
      </c>
      <c r="M814" t="n">
        <v>0</v>
      </c>
      <c r="N814" t="n">
        <v>0</v>
      </c>
      <c r="O814" t="n">
        <v>0</v>
      </c>
      <c r="P814" t="n">
        <v>0</v>
      </c>
      <c r="Q814" t="n">
        <v>0</v>
      </c>
      <c r="R814" s="2" t="inlineStr"/>
    </row>
    <row r="815" ht="15" customHeight="1">
      <c r="A815" t="inlineStr">
        <is>
          <t>A 8942-2021</t>
        </is>
      </c>
      <c r="B815" s="1" t="n">
        <v>44249.40599537037</v>
      </c>
      <c r="C815" s="1" t="n">
        <v>45883</v>
      </c>
      <c r="D815" t="inlineStr">
        <is>
          <t>GÄVLEBORGS LÄN</t>
        </is>
      </c>
      <c r="E815" t="inlineStr">
        <is>
          <t>NORDANSTIG</t>
        </is>
      </c>
      <c r="G815" t="n">
        <v>1.8</v>
      </c>
      <c r="H815" t="n">
        <v>0</v>
      </c>
      <c r="I815" t="n">
        <v>0</v>
      </c>
      <c r="J815" t="n">
        <v>0</v>
      </c>
      <c r="K815" t="n">
        <v>0</v>
      </c>
      <c r="L815" t="n">
        <v>0</v>
      </c>
      <c r="M815" t="n">
        <v>0</v>
      </c>
      <c r="N815" t="n">
        <v>0</v>
      </c>
      <c r="O815" t="n">
        <v>0</v>
      </c>
      <c r="P815" t="n">
        <v>0</v>
      </c>
      <c r="Q815" t="n">
        <v>0</v>
      </c>
      <c r="R815" s="2" t="inlineStr"/>
    </row>
    <row r="816" ht="15" customHeight="1">
      <c r="A816" t="inlineStr">
        <is>
          <t>A 5843-2021</t>
        </is>
      </c>
      <c r="B816" s="1" t="n">
        <v>44231</v>
      </c>
      <c r="C816" s="1" t="n">
        <v>45883</v>
      </c>
      <c r="D816" t="inlineStr">
        <is>
          <t>GÄVLEBORGS LÄN</t>
        </is>
      </c>
      <c r="E816" t="inlineStr">
        <is>
          <t>NORDANSTIG</t>
        </is>
      </c>
      <c r="F816" t="inlineStr">
        <is>
          <t>Holmen skog AB</t>
        </is>
      </c>
      <c r="G816" t="n">
        <v>9.1</v>
      </c>
      <c r="H816" t="n">
        <v>0</v>
      </c>
      <c r="I816" t="n">
        <v>0</v>
      </c>
      <c r="J816" t="n">
        <v>0</v>
      </c>
      <c r="K816" t="n">
        <v>0</v>
      </c>
      <c r="L816" t="n">
        <v>0</v>
      </c>
      <c r="M816" t="n">
        <v>0</v>
      </c>
      <c r="N816" t="n">
        <v>0</v>
      </c>
      <c r="O816" t="n">
        <v>0</v>
      </c>
      <c r="P816" t="n">
        <v>0</v>
      </c>
      <c r="Q816" t="n">
        <v>0</v>
      </c>
      <c r="R816" s="2" t="inlineStr"/>
    </row>
    <row r="817" ht="15" customHeight="1">
      <c r="A817" t="inlineStr">
        <is>
          <t>A 52839-2021</t>
        </is>
      </c>
      <c r="B817" s="1" t="n">
        <v>44467.4345949074</v>
      </c>
      <c r="C817" s="1" t="n">
        <v>45883</v>
      </c>
      <c r="D817" t="inlineStr">
        <is>
          <t>GÄVLEBORGS LÄN</t>
        </is>
      </c>
      <c r="E817" t="inlineStr">
        <is>
          <t>LJUSDAL</t>
        </is>
      </c>
      <c r="F817" t="inlineStr">
        <is>
          <t>Holmen skog AB</t>
        </is>
      </c>
      <c r="G817" t="n">
        <v>14.9</v>
      </c>
      <c r="H817" t="n">
        <v>0</v>
      </c>
      <c r="I817" t="n">
        <v>0</v>
      </c>
      <c r="J817" t="n">
        <v>0</v>
      </c>
      <c r="K817" t="n">
        <v>0</v>
      </c>
      <c r="L817" t="n">
        <v>0</v>
      </c>
      <c r="M817" t="n">
        <v>0</v>
      </c>
      <c r="N817" t="n">
        <v>0</v>
      </c>
      <c r="O817" t="n">
        <v>0</v>
      </c>
      <c r="P817" t="n">
        <v>0</v>
      </c>
      <c r="Q817" t="n">
        <v>0</v>
      </c>
      <c r="R817" s="2" t="inlineStr"/>
    </row>
    <row r="818" ht="15" customHeight="1">
      <c r="A818" t="inlineStr">
        <is>
          <t>A 55055-2022</t>
        </is>
      </c>
      <c r="B818" s="1" t="n">
        <v>44886.58072916666</v>
      </c>
      <c r="C818" s="1" t="n">
        <v>45883</v>
      </c>
      <c r="D818" t="inlineStr">
        <is>
          <t>GÄVLEBORGS LÄN</t>
        </is>
      </c>
      <c r="E818" t="inlineStr">
        <is>
          <t>LJUSDAL</t>
        </is>
      </c>
      <c r="G818" t="n">
        <v>0.8</v>
      </c>
      <c r="H818" t="n">
        <v>0</v>
      </c>
      <c r="I818" t="n">
        <v>0</v>
      </c>
      <c r="J818" t="n">
        <v>0</v>
      </c>
      <c r="K818" t="n">
        <v>0</v>
      </c>
      <c r="L818" t="n">
        <v>0</v>
      </c>
      <c r="M818" t="n">
        <v>0</v>
      </c>
      <c r="N818" t="n">
        <v>0</v>
      </c>
      <c r="O818" t="n">
        <v>0</v>
      </c>
      <c r="P818" t="n">
        <v>0</v>
      </c>
      <c r="Q818" t="n">
        <v>0</v>
      </c>
      <c r="R818" s="2" t="inlineStr"/>
    </row>
    <row r="819" ht="15" customHeight="1">
      <c r="A819" t="inlineStr">
        <is>
          <t>A 55065-2022</t>
        </is>
      </c>
      <c r="B819" s="1" t="n">
        <v>44886.58819444444</v>
      </c>
      <c r="C819" s="1" t="n">
        <v>45883</v>
      </c>
      <c r="D819" t="inlineStr">
        <is>
          <t>GÄVLEBORGS LÄN</t>
        </is>
      </c>
      <c r="E819" t="inlineStr">
        <is>
          <t>OVANÅKER</t>
        </is>
      </c>
      <c r="G819" t="n">
        <v>1.5</v>
      </c>
      <c r="H819" t="n">
        <v>0</v>
      </c>
      <c r="I819" t="n">
        <v>0</v>
      </c>
      <c r="J819" t="n">
        <v>0</v>
      </c>
      <c r="K819" t="n">
        <v>0</v>
      </c>
      <c r="L819" t="n">
        <v>0</v>
      </c>
      <c r="M819" t="n">
        <v>0</v>
      </c>
      <c r="N819" t="n">
        <v>0</v>
      </c>
      <c r="O819" t="n">
        <v>0</v>
      </c>
      <c r="P819" t="n">
        <v>0</v>
      </c>
      <c r="Q819" t="n">
        <v>0</v>
      </c>
      <c r="R819" s="2" t="inlineStr"/>
    </row>
    <row r="820" ht="15" customHeight="1">
      <c r="A820" t="inlineStr">
        <is>
          <t>A 45683-2020</t>
        </is>
      </c>
      <c r="B820" s="1" t="n">
        <v>44090</v>
      </c>
      <c r="C820" s="1" t="n">
        <v>45883</v>
      </c>
      <c r="D820" t="inlineStr">
        <is>
          <t>GÄVLEBORGS LÄN</t>
        </is>
      </c>
      <c r="E820" t="inlineStr">
        <is>
          <t>NORDANSTIG</t>
        </is>
      </c>
      <c r="G820" t="n">
        <v>31.9</v>
      </c>
      <c r="H820" t="n">
        <v>0</v>
      </c>
      <c r="I820" t="n">
        <v>0</v>
      </c>
      <c r="J820" t="n">
        <v>0</v>
      </c>
      <c r="K820" t="n">
        <v>0</v>
      </c>
      <c r="L820" t="n">
        <v>0</v>
      </c>
      <c r="M820" t="n">
        <v>0</v>
      </c>
      <c r="N820" t="n">
        <v>0</v>
      </c>
      <c r="O820" t="n">
        <v>0</v>
      </c>
      <c r="P820" t="n">
        <v>0</v>
      </c>
      <c r="Q820" t="n">
        <v>0</v>
      </c>
      <c r="R820" s="2" t="inlineStr"/>
    </row>
    <row r="821" ht="15" customHeight="1">
      <c r="A821" t="inlineStr">
        <is>
          <t>A 19856-2022</t>
        </is>
      </c>
      <c r="B821" s="1" t="n">
        <v>44697.25298611111</v>
      </c>
      <c r="C821" s="1" t="n">
        <v>45883</v>
      </c>
      <c r="D821" t="inlineStr">
        <is>
          <t>GÄVLEBORGS LÄN</t>
        </is>
      </c>
      <c r="E821" t="inlineStr">
        <is>
          <t>BOLLNÄS</t>
        </is>
      </c>
      <c r="G821" t="n">
        <v>2.3</v>
      </c>
      <c r="H821" t="n">
        <v>0</v>
      </c>
      <c r="I821" t="n">
        <v>0</v>
      </c>
      <c r="J821" t="n">
        <v>0</v>
      </c>
      <c r="K821" t="n">
        <v>0</v>
      </c>
      <c r="L821" t="n">
        <v>0</v>
      </c>
      <c r="M821" t="n">
        <v>0</v>
      </c>
      <c r="N821" t="n">
        <v>0</v>
      </c>
      <c r="O821" t="n">
        <v>0</v>
      </c>
      <c r="P821" t="n">
        <v>0</v>
      </c>
      <c r="Q821" t="n">
        <v>0</v>
      </c>
      <c r="R821" s="2" t="inlineStr"/>
    </row>
    <row r="822" ht="15" customHeight="1">
      <c r="A822" t="inlineStr">
        <is>
          <t>A 19892-2022</t>
        </is>
      </c>
      <c r="B822" s="1" t="n">
        <v>44697</v>
      </c>
      <c r="C822" s="1" t="n">
        <v>45883</v>
      </c>
      <c r="D822" t="inlineStr">
        <is>
          <t>GÄVLEBORGS LÄN</t>
        </is>
      </c>
      <c r="E822" t="inlineStr">
        <is>
          <t>LJUSDAL</t>
        </is>
      </c>
      <c r="G822" t="n">
        <v>1.4</v>
      </c>
      <c r="H822" t="n">
        <v>0</v>
      </c>
      <c r="I822" t="n">
        <v>0</v>
      </c>
      <c r="J822" t="n">
        <v>0</v>
      </c>
      <c r="K822" t="n">
        <v>0</v>
      </c>
      <c r="L822" t="n">
        <v>0</v>
      </c>
      <c r="M822" t="n">
        <v>0</v>
      </c>
      <c r="N822" t="n">
        <v>0</v>
      </c>
      <c r="O822" t="n">
        <v>0</v>
      </c>
      <c r="P822" t="n">
        <v>0</v>
      </c>
      <c r="Q822" t="n">
        <v>0</v>
      </c>
      <c r="R822" s="2" t="inlineStr"/>
    </row>
    <row r="823" ht="15" customHeight="1">
      <c r="A823" t="inlineStr">
        <is>
          <t>A 43109-2021</t>
        </is>
      </c>
      <c r="B823" s="1" t="n">
        <v>44431.61394675926</v>
      </c>
      <c r="C823" s="1" t="n">
        <v>45883</v>
      </c>
      <c r="D823" t="inlineStr">
        <is>
          <t>GÄVLEBORGS LÄN</t>
        </is>
      </c>
      <c r="E823" t="inlineStr">
        <is>
          <t>LJUSDAL</t>
        </is>
      </c>
      <c r="F823" t="inlineStr">
        <is>
          <t>Sveaskog</t>
        </is>
      </c>
      <c r="G823" t="n">
        <v>1.7</v>
      </c>
      <c r="H823" t="n">
        <v>0</v>
      </c>
      <c r="I823" t="n">
        <v>0</v>
      </c>
      <c r="J823" t="n">
        <v>0</v>
      </c>
      <c r="K823" t="n">
        <v>0</v>
      </c>
      <c r="L823" t="n">
        <v>0</v>
      </c>
      <c r="M823" t="n">
        <v>0</v>
      </c>
      <c r="N823" t="n">
        <v>0</v>
      </c>
      <c r="O823" t="n">
        <v>0</v>
      </c>
      <c r="P823" t="n">
        <v>0</v>
      </c>
      <c r="Q823" t="n">
        <v>0</v>
      </c>
      <c r="R823" s="2" t="inlineStr"/>
    </row>
    <row r="824" ht="15" customHeight="1">
      <c r="A824" t="inlineStr">
        <is>
          <t>A 50579-2022</t>
        </is>
      </c>
      <c r="B824" s="1" t="n">
        <v>44866</v>
      </c>
      <c r="C824" s="1" t="n">
        <v>45883</v>
      </c>
      <c r="D824" t="inlineStr">
        <is>
          <t>GÄVLEBORGS LÄN</t>
        </is>
      </c>
      <c r="E824" t="inlineStr">
        <is>
          <t>LJUSDAL</t>
        </is>
      </c>
      <c r="F824" t="inlineStr">
        <is>
          <t>Bergvik skog väst AB</t>
        </is>
      </c>
      <c r="G824" t="n">
        <v>3.1</v>
      </c>
      <c r="H824" t="n">
        <v>0</v>
      </c>
      <c r="I824" t="n">
        <v>0</v>
      </c>
      <c r="J824" t="n">
        <v>0</v>
      </c>
      <c r="K824" t="n">
        <v>0</v>
      </c>
      <c r="L824" t="n">
        <v>0</v>
      </c>
      <c r="M824" t="n">
        <v>0</v>
      </c>
      <c r="N824" t="n">
        <v>0</v>
      </c>
      <c r="O824" t="n">
        <v>0</v>
      </c>
      <c r="P824" t="n">
        <v>0</v>
      </c>
      <c r="Q824" t="n">
        <v>0</v>
      </c>
      <c r="R824" s="2" t="inlineStr"/>
    </row>
    <row r="825" ht="15" customHeight="1">
      <c r="A825" t="inlineStr">
        <is>
          <t>A 24340-2022</t>
        </is>
      </c>
      <c r="B825" s="1" t="n">
        <v>44726</v>
      </c>
      <c r="C825" s="1" t="n">
        <v>45883</v>
      </c>
      <c r="D825" t="inlineStr">
        <is>
          <t>GÄVLEBORGS LÄN</t>
        </is>
      </c>
      <c r="E825" t="inlineStr">
        <is>
          <t>LJUSDAL</t>
        </is>
      </c>
      <c r="G825" t="n">
        <v>0.9</v>
      </c>
      <c r="H825" t="n">
        <v>0</v>
      </c>
      <c r="I825" t="n">
        <v>0</v>
      </c>
      <c r="J825" t="n">
        <v>0</v>
      </c>
      <c r="K825" t="n">
        <v>0</v>
      </c>
      <c r="L825" t="n">
        <v>0</v>
      </c>
      <c r="M825" t="n">
        <v>0</v>
      </c>
      <c r="N825" t="n">
        <v>0</v>
      </c>
      <c r="O825" t="n">
        <v>0</v>
      </c>
      <c r="P825" t="n">
        <v>0</v>
      </c>
      <c r="Q825" t="n">
        <v>0</v>
      </c>
      <c r="R825" s="2" t="inlineStr"/>
    </row>
    <row r="826" ht="15" customHeight="1">
      <c r="A826" t="inlineStr">
        <is>
          <t>A 50732-2021</t>
        </is>
      </c>
      <c r="B826" s="1" t="n">
        <v>44460</v>
      </c>
      <c r="C826" s="1" t="n">
        <v>45883</v>
      </c>
      <c r="D826" t="inlineStr">
        <is>
          <t>GÄVLEBORGS LÄN</t>
        </is>
      </c>
      <c r="E826" t="inlineStr">
        <is>
          <t>LJUSDAL</t>
        </is>
      </c>
      <c r="F826" t="inlineStr">
        <is>
          <t>Holmen skog AB</t>
        </is>
      </c>
      <c r="G826" t="n">
        <v>3.6</v>
      </c>
      <c r="H826" t="n">
        <v>0</v>
      </c>
      <c r="I826" t="n">
        <v>0</v>
      </c>
      <c r="J826" t="n">
        <v>0</v>
      </c>
      <c r="K826" t="n">
        <v>0</v>
      </c>
      <c r="L826" t="n">
        <v>0</v>
      </c>
      <c r="M826" t="n">
        <v>0</v>
      </c>
      <c r="N826" t="n">
        <v>0</v>
      </c>
      <c r="O826" t="n">
        <v>0</v>
      </c>
      <c r="P826" t="n">
        <v>0</v>
      </c>
      <c r="Q826" t="n">
        <v>0</v>
      </c>
      <c r="R826" s="2" t="inlineStr"/>
    </row>
    <row r="827" ht="15" customHeight="1">
      <c r="A827" t="inlineStr">
        <is>
          <t>A 32698-2021</t>
        </is>
      </c>
      <c r="B827" s="1" t="n">
        <v>44375.47541666667</v>
      </c>
      <c r="C827" s="1" t="n">
        <v>45883</v>
      </c>
      <c r="D827" t="inlineStr">
        <is>
          <t>GÄVLEBORGS LÄN</t>
        </is>
      </c>
      <c r="E827" t="inlineStr">
        <is>
          <t>BOLLNÄS</t>
        </is>
      </c>
      <c r="G827" t="n">
        <v>2.9</v>
      </c>
      <c r="H827" t="n">
        <v>0</v>
      </c>
      <c r="I827" t="n">
        <v>0</v>
      </c>
      <c r="J827" t="n">
        <v>0</v>
      </c>
      <c r="K827" t="n">
        <v>0</v>
      </c>
      <c r="L827" t="n">
        <v>0</v>
      </c>
      <c r="M827" t="n">
        <v>0</v>
      </c>
      <c r="N827" t="n">
        <v>0</v>
      </c>
      <c r="O827" t="n">
        <v>0</v>
      </c>
      <c r="P827" t="n">
        <v>0</v>
      </c>
      <c r="Q827" t="n">
        <v>0</v>
      </c>
      <c r="R827" s="2" t="inlineStr"/>
    </row>
    <row r="828" ht="15" customHeight="1">
      <c r="A828" t="inlineStr">
        <is>
          <t>A 42844-2020</t>
        </is>
      </c>
      <c r="B828" s="1" t="n">
        <v>44078</v>
      </c>
      <c r="C828" s="1" t="n">
        <v>45883</v>
      </c>
      <c r="D828" t="inlineStr">
        <is>
          <t>GÄVLEBORGS LÄN</t>
        </is>
      </c>
      <c r="E828" t="inlineStr">
        <is>
          <t>LJUSDAL</t>
        </is>
      </c>
      <c r="G828" t="n">
        <v>0.5</v>
      </c>
      <c r="H828" t="n">
        <v>0</v>
      </c>
      <c r="I828" t="n">
        <v>0</v>
      </c>
      <c r="J828" t="n">
        <v>0</v>
      </c>
      <c r="K828" t="n">
        <v>0</v>
      </c>
      <c r="L828" t="n">
        <v>0</v>
      </c>
      <c r="M828" t="n">
        <v>0</v>
      </c>
      <c r="N828" t="n">
        <v>0</v>
      </c>
      <c r="O828" t="n">
        <v>0</v>
      </c>
      <c r="P828" t="n">
        <v>0</v>
      </c>
      <c r="Q828" t="n">
        <v>0</v>
      </c>
      <c r="R828" s="2" t="inlineStr"/>
    </row>
    <row r="829" ht="15" customHeight="1">
      <c r="A829" t="inlineStr">
        <is>
          <t>A 51762-2021</t>
        </is>
      </c>
      <c r="B829" s="1" t="n">
        <v>44462.59549768519</v>
      </c>
      <c r="C829" s="1" t="n">
        <v>45883</v>
      </c>
      <c r="D829" t="inlineStr">
        <is>
          <t>GÄVLEBORGS LÄN</t>
        </is>
      </c>
      <c r="E829" t="inlineStr">
        <is>
          <t>HUDIKSVALL</t>
        </is>
      </c>
      <c r="F829" t="inlineStr">
        <is>
          <t>Holmen skog AB</t>
        </is>
      </c>
      <c r="G829" t="n">
        <v>0.6</v>
      </c>
      <c r="H829" t="n">
        <v>0</v>
      </c>
      <c r="I829" t="n">
        <v>0</v>
      </c>
      <c r="J829" t="n">
        <v>0</v>
      </c>
      <c r="K829" t="n">
        <v>0</v>
      </c>
      <c r="L829" t="n">
        <v>0</v>
      </c>
      <c r="M829" t="n">
        <v>0</v>
      </c>
      <c r="N829" t="n">
        <v>0</v>
      </c>
      <c r="O829" t="n">
        <v>0</v>
      </c>
      <c r="P829" t="n">
        <v>0</v>
      </c>
      <c r="Q829" t="n">
        <v>0</v>
      </c>
      <c r="R829" s="2" t="inlineStr"/>
    </row>
    <row r="830" ht="15" customHeight="1">
      <c r="A830" t="inlineStr">
        <is>
          <t>A 72110-2021</t>
        </is>
      </c>
      <c r="B830" s="1" t="n">
        <v>44544.5596875</v>
      </c>
      <c r="C830" s="1" t="n">
        <v>45883</v>
      </c>
      <c r="D830" t="inlineStr">
        <is>
          <t>GÄVLEBORGS LÄN</t>
        </is>
      </c>
      <c r="E830" t="inlineStr">
        <is>
          <t>OVANÅKER</t>
        </is>
      </c>
      <c r="G830" t="n">
        <v>0.8</v>
      </c>
      <c r="H830" t="n">
        <v>0</v>
      </c>
      <c r="I830" t="n">
        <v>0</v>
      </c>
      <c r="J830" t="n">
        <v>0</v>
      </c>
      <c r="K830" t="n">
        <v>0</v>
      </c>
      <c r="L830" t="n">
        <v>0</v>
      </c>
      <c r="M830" t="n">
        <v>0</v>
      </c>
      <c r="N830" t="n">
        <v>0</v>
      </c>
      <c r="O830" t="n">
        <v>0</v>
      </c>
      <c r="P830" t="n">
        <v>0</v>
      </c>
      <c r="Q830" t="n">
        <v>0</v>
      </c>
      <c r="R830" s="2" t="inlineStr"/>
    </row>
    <row r="831" ht="15" customHeight="1">
      <c r="A831" t="inlineStr">
        <is>
          <t>A 22361-2022</t>
        </is>
      </c>
      <c r="B831" s="1" t="n">
        <v>44713</v>
      </c>
      <c r="C831" s="1" t="n">
        <v>45883</v>
      </c>
      <c r="D831" t="inlineStr">
        <is>
          <t>GÄVLEBORGS LÄN</t>
        </is>
      </c>
      <c r="E831" t="inlineStr">
        <is>
          <t>NORDANSTIG</t>
        </is>
      </c>
      <c r="G831" t="n">
        <v>2</v>
      </c>
      <c r="H831" t="n">
        <v>0</v>
      </c>
      <c r="I831" t="n">
        <v>0</v>
      </c>
      <c r="J831" t="n">
        <v>0</v>
      </c>
      <c r="K831" t="n">
        <v>0</v>
      </c>
      <c r="L831" t="n">
        <v>0</v>
      </c>
      <c r="M831" t="n">
        <v>0</v>
      </c>
      <c r="N831" t="n">
        <v>0</v>
      </c>
      <c r="O831" t="n">
        <v>0</v>
      </c>
      <c r="P831" t="n">
        <v>0</v>
      </c>
      <c r="Q831" t="n">
        <v>0</v>
      </c>
      <c r="R831" s="2" t="inlineStr"/>
    </row>
    <row r="832" ht="15" customHeight="1">
      <c r="A832" t="inlineStr">
        <is>
          <t>A 22362-2022</t>
        </is>
      </c>
      <c r="B832" s="1" t="n">
        <v>44713</v>
      </c>
      <c r="C832" s="1" t="n">
        <v>45883</v>
      </c>
      <c r="D832" t="inlineStr">
        <is>
          <t>GÄVLEBORGS LÄN</t>
        </is>
      </c>
      <c r="E832" t="inlineStr">
        <is>
          <t>NORDANSTIG</t>
        </is>
      </c>
      <c r="F832" t="inlineStr">
        <is>
          <t>Holmen skog AB</t>
        </is>
      </c>
      <c r="G832" t="n">
        <v>2.3</v>
      </c>
      <c r="H832" t="n">
        <v>0</v>
      </c>
      <c r="I832" t="n">
        <v>0</v>
      </c>
      <c r="J832" t="n">
        <v>0</v>
      </c>
      <c r="K832" t="n">
        <v>0</v>
      </c>
      <c r="L832" t="n">
        <v>0</v>
      </c>
      <c r="M832" t="n">
        <v>0</v>
      </c>
      <c r="N832" t="n">
        <v>0</v>
      </c>
      <c r="O832" t="n">
        <v>0</v>
      </c>
      <c r="P832" t="n">
        <v>0</v>
      </c>
      <c r="Q832" t="n">
        <v>0</v>
      </c>
      <c r="R832" s="2" t="inlineStr"/>
    </row>
    <row r="833" ht="15" customHeight="1">
      <c r="A833" t="inlineStr">
        <is>
          <t>A 17935-2021</t>
        </is>
      </c>
      <c r="B833" s="1" t="n">
        <v>44301.56144675926</v>
      </c>
      <c r="C833" s="1" t="n">
        <v>45883</v>
      </c>
      <c r="D833" t="inlineStr">
        <is>
          <t>GÄVLEBORGS LÄN</t>
        </is>
      </c>
      <c r="E833" t="inlineStr">
        <is>
          <t>BOLLNÄS</t>
        </is>
      </c>
      <c r="G833" t="n">
        <v>1.3</v>
      </c>
      <c r="H833" t="n">
        <v>0</v>
      </c>
      <c r="I833" t="n">
        <v>0</v>
      </c>
      <c r="J833" t="n">
        <v>0</v>
      </c>
      <c r="K833" t="n">
        <v>0</v>
      </c>
      <c r="L833" t="n">
        <v>0</v>
      </c>
      <c r="M833" t="n">
        <v>0</v>
      </c>
      <c r="N833" t="n">
        <v>0</v>
      </c>
      <c r="O833" t="n">
        <v>0</v>
      </c>
      <c r="P833" t="n">
        <v>0</v>
      </c>
      <c r="Q833" t="n">
        <v>0</v>
      </c>
      <c r="R833" s="2" t="inlineStr"/>
    </row>
    <row r="834" ht="15" customHeight="1">
      <c r="A834" t="inlineStr">
        <is>
          <t>A 49726-2022</t>
        </is>
      </c>
      <c r="B834" s="1" t="n">
        <v>44862.55981481481</v>
      </c>
      <c r="C834" s="1" t="n">
        <v>45883</v>
      </c>
      <c r="D834" t="inlineStr">
        <is>
          <t>GÄVLEBORGS LÄN</t>
        </is>
      </c>
      <c r="E834" t="inlineStr">
        <is>
          <t>LJUSDAL</t>
        </is>
      </c>
      <c r="G834" t="n">
        <v>3.7</v>
      </c>
      <c r="H834" t="n">
        <v>0</v>
      </c>
      <c r="I834" t="n">
        <v>0</v>
      </c>
      <c r="J834" t="n">
        <v>0</v>
      </c>
      <c r="K834" t="n">
        <v>0</v>
      </c>
      <c r="L834" t="n">
        <v>0</v>
      </c>
      <c r="M834" t="n">
        <v>0</v>
      </c>
      <c r="N834" t="n">
        <v>0</v>
      </c>
      <c r="O834" t="n">
        <v>0</v>
      </c>
      <c r="P834" t="n">
        <v>0</v>
      </c>
      <c r="Q834" t="n">
        <v>0</v>
      </c>
      <c r="R834" s="2" t="inlineStr"/>
    </row>
    <row r="835" ht="15" customHeight="1">
      <c r="A835" t="inlineStr">
        <is>
          <t>A 9261-2022</t>
        </is>
      </c>
      <c r="B835" s="1" t="n">
        <v>44616</v>
      </c>
      <c r="C835" s="1" t="n">
        <v>45883</v>
      </c>
      <c r="D835" t="inlineStr">
        <is>
          <t>GÄVLEBORGS LÄN</t>
        </is>
      </c>
      <c r="E835" t="inlineStr">
        <is>
          <t>SÖDERHAMN</t>
        </is>
      </c>
      <c r="G835" t="n">
        <v>1.7</v>
      </c>
      <c r="H835" t="n">
        <v>0</v>
      </c>
      <c r="I835" t="n">
        <v>0</v>
      </c>
      <c r="J835" t="n">
        <v>0</v>
      </c>
      <c r="K835" t="n">
        <v>0</v>
      </c>
      <c r="L835" t="n">
        <v>0</v>
      </c>
      <c r="M835" t="n">
        <v>0</v>
      </c>
      <c r="N835" t="n">
        <v>0</v>
      </c>
      <c r="O835" t="n">
        <v>0</v>
      </c>
      <c r="P835" t="n">
        <v>0</v>
      </c>
      <c r="Q835" t="n">
        <v>0</v>
      </c>
      <c r="R835" s="2" t="inlineStr"/>
    </row>
    <row r="836" ht="15" customHeight="1">
      <c r="A836" t="inlineStr">
        <is>
          <t>A 63731-2021</t>
        </is>
      </c>
      <c r="B836" s="1" t="n">
        <v>44509</v>
      </c>
      <c r="C836" s="1" t="n">
        <v>45883</v>
      </c>
      <c r="D836" t="inlineStr">
        <is>
          <t>GÄVLEBORGS LÄN</t>
        </is>
      </c>
      <c r="E836" t="inlineStr">
        <is>
          <t>OCKELBO</t>
        </is>
      </c>
      <c r="G836" t="n">
        <v>2.1</v>
      </c>
      <c r="H836" t="n">
        <v>0</v>
      </c>
      <c r="I836" t="n">
        <v>0</v>
      </c>
      <c r="J836" t="n">
        <v>0</v>
      </c>
      <c r="K836" t="n">
        <v>0</v>
      </c>
      <c r="L836" t="n">
        <v>0</v>
      </c>
      <c r="M836" t="n">
        <v>0</v>
      </c>
      <c r="N836" t="n">
        <v>0</v>
      </c>
      <c r="O836" t="n">
        <v>0</v>
      </c>
      <c r="P836" t="n">
        <v>0</v>
      </c>
      <c r="Q836" t="n">
        <v>0</v>
      </c>
      <c r="R836" s="2" t="inlineStr"/>
    </row>
    <row r="837" ht="15" customHeight="1">
      <c r="A837" t="inlineStr">
        <is>
          <t>A 63760-2021</t>
        </is>
      </c>
      <c r="B837" s="1" t="n">
        <v>44509.48017361111</v>
      </c>
      <c r="C837" s="1" t="n">
        <v>45883</v>
      </c>
      <c r="D837" t="inlineStr">
        <is>
          <t>GÄVLEBORGS LÄN</t>
        </is>
      </c>
      <c r="E837" t="inlineStr">
        <is>
          <t>LJUSDAL</t>
        </is>
      </c>
      <c r="F837" t="inlineStr">
        <is>
          <t>Holmen skog AB</t>
        </is>
      </c>
      <c r="G837" t="n">
        <v>1.2</v>
      </c>
      <c r="H837" t="n">
        <v>0</v>
      </c>
      <c r="I837" t="n">
        <v>0</v>
      </c>
      <c r="J837" t="n">
        <v>0</v>
      </c>
      <c r="K837" t="n">
        <v>0</v>
      </c>
      <c r="L837" t="n">
        <v>0</v>
      </c>
      <c r="M837" t="n">
        <v>0</v>
      </c>
      <c r="N837" t="n">
        <v>0</v>
      </c>
      <c r="O837" t="n">
        <v>0</v>
      </c>
      <c r="P837" t="n">
        <v>0</v>
      </c>
      <c r="Q837" t="n">
        <v>0</v>
      </c>
      <c r="R837" s="2" t="inlineStr"/>
    </row>
    <row r="838" ht="15" customHeight="1">
      <c r="A838" t="inlineStr">
        <is>
          <t>A 51590-2022</t>
        </is>
      </c>
      <c r="B838" s="1" t="n">
        <v>44871.51618055555</v>
      </c>
      <c r="C838" s="1" t="n">
        <v>45883</v>
      </c>
      <c r="D838" t="inlineStr">
        <is>
          <t>GÄVLEBORGS LÄN</t>
        </is>
      </c>
      <c r="E838" t="inlineStr">
        <is>
          <t>HUDIKSVALL</t>
        </is>
      </c>
      <c r="G838" t="n">
        <v>1.6</v>
      </c>
      <c r="H838" t="n">
        <v>0</v>
      </c>
      <c r="I838" t="n">
        <v>0</v>
      </c>
      <c r="J838" t="n">
        <v>0</v>
      </c>
      <c r="K838" t="n">
        <v>0</v>
      </c>
      <c r="L838" t="n">
        <v>0</v>
      </c>
      <c r="M838" t="n">
        <v>0</v>
      </c>
      <c r="N838" t="n">
        <v>0</v>
      </c>
      <c r="O838" t="n">
        <v>0</v>
      </c>
      <c r="P838" t="n">
        <v>0</v>
      </c>
      <c r="Q838" t="n">
        <v>0</v>
      </c>
      <c r="R838" s="2" t="inlineStr"/>
    </row>
    <row r="839" ht="15" customHeight="1">
      <c r="A839" t="inlineStr">
        <is>
          <t>A 43875-2022</t>
        </is>
      </c>
      <c r="B839" s="1" t="n">
        <v>44837</v>
      </c>
      <c r="C839" s="1" t="n">
        <v>45883</v>
      </c>
      <c r="D839" t="inlineStr">
        <is>
          <t>GÄVLEBORGS LÄN</t>
        </is>
      </c>
      <c r="E839" t="inlineStr">
        <is>
          <t>SÖDERHAMN</t>
        </is>
      </c>
      <c r="G839" t="n">
        <v>15.1</v>
      </c>
      <c r="H839" t="n">
        <v>0</v>
      </c>
      <c r="I839" t="n">
        <v>0</v>
      </c>
      <c r="J839" t="n">
        <v>0</v>
      </c>
      <c r="K839" t="n">
        <v>0</v>
      </c>
      <c r="L839" t="n">
        <v>0</v>
      </c>
      <c r="M839" t="n">
        <v>0</v>
      </c>
      <c r="N839" t="n">
        <v>0</v>
      </c>
      <c r="O839" t="n">
        <v>0</v>
      </c>
      <c r="P839" t="n">
        <v>0</v>
      </c>
      <c r="Q839" t="n">
        <v>0</v>
      </c>
      <c r="R839" s="2" t="inlineStr"/>
    </row>
    <row r="840" ht="15" customHeight="1">
      <c r="A840" t="inlineStr">
        <is>
          <t>A 33410-2021</t>
        </is>
      </c>
      <c r="B840" s="1" t="n">
        <v>44377</v>
      </c>
      <c r="C840" s="1" t="n">
        <v>45883</v>
      </c>
      <c r="D840" t="inlineStr">
        <is>
          <t>GÄVLEBORGS LÄN</t>
        </is>
      </c>
      <c r="E840" t="inlineStr">
        <is>
          <t>SANDVIKEN</t>
        </is>
      </c>
      <c r="G840" t="n">
        <v>3.4</v>
      </c>
      <c r="H840" t="n">
        <v>0</v>
      </c>
      <c r="I840" t="n">
        <v>0</v>
      </c>
      <c r="J840" t="n">
        <v>0</v>
      </c>
      <c r="K840" t="n">
        <v>0</v>
      </c>
      <c r="L840" t="n">
        <v>0</v>
      </c>
      <c r="M840" t="n">
        <v>0</v>
      </c>
      <c r="N840" t="n">
        <v>0</v>
      </c>
      <c r="O840" t="n">
        <v>0</v>
      </c>
      <c r="P840" t="n">
        <v>0</v>
      </c>
      <c r="Q840" t="n">
        <v>0</v>
      </c>
      <c r="R840" s="2" t="inlineStr"/>
    </row>
    <row r="841" ht="15" customHeight="1">
      <c r="A841" t="inlineStr">
        <is>
          <t>A 20193-2021</t>
        </is>
      </c>
      <c r="B841" s="1" t="n">
        <v>44314.57642361111</v>
      </c>
      <c r="C841" s="1" t="n">
        <v>45883</v>
      </c>
      <c r="D841" t="inlineStr">
        <is>
          <t>GÄVLEBORGS LÄN</t>
        </is>
      </c>
      <c r="E841" t="inlineStr">
        <is>
          <t>BOLLNÄS</t>
        </is>
      </c>
      <c r="G841" t="n">
        <v>0.6</v>
      </c>
      <c r="H841" t="n">
        <v>0</v>
      </c>
      <c r="I841" t="n">
        <v>0</v>
      </c>
      <c r="J841" t="n">
        <v>0</v>
      </c>
      <c r="K841" t="n">
        <v>0</v>
      </c>
      <c r="L841" t="n">
        <v>0</v>
      </c>
      <c r="M841" t="n">
        <v>0</v>
      </c>
      <c r="N841" t="n">
        <v>0</v>
      </c>
      <c r="O841" t="n">
        <v>0</v>
      </c>
      <c r="P841" t="n">
        <v>0</v>
      </c>
      <c r="Q841" t="n">
        <v>0</v>
      </c>
      <c r="R841" s="2" t="inlineStr"/>
    </row>
    <row r="842" ht="15" customHeight="1">
      <c r="A842" t="inlineStr">
        <is>
          <t>A 7095-2022</t>
        </is>
      </c>
      <c r="B842" s="1" t="n">
        <v>44603.60409722223</v>
      </c>
      <c r="C842" s="1" t="n">
        <v>45883</v>
      </c>
      <c r="D842" t="inlineStr">
        <is>
          <t>GÄVLEBORGS LÄN</t>
        </is>
      </c>
      <c r="E842" t="inlineStr">
        <is>
          <t>BOLLNÄS</t>
        </is>
      </c>
      <c r="G842" t="n">
        <v>4.1</v>
      </c>
      <c r="H842" t="n">
        <v>0</v>
      </c>
      <c r="I842" t="n">
        <v>0</v>
      </c>
      <c r="J842" t="n">
        <v>0</v>
      </c>
      <c r="K842" t="n">
        <v>0</v>
      </c>
      <c r="L842" t="n">
        <v>0</v>
      </c>
      <c r="M842" t="n">
        <v>0</v>
      </c>
      <c r="N842" t="n">
        <v>0</v>
      </c>
      <c r="O842" t="n">
        <v>0</v>
      </c>
      <c r="P842" t="n">
        <v>0</v>
      </c>
      <c r="Q842" t="n">
        <v>0</v>
      </c>
      <c r="R842" s="2" t="inlineStr"/>
    </row>
    <row r="843" ht="15" customHeight="1">
      <c r="A843" t="inlineStr">
        <is>
          <t>A 7096-2022</t>
        </is>
      </c>
      <c r="B843" s="1" t="n">
        <v>44603.60658564815</v>
      </c>
      <c r="C843" s="1" t="n">
        <v>45883</v>
      </c>
      <c r="D843" t="inlineStr">
        <is>
          <t>GÄVLEBORGS LÄN</t>
        </is>
      </c>
      <c r="E843" t="inlineStr">
        <is>
          <t>BOLLNÄS</t>
        </is>
      </c>
      <c r="G843" t="n">
        <v>1.7</v>
      </c>
      <c r="H843" t="n">
        <v>0</v>
      </c>
      <c r="I843" t="n">
        <v>0</v>
      </c>
      <c r="J843" t="n">
        <v>0</v>
      </c>
      <c r="K843" t="n">
        <v>0</v>
      </c>
      <c r="L843" t="n">
        <v>0</v>
      </c>
      <c r="M843" t="n">
        <v>0</v>
      </c>
      <c r="N843" t="n">
        <v>0</v>
      </c>
      <c r="O843" t="n">
        <v>0</v>
      </c>
      <c r="P843" t="n">
        <v>0</v>
      </c>
      <c r="Q843" t="n">
        <v>0</v>
      </c>
      <c r="R843" s="2" t="inlineStr"/>
    </row>
    <row r="844" ht="15" customHeight="1">
      <c r="A844" t="inlineStr">
        <is>
          <t>A 7099-2022</t>
        </is>
      </c>
      <c r="B844" s="1" t="n">
        <v>44603.6125925926</v>
      </c>
      <c r="C844" s="1" t="n">
        <v>45883</v>
      </c>
      <c r="D844" t="inlineStr">
        <is>
          <t>GÄVLEBORGS LÄN</t>
        </is>
      </c>
      <c r="E844" t="inlineStr">
        <is>
          <t>BOLLNÄS</t>
        </is>
      </c>
      <c r="G844" t="n">
        <v>1.3</v>
      </c>
      <c r="H844" t="n">
        <v>0</v>
      </c>
      <c r="I844" t="n">
        <v>0</v>
      </c>
      <c r="J844" t="n">
        <v>0</v>
      </c>
      <c r="K844" t="n">
        <v>0</v>
      </c>
      <c r="L844" t="n">
        <v>0</v>
      </c>
      <c r="M844" t="n">
        <v>0</v>
      </c>
      <c r="N844" t="n">
        <v>0</v>
      </c>
      <c r="O844" t="n">
        <v>0</v>
      </c>
      <c r="P844" t="n">
        <v>0</v>
      </c>
      <c r="Q844" t="n">
        <v>0</v>
      </c>
      <c r="R844" s="2" t="inlineStr"/>
    </row>
    <row r="845" ht="15" customHeight="1">
      <c r="A845" t="inlineStr">
        <is>
          <t>A 23029-2022</t>
        </is>
      </c>
      <c r="B845" s="1" t="n">
        <v>44719</v>
      </c>
      <c r="C845" s="1" t="n">
        <v>45883</v>
      </c>
      <c r="D845" t="inlineStr">
        <is>
          <t>GÄVLEBORGS LÄN</t>
        </is>
      </c>
      <c r="E845" t="inlineStr">
        <is>
          <t>OVANÅKER</t>
        </is>
      </c>
      <c r="G845" t="n">
        <v>0.5</v>
      </c>
      <c r="H845" t="n">
        <v>0</v>
      </c>
      <c r="I845" t="n">
        <v>0</v>
      </c>
      <c r="J845" t="n">
        <v>0</v>
      </c>
      <c r="K845" t="n">
        <v>0</v>
      </c>
      <c r="L845" t="n">
        <v>0</v>
      </c>
      <c r="M845" t="n">
        <v>0</v>
      </c>
      <c r="N845" t="n">
        <v>0</v>
      </c>
      <c r="O845" t="n">
        <v>0</v>
      </c>
      <c r="P845" t="n">
        <v>0</v>
      </c>
      <c r="Q845" t="n">
        <v>0</v>
      </c>
      <c r="R845" s="2" t="inlineStr"/>
    </row>
    <row r="846" ht="15" customHeight="1">
      <c r="A846" t="inlineStr">
        <is>
          <t>A 26349-2022</t>
        </is>
      </c>
      <c r="B846" s="1" t="n">
        <v>44735</v>
      </c>
      <c r="C846" s="1" t="n">
        <v>45883</v>
      </c>
      <c r="D846" t="inlineStr">
        <is>
          <t>GÄVLEBORGS LÄN</t>
        </is>
      </c>
      <c r="E846" t="inlineStr">
        <is>
          <t>GÄVLE</t>
        </is>
      </c>
      <c r="G846" t="n">
        <v>2.3</v>
      </c>
      <c r="H846" t="n">
        <v>0</v>
      </c>
      <c r="I846" t="n">
        <v>0</v>
      </c>
      <c r="J846" t="n">
        <v>0</v>
      </c>
      <c r="K846" t="n">
        <v>0</v>
      </c>
      <c r="L846" t="n">
        <v>0</v>
      </c>
      <c r="M846" t="n">
        <v>0</v>
      </c>
      <c r="N846" t="n">
        <v>0</v>
      </c>
      <c r="O846" t="n">
        <v>0</v>
      </c>
      <c r="P846" t="n">
        <v>0</v>
      </c>
      <c r="Q846" t="n">
        <v>0</v>
      </c>
      <c r="R846" s="2" t="inlineStr"/>
    </row>
    <row r="847" ht="15" customHeight="1">
      <c r="A847" t="inlineStr">
        <is>
          <t>A 31336-2022</t>
        </is>
      </c>
      <c r="B847" s="1" t="n">
        <v>44774</v>
      </c>
      <c r="C847" s="1" t="n">
        <v>45883</v>
      </c>
      <c r="D847" t="inlineStr">
        <is>
          <t>GÄVLEBORGS LÄN</t>
        </is>
      </c>
      <c r="E847" t="inlineStr">
        <is>
          <t>LJUSDAL</t>
        </is>
      </c>
      <c r="F847" t="inlineStr">
        <is>
          <t>Holmen skog AB</t>
        </is>
      </c>
      <c r="G847" t="n">
        <v>3.5</v>
      </c>
      <c r="H847" t="n">
        <v>0</v>
      </c>
      <c r="I847" t="n">
        <v>0</v>
      </c>
      <c r="J847" t="n">
        <v>0</v>
      </c>
      <c r="K847" t="n">
        <v>0</v>
      </c>
      <c r="L847" t="n">
        <v>0</v>
      </c>
      <c r="M847" t="n">
        <v>0</v>
      </c>
      <c r="N847" t="n">
        <v>0</v>
      </c>
      <c r="O847" t="n">
        <v>0</v>
      </c>
      <c r="P847" t="n">
        <v>0</v>
      </c>
      <c r="Q847" t="n">
        <v>0</v>
      </c>
      <c r="R847" s="2" t="inlineStr"/>
    </row>
    <row r="848" ht="15" customHeight="1">
      <c r="A848" t="inlineStr">
        <is>
          <t>A 31378-2022</t>
        </is>
      </c>
      <c r="B848" s="1" t="n">
        <v>44774</v>
      </c>
      <c r="C848" s="1" t="n">
        <v>45883</v>
      </c>
      <c r="D848" t="inlineStr">
        <is>
          <t>GÄVLEBORGS LÄN</t>
        </is>
      </c>
      <c r="E848" t="inlineStr">
        <is>
          <t>LJUSDAL</t>
        </is>
      </c>
      <c r="F848" t="inlineStr">
        <is>
          <t>Holmen skog AB</t>
        </is>
      </c>
      <c r="G848" t="n">
        <v>3.9</v>
      </c>
      <c r="H848" t="n">
        <v>0</v>
      </c>
      <c r="I848" t="n">
        <v>0</v>
      </c>
      <c r="J848" t="n">
        <v>0</v>
      </c>
      <c r="K848" t="n">
        <v>0</v>
      </c>
      <c r="L848" t="n">
        <v>0</v>
      </c>
      <c r="M848" t="n">
        <v>0</v>
      </c>
      <c r="N848" t="n">
        <v>0</v>
      </c>
      <c r="O848" t="n">
        <v>0</v>
      </c>
      <c r="P848" t="n">
        <v>0</v>
      </c>
      <c r="Q848" t="n">
        <v>0</v>
      </c>
      <c r="R848" s="2" t="inlineStr"/>
    </row>
    <row r="849" ht="15" customHeight="1">
      <c r="A849" t="inlineStr">
        <is>
          <t>A 15902-2021</t>
        </is>
      </c>
      <c r="B849" s="1" t="n">
        <v>44287</v>
      </c>
      <c r="C849" s="1" t="n">
        <v>45883</v>
      </c>
      <c r="D849" t="inlineStr">
        <is>
          <t>GÄVLEBORGS LÄN</t>
        </is>
      </c>
      <c r="E849" t="inlineStr">
        <is>
          <t>OVANÅKER</t>
        </is>
      </c>
      <c r="G849" t="n">
        <v>1.6</v>
      </c>
      <c r="H849" t="n">
        <v>0</v>
      </c>
      <c r="I849" t="n">
        <v>0</v>
      </c>
      <c r="J849" t="n">
        <v>0</v>
      </c>
      <c r="K849" t="n">
        <v>0</v>
      </c>
      <c r="L849" t="n">
        <v>0</v>
      </c>
      <c r="M849" t="n">
        <v>0</v>
      </c>
      <c r="N849" t="n">
        <v>0</v>
      </c>
      <c r="O849" t="n">
        <v>0</v>
      </c>
      <c r="P849" t="n">
        <v>0</v>
      </c>
      <c r="Q849" t="n">
        <v>0</v>
      </c>
      <c r="R849" s="2" t="inlineStr"/>
    </row>
    <row r="850" ht="15" customHeight="1">
      <c r="A850" t="inlineStr">
        <is>
          <t>A 26939-2022</t>
        </is>
      </c>
      <c r="B850" s="1" t="n">
        <v>44740</v>
      </c>
      <c r="C850" s="1" t="n">
        <v>45883</v>
      </c>
      <c r="D850" t="inlineStr">
        <is>
          <t>GÄVLEBORGS LÄN</t>
        </is>
      </c>
      <c r="E850" t="inlineStr">
        <is>
          <t>SÖDERHAMN</t>
        </is>
      </c>
      <c r="G850" t="n">
        <v>0.2</v>
      </c>
      <c r="H850" t="n">
        <v>0</v>
      </c>
      <c r="I850" t="n">
        <v>0</v>
      </c>
      <c r="J850" t="n">
        <v>0</v>
      </c>
      <c r="K850" t="n">
        <v>0</v>
      </c>
      <c r="L850" t="n">
        <v>0</v>
      </c>
      <c r="M850" t="n">
        <v>0</v>
      </c>
      <c r="N850" t="n">
        <v>0</v>
      </c>
      <c r="O850" t="n">
        <v>0</v>
      </c>
      <c r="P850" t="n">
        <v>0</v>
      </c>
      <c r="Q850" t="n">
        <v>0</v>
      </c>
      <c r="R850" s="2" t="inlineStr"/>
    </row>
    <row r="851" ht="15" customHeight="1">
      <c r="A851" t="inlineStr">
        <is>
          <t>A 25149-2021</t>
        </is>
      </c>
      <c r="B851" s="1" t="n">
        <v>44341.91979166667</v>
      </c>
      <c r="C851" s="1" t="n">
        <v>45883</v>
      </c>
      <c r="D851" t="inlineStr">
        <is>
          <t>GÄVLEBORGS LÄN</t>
        </is>
      </c>
      <c r="E851" t="inlineStr">
        <is>
          <t>HUDIKSVALL</t>
        </is>
      </c>
      <c r="G851" t="n">
        <v>1.8</v>
      </c>
      <c r="H851" t="n">
        <v>0</v>
      </c>
      <c r="I851" t="n">
        <v>0</v>
      </c>
      <c r="J851" t="n">
        <v>0</v>
      </c>
      <c r="K851" t="n">
        <v>0</v>
      </c>
      <c r="L851" t="n">
        <v>0</v>
      </c>
      <c r="M851" t="n">
        <v>0</v>
      </c>
      <c r="N851" t="n">
        <v>0</v>
      </c>
      <c r="O851" t="n">
        <v>0</v>
      </c>
      <c r="P851" t="n">
        <v>0</v>
      </c>
      <c r="Q851" t="n">
        <v>0</v>
      </c>
      <c r="R851" s="2" t="inlineStr"/>
    </row>
    <row r="852" ht="15" customHeight="1">
      <c r="A852" t="inlineStr">
        <is>
          <t>A 49913-2020</t>
        </is>
      </c>
      <c r="B852" s="1" t="n">
        <v>44109</v>
      </c>
      <c r="C852" s="1" t="n">
        <v>45883</v>
      </c>
      <c r="D852" t="inlineStr">
        <is>
          <t>GÄVLEBORGS LÄN</t>
        </is>
      </c>
      <c r="E852" t="inlineStr">
        <is>
          <t>LJUSDAL</t>
        </is>
      </c>
      <c r="F852" t="inlineStr">
        <is>
          <t>Kommuner</t>
        </is>
      </c>
      <c r="G852" t="n">
        <v>6.7</v>
      </c>
      <c r="H852" t="n">
        <v>0</v>
      </c>
      <c r="I852" t="n">
        <v>0</v>
      </c>
      <c r="J852" t="n">
        <v>0</v>
      </c>
      <c r="K852" t="n">
        <v>0</v>
      </c>
      <c r="L852" t="n">
        <v>0</v>
      </c>
      <c r="M852" t="n">
        <v>0</v>
      </c>
      <c r="N852" t="n">
        <v>0</v>
      </c>
      <c r="O852" t="n">
        <v>0</v>
      </c>
      <c r="P852" t="n">
        <v>0</v>
      </c>
      <c r="Q852" t="n">
        <v>0</v>
      </c>
      <c r="R852" s="2" t="inlineStr"/>
    </row>
    <row r="853" ht="15" customHeight="1">
      <c r="A853" t="inlineStr">
        <is>
          <t>A 54660-2022</t>
        </is>
      </c>
      <c r="B853" s="1" t="n">
        <v>44883.44413194444</v>
      </c>
      <c r="C853" s="1" t="n">
        <v>45883</v>
      </c>
      <c r="D853" t="inlineStr">
        <is>
          <t>GÄVLEBORGS LÄN</t>
        </is>
      </c>
      <c r="E853" t="inlineStr">
        <is>
          <t>OVANÅKER</t>
        </is>
      </c>
      <c r="G853" t="n">
        <v>1.9</v>
      </c>
      <c r="H853" t="n">
        <v>0</v>
      </c>
      <c r="I853" t="n">
        <v>0</v>
      </c>
      <c r="J853" t="n">
        <v>0</v>
      </c>
      <c r="K853" t="n">
        <v>0</v>
      </c>
      <c r="L853" t="n">
        <v>0</v>
      </c>
      <c r="M853" t="n">
        <v>0</v>
      </c>
      <c r="N853" t="n">
        <v>0</v>
      </c>
      <c r="O853" t="n">
        <v>0</v>
      </c>
      <c r="P853" t="n">
        <v>0</v>
      </c>
      <c r="Q853" t="n">
        <v>0</v>
      </c>
      <c r="R853" s="2" t="inlineStr"/>
    </row>
    <row r="854" ht="15" customHeight="1">
      <c r="A854" t="inlineStr">
        <is>
          <t>A 50818-2022</t>
        </is>
      </c>
      <c r="B854" s="1" t="n">
        <v>44867</v>
      </c>
      <c r="C854" s="1" t="n">
        <v>45883</v>
      </c>
      <c r="D854" t="inlineStr">
        <is>
          <t>GÄVLEBORGS LÄN</t>
        </is>
      </c>
      <c r="E854" t="inlineStr">
        <is>
          <t>HUDIKSVALL</t>
        </is>
      </c>
      <c r="G854" t="n">
        <v>0.9</v>
      </c>
      <c r="H854" t="n">
        <v>0</v>
      </c>
      <c r="I854" t="n">
        <v>0</v>
      </c>
      <c r="J854" t="n">
        <v>0</v>
      </c>
      <c r="K854" t="n">
        <v>0</v>
      </c>
      <c r="L854" t="n">
        <v>0</v>
      </c>
      <c r="M854" t="n">
        <v>0</v>
      </c>
      <c r="N854" t="n">
        <v>0</v>
      </c>
      <c r="O854" t="n">
        <v>0</v>
      </c>
      <c r="P854" t="n">
        <v>0</v>
      </c>
      <c r="Q854" t="n">
        <v>0</v>
      </c>
      <c r="R854" s="2" t="inlineStr"/>
    </row>
    <row r="855" ht="15" customHeight="1">
      <c r="A855" t="inlineStr">
        <is>
          <t>A 46346-2020</t>
        </is>
      </c>
      <c r="B855" s="1" t="n">
        <v>44092.6435300926</v>
      </c>
      <c r="C855" s="1" t="n">
        <v>45883</v>
      </c>
      <c r="D855" t="inlineStr">
        <is>
          <t>GÄVLEBORGS LÄN</t>
        </is>
      </c>
      <c r="E855" t="inlineStr">
        <is>
          <t>NORDANSTIG</t>
        </is>
      </c>
      <c r="G855" t="n">
        <v>3</v>
      </c>
      <c r="H855" t="n">
        <v>0</v>
      </c>
      <c r="I855" t="n">
        <v>0</v>
      </c>
      <c r="J855" t="n">
        <v>0</v>
      </c>
      <c r="K855" t="n">
        <v>0</v>
      </c>
      <c r="L855" t="n">
        <v>0</v>
      </c>
      <c r="M855" t="n">
        <v>0</v>
      </c>
      <c r="N855" t="n">
        <v>0</v>
      </c>
      <c r="O855" t="n">
        <v>0</v>
      </c>
      <c r="P855" t="n">
        <v>0</v>
      </c>
      <c r="Q855" t="n">
        <v>0</v>
      </c>
      <c r="R855" s="2" t="inlineStr"/>
    </row>
    <row r="856" ht="15" customHeight="1">
      <c r="A856" t="inlineStr">
        <is>
          <t>A 44486-2020</t>
        </is>
      </c>
      <c r="B856" s="1" t="n">
        <v>44084</v>
      </c>
      <c r="C856" s="1" t="n">
        <v>45883</v>
      </c>
      <c r="D856" t="inlineStr">
        <is>
          <t>GÄVLEBORGS LÄN</t>
        </is>
      </c>
      <c r="E856" t="inlineStr">
        <is>
          <t>HUDIKSVALL</t>
        </is>
      </c>
      <c r="G856" t="n">
        <v>1</v>
      </c>
      <c r="H856" t="n">
        <v>0</v>
      </c>
      <c r="I856" t="n">
        <v>0</v>
      </c>
      <c r="J856" t="n">
        <v>0</v>
      </c>
      <c r="K856" t="n">
        <v>0</v>
      </c>
      <c r="L856" t="n">
        <v>0</v>
      </c>
      <c r="M856" t="n">
        <v>0</v>
      </c>
      <c r="N856" t="n">
        <v>0</v>
      </c>
      <c r="O856" t="n">
        <v>0</v>
      </c>
      <c r="P856" t="n">
        <v>0</v>
      </c>
      <c r="Q856" t="n">
        <v>0</v>
      </c>
      <c r="R856" s="2" t="inlineStr"/>
    </row>
    <row r="857" ht="15" customHeight="1">
      <c r="A857" t="inlineStr">
        <is>
          <t>A 49716-2022</t>
        </is>
      </c>
      <c r="B857" s="1" t="n">
        <v>44862.5474537037</v>
      </c>
      <c r="C857" s="1" t="n">
        <v>45883</v>
      </c>
      <c r="D857" t="inlineStr">
        <is>
          <t>GÄVLEBORGS LÄN</t>
        </is>
      </c>
      <c r="E857" t="inlineStr">
        <is>
          <t>LJUSDAL</t>
        </is>
      </c>
      <c r="G857" t="n">
        <v>13.7</v>
      </c>
      <c r="H857" t="n">
        <v>0</v>
      </c>
      <c r="I857" t="n">
        <v>0</v>
      </c>
      <c r="J857" t="n">
        <v>0</v>
      </c>
      <c r="K857" t="n">
        <v>0</v>
      </c>
      <c r="L857" t="n">
        <v>0</v>
      </c>
      <c r="M857" t="n">
        <v>0</v>
      </c>
      <c r="N857" t="n">
        <v>0</v>
      </c>
      <c r="O857" t="n">
        <v>0</v>
      </c>
      <c r="P857" t="n">
        <v>0</v>
      </c>
      <c r="Q857" t="n">
        <v>0</v>
      </c>
      <c r="R857" s="2" t="inlineStr"/>
    </row>
    <row r="858" ht="15" customHeight="1">
      <c r="A858" t="inlineStr">
        <is>
          <t>A 47485-2021</t>
        </is>
      </c>
      <c r="B858" s="1" t="n">
        <v>44447.66321759259</v>
      </c>
      <c r="C858" s="1" t="n">
        <v>45883</v>
      </c>
      <c r="D858" t="inlineStr">
        <is>
          <t>GÄVLEBORGS LÄN</t>
        </is>
      </c>
      <c r="E858" t="inlineStr">
        <is>
          <t>HOFORS</t>
        </is>
      </c>
      <c r="G858" t="n">
        <v>1</v>
      </c>
      <c r="H858" t="n">
        <v>0</v>
      </c>
      <c r="I858" t="n">
        <v>0</v>
      </c>
      <c r="J858" t="n">
        <v>0</v>
      </c>
      <c r="K858" t="n">
        <v>0</v>
      </c>
      <c r="L858" t="n">
        <v>0</v>
      </c>
      <c r="M858" t="n">
        <v>0</v>
      </c>
      <c r="N858" t="n">
        <v>0</v>
      </c>
      <c r="O858" t="n">
        <v>0</v>
      </c>
      <c r="P858" t="n">
        <v>0</v>
      </c>
      <c r="Q858" t="n">
        <v>0</v>
      </c>
      <c r="R858" s="2" t="inlineStr"/>
    </row>
    <row r="859" ht="15" customHeight="1">
      <c r="A859" t="inlineStr">
        <is>
          <t>A 32849-2022</t>
        </is>
      </c>
      <c r="B859" s="1" t="n">
        <v>44784</v>
      </c>
      <c r="C859" s="1" t="n">
        <v>45883</v>
      </c>
      <c r="D859" t="inlineStr">
        <is>
          <t>GÄVLEBORGS LÄN</t>
        </is>
      </c>
      <c r="E859" t="inlineStr">
        <is>
          <t>SANDVIKEN</t>
        </is>
      </c>
      <c r="G859" t="n">
        <v>1.5</v>
      </c>
      <c r="H859" t="n">
        <v>0</v>
      </c>
      <c r="I859" t="n">
        <v>0</v>
      </c>
      <c r="J859" t="n">
        <v>0</v>
      </c>
      <c r="K859" t="n">
        <v>0</v>
      </c>
      <c r="L859" t="n">
        <v>0</v>
      </c>
      <c r="M859" t="n">
        <v>0</v>
      </c>
      <c r="N859" t="n">
        <v>0</v>
      </c>
      <c r="O859" t="n">
        <v>0</v>
      </c>
      <c r="P859" t="n">
        <v>0</v>
      </c>
      <c r="Q859" t="n">
        <v>0</v>
      </c>
      <c r="R859" s="2" t="inlineStr"/>
    </row>
    <row r="860" ht="15" customHeight="1">
      <c r="A860" t="inlineStr">
        <is>
          <t>A 42868-2020</t>
        </is>
      </c>
      <c r="B860" s="1" t="n">
        <v>44078</v>
      </c>
      <c r="C860" s="1" t="n">
        <v>45883</v>
      </c>
      <c r="D860" t="inlineStr">
        <is>
          <t>GÄVLEBORGS LÄN</t>
        </is>
      </c>
      <c r="E860" t="inlineStr">
        <is>
          <t>GÄVLE</t>
        </is>
      </c>
      <c r="G860" t="n">
        <v>4</v>
      </c>
      <c r="H860" t="n">
        <v>0</v>
      </c>
      <c r="I860" t="n">
        <v>0</v>
      </c>
      <c r="J860" t="n">
        <v>0</v>
      </c>
      <c r="K860" t="n">
        <v>0</v>
      </c>
      <c r="L860" t="n">
        <v>0</v>
      </c>
      <c r="M860" t="n">
        <v>0</v>
      </c>
      <c r="N860" t="n">
        <v>0</v>
      </c>
      <c r="O860" t="n">
        <v>0</v>
      </c>
      <c r="P860" t="n">
        <v>0</v>
      </c>
      <c r="Q860" t="n">
        <v>0</v>
      </c>
      <c r="R860" s="2" t="inlineStr"/>
    </row>
    <row r="861" ht="15" customHeight="1">
      <c r="A861" t="inlineStr">
        <is>
          <t>A 34718-2022</t>
        </is>
      </c>
      <c r="B861" s="1" t="n">
        <v>44795.58773148148</v>
      </c>
      <c r="C861" s="1" t="n">
        <v>45883</v>
      </c>
      <c r="D861" t="inlineStr">
        <is>
          <t>GÄVLEBORGS LÄN</t>
        </is>
      </c>
      <c r="E861" t="inlineStr">
        <is>
          <t>OCKELBO</t>
        </is>
      </c>
      <c r="G861" t="n">
        <v>0.5</v>
      </c>
      <c r="H861" t="n">
        <v>0</v>
      </c>
      <c r="I861" t="n">
        <v>0</v>
      </c>
      <c r="J861" t="n">
        <v>0</v>
      </c>
      <c r="K861" t="n">
        <v>0</v>
      </c>
      <c r="L861" t="n">
        <v>0</v>
      </c>
      <c r="M861" t="n">
        <v>0</v>
      </c>
      <c r="N861" t="n">
        <v>0</v>
      </c>
      <c r="O861" t="n">
        <v>0</v>
      </c>
      <c r="P861" t="n">
        <v>0</v>
      </c>
      <c r="Q861" t="n">
        <v>0</v>
      </c>
      <c r="R861" s="2" t="inlineStr"/>
    </row>
    <row r="862" ht="15" customHeight="1">
      <c r="A862" t="inlineStr">
        <is>
          <t>A 4759-2022</t>
        </is>
      </c>
      <c r="B862" s="1" t="n">
        <v>44592</v>
      </c>
      <c r="C862" s="1" t="n">
        <v>45883</v>
      </c>
      <c r="D862" t="inlineStr">
        <is>
          <t>GÄVLEBORGS LÄN</t>
        </is>
      </c>
      <c r="E862" t="inlineStr">
        <is>
          <t>HUDIKSVALL</t>
        </is>
      </c>
      <c r="G862" t="n">
        <v>0.8</v>
      </c>
      <c r="H862" t="n">
        <v>0</v>
      </c>
      <c r="I862" t="n">
        <v>0</v>
      </c>
      <c r="J862" t="n">
        <v>0</v>
      </c>
      <c r="K862" t="n">
        <v>0</v>
      </c>
      <c r="L862" t="n">
        <v>0</v>
      </c>
      <c r="M862" t="n">
        <v>0</v>
      </c>
      <c r="N862" t="n">
        <v>0</v>
      </c>
      <c r="O862" t="n">
        <v>0</v>
      </c>
      <c r="P862" t="n">
        <v>0</v>
      </c>
      <c r="Q862" t="n">
        <v>0</v>
      </c>
      <c r="R862" s="2" t="inlineStr"/>
    </row>
    <row r="863" ht="15" customHeight="1">
      <c r="A863" t="inlineStr">
        <is>
          <t>A 50877-2020</t>
        </is>
      </c>
      <c r="B863" s="1" t="n">
        <v>44111</v>
      </c>
      <c r="C863" s="1" t="n">
        <v>45883</v>
      </c>
      <c r="D863" t="inlineStr">
        <is>
          <t>GÄVLEBORGS LÄN</t>
        </is>
      </c>
      <c r="E863" t="inlineStr">
        <is>
          <t>SANDVIKEN</t>
        </is>
      </c>
      <c r="F863" t="inlineStr">
        <is>
          <t>Sveaskog</t>
        </is>
      </c>
      <c r="G863" t="n">
        <v>1.7</v>
      </c>
      <c r="H863" t="n">
        <v>0</v>
      </c>
      <c r="I863" t="n">
        <v>0</v>
      </c>
      <c r="J863" t="n">
        <v>0</v>
      </c>
      <c r="K863" t="n">
        <v>0</v>
      </c>
      <c r="L863" t="n">
        <v>0</v>
      </c>
      <c r="M863" t="n">
        <v>0</v>
      </c>
      <c r="N863" t="n">
        <v>0</v>
      </c>
      <c r="O863" t="n">
        <v>0</v>
      </c>
      <c r="P863" t="n">
        <v>0</v>
      </c>
      <c r="Q863" t="n">
        <v>0</v>
      </c>
      <c r="R863" s="2" t="inlineStr"/>
    </row>
    <row r="864" ht="15" customHeight="1">
      <c r="A864" t="inlineStr">
        <is>
          <t>A 24208-2022</t>
        </is>
      </c>
      <c r="B864" s="1" t="n">
        <v>44725.59231481481</v>
      </c>
      <c r="C864" s="1" t="n">
        <v>45883</v>
      </c>
      <c r="D864" t="inlineStr">
        <is>
          <t>GÄVLEBORGS LÄN</t>
        </is>
      </c>
      <c r="E864" t="inlineStr">
        <is>
          <t>LJUSDAL</t>
        </is>
      </c>
      <c r="G864" t="n">
        <v>1.4</v>
      </c>
      <c r="H864" t="n">
        <v>0</v>
      </c>
      <c r="I864" t="n">
        <v>0</v>
      </c>
      <c r="J864" t="n">
        <v>0</v>
      </c>
      <c r="K864" t="n">
        <v>0</v>
      </c>
      <c r="L864" t="n">
        <v>0</v>
      </c>
      <c r="M864" t="n">
        <v>0</v>
      </c>
      <c r="N864" t="n">
        <v>0</v>
      </c>
      <c r="O864" t="n">
        <v>0</v>
      </c>
      <c r="P864" t="n">
        <v>0</v>
      </c>
      <c r="Q864" t="n">
        <v>0</v>
      </c>
      <c r="R864" s="2" t="inlineStr"/>
    </row>
    <row r="865" ht="15" customHeight="1">
      <c r="A865" t="inlineStr">
        <is>
          <t>A 48875-2020</t>
        </is>
      </c>
      <c r="B865" s="1" t="n">
        <v>44104</v>
      </c>
      <c r="C865" s="1" t="n">
        <v>45883</v>
      </c>
      <c r="D865" t="inlineStr">
        <is>
          <t>GÄVLEBORGS LÄN</t>
        </is>
      </c>
      <c r="E865" t="inlineStr">
        <is>
          <t>SÖDERHAMN</t>
        </is>
      </c>
      <c r="G865" t="n">
        <v>1.9</v>
      </c>
      <c r="H865" t="n">
        <v>0</v>
      </c>
      <c r="I865" t="n">
        <v>0</v>
      </c>
      <c r="J865" t="n">
        <v>0</v>
      </c>
      <c r="K865" t="n">
        <v>0</v>
      </c>
      <c r="L865" t="n">
        <v>0</v>
      </c>
      <c r="M865" t="n">
        <v>0</v>
      </c>
      <c r="N865" t="n">
        <v>0</v>
      </c>
      <c r="O865" t="n">
        <v>0</v>
      </c>
      <c r="P865" t="n">
        <v>0</v>
      </c>
      <c r="Q865" t="n">
        <v>0</v>
      </c>
      <c r="R865" s="2" t="inlineStr"/>
    </row>
    <row r="866" ht="15" customHeight="1">
      <c r="A866" t="inlineStr">
        <is>
          <t>A 48905-2020</t>
        </is>
      </c>
      <c r="B866" s="1" t="n">
        <v>44104</v>
      </c>
      <c r="C866" s="1" t="n">
        <v>45883</v>
      </c>
      <c r="D866" t="inlineStr">
        <is>
          <t>GÄVLEBORGS LÄN</t>
        </is>
      </c>
      <c r="E866" t="inlineStr">
        <is>
          <t>LJUSDAL</t>
        </is>
      </c>
      <c r="F866" t="inlineStr">
        <is>
          <t>Sveaskog</t>
        </is>
      </c>
      <c r="G866" t="n">
        <v>0.2</v>
      </c>
      <c r="H866" t="n">
        <v>0</v>
      </c>
      <c r="I866" t="n">
        <v>0</v>
      </c>
      <c r="J866" t="n">
        <v>0</v>
      </c>
      <c r="K866" t="n">
        <v>0</v>
      </c>
      <c r="L866" t="n">
        <v>0</v>
      </c>
      <c r="M866" t="n">
        <v>0</v>
      </c>
      <c r="N866" t="n">
        <v>0</v>
      </c>
      <c r="O866" t="n">
        <v>0</v>
      </c>
      <c r="P866" t="n">
        <v>0</v>
      </c>
      <c r="Q866" t="n">
        <v>0</v>
      </c>
      <c r="R866" s="2" t="inlineStr"/>
    </row>
    <row r="867" ht="15" customHeight="1">
      <c r="A867" t="inlineStr">
        <is>
          <t>A 39450-2022</t>
        </is>
      </c>
      <c r="B867" s="1" t="n">
        <v>44818.36261574074</v>
      </c>
      <c r="C867" s="1" t="n">
        <v>45883</v>
      </c>
      <c r="D867" t="inlineStr">
        <is>
          <t>GÄVLEBORGS LÄN</t>
        </is>
      </c>
      <c r="E867" t="inlineStr">
        <is>
          <t>OVANÅKER</t>
        </is>
      </c>
      <c r="G867" t="n">
        <v>2.3</v>
      </c>
      <c r="H867" t="n">
        <v>0</v>
      </c>
      <c r="I867" t="n">
        <v>0</v>
      </c>
      <c r="J867" t="n">
        <v>0</v>
      </c>
      <c r="K867" t="n">
        <v>0</v>
      </c>
      <c r="L867" t="n">
        <v>0</v>
      </c>
      <c r="M867" t="n">
        <v>0</v>
      </c>
      <c r="N867" t="n">
        <v>0</v>
      </c>
      <c r="O867" t="n">
        <v>0</v>
      </c>
      <c r="P867" t="n">
        <v>0</v>
      </c>
      <c r="Q867" t="n">
        <v>0</v>
      </c>
      <c r="R867" s="2" t="inlineStr"/>
    </row>
    <row r="868" ht="15" customHeight="1">
      <c r="A868" t="inlineStr">
        <is>
          <t>A 30515-2021</t>
        </is>
      </c>
      <c r="B868" s="1" t="n">
        <v>44364</v>
      </c>
      <c r="C868" s="1" t="n">
        <v>45883</v>
      </c>
      <c r="D868" t="inlineStr">
        <is>
          <t>GÄVLEBORGS LÄN</t>
        </is>
      </c>
      <c r="E868" t="inlineStr">
        <is>
          <t>NORDANSTIG</t>
        </is>
      </c>
      <c r="G868" t="n">
        <v>2.4</v>
      </c>
      <c r="H868" t="n">
        <v>0</v>
      </c>
      <c r="I868" t="n">
        <v>0</v>
      </c>
      <c r="J868" t="n">
        <v>0</v>
      </c>
      <c r="K868" t="n">
        <v>0</v>
      </c>
      <c r="L868" t="n">
        <v>0</v>
      </c>
      <c r="M868" t="n">
        <v>0</v>
      </c>
      <c r="N868" t="n">
        <v>0</v>
      </c>
      <c r="O868" t="n">
        <v>0</v>
      </c>
      <c r="P868" t="n">
        <v>0</v>
      </c>
      <c r="Q868" t="n">
        <v>0</v>
      </c>
      <c r="R868" s="2" t="inlineStr"/>
    </row>
    <row r="869" ht="15" customHeight="1">
      <c r="A869" t="inlineStr">
        <is>
          <t>A 47893-2020</t>
        </is>
      </c>
      <c r="B869" s="1" t="n">
        <v>44099</v>
      </c>
      <c r="C869" s="1" t="n">
        <v>45883</v>
      </c>
      <c r="D869" t="inlineStr">
        <is>
          <t>GÄVLEBORGS LÄN</t>
        </is>
      </c>
      <c r="E869" t="inlineStr">
        <is>
          <t>LJUSDAL</t>
        </is>
      </c>
      <c r="F869" t="inlineStr">
        <is>
          <t>Sveaskog</t>
        </is>
      </c>
      <c r="G869" t="n">
        <v>3.3</v>
      </c>
      <c r="H869" t="n">
        <v>0</v>
      </c>
      <c r="I869" t="n">
        <v>0</v>
      </c>
      <c r="J869" t="n">
        <v>0</v>
      </c>
      <c r="K869" t="n">
        <v>0</v>
      </c>
      <c r="L869" t="n">
        <v>0</v>
      </c>
      <c r="M869" t="n">
        <v>0</v>
      </c>
      <c r="N869" t="n">
        <v>0</v>
      </c>
      <c r="O869" t="n">
        <v>0</v>
      </c>
      <c r="P869" t="n">
        <v>0</v>
      </c>
      <c r="Q869" t="n">
        <v>0</v>
      </c>
      <c r="R869" s="2" t="inlineStr"/>
    </row>
    <row r="870" ht="15" customHeight="1">
      <c r="A870" t="inlineStr">
        <is>
          <t>A 20020-2021</t>
        </is>
      </c>
      <c r="B870" s="1" t="n">
        <v>44314.26796296296</v>
      </c>
      <c r="C870" s="1" t="n">
        <v>45883</v>
      </c>
      <c r="D870" t="inlineStr">
        <is>
          <t>GÄVLEBORGS LÄN</t>
        </is>
      </c>
      <c r="E870" t="inlineStr">
        <is>
          <t>BOLLNÄS</t>
        </is>
      </c>
      <c r="G870" t="n">
        <v>0.5</v>
      </c>
      <c r="H870" t="n">
        <v>0</v>
      </c>
      <c r="I870" t="n">
        <v>0</v>
      </c>
      <c r="J870" t="n">
        <v>0</v>
      </c>
      <c r="K870" t="n">
        <v>0</v>
      </c>
      <c r="L870" t="n">
        <v>0</v>
      </c>
      <c r="M870" t="n">
        <v>0</v>
      </c>
      <c r="N870" t="n">
        <v>0</v>
      </c>
      <c r="O870" t="n">
        <v>0</v>
      </c>
      <c r="P870" t="n">
        <v>0</v>
      </c>
      <c r="Q870" t="n">
        <v>0</v>
      </c>
      <c r="R870" s="2" t="inlineStr"/>
    </row>
    <row r="871" ht="15" customHeight="1">
      <c r="A871" t="inlineStr">
        <is>
          <t>A 31535-2022</t>
        </is>
      </c>
      <c r="B871" s="1" t="n">
        <v>44775.34788194444</v>
      </c>
      <c r="C871" s="1" t="n">
        <v>45883</v>
      </c>
      <c r="D871" t="inlineStr">
        <is>
          <t>GÄVLEBORGS LÄN</t>
        </is>
      </c>
      <c r="E871" t="inlineStr">
        <is>
          <t>GÄVLE</t>
        </is>
      </c>
      <c r="G871" t="n">
        <v>8</v>
      </c>
      <c r="H871" t="n">
        <v>0</v>
      </c>
      <c r="I871" t="n">
        <v>0</v>
      </c>
      <c r="J871" t="n">
        <v>0</v>
      </c>
      <c r="K871" t="n">
        <v>0</v>
      </c>
      <c r="L871" t="n">
        <v>0</v>
      </c>
      <c r="M871" t="n">
        <v>0</v>
      </c>
      <c r="N871" t="n">
        <v>0</v>
      </c>
      <c r="O871" t="n">
        <v>0</v>
      </c>
      <c r="P871" t="n">
        <v>0</v>
      </c>
      <c r="Q871" t="n">
        <v>0</v>
      </c>
      <c r="R871" s="2" t="inlineStr"/>
    </row>
    <row r="872" ht="15" customHeight="1">
      <c r="A872" t="inlineStr">
        <is>
          <t>A 40468-2022</t>
        </is>
      </c>
      <c r="B872" s="1" t="n">
        <v>44823.53434027778</v>
      </c>
      <c r="C872" s="1" t="n">
        <v>45883</v>
      </c>
      <c r="D872" t="inlineStr">
        <is>
          <t>GÄVLEBORGS LÄN</t>
        </is>
      </c>
      <c r="E872" t="inlineStr">
        <is>
          <t>SÖDERHAMN</t>
        </is>
      </c>
      <c r="G872" t="n">
        <v>1</v>
      </c>
      <c r="H872" t="n">
        <v>0</v>
      </c>
      <c r="I872" t="n">
        <v>0</v>
      </c>
      <c r="J872" t="n">
        <v>0</v>
      </c>
      <c r="K872" t="n">
        <v>0</v>
      </c>
      <c r="L872" t="n">
        <v>0</v>
      </c>
      <c r="M872" t="n">
        <v>0</v>
      </c>
      <c r="N872" t="n">
        <v>0</v>
      </c>
      <c r="O872" t="n">
        <v>0</v>
      </c>
      <c r="P872" t="n">
        <v>0</v>
      </c>
      <c r="Q872" t="n">
        <v>0</v>
      </c>
      <c r="R872" s="2" t="inlineStr"/>
    </row>
    <row r="873" ht="15" customHeight="1">
      <c r="A873" t="inlineStr">
        <is>
          <t>A 39687-2021</t>
        </is>
      </c>
      <c r="B873" s="1" t="n">
        <v>44417.45212962963</v>
      </c>
      <c r="C873" s="1" t="n">
        <v>45883</v>
      </c>
      <c r="D873" t="inlineStr">
        <is>
          <t>GÄVLEBORGS LÄN</t>
        </is>
      </c>
      <c r="E873" t="inlineStr">
        <is>
          <t>NORDANSTIG</t>
        </is>
      </c>
      <c r="G873" t="n">
        <v>6.9</v>
      </c>
      <c r="H873" t="n">
        <v>0</v>
      </c>
      <c r="I873" t="n">
        <v>0</v>
      </c>
      <c r="J873" t="n">
        <v>0</v>
      </c>
      <c r="K873" t="n">
        <v>0</v>
      </c>
      <c r="L873" t="n">
        <v>0</v>
      </c>
      <c r="M873" t="n">
        <v>0</v>
      </c>
      <c r="N873" t="n">
        <v>0</v>
      </c>
      <c r="O873" t="n">
        <v>0</v>
      </c>
      <c r="P873" t="n">
        <v>0</v>
      </c>
      <c r="Q873" t="n">
        <v>0</v>
      </c>
      <c r="R873" s="2" t="inlineStr"/>
    </row>
    <row r="874" ht="15" customHeight="1">
      <c r="A874" t="inlineStr">
        <is>
          <t>A 60951-2020</t>
        </is>
      </c>
      <c r="B874" s="1" t="n">
        <v>44154</v>
      </c>
      <c r="C874" s="1" t="n">
        <v>45883</v>
      </c>
      <c r="D874" t="inlineStr">
        <is>
          <t>GÄVLEBORGS LÄN</t>
        </is>
      </c>
      <c r="E874" t="inlineStr">
        <is>
          <t>GÄVLE</t>
        </is>
      </c>
      <c r="G874" t="n">
        <v>1.3</v>
      </c>
      <c r="H874" t="n">
        <v>0</v>
      </c>
      <c r="I874" t="n">
        <v>0</v>
      </c>
      <c r="J874" t="n">
        <v>0</v>
      </c>
      <c r="K874" t="n">
        <v>0</v>
      </c>
      <c r="L874" t="n">
        <v>0</v>
      </c>
      <c r="M874" t="n">
        <v>0</v>
      </c>
      <c r="N874" t="n">
        <v>0</v>
      </c>
      <c r="O874" t="n">
        <v>0</v>
      </c>
      <c r="P874" t="n">
        <v>0</v>
      </c>
      <c r="Q874" t="n">
        <v>0</v>
      </c>
      <c r="R874" s="2" t="inlineStr"/>
    </row>
    <row r="875" ht="15" customHeight="1">
      <c r="A875" t="inlineStr">
        <is>
          <t>A 38926-2020</t>
        </is>
      </c>
      <c r="B875" s="1" t="n">
        <v>44062</v>
      </c>
      <c r="C875" s="1" t="n">
        <v>45883</v>
      </c>
      <c r="D875" t="inlineStr">
        <is>
          <t>GÄVLEBORGS LÄN</t>
        </is>
      </c>
      <c r="E875" t="inlineStr">
        <is>
          <t>GÄVLE</t>
        </is>
      </c>
      <c r="G875" t="n">
        <v>0.6</v>
      </c>
      <c r="H875" t="n">
        <v>0</v>
      </c>
      <c r="I875" t="n">
        <v>0</v>
      </c>
      <c r="J875" t="n">
        <v>0</v>
      </c>
      <c r="K875" t="n">
        <v>0</v>
      </c>
      <c r="L875" t="n">
        <v>0</v>
      </c>
      <c r="M875" t="n">
        <v>0</v>
      </c>
      <c r="N875" t="n">
        <v>0</v>
      </c>
      <c r="O875" t="n">
        <v>0</v>
      </c>
      <c r="P875" t="n">
        <v>0</v>
      </c>
      <c r="Q875" t="n">
        <v>0</v>
      </c>
      <c r="R875" s="2" t="inlineStr"/>
    </row>
    <row r="876" ht="15" customHeight="1">
      <c r="A876" t="inlineStr">
        <is>
          <t>A 19741-2022</t>
        </is>
      </c>
      <c r="B876" s="1" t="n">
        <v>44694.59767361111</v>
      </c>
      <c r="C876" s="1" t="n">
        <v>45883</v>
      </c>
      <c r="D876" t="inlineStr">
        <is>
          <t>GÄVLEBORGS LÄN</t>
        </is>
      </c>
      <c r="E876" t="inlineStr">
        <is>
          <t>OVANÅKER</t>
        </is>
      </c>
      <c r="G876" t="n">
        <v>0.4</v>
      </c>
      <c r="H876" t="n">
        <v>0</v>
      </c>
      <c r="I876" t="n">
        <v>0</v>
      </c>
      <c r="J876" t="n">
        <v>0</v>
      </c>
      <c r="K876" t="n">
        <v>0</v>
      </c>
      <c r="L876" t="n">
        <v>0</v>
      </c>
      <c r="M876" t="n">
        <v>0</v>
      </c>
      <c r="N876" t="n">
        <v>0</v>
      </c>
      <c r="O876" t="n">
        <v>0</v>
      </c>
      <c r="P876" t="n">
        <v>0</v>
      </c>
      <c r="Q876" t="n">
        <v>0</v>
      </c>
      <c r="R876" s="2" t="inlineStr"/>
    </row>
    <row r="877" ht="15" customHeight="1">
      <c r="A877" t="inlineStr">
        <is>
          <t>A 43465-2021</t>
        </is>
      </c>
      <c r="B877" s="1" t="n">
        <v>44432.72325231481</v>
      </c>
      <c r="C877" s="1" t="n">
        <v>45883</v>
      </c>
      <c r="D877" t="inlineStr">
        <is>
          <t>GÄVLEBORGS LÄN</t>
        </is>
      </c>
      <c r="E877" t="inlineStr">
        <is>
          <t>SANDVIKEN</t>
        </is>
      </c>
      <c r="G877" t="n">
        <v>1.7</v>
      </c>
      <c r="H877" t="n">
        <v>0</v>
      </c>
      <c r="I877" t="n">
        <v>0</v>
      </c>
      <c r="J877" t="n">
        <v>0</v>
      </c>
      <c r="K877" t="n">
        <v>0</v>
      </c>
      <c r="L877" t="n">
        <v>0</v>
      </c>
      <c r="M877" t="n">
        <v>0</v>
      </c>
      <c r="N877" t="n">
        <v>0</v>
      </c>
      <c r="O877" t="n">
        <v>0</v>
      </c>
      <c r="P877" t="n">
        <v>0</v>
      </c>
      <c r="Q877" t="n">
        <v>0</v>
      </c>
      <c r="R877" s="2" t="inlineStr"/>
    </row>
    <row r="878" ht="15" customHeight="1">
      <c r="A878" t="inlineStr">
        <is>
          <t>A 39808-2020</t>
        </is>
      </c>
      <c r="B878" s="1" t="n">
        <v>44067</v>
      </c>
      <c r="C878" s="1" t="n">
        <v>45883</v>
      </c>
      <c r="D878" t="inlineStr">
        <is>
          <t>GÄVLEBORGS LÄN</t>
        </is>
      </c>
      <c r="E878" t="inlineStr">
        <is>
          <t>SANDVIKEN</t>
        </is>
      </c>
      <c r="G878" t="n">
        <v>4.1</v>
      </c>
      <c r="H878" t="n">
        <v>0</v>
      </c>
      <c r="I878" t="n">
        <v>0</v>
      </c>
      <c r="J878" t="n">
        <v>0</v>
      </c>
      <c r="K878" t="n">
        <v>0</v>
      </c>
      <c r="L878" t="n">
        <v>0</v>
      </c>
      <c r="M878" t="n">
        <v>0</v>
      </c>
      <c r="N878" t="n">
        <v>0</v>
      </c>
      <c r="O878" t="n">
        <v>0</v>
      </c>
      <c r="P878" t="n">
        <v>0</v>
      </c>
      <c r="Q878" t="n">
        <v>0</v>
      </c>
      <c r="R878" s="2" t="inlineStr"/>
    </row>
    <row r="879" ht="15" customHeight="1">
      <c r="A879" t="inlineStr">
        <is>
          <t>A 3207-2021</t>
        </is>
      </c>
      <c r="B879" s="1" t="n">
        <v>44217.55109953704</v>
      </c>
      <c r="C879" s="1" t="n">
        <v>45883</v>
      </c>
      <c r="D879" t="inlineStr">
        <is>
          <t>GÄVLEBORGS LÄN</t>
        </is>
      </c>
      <c r="E879" t="inlineStr">
        <is>
          <t>LJUSDAL</t>
        </is>
      </c>
      <c r="G879" t="n">
        <v>3.6</v>
      </c>
      <c r="H879" t="n">
        <v>0</v>
      </c>
      <c r="I879" t="n">
        <v>0</v>
      </c>
      <c r="J879" t="n">
        <v>0</v>
      </c>
      <c r="K879" t="n">
        <v>0</v>
      </c>
      <c r="L879" t="n">
        <v>0</v>
      </c>
      <c r="M879" t="n">
        <v>0</v>
      </c>
      <c r="N879" t="n">
        <v>0</v>
      </c>
      <c r="O879" t="n">
        <v>0</v>
      </c>
      <c r="P879" t="n">
        <v>0</v>
      </c>
      <c r="Q879" t="n">
        <v>0</v>
      </c>
      <c r="R879" s="2" t="inlineStr"/>
    </row>
    <row r="880" ht="15" customHeight="1">
      <c r="A880" t="inlineStr">
        <is>
          <t>A 48080-2022</t>
        </is>
      </c>
      <c r="B880" s="1" t="n">
        <v>44855</v>
      </c>
      <c r="C880" s="1" t="n">
        <v>45883</v>
      </c>
      <c r="D880" t="inlineStr">
        <is>
          <t>GÄVLEBORGS LÄN</t>
        </is>
      </c>
      <c r="E880" t="inlineStr">
        <is>
          <t>NORDANSTIG</t>
        </is>
      </c>
      <c r="F880" t="inlineStr">
        <is>
          <t>SCA</t>
        </is>
      </c>
      <c r="G880" t="n">
        <v>12.1</v>
      </c>
      <c r="H880" t="n">
        <v>0</v>
      </c>
      <c r="I880" t="n">
        <v>0</v>
      </c>
      <c r="J880" t="n">
        <v>0</v>
      </c>
      <c r="K880" t="n">
        <v>0</v>
      </c>
      <c r="L880" t="n">
        <v>0</v>
      </c>
      <c r="M880" t="n">
        <v>0</v>
      </c>
      <c r="N880" t="n">
        <v>0</v>
      </c>
      <c r="O880" t="n">
        <v>0</v>
      </c>
      <c r="P880" t="n">
        <v>0</v>
      </c>
      <c r="Q880" t="n">
        <v>0</v>
      </c>
      <c r="R880" s="2" t="inlineStr"/>
    </row>
    <row r="881" ht="15" customHeight="1">
      <c r="A881" t="inlineStr">
        <is>
          <t>A 45183-2020</t>
        </is>
      </c>
      <c r="B881" s="1" t="n">
        <v>44088</v>
      </c>
      <c r="C881" s="1" t="n">
        <v>45883</v>
      </c>
      <c r="D881" t="inlineStr">
        <is>
          <t>GÄVLEBORGS LÄN</t>
        </is>
      </c>
      <c r="E881" t="inlineStr">
        <is>
          <t>HUDIKSVALL</t>
        </is>
      </c>
      <c r="F881" t="inlineStr">
        <is>
          <t>Holmen skog AB</t>
        </is>
      </c>
      <c r="G881" t="n">
        <v>3.2</v>
      </c>
      <c r="H881" t="n">
        <v>0</v>
      </c>
      <c r="I881" t="n">
        <v>0</v>
      </c>
      <c r="J881" t="n">
        <v>0</v>
      </c>
      <c r="K881" t="n">
        <v>0</v>
      </c>
      <c r="L881" t="n">
        <v>0</v>
      </c>
      <c r="M881" t="n">
        <v>0</v>
      </c>
      <c r="N881" t="n">
        <v>0</v>
      </c>
      <c r="O881" t="n">
        <v>0</v>
      </c>
      <c r="P881" t="n">
        <v>0</v>
      </c>
      <c r="Q881" t="n">
        <v>0</v>
      </c>
      <c r="R881" s="2" t="inlineStr"/>
    </row>
    <row r="882" ht="15" customHeight="1">
      <c r="A882" t="inlineStr">
        <is>
          <t>A 30770-2021</t>
        </is>
      </c>
      <c r="B882" s="1" t="n">
        <v>44365</v>
      </c>
      <c r="C882" s="1" t="n">
        <v>45883</v>
      </c>
      <c r="D882" t="inlineStr">
        <is>
          <t>GÄVLEBORGS LÄN</t>
        </is>
      </c>
      <c r="E882" t="inlineStr">
        <is>
          <t>LJUSDAL</t>
        </is>
      </c>
      <c r="G882" t="n">
        <v>1.5</v>
      </c>
      <c r="H882" t="n">
        <v>0</v>
      </c>
      <c r="I882" t="n">
        <v>0</v>
      </c>
      <c r="J882" t="n">
        <v>0</v>
      </c>
      <c r="K882" t="n">
        <v>0</v>
      </c>
      <c r="L882" t="n">
        <v>0</v>
      </c>
      <c r="M882" t="n">
        <v>0</v>
      </c>
      <c r="N882" t="n">
        <v>0</v>
      </c>
      <c r="O882" t="n">
        <v>0</v>
      </c>
      <c r="P882" t="n">
        <v>0</v>
      </c>
      <c r="Q882" t="n">
        <v>0</v>
      </c>
      <c r="R882" s="2" t="inlineStr"/>
    </row>
    <row r="883" ht="15" customHeight="1">
      <c r="A883" t="inlineStr">
        <is>
          <t>A 38185-2020</t>
        </is>
      </c>
      <c r="B883" s="1" t="n">
        <v>44060</v>
      </c>
      <c r="C883" s="1" t="n">
        <v>45883</v>
      </c>
      <c r="D883" t="inlineStr">
        <is>
          <t>GÄVLEBORGS LÄN</t>
        </is>
      </c>
      <c r="E883" t="inlineStr">
        <is>
          <t>LJUSDAL</t>
        </is>
      </c>
      <c r="F883" t="inlineStr">
        <is>
          <t>Holmen skog AB</t>
        </is>
      </c>
      <c r="G883" t="n">
        <v>1.6</v>
      </c>
      <c r="H883" t="n">
        <v>0</v>
      </c>
      <c r="I883" t="n">
        <v>0</v>
      </c>
      <c r="J883" t="n">
        <v>0</v>
      </c>
      <c r="K883" t="n">
        <v>0</v>
      </c>
      <c r="L883" t="n">
        <v>0</v>
      </c>
      <c r="M883" t="n">
        <v>0</v>
      </c>
      <c r="N883" t="n">
        <v>0</v>
      </c>
      <c r="O883" t="n">
        <v>0</v>
      </c>
      <c r="P883" t="n">
        <v>0</v>
      </c>
      <c r="Q883" t="n">
        <v>0</v>
      </c>
      <c r="R883" s="2" t="inlineStr"/>
    </row>
    <row r="884" ht="15" customHeight="1">
      <c r="A884" t="inlineStr">
        <is>
          <t>A 48753-2021</t>
        </is>
      </c>
      <c r="B884" s="1" t="n">
        <v>44452</v>
      </c>
      <c r="C884" s="1" t="n">
        <v>45883</v>
      </c>
      <c r="D884" t="inlineStr">
        <is>
          <t>GÄVLEBORGS LÄN</t>
        </is>
      </c>
      <c r="E884" t="inlineStr">
        <is>
          <t>HUDIKSVALL</t>
        </is>
      </c>
      <c r="G884" t="n">
        <v>1.3</v>
      </c>
      <c r="H884" t="n">
        <v>0</v>
      </c>
      <c r="I884" t="n">
        <v>0</v>
      </c>
      <c r="J884" t="n">
        <v>0</v>
      </c>
      <c r="K884" t="n">
        <v>0</v>
      </c>
      <c r="L884" t="n">
        <v>0</v>
      </c>
      <c r="M884" t="n">
        <v>0</v>
      </c>
      <c r="N884" t="n">
        <v>0</v>
      </c>
      <c r="O884" t="n">
        <v>0</v>
      </c>
      <c r="P884" t="n">
        <v>0</v>
      </c>
      <c r="Q884" t="n">
        <v>0</v>
      </c>
      <c r="R884" s="2" t="inlineStr"/>
    </row>
    <row r="885" ht="15" customHeight="1">
      <c r="A885" t="inlineStr">
        <is>
          <t>A 219-2021</t>
        </is>
      </c>
      <c r="B885" s="1" t="n">
        <v>44200</v>
      </c>
      <c r="C885" s="1" t="n">
        <v>45883</v>
      </c>
      <c r="D885" t="inlineStr">
        <is>
          <t>GÄVLEBORGS LÄN</t>
        </is>
      </c>
      <c r="E885" t="inlineStr">
        <is>
          <t>LJUSDAL</t>
        </is>
      </c>
      <c r="G885" t="n">
        <v>1.6</v>
      </c>
      <c r="H885" t="n">
        <v>0</v>
      </c>
      <c r="I885" t="n">
        <v>0</v>
      </c>
      <c r="J885" t="n">
        <v>0</v>
      </c>
      <c r="K885" t="n">
        <v>0</v>
      </c>
      <c r="L885" t="n">
        <v>0</v>
      </c>
      <c r="M885" t="n">
        <v>0</v>
      </c>
      <c r="N885" t="n">
        <v>0</v>
      </c>
      <c r="O885" t="n">
        <v>0</v>
      </c>
      <c r="P885" t="n">
        <v>0</v>
      </c>
      <c r="Q885" t="n">
        <v>0</v>
      </c>
      <c r="R885" s="2" t="inlineStr"/>
    </row>
    <row r="886" ht="15" customHeight="1">
      <c r="A886" t="inlineStr">
        <is>
          <t>A 242-2021</t>
        </is>
      </c>
      <c r="B886" s="1" t="n">
        <v>44200</v>
      </c>
      <c r="C886" s="1" t="n">
        <v>45883</v>
      </c>
      <c r="D886" t="inlineStr">
        <is>
          <t>GÄVLEBORGS LÄN</t>
        </is>
      </c>
      <c r="E886" t="inlineStr">
        <is>
          <t>GÄVLE</t>
        </is>
      </c>
      <c r="G886" t="n">
        <v>1.1</v>
      </c>
      <c r="H886" t="n">
        <v>0</v>
      </c>
      <c r="I886" t="n">
        <v>0</v>
      </c>
      <c r="J886" t="n">
        <v>0</v>
      </c>
      <c r="K886" t="n">
        <v>0</v>
      </c>
      <c r="L886" t="n">
        <v>0</v>
      </c>
      <c r="M886" t="n">
        <v>0</v>
      </c>
      <c r="N886" t="n">
        <v>0</v>
      </c>
      <c r="O886" t="n">
        <v>0</v>
      </c>
      <c r="P886" t="n">
        <v>0</v>
      </c>
      <c r="Q886" t="n">
        <v>0</v>
      </c>
      <c r="R886" s="2" t="inlineStr"/>
    </row>
    <row r="887" ht="15" customHeight="1">
      <c r="A887" t="inlineStr">
        <is>
          <t>A 247-2021</t>
        </is>
      </c>
      <c r="B887" s="1" t="n">
        <v>44200</v>
      </c>
      <c r="C887" s="1" t="n">
        <v>45883</v>
      </c>
      <c r="D887" t="inlineStr">
        <is>
          <t>GÄVLEBORGS LÄN</t>
        </is>
      </c>
      <c r="E887" t="inlineStr">
        <is>
          <t>GÄVLE</t>
        </is>
      </c>
      <c r="G887" t="n">
        <v>0.7</v>
      </c>
      <c r="H887" t="n">
        <v>0</v>
      </c>
      <c r="I887" t="n">
        <v>0</v>
      </c>
      <c r="J887" t="n">
        <v>0</v>
      </c>
      <c r="K887" t="n">
        <v>0</v>
      </c>
      <c r="L887" t="n">
        <v>0</v>
      </c>
      <c r="M887" t="n">
        <v>0</v>
      </c>
      <c r="N887" t="n">
        <v>0</v>
      </c>
      <c r="O887" t="n">
        <v>0</v>
      </c>
      <c r="P887" t="n">
        <v>0</v>
      </c>
      <c r="Q887" t="n">
        <v>0</v>
      </c>
      <c r="R887" s="2" t="inlineStr"/>
    </row>
    <row r="888" ht="15" customHeight="1">
      <c r="A888" t="inlineStr">
        <is>
          <t>A 50036-2021</t>
        </is>
      </c>
      <c r="B888" s="1" t="n">
        <v>44456.49701388889</v>
      </c>
      <c r="C888" s="1" t="n">
        <v>45883</v>
      </c>
      <c r="D888" t="inlineStr">
        <is>
          <t>GÄVLEBORGS LÄN</t>
        </is>
      </c>
      <c r="E888" t="inlineStr">
        <is>
          <t>NORDANSTIG</t>
        </is>
      </c>
      <c r="G888" t="n">
        <v>0.9</v>
      </c>
      <c r="H888" t="n">
        <v>0</v>
      </c>
      <c r="I888" t="n">
        <v>0</v>
      </c>
      <c r="J888" t="n">
        <v>0</v>
      </c>
      <c r="K888" t="n">
        <v>0</v>
      </c>
      <c r="L888" t="n">
        <v>0</v>
      </c>
      <c r="M888" t="n">
        <v>0</v>
      </c>
      <c r="N888" t="n">
        <v>0</v>
      </c>
      <c r="O888" t="n">
        <v>0</v>
      </c>
      <c r="P888" t="n">
        <v>0</v>
      </c>
      <c r="Q888" t="n">
        <v>0</v>
      </c>
      <c r="R888" s="2" t="inlineStr"/>
    </row>
    <row r="889" ht="15" customHeight="1">
      <c r="A889" t="inlineStr">
        <is>
          <t>A 66442-2020</t>
        </is>
      </c>
      <c r="B889" s="1" t="n">
        <v>44176</v>
      </c>
      <c r="C889" s="1" t="n">
        <v>45883</v>
      </c>
      <c r="D889" t="inlineStr">
        <is>
          <t>GÄVLEBORGS LÄN</t>
        </is>
      </c>
      <c r="E889" t="inlineStr">
        <is>
          <t>OCKELBO</t>
        </is>
      </c>
      <c r="F889" t="inlineStr">
        <is>
          <t>Bergvik skog väst AB</t>
        </is>
      </c>
      <c r="G889" t="n">
        <v>2.8</v>
      </c>
      <c r="H889" t="n">
        <v>0</v>
      </c>
      <c r="I889" t="n">
        <v>0</v>
      </c>
      <c r="J889" t="n">
        <v>0</v>
      </c>
      <c r="K889" t="n">
        <v>0</v>
      </c>
      <c r="L889" t="n">
        <v>0</v>
      </c>
      <c r="M889" t="n">
        <v>0</v>
      </c>
      <c r="N889" t="n">
        <v>0</v>
      </c>
      <c r="O889" t="n">
        <v>0</v>
      </c>
      <c r="P889" t="n">
        <v>0</v>
      </c>
      <c r="Q889" t="n">
        <v>0</v>
      </c>
      <c r="R889" s="2" t="inlineStr"/>
    </row>
    <row r="890" ht="15" customHeight="1">
      <c r="A890" t="inlineStr">
        <is>
          <t>A 45573-2020</t>
        </is>
      </c>
      <c r="B890" s="1" t="n">
        <v>44090</v>
      </c>
      <c r="C890" s="1" t="n">
        <v>45883</v>
      </c>
      <c r="D890" t="inlineStr">
        <is>
          <t>GÄVLEBORGS LÄN</t>
        </is>
      </c>
      <c r="E890" t="inlineStr">
        <is>
          <t>NORDANSTIG</t>
        </is>
      </c>
      <c r="G890" t="n">
        <v>1.4</v>
      </c>
      <c r="H890" t="n">
        <v>0</v>
      </c>
      <c r="I890" t="n">
        <v>0</v>
      </c>
      <c r="J890" t="n">
        <v>0</v>
      </c>
      <c r="K890" t="n">
        <v>0</v>
      </c>
      <c r="L890" t="n">
        <v>0</v>
      </c>
      <c r="M890" t="n">
        <v>0</v>
      </c>
      <c r="N890" t="n">
        <v>0</v>
      </c>
      <c r="O890" t="n">
        <v>0</v>
      </c>
      <c r="P890" t="n">
        <v>0</v>
      </c>
      <c r="Q890" t="n">
        <v>0</v>
      </c>
      <c r="R890" s="2" t="inlineStr"/>
    </row>
    <row r="891" ht="15" customHeight="1">
      <c r="A891" t="inlineStr">
        <is>
          <t>A 38676-2020</t>
        </is>
      </c>
      <c r="B891" s="1" t="n">
        <v>44061.59534722222</v>
      </c>
      <c r="C891" s="1" t="n">
        <v>45883</v>
      </c>
      <c r="D891" t="inlineStr">
        <is>
          <t>GÄVLEBORGS LÄN</t>
        </is>
      </c>
      <c r="E891" t="inlineStr">
        <is>
          <t>OVANÅKER</t>
        </is>
      </c>
      <c r="G891" t="n">
        <v>1.7</v>
      </c>
      <c r="H891" t="n">
        <v>0</v>
      </c>
      <c r="I891" t="n">
        <v>0</v>
      </c>
      <c r="J891" t="n">
        <v>0</v>
      </c>
      <c r="K891" t="n">
        <v>0</v>
      </c>
      <c r="L891" t="n">
        <v>0</v>
      </c>
      <c r="M891" t="n">
        <v>0</v>
      </c>
      <c r="N891" t="n">
        <v>0</v>
      </c>
      <c r="O891" t="n">
        <v>0</v>
      </c>
      <c r="P891" t="n">
        <v>0</v>
      </c>
      <c r="Q891" t="n">
        <v>0</v>
      </c>
      <c r="R891" s="2" t="inlineStr"/>
    </row>
    <row r="892" ht="15" customHeight="1">
      <c r="A892" t="inlineStr">
        <is>
          <t>A 39934-2020</t>
        </is>
      </c>
      <c r="B892" s="1" t="n">
        <v>44067</v>
      </c>
      <c r="C892" s="1" t="n">
        <v>45883</v>
      </c>
      <c r="D892" t="inlineStr">
        <is>
          <t>GÄVLEBORGS LÄN</t>
        </is>
      </c>
      <c r="E892" t="inlineStr">
        <is>
          <t>OVANÅKER</t>
        </is>
      </c>
      <c r="G892" t="n">
        <v>4.2</v>
      </c>
      <c r="H892" t="n">
        <v>0</v>
      </c>
      <c r="I892" t="n">
        <v>0</v>
      </c>
      <c r="J892" t="n">
        <v>0</v>
      </c>
      <c r="K892" t="n">
        <v>0</v>
      </c>
      <c r="L892" t="n">
        <v>0</v>
      </c>
      <c r="M892" t="n">
        <v>0</v>
      </c>
      <c r="N892" t="n">
        <v>0</v>
      </c>
      <c r="O892" t="n">
        <v>0</v>
      </c>
      <c r="P892" t="n">
        <v>0</v>
      </c>
      <c r="Q892" t="n">
        <v>0</v>
      </c>
      <c r="R892" s="2" t="inlineStr"/>
    </row>
    <row r="893" ht="15" customHeight="1">
      <c r="A893" t="inlineStr">
        <is>
          <t>A 43000-2021</t>
        </is>
      </c>
      <c r="B893" s="1" t="n">
        <v>44431.45945601852</v>
      </c>
      <c r="C893" s="1" t="n">
        <v>45883</v>
      </c>
      <c r="D893" t="inlineStr">
        <is>
          <t>GÄVLEBORGS LÄN</t>
        </is>
      </c>
      <c r="E893" t="inlineStr">
        <is>
          <t>LJUSDAL</t>
        </is>
      </c>
      <c r="G893" t="n">
        <v>1</v>
      </c>
      <c r="H893" t="n">
        <v>0</v>
      </c>
      <c r="I893" t="n">
        <v>0</v>
      </c>
      <c r="J893" t="n">
        <v>0</v>
      </c>
      <c r="K893" t="n">
        <v>0</v>
      </c>
      <c r="L893" t="n">
        <v>0</v>
      </c>
      <c r="M893" t="n">
        <v>0</v>
      </c>
      <c r="N893" t="n">
        <v>0</v>
      </c>
      <c r="O893" t="n">
        <v>0</v>
      </c>
      <c r="P893" t="n">
        <v>0</v>
      </c>
      <c r="Q893" t="n">
        <v>0</v>
      </c>
      <c r="R893" s="2" t="inlineStr"/>
    </row>
    <row r="894" ht="15" customHeight="1">
      <c r="A894" t="inlineStr">
        <is>
          <t>A 40159-2021</t>
        </is>
      </c>
      <c r="B894" s="1" t="n">
        <v>44418</v>
      </c>
      <c r="C894" s="1" t="n">
        <v>45883</v>
      </c>
      <c r="D894" t="inlineStr">
        <is>
          <t>GÄVLEBORGS LÄN</t>
        </is>
      </c>
      <c r="E894" t="inlineStr">
        <is>
          <t>OCKELBO</t>
        </is>
      </c>
      <c r="G894" t="n">
        <v>0.4</v>
      </c>
      <c r="H894" t="n">
        <v>0</v>
      </c>
      <c r="I894" t="n">
        <v>0</v>
      </c>
      <c r="J894" t="n">
        <v>0</v>
      </c>
      <c r="K894" t="n">
        <v>0</v>
      </c>
      <c r="L894" t="n">
        <v>0</v>
      </c>
      <c r="M894" t="n">
        <v>0</v>
      </c>
      <c r="N894" t="n">
        <v>0</v>
      </c>
      <c r="O894" t="n">
        <v>0</v>
      </c>
      <c r="P894" t="n">
        <v>0</v>
      </c>
      <c r="Q894" t="n">
        <v>0</v>
      </c>
      <c r="R894" s="2" t="inlineStr"/>
    </row>
    <row r="895" ht="15" customHeight="1">
      <c r="A895" t="inlineStr">
        <is>
          <t>A 42332-2020</t>
        </is>
      </c>
      <c r="B895" s="1" t="n">
        <v>44076.52517361111</v>
      </c>
      <c r="C895" s="1" t="n">
        <v>45883</v>
      </c>
      <c r="D895" t="inlineStr">
        <is>
          <t>GÄVLEBORGS LÄN</t>
        </is>
      </c>
      <c r="E895" t="inlineStr">
        <is>
          <t>LJUSDAL</t>
        </is>
      </c>
      <c r="F895" t="inlineStr">
        <is>
          <t>Bergvik skog väst AB</t>
        </is>
      </c>
      <c r="G895" t="n">
        <v>1</v>
      </c>
      <c r="H895" t="n">
        <v>0</v>
      </c>
      <c r="I895" t="n">
        <v>0</v>
      </c>
      <c r="J895" t="n">
        <v>0</v>
      </c>
      <c r="K895" t="n">
        <v>0</v>
      </c>
      <c r="L895" t="n">
        <v>0</v>
      </c>
      <c r="M895" t="n">
        <v>0</v>
      </c>
      <c r="N895" t="n">
        <v>0</v>
      </c>
      <c r="O895" t="n">
        <v>0</v>
      </c>
      <c r="P895" t="n">
        <v>0</v>
      </c>
      <c r="Q895" t="n">
        <v>0</v>
      </c>
      <c r="R895" s="2" t="inlineStr"/>
    </row>
    <row r="896" ht="15" customHeight="1">
      <c r="A896" t="inlineStr">
        <is>
          <t>A 68137-2020</t>
        </is>
      </c>
      <c r="B896" s="1" t="n">
        <v>44183</v>
      </c>
      <c r="C896" s="1" t="n">
        <v>45883</v>
      </c>
      <c r="D896" t="inlineStr">
        <is>
          <t>GÄVLEBORGS LÄN</t>
        </is>
      </c>
      <c r="E896" t="inlineStr">
        <is>
          <t>HUDIKSVALL</t>
        </is>
      </c>
      <c r="F896" t="inlineStr">
        <is>
          <t>Holmen skog AB</t>
        </is>
      </c>
      <c r="G896" t="n">
        <v>3.4</v>
      </c>
      <c r="H896" t="n">
        <v>0</v>
      </c>
      <c r="I896" t="n">
        <v>0</v>
      </c>
      <c r="J896" t="n">
        <v>0</v>
      </c>
      <c r="K896" t="n">
        <v>0</v>
      </c>
      <c r="L896" t="n">
        <v>0</v>
      </c>
      <c r="M896" t="n">
        <v>0</v>
      </c>
      <c r="N896" t="n">
        <v>0</v>
      </c>
      <c r="O896" t="n">
        <v>0</v>
      </c>
      <c r="P896" t="n">
        <v>0</v>
      </c>
      <c r="Q896" t="n">
        <v>0</v>
      </c>
      <c r="R896" s="2" t="inlineStr"/>
    </row>
    <row r="897" ht="15" customHeight="1">
      <c r="A897" t="inlineStr">
        <is>
          <t>A 41219-2020</t>
        </is>
      </c>
      <c r="B897" s="1" t="n">
        <v>44071.54586805555</v>
      </c>
      <c r="C897" s="1" t="n">
        <v>45883</v>
      </c>
      <c r="D897" t="inlineStr">
        <is>
          <t>GÄVLEBORGS LÄN</t>
        </is>
      </c>
      <c r="E897" t="inlineStr">
        <is>
          <t>OVANÅKER</t>
        </is>
      </c>
      <c r="G897" t="n">
        <v>1.4</v>
      </c>
      <c r="H897" t="n">
        <v>0</v>
      </c>
      <c r="I897" t="n">
        <v>0</v>
      </c>
      <c r="J897" t="n">
        <v>0</v>
      </c>
      <c r="K897" t="n">
        <v>0</v>
      </c>
      <c r="L897" t="n">
        <v>0</v>
      </c>
      <c r="M897" t="n">
        <v>0</v>
      </c>
      <c r="N897" t="n">
        <v>0</v>
      </c>
      <c r="O897" t="n">
        <v>0</v>
      </c>
      <c r="P897" t="n">
        <v>0</v>
      </c>
      <c r="Q897" t="n">
        <v>0</v>
      </c>
      <c r="R897" s="2" t="inlineStr"/>
    </row>
    <row r="898" ht="15" customHeight="1">
      <c r="A898" t="inlineStr">
        <is>
          <t>A 68989-2020</t>
        </is>
      </c>
      <c r="B898" s="1" t="n">
        <v>44188</v>
      </c>
      <c r="C898" s="1" t="n">
        <v>45883</v>
      </c>
      <c r="D898" t="inlineStr">
        <is>
          <t>GÄVLEBORGS LÄN</t>
        </is>
      </c>
      <c r="E898" t="inlineStr">
        <is>
          <t>BOLLNÄS</t>
        </is>
      </c>
      <c r="G898" t="n">
        <v>1.2</v>
      </c>
      <c r="H898" t="n">
        <v>0</v>
      </c>
      <c r="I898" t="n">
        <v>0</v>
      </c>
      <c r="J898" t="n">
        <v>0</v>
      </c>
      <c r="K898" t="n">
        <v>0</v>
      </c>
      <c r="L898" t="n">
        <v>0</v>
      </c>
      <c r="M898" t="n">
        <v>0</v>
      </c>
      <c r="N898" t="n">
        <v>0</v>
      </c>
      <c r="O898" t="n">
        <v>0</v>
      </c>
      <c r="P898" t="n">
        <v>0</v>
      </c>
      <c r="Q898" t="n">
        <v>0</v>
      </c>
      <c r="R898" s="2" t="inlineStr"/>
    </row>
    <row r="899" ht="15" customHeight="1">
      <c r="A899" t="inlineStr">
        <is>
          <t>A 30391-2022</t>
        </is>
      </c>
      <c r="B899" s="1" t="n">
        <v>44760.79641203704</v>
      </c>
      <c r="C899" s="1" t="n">
        <v>45883</v>
      </c>
      <c r="D899" t="inlineStr">
        <is>
          <t>GÄVLEBORGS LÄN</t>
        </is>
      </c>
      <c r="E899" t="inlineStr">
        <is>
          <t>SANDVIKEN</t>
        </is>
      </c>
      <c r="F899" t="inlineStr">
        <is>
          <t>Sveaskog</t>
        </is>
      </c>
      <c r="G899" t="n">
        <v>3</v>
      </c>
      <c r="H899" t="n">
        <v>0</v>
      </c>
      <c r="I899" t="n">
        <v>0</v>
      </c>
      <c r="J899" t="n">
        <v>0</v>
      </c>
      <c r="K899" t="n">
        <v>0</v>
      </c>
      <c r="L899" t="n">
        <v>0</v>
      </c>
      <c r="M899" t="n">
        <v>0</v>
      </c>
      <c r="N899" t="n">
        <v>0</v>
      </c>
      <c r="O899" t="n">
        <v>0</v>
      </c>
      <c r="P899" t="n">
        <v>0</v>
      </c>
      <c r="Q899" t="n">
        <v>0</v>
      </c>
      <c r="R899" s="2" t="inlineStr"/>
    </row>
    <row r="900" ht="15" customHeight="1">
      <c r="A900" t="inlineStr">
        <is>
          <t>A 66995-2020</t>
        </is>
      </c>
      <c r="B900" s="1" t="n">
        <v>44180</v>
      </c>
      <c r="C900" s="1" t="n">
        <v>45883</v>
      </c>
      <c r="D900" t="inlineStr">
        <is>
          <t>GÄVLEBORGS LÄN</t>
        </is>
      </c>
      <c r="E900" t="inlineStr">
        <is>
          <t>HUDIKSVALL</t>
        </is>
      </c>
      <c r="F900" t="inlineStr">
        <is>
          <t>Holmen skog AB</t>
        </is>
      </c>
      <c r="G900" t="n">
        <v>2.2</v>
      </c>
      <c r="H900" t="n">
        <v>0</v>
      </c>
      <c r="I900" t="n">
        <v>0</v>
      </c>
      <c r="J900" t="n">
        <v>0</v>
      </c>
      <c r="K900" t="n">
        <v>0</v>
      </c>
      <c r="L900" t="n">
        <v>0</v>
      </c>
      <c r="M900" t="n">
        <v>0</v>
      </c>
      <c r="N900" t="n">
        <v>0</v>
      </c>
      <c r="O900" t="n">
        <v>0</v>
      </c>
      <c r="P900" t="n">
        <v>0</v>
      </c>
      <c r="Q900" t="n">
        <v>0</v>
      </c>
      <c r="R900" s="2" t="inlineStr"/>
    </row>
    <row r="901" ht="15" customHeight="1">
      <c r="A901" t="inlineStr">
        <is>
          <t>A 50689-2020</t>
        </is>
      </c>
      <c r="B901" s="1" t="n">
        <v>44111</v>
      </c>
      <c r="C901" s="1" t="n">
        <v>45883</v>
      </c>
      <c r="D901" t="inlineStr">
        <is>
          <t>GÄVLEBORGS LÄN</t>
        </is>
      </c>
      <c r="E901" t="inlineStr">
        <is>
          <t>LJUSDAL</t>
        </is>
      </c>
      <c r="F901" t="inlineStr">
        <is>
          <t>Sveaskog</t>
        </is>
      </c>
      <c r="G901" t="n">
        <v>0.8</v>
      </c>
      <c r="H901" t="n">
        <v>0</v>
      </c>
      <c r="I901" t="n">
        <v>0</v>
      </c>
      <c r="J901" t="n">
        <v>0</v>
      </c>
      <c r="K901" t="n">
        <v>0</v>
      </c>
      <c r="L901" t="n">
        <v>0</v>
      </c>
      <c r="M901" t="n">
        <v>0</v>
      </c>
      <c r="N901" t="n">
        <v>0</v>
      </c>
      <c r="O901" t="n">
        <v>0</v>
      </c>
      <c r="P901" t="n">
        <v>0</v>
      </c>
      <c r="Q901" t="n">
        <v>0</v>
      </c>
      <c r="R901" s="2" t="inlineStr"/>
    </row>
    <row r="902" ht="15" customHeight="1">
      <c r="A902" t="inlineStr">
        <is>
          <t>A 7425-2021</t>
        </is>
      </c>
      <c r="B902" s="1" t="n">
        <v>44239</v>
      </c>
      <c r="C902" s="1" t="n">
        <v>45883</v>
      </c>
      <c r="D902" t="inlineStr">
        <is>
          <t>GÄVLEBORGS LÄN</t>
        </is>
      </c>
      <c r="E902" t="inlineStr">
        <is>
          <t>OCKELBO</t>
        </is>
      </c>
      <c r="F902" t="inlineStr">
        <is>
          <t>Bergvik skog väst AB</t>
        </is>
      </c>
      <c r="G902" t="n">
        <v>5.7</v>
      </c>
      <c r="H902" t="n">
        <v>0</v>
      </c>
      <c r="I902" t="n">
        <v>0</v>
      </c>
      <c r="J902" t="n">
        <v>0</v>
      </c>
      <c r="K902" t="n">
        <v>0</v>
      </c>
      <c r="L902" t="n">
        <v>0</v>
      </c>
      <c r="M902" t="n">
        <v>0</v>
      </c>
      <c r="N902" t="n">
        <v>0</v>
      </c>
      <c r="O902" t="n">
        <v>0</v>
      </c>
      <c r="P902" t="n">
        <v>0</v>
      </c>
      <c r="Q902" t="n">
        <v>0</v>
      </c>
      <c r="R902" s="2" t="inlineStr"/>
    </row>
    <row r="903" ht="15" customHeight="1">
      <c r="A903" t="inlineStr">
        <is>
          <t>A 4421-2021</t>
        </is>
      </c>
      <c r="B903" s="1" t="n">
        <v>44224</v>
      </c>
      <c r="C903" s="1" t="n">
        <v>45883</v>
      </c>
      <c r="D903" t="inlineStr">
        <is>
          <t>GÄVLEBORGS LÄN</t>
        </is>
      </c>
      <c r="E903" t="inlineStr">
        <is>
          <t>BOLLNÄS</t>
        </is>
      </c>
      <c r="G903" t="n">
        <v>1.4</v>
      </c>
      <c r="H903" t="n">
        <v>0</v>
      </c>
      <c r="I903" t="n">
        <v>0</v>
      </c>
      <c r="J903" t="n">
        <v>0</v>
      </c>
      <c r="K903" t="n">
        <v>0</v>
      </c>
      <c r="L903" t="n">
        <v>0</v>
      </c>
      <c r="M903" t="n">
        <v>0</v>
      </c>
      <c r="N903" t="n">
        <v>0</v>
      </c>
      <c r="O903" t="n">
        <v>0</v>
      </c>
      <c r="P903" t="n">
        <v>0</v>
      </c>
      <c r="Q903" t="n">
        <v>0</v>
      </c>
      <c r="R903" s="2" t="inlineStr"/>
    </row>
    <row r="904" ht="15" customHeight="1">
      <c r="A904" t="inlineStr">
        <is>
          <t>A 38597-2020</t>
        </is>
      </c>
      <c r="B904" s="1" t="n">
        <v>44061</v>
      </c>
      <c r="C904" s="1" t="n">
        <v>45883</v>
      </c>
      <c r="D904" t="inlineStr">
        <is>
          <t>GÄVLEBORGS LÄN</t>
        </is>
      </c>
      <c r="E904" t="inlineStr">
        <is>
          <t>LJUSDAL</t>
        </is>
      </c>
      <c r="G904" t="n">
        <v>1.3</v>
      </c>
      <c r="H904" t="n">
        <v>0</v>
      </c>
      <c r="I904" t="n">
        <v>0</v>
      </c>
      <c r="J904" t="n">
        <v>0</v>
      </c>
      <c r="K904" t="n">
        <v>0</v>
      </c>
      <c r="L904" t="n">
        <v>0</v>
      </c>
      <c r="M904" t="n">
        <v>0</v>
      </c>
      <c r="N904" t="n">
        <v>0</v>
      </c>
      <c r="O904" t="n">
        <v>0</v>
      </c>
      <c r="P904" t="n">
        <v>0</v>
      </c>
      <c r="Q904" t="n">
        <v>0</v>
      </c>
      <c r="R904" s="2" t="inlineStr"/>
    </row>
    <row r="905" ht="15" customHeight="1">
      <c r="A905" t="inlineStr">
        <is>
          <t>A 65806-2020</t>
        </is>
      </c>
      <c r="B905" s="1" t="n">
        <v>44174.59891203704</v>
      </c>
      <c r="C905" s="1" t="n">
        <v>45883</v>
      </c>
      <c r="D905" t="inlineStr">
        <is>
          <t>GÄVLEBORGS LÄN</t>
        </is>
      </c>
      <c r="E905" t="inlineStr">
        <is>
          <t>OVANÅKER</t>
        </is>
      </c>
      <c r="G905" t="n">
        <v>1</v>
      </c>
      <c r="H905" t="n">
        <v>0</v>
      </c>
      <c r="I905" t="n">
        <v>0</v>
      </c>
      <c r="J905" t="n">
        <v>0</v>
      </c>
      <c r="K905" t="n">
        <v>0</v>
      </c>
      <c r="L905" t="n">
        <v>0</v>
      </c>
      <c r="M905" t="n">
        <v>0</v>
      </c>
      <c r="N905" t="n">
        <v>0</v>
      </c>
      <c r="O905" t="n">
        <v>0</v>
      </c>
      <c r="P905" t="n">
        <v>0</v>
      </c>
      <c r="Q905" t="n">
        <v>0</v>
      </c>
      <c r="R905" s="2" t="inlineStr"/>
    </row>
    <row r="906" ht="15" customHeight="1">
      <c r="A906" t="inlineStr">
        <is>
          <t>A 47452-2020</t>
        </is>
      </c>
      <c r="B906" s="1" t="n">
        <v>44097</v>
      </c>
      <c r="C906" s="1" t="n">
        <v>45883</v>
      </c>
      <c r="D906" t="inlineStr">
        <is>
          <t>GÄVLEBORGS LÄN</t>
        </is>
      </c>
      <c r="E906" t="inlineStr">
        <is>
          <t>SANDVIKEN</t>
        </is>
      </c>
      <c r="F906" t="inlineStr">
        <is>
          <t>Sveaskog</t>
        </is>
      </c>
      <c r="G906" t="n">
        <v>6.1</v>
      </c>
      <c r="H906" t="n">
        <v>0</v>
      </c>
      <c r="I906" t="n">
        <v>0</v>
      </c>
      <c r="J906" t="n">
        <v>0</v>
      </c>
      <c r="K906" t="n">
        <v>0</v>
      </c>
      <c r="L906" t="n">
        <v>0</v>
      </c>
      <c r="M906" t="n">
        <v>0</v>
      </c>
      <c r="N906" t="n">
        <v>0</v>
      </c>
      <c r="O906" t="n">
        <v>0</v>
      </c>
      <c r="P906" t="n">
        <v>0</v>
      </c>
      <c r="Q906" t="n">
        <v>0</v>
      </c>
      <c r="R906" s="2" t="inlineStr"/>
    </row>
    <row r="907" ht="15" customHeight="1">
      <c r="A907" t="inlineStr">
        <is>
          <t>A 44574-2020</t>
        </is>
      </c>
      <c r="B907" s="1" t="n">
        <v>44085</v>
      </c>
      <c r="C907" s="1" t="n">
        <v>45883</v>
      </c>
      <c r="D907" t="inlineStr">
        <is>
          <t>GÄVLEBORGS LÄN</t>
        </is>
      </c>
      <c r="E907" t="inlineStr">
        <is>
          <t>HUDIKSVALL</t>
        </is>
      </c>
      <c r="G907" t="n">
        <v>1</v>
      </c>
      <c r="H907" t="n">
        <v>0</v>
      </c>
      <c r="I907" t="n">
        <v>0</v>
      </c>
      <c r="J907" t="n">
        <v>0</v>
      </c>
      <c r="K907" t="n">
        <v>0</v>
      </c>
      <c r="L907" t="n">
        <v>0</v>
      </c>
      <c r="M907" t="n">
        <v>0</v>
      </c>
      <c r="N907" t="n">
        <v>0</v>
      </c>
      <c r="O907" t="n">
        <v>0</v>
      </c>
      <c r="P907" t="n">
        <v>0</v>
      </c>
      <c r="Q907" t="n">
        <v>0</v>
      </c>
      <c r="R907" s="2" t="inlineStr"/>
    </row>
    <row r="908" ht="15" customHeight="1">
      <c r="A908" t="inlineStr">
        <is>
          <t>A 26940-2022</t>
        </is>
      </c>
      <c r="B908" s="1" t="n">
        <v>44740</v>
      </c>
      <c r="C908" s="1" t="n">
        <v>45883</v>
      </c>
      <c r="D908" t="inlineStr">
        <is>
          <t>GÄVLEBORGS LÄN</t>
        </is>
      </c>
      <c r="E908" t="inlineStr">
        <is>
          <t>SÖDERHAMN</t>
        </is>
      </c>
      <c r="G908" t="n">
        <v>0.3</v>
      </c>
      <c r="H908" t="n">
        <v>0</v>
      </c>
      <c r="I908" t="n">
        <v>0</v>
      </c>
      <c r="J908" t="n">
        <v>0</v>
      </c>
      <c r="K908" t="n">
        <v>0</v>
      </c>
      <c r="L908" t="n">
        <v>0</v>
      </c>
      <c r="M908" t="n">
        <v>0</v>
      </c>
      <c r="N908" t="n">
        <v>0</v>
      </c>
      <c r="O908" t="n">
        <v>0</v>
      </c>
      <c r="P908" t="n">
        <v>0</v>
      </c>
      <c r="Q908" t="n">
        <v>0</v>
      </c>
      <c r="R908" s="2" t="inlineStr"/>
    </row>
    <row r="909" ht="15" customHeight="1">
      <c r="A909" t="inlineStr">
        <is>
          <t>A 51809-2021</t>
        </is>
      </c>
      <c r="B909" s="1" t="n">
        <v>44462.64712962963</v>
      </c>
      <c r="C909" s="1" t="n">
        <v>45883</v>
      </c>
      <c r="D909" t="inlineStr">
        <is>
          <t>GÄVLEBORGS LÄN</t>
        </is>
      </c>
      <c r="E909" t="inlineStr">
        <is>
          <t>GÄVLE</t>
        </is>
      </c>
      <c r="G909" t="n">
        <v>2.3</v>
      </c>
      <c r="H909" t="n">
        <v>0</v>
      </c>
      <c r="I909" t="n">
        <v>0</v>
      </c>
      <c r="J909" t="n">
        <v>0</v>
      </c>
      <c r="K909" t="n">
        <v>0</v>
      </c>
      <c r="L909" t="n">
        <v>0</v>
      </c>
      <c r="M909" t="n">
        <v>0</v>
      </c>
      <c r="N909" t="n">
        <v>0</v>
      </c>
      <c r="O909" t="n">
        <v>0</v>
      </c>
      <c r="P909" t="n">
        <v>0</v>
      </c>
      <c r="Q909" t="n">
        <v>0</v>
      </c>
      <c r="R909" s="2" t="inlineStr"/>
    </row>
    <row r="910" ht="15" customHeight="1">
      <c r="A910" t="inlineStr">
        <is>
          <t>A 15824-2021</t>
        </is>
      </c>
      <c r="B910" s="1" t="n">
        <v>44286</v>
      </c>
      <c r="C910" s="1" t="n">
        <v>45883</v>
      </c>
      <c r="D910" t="inlineStr">
        <is>
          <t>GÄVLEBORGS LÄN</t>
        </is>
      </c>
      <c r="E910" t="inlineStr">
        <is>
          <t>GÄVLE</t>
        </is>
      </c>
      <c r="F910" t="inlineStr">
        <is>
          <t>Bergvik skog väst AB</t>
        </is>
      </c>
      <c r="G910" t="n">
        <v>3.9</v>
      </c>
      <c r="H910" t="n">
        <v>0</v>
      </c>
      <c r="I910" t="n">
        <v>0</v>
      </c>
      <c r="J910" t="n">
        <v>0</v>
      </c>
      <c r="K910" t="n">
        <v>0</v>
      </c>
      <c r="L910" t="n">
        <v>0</v>
      </c>
      <c r="M910" t="n">
        <v>0</v>
      </c>
      <c r="N910" t="n">
        <v>0</v>
      </c>
      <c r="O910" t="n">
        <v>0</v>
      </c>
      <c r="P910" t="n">
        <v>0</v>
      </c>
      <c r="Q910" t="n">
        <v>0</v>
      </c>
      <c r="R910" s="2" t="inlineStr"/>
    </row>
    <row r="911" ht="15" customHeight="1">
      <c r="A911" t="inlineStr">
        <is>
          <t>A 46352-2020</t>
        </is>
      </c>
      <c r="B911" s="1" t="n">
        <v>44092</v>
      </c>
      <c r="C911" s="1" t="n">
        <v>45883</v>
      </c>
      <c r="D911" t="inlineStr">
        <is>
          <t>GÄVLEBORGS LÄN</t>
        </is>
      </c>
      <c r="E911" t="inlineStr">
        <is>
          <t>HUDIKSVALL</t>
        </is>
      </c>
      <c r="G911" t="n">
        <v>0.9</v>
      </c>
      <c r="H911" t="n">
        <v>0</v>
      </c>
      <c r="I911" t="n">
        <v>0</v>
      </c>
      <c r="J911" t="n">
        <v>0</v>
      </c>
      <c r="K911" t="n">
        <v>0</v>
      </c>
      <c r="L911" t="n">
        <v>0</v>
      </c>
      <c r="M911" t="n">
        <v>0</v>
      </c>
      <c r="N911" t="n">
        <v>0</v>
      </c>
      <c r="O911" t="n">
        <v>0</v>
      </c>
      <c r="P911" t="n">
        <v>0</v>
      </c>
      <c r="Q911" t="n">
        <v>0</v>
      </c>
      <c r="R911" s="2" t="inlineStr"/>
    </row>
    <row r="912" ht="15" customHeight="1">
      <c r="A912" t="inlineStr">
        <is>
          <t>A 51828-2020</t>
        </is>
      </c>
      <c r="B912" s="1" t="n">
        <v>44116</v>
      </c>
      <c r="C912" s="1" t="n">
        <v>45883</v>
      </c>
      <c r="D912" t="inlineStr">
        <is>
          <t>GÄVLEBORGS LÄN</t>
        </is>
      </c>
      <c r="E912" t="inlineStr">
        <is>
          <t>SANDVIKEN</t>
        </is>
      </c>
      <c r="G912" t="n">
        <v>2.4</v>
      </c>
      <c r="H912" t="n">
        <v>0</v>
      </c>
      <c r="I912" t="n">
        <v>0</v>
      </c>
      <c r="J912" t="n">
        <v>0</v>
      </c>
      <c r="K912" t="n">
        <v>0</v>
      </c>
      <c r="L912" t="n">
        <v>0</v>
      </c>
      <c r="M912" t="n">
        <v>0</v>
      </c>
      <c r="N912" t="n">
        <v>0</v>
      </c>
      <c r="O912" t="n">
        <v>0</v>
      </c>
      <c r="P912" t="n">
        <v>0</v>
      </c>
      <c r="Q912" t="n">
        <v>0</v>
      </c>
      <c r="R912" s="2" t="inlineStr"/>
    </row>
    <row r="913" ht="15" customHeight="1">
      <c r="A913" t="inlineStr">
        <is>
          <t>A 65842-2020</t>
        </is>
      </c>
      <c r="B913" s="1" t="n">
        <v>44174</v>
      </c>
      <c r="C913" s="1" t="n">
        <v>45883</v>
      </c>
      <c r="D913" t="inlineStr">
        <is>
          <t>GÄVLEBORGS LÄN</t>
        </is>
      </c>
      <c r="E913" t="inlineStr">
        <is>
          <t>NORDANSTIG</t>
        </is>
      </c>
      <c r="G913" t="n">
        <v>3.1</v>
      </c>
      <c r="H913" t="n">
        <v>0</v>
      </c>
      <c r="I913" t="n">
        <v>0</v>
      </c>
      <c r="J913" t="n">
        <v>0</v>
      </c>
      <c r="K913" t="n">
        <v>0</v>
      </c>
      <c r="L913" t="n">
        <v>0</v>
      </c>
      <c r="M913" t="n">
        <v>0</v>
      </c>
      <c r="N913" t="n">
        <v>0</v>
      </c>
      <c r="O913" t="n">
        <v>0</v>
      </c>
      <c r="P913" t="n">
        <v>0</v>
      </c>
      <c r="Q913" t="n">
        <v>0</v>
      </c>
      <c r="R913" s="2" t="inlineStr"/>
    </row>
    <row r="914" ht="15" customHeight="1">
      <c r="A914" t="inlineStr">
        <is>
          <t>A 66274-2020</t>
        </is>
      </c>
      <c r="B914" s="1" t="n">
        <v>44176</v>
      </c>
      <c r="C914" s="1" t="n">
        <v>45883</v>
      </c>
      <c r="D914" t="inlineStr">
        <is>
          <t>GÄVLEBORGS LÄN</t>
        </is>
      </c>
      <c r="E914" t="inlineStr">
        <is>
          <t>OCKELBO</t>
        </is>
      </c>
      <c r="G914" t="n">
        <v>5.4</v>
      </c>
      <c r="H914" t="n">
        <v>0</v>
      </c>
      <c r="I914" t="n">
        <v>0</v>
      </c>
      <c r="J914" t="n">
        <v>0</v>
      </c>
      <c r="K914" t="n">
        <v>0</v>
      </c>
      <c r="L914" t="n">
        <v>0</v>
      </c>
      <c r="M914" t="n">
        <v>0</v>
      </c>
      <c r="N914" t="n">
        <v>0</v>
      </c>
      <c r="O914" t="n">
        <v>0</v>
      </c>
      <c r="P914" t="n">
        <v>0</v>
      </c>
      <c r="Q914" t="n">
        <v>0</v>
      </c>
      <c r="R914" s="2" t="inlineStr"/>
    </row>
    <row r="915" ht="15" customHeight="1">
      <c r="A915" t="inlineStr">
        <is>
          <t>A 68245-2021</t>
        </is>
      </c>
      <c r="B915" s="1" t="n">
        <v>44526.60260416667</v>
      </c>
      <c r="C915" s="1" t="n">
        <v>45883</v>
      </c>
      <c r="D915" t="inlineStr">
        <is>
          <t>GÄVLEBORGS LÄN</t>
        </is>
      </c>
      <c r="E915" t="inlineStr">
        <is>
          <t>OVANÅKER</t>
        </is>
      </c>
      <c r="G915" t="n">
        <v>0.6</v>
      </c>
      <c r="H915" t="n">
        <v>0</v>
      </c>
      <c r="I915" t="n">
        <v>0</v>
      </c>
      <c r="J915" t="n">
        <v>0</v>
      </c>
      <c r="K915" t="n">
        <v>0</v>
      </c>
      <c r="L915" t="n">
        <v>0</v>
      </c>
      <c r="M915" t="n">
        <v>0</v>
      </c>
      <c r="N915" t="n">
        <v>0</v>
      </c>
      <c r="O915" t="n">
        <v>0</v>
      </c>
      <c r="P915" t="n">
        <v>0</v>
      </c>
      <c r="Q915" t="n">
        <v>0</v>
      </c>
      <c r="R915" s="2" t="inlineStr"/>
    </row>
    <row r="916" ht="15" customHeight="1">
      <c r="A916" t="inlineStr">
        <is>
          <t>A 55314-2021</t>
        </is>
      </c>
      <c r="B916" s="1" t="n">
        <v>44475</v>
      </c>
      <c r="C916" s="1" t="n">
        <v>45883</v>
      </c>
      <c r="D916" t="inlineStr">
        <is>
          <t>GÄVLEBORGS LÄN</t>
        </is>
      </c>
      <c r="E916" t="inlineStr">
        <is>
          <t>NORDANSTIG</t>
        </is>
      </c>
      <c r="F916" t="inlineStr">
        <is>
          <t>Holmen skog AB</t>
        </is>
      </c>
      <c r="G916" t="n">
        <v>8.199999999999999</v>
      </c>
      <c r="H916" t="n">
        <v>0</v>
      </c>
      <c r="I916" t="n">
        <v>0</v>
      </c>
      <c r="J916" t="n">
        <v>0</v>
      </c>
      <c r="K916" t="n">
        <v>0</v>
      </c>
      <c r="L916" t="n">
        <v>0</v>
      </c>
      <c r="M916" t="n">
        <v>0</v>
      </c>
      <c r="N916" t="n">
        <v>0</v>
      </c>
      <c r="O916" t="n">
        <v>0</v>
      </c>
      <c r="P916" t="n">
        <v>0</v>
      </c>
      <c r="Q916" t="n">
        <v>0</v>
      </c>
      <c r="R916" s="2" t="inlineStr"/>
    </row>
    <row r="917" ht="15" customHeight="1">
      <c r="A917" t="inlineStr">
        <is>
          <t>A 55336-2021</t>
        </is>
      </c>
      <c r="B917" s="1" t="n">
        <v>44475</v>
      </c>
      <c r="C917" s="1" t="n">
        <v>45883</v>
      </c>
      <c r="D917" t="inlineStr">
        <is>
          <t>GÄVLEBORGS LÄN</t>
        </is>
      </c>
      <c r="E917" t="inlineStr">
        <is>
          <t>HUDIKSVALL</t>
        </is>
      </c>
      <c r="G917" t="n">
        <v>2.5</v>
      </c>
      <c r="H917" t="n">
        <v>0</v>
      </c>
      <c r="I917" t="n">
        <v>0</v>
      </c>
      <c r="J917" t="n">
        <v>0</v>
      </c>
      <c r="K917" t="n">
        <v>0</v>
      </c>
      <c r="L917" t="n">
        <v>0</v>
      </c>
      <c r="M917" t="n">
        <v>0</v>
      </c>
      <c r="N917" t="n">
        <v>0</v>
      </c>
      <c r="O917" t="n">
        <v>0</v>
      </c>
      <c r="P917" t="n">
        <v>0</v>
      </c>
      <c r="Q917" t="n">
        <v>0</v>
      </c>
      <c r="R917" s="2" t="inlineStr"/>
    </row>
    <row r="918" ht="15" customHeight="1">
      <c r="A918" t="inlineStr">
        <is>
          <t>A 60720-2020</t>
        </is>
      </c>
      <c r="B918" s="1" t="n">
        <v>44153</v>
      </c>
      <c r="C918" s="1" t="n">
        <v>45883</v>
      </c>
      <c r="D918" t="inlineStr">
        <is>
          <t>GÄVLEBORGS LÄN</t>
        </is>
      </c>
      <c r="E918" t="inlineStr">
        <is>
          <t>BOLLNÄS</t>
        </is>
      </c>
      <c r="F918" t="inlineStr">
        <is>
          <t>Kommuner</t>
        </is>
      </c>
      <c r="G918" t="n">
        <v>4.3</v>
      </c>
      <c r="H918" t="n">
        <v>0</v>
      </c>
      <c r="I918" t="n">
        <v>0</v>
      </c>
      <c r="J918" t="n">
        <v>0</v>
      </c>
      <c r="K918" t="n">
        <v>0</v>
      </c>
      <c r="L918" t="n">
        <v>0</v>
      </c>
      <c r="M918" t="n">
        <v>0</v>
      </c>
      <c r="N918" t="n">
        <v>0</v>
      </c>
      <c r="O918" t="n">
        <v>0</v>
      </c>
      <c r="P918" t="n">
        <v>0</v>
      </c>
      <c r="Q918" t="n">
        <v>0</v>
      </c>
      <c r="R918" s="2" t="inlineStr"/>
    </row>
    <row r="919" ht="15" customHeight="1">
      <c r="A919" t="inlineStr">
        <is>
          <t>A 12226-2021</t>
        </is>
      </c>
      <c r="B919" s="1" t="n">
        <v>44266.68041666667</v>
      </c>
      <c r="C919" s="1" t="n">
        <v>45883</v>
      </c>
      <c r="D919" t="inlineStr">
        <is>
          <t>GÄVLEBORGS LÄN</t>
        </is>
      </c>
      <c r="E919" t="inlineStr">
        <is>
          <t>BOLLNÄS</t>
        </is>
      </c>
      <c r="G919" t="n">
        <v>3</v>
      </c>
      <c r="H919" t="n">
        <v>0</v>
      </c>
      <c r="I919" t="n">
        <v>0</v>
      </c>
      <c r="J919" t="n">
        <v>0</v>
      </c>
      <c r="K919" t="n">
        <v>0</v>
      </c>
      <c r="L919" t="n">
        <v>0</v>
      </c>
      <c r="M919" t="n">
        <v>0</v>
      </c>
      <c r="N919" t="n">
        <v>0</v>
      </c>
      <c r="O919" t="n">
        <v>0</v>
      </c>
      <c r="P919" t="n">
        <v>0</v>
      </c>
      <c r="Q919" t="n">
        <v>0</v>
      </c>
      <c r="R919" s="2" t="inlineStr"/>
    </row>
    <row r="920" ht="15" customHeight="1">
      <c r="A920" t="inlineStr">
        <is>
          <t>A 9738-2021</t>
        </is>
      </c>
      <c r="B920" s="1" t="n">
        <v>44252</v>
      </c>
      <c r="C920" s="1" t="n">
        <v>45883</v>
      </c>
      <c r="D920" t="inlineStr">
        <is>
          <t>GÄVLEBORGS LÄN</t>
        </is>
      </c>
      <c r="E920" t="inlineStr">
        <is>
          <t>GÄVLE</t>
        </is>
      </c>
      <c r="G920" t="n">
        <v>1</v>
      </c>
      <c r="H920" t="n">
        <v>0</v>
      </c>
      <c r="I920" t="n">
        <v>0</v>
      </c>
      <c r="J920" t="n">
        <v>0</v>
      </c>
      <c r="K920" t="n">
        <v>0</v>
      </c>
      <c r="L920" t="n">
        <v>0</v>
      </c>
      <c r="M920" t="n">
        <v>0</v>
      </c>
      <c r="N920" t="n">
        <v>0</v>
      </c>
      <c r="O920" t="n">
        <v>0</v>
      </c>
      <c r="P920" t="n">
        <v>0</v>
      </c>
      <c r="Q920" t="n">
        <v>0</v>
      </c>
      <c r="R920" s="2" t="inlineStr"/>
    </row>
    <row r="921" ht="15" customHeight="1">
      <c r="A921" t="inlineStr">
        <is>
          <t>A 237-2021</t>
        </is>
      </c>
      <c r="B921" s="1" t="n">
        <v>44200</v>
      </c>
      <c r="C921" s="1" t="n">
        <v>45883</v>
      </c>
      <c r="D921" t="inlineStr">
        <is>
          <t>GÄVLEBORGS LÄN</t>
        </is>
      </c>
      <c r="E921" t="inlineStr">
        <is>
          <t>SÖDERHAMN</t>
        </is>
      </c>
      <c r="G921" t="n">
        <v>2.8</v>
      </c>
      <c r="H921" t="n">
        <v>0</v>
      </c>
      <c r="I921" t="n">
        <v>0</v>
      </c>
      <c r="J921" t="n">
        <v>0</v>
      </c>
      <c r="K921" t="n">
        <v>0</v>
      </c>
      <c r="L921" t="n">
        <v>0</v>
      </c>
      <c r="M921" t="n">
        <v>0</v>
      </c>
      <c r="N921" t="n">
        <v>0</v>
      </c>
      <c r="O921" t="n">
        <v>0</v>
      </c>
      <c r="P921" t="n">
        <v>0</v>
      </c>
      <c r="Q921" t="n">
        <v>0</v>
      </c>
      <c r="R921" s="2" t="inlineStr"/>
    </row>
    <row r="922" ht="15" customHeight="1">
      <c r="A922" t="inlineStr">
        <is>
          <t>A 34939-2022</t>
        </is>
      </c>
      <c r="B922" s="1" t="n">
        <v>44796.62805555556</v>
      </c>
      <c r="C922" s="1" t="n">
        <v>45883</v>
      </c>
      <c r="D922" t="inlineStr">
        <is>
          <t>GÄVLEBORGS LÄN</t>
        </is>
      </c>
      <c r="E922" t="inlineStr">
        <is>
          <t>BOLLNÄS</t>
        </is>
      </c>
      <c r="G922" t="n">
        <v>0.9</v>
      </c>
      <c r="H922" t="n">
        <v>0</v>
      </c>
      <c r="I922" t="n">
        <v>0</v>
      </c>
      <c r="J922" t="n">
        <v>0</v>
      </c>
      <c r="K922" t="n">
        <v>0</v>
      </c>
      <c r="L922" t="n">
        <v>0</v>
      </c>
      <c r="M922" t="n">
        <v>0</v>
      </c>
      <c r="N922" t="n">
        <v>0</v>
      </c>
      <c r="O922" t="n">
        <v>0</v>
      </c>
      <c r="P922" t="n">
        <v>0</v>
      </c>
      <c r="Q922" t="n">
        <v>0</v>
      </c>
      <c r="R922" s="2" t="inlineStr"/>
    </row>
    <row r="923" ht="15" customHeight="1">
      <c r="A923" t="inlineStr">
        <is>
          <t>A 60743-2020</t>
        </is>
      </c>
      <c r="B923" s="1" t="n">
        <v>44153</v>
      </c>
      <c r="C923" s="1" t="n">
        <v>45883</v>
      </c>
      <c r="D923" t="inlineStr">
        <is>
          <t>GÄVLEBORGS LÄN</t>
        </is>
      </c>
      <c r="E923" t="inlineStr">
        <is>
          <t>OVANÅKER</t>
        </is>
      </c>
      <c r="G923" t="n">
        <v>0.7</v>
      </c>
      <c r="H923" t="n">
        <v>0</v>
      </c>
      <c r="I923" t="n">
        <v>0</v>
      </c>
      <c r="J923" t="n">
        <v>0</v>
      </c>
      <c r="K923" t="n">
        <v>0</v>
      </c>
      <c r="L923" t="n">
        <v>0</v>
      </c>
      <c r="M923" t="n">
        <v>0</v>
      </c>
      <c r="N923" t="n">
        <v>0</v>
      </c>
      <c r="O923" t="n">
        <v>0</v>
      </c>
      <c r="P923" t="n">
        <v>0</v>
      </c>
      <c r="Q923" t="n">
        <v>0</v>
      </c>
      <c r="R923" s="2" t="inlineStr"/>
    </row>
    <row r="924" ht="15" customHeight="1">
      <c r="A924" t="inlineStr">
        <is>
          <t>A 2450-2021</t>
        </is>
      </c>
      <c r="B924" s="1" t="n">
        <v>44214</v>
      </c>
      <c r="C924" s="1" t="n">
        <v>45883</v>
      </c>
      <c r="D924" t="inlineStr">
        <is>
          <t>GÄVLEBORGS LÄN</t>
        </is>
      </c>
      <c r="E924" t="inlineStr">
        <is>
          <t>SÖDERHAMN</t>
        </is>
      </c>
      <c r="G924" t="n">
        <v>2.5</v>
      </c>
      <c r="H924" t="n">
        <v>0</v>
      </c>
      <c r="I924" t="n">
        <v>0</v>
      </c>
      <c r="J924" t="n">
        <v>0</v>
      </c>
      <c r="K924" t="n">
        <v>0</v>
      </c>
      <c r="L924" t="n">
        <v>0</v>
      </c>
      <c r="M924" t="n">
        <v>0</v>
      </c>
      <c r="N924" t="n">
        <v>0</v>
      </c>
      <c r="O924" t="n">
        <v>0</v>
      </c>
      <c r="P924" t="n">
        <v>0</v>
      </c>
      <c r="Q924" t="n">
        <v>0</v>
      </c>
      <c r="R924" s="2" t="inlineStr"/>
    </row>
    <row r="925" ht="15" customHeight="1">
      <c r="A925" t="inlineStr">
        <is>
          <t>A 59910-2020</t>
        </is>
      </c>
      <c r="B925" s="1" t="n">
        <v>44151</v>
      </c>
      <c r="C925" s="1" t="n">
        <v>45883</v>
      </c>
      <c r="D925" t="inlineStr">
        <is>
          <t>GÄVLEBORGS LÄN</t>
        </is>
      </c>
      <c r="E925" t="inlineStr">
        <is>
          <t>BOLLNÄS</t>
        </is>
      </c>
      <c r="G925" t="n">
        <v>1.5</v>
      </c>
      <c r="H925" t="n">
        <v>0</v>
      </c>
      <c r="I925" t="n">
        <v>0</v>
      </c>
      <c r="J925" t="n">
        <v>0</v>
      </c>
      <c r="K925" t="n">
        <v>0</v>
      </c>
      <c r="L925" t="n">
        <v>0</v>
      </c>
      <c r="M925" t="n">
        <v>0</v>
      </c>
      <c r="N925" t="n">
        <v>0</v>
      </c>
      <c r="O925" t="n">
        <v>0</v>
      </c>
      <c r="P925" t="n">
        <v>0</v>
      </c>
      <c r="Q925" t="n">
        <v>0</v>
      </c>
      <c r="R925" s="2" t="inlineStr"/>
    </row>
    <row r="926" ht="15" customHeight="1">
      <c r="A926" t="inlineStr">
        <is>
          <t>A 42961-2020</t>
        </is>
      </c>
      <c r="B926" s="1" t="n">
        <v>44078.56528935185</v>
      </c>
      <c r="C926" s="1" t="n">
        <v>45883</v>
      </c>
      <c r="D926" t="inlineStr">
        <is>
          <t>GÄVLEBORGS LÄN</t>
        </is>
      </c>
      <c r="E926" t="inlineStr">
        <is>
          <t>BOLLNÄS</t>
        </is>
      </c>
      <c r="G926" t="n">
        <v>1.3</v>
      </c>
      <c r="H926" t="n">
        <v>0</v>
      </c>
      <c r="I926" t="n">
        <v>0</v>
      </c>
      <c r="J926" t="n">
        <v>0</v>
      </c>
      <c r="K926" t="n">
        <v>0</v>
      </c>
      <c r="L926" t="n">
        <v>0</v>
      </c>
      <c r="M926" t="n">
        <v>0</v>
      </c>
      <c r="N926" t="n">
        <v>0</v>
      </c>
      <c r="O926" t="n">
        <v>0</v>
      </c>
      <c r="P926" t="n">
        <v>0</v>
      </c>
      <c r="Q926" t="n">
        <v>0</v>
      </c>
      <c r="R926" s="2" t="inlineStr"/>
    </row>
    <row r="927" ht="15" customHeight="1">
      <c r="A927" t="inlineStr">
        <is>
          <t>A 50935-2021</t>
        </is>
      </c>
      <c r="B927" s="1" t="n">
        <v>44460</v>
      </c>
      <c r="C927" s="1" t="n">
        <v>45883</v>
      </c>
      <c r="D927" t="inlineStr">
        <is>
          <t>GÄVLEBORGS LÄN</t>
        </is>
      </c>
      <c r="E927" t="inlineStr">
        <is>
          <t>BOLLNÄS</t>
        </is>
      </c>
      <c r="G927" t="n">
        <v>3.1</v>
      </c>
      <c r="H927" t="n">
        <v>0</v>
      </c>
      <c r="I927" t="n">
        <v>0</v>
      </c>
      <c r="J927" t="n">
        <v>0</v>
      </c>
      <c r="K927" t="n">
        <v>0</v>
      </c>
      <c r="L927" t="n">
        <v>0</v>
      </c>
      <c r="M927" t="n">
        <v>0</v>
      </c>
      <c r="N927" t="n">
        <v>0</v>
      </c>
      <c r="O927" t="n">
        <v>0</v>
      </c>
      <c r="P927" t="n">
        <v>0</v>
      </c>
      <c r="Q927" t="n">
        <v>0</v>
      </c>
      <c r="R927" s="2" t="inlineStr"/>
    </row>
    <row r="928" ht="15" customHeight="1">
      <c r="A928" t="inlineStr">
        <is>
          <t>A 33568-2022</t>
        </is>
      </c>
      <c r="B928" s="1" t="n">
        <v>44789.41236111111</v>
      </c>
      <c r="C928" s="1" t="n">
        <v>45883</v>
      </c>
      <c r="D928" t="inlineStr">
        <is>
          <t>GÄVLEBORGS LÄN</t>
        </is>
      </c>
      <c r="E928" t="inlineStr">
        <is>
          <t>LJUSDAL</t>
        </is>
      </c>
      <c r="F928" t="inlineStr">
        <is>
          <t>Bergvik skog väst AB</t>
        </is>
      </c>
      <c r="G928" t="n">
        <v>1.1</v>
      </c>
      <c r="H928" t="n">
        <v>0</v>
      </c>
      <c r="I928" t="n">
        <v>0</v>
      </c>
      <c r="J928" t="n">
        <v>0</v>
      </c>
      <c r="K928" t="n">
        <v>0</v>
      </c>
      <c r="L928" t="n">
        <v>0</v>
      </c>
      <c r="M928" t="n">
        <v>0</v>
      </c>
      <c r="N928" t="n">
        <v>0</v>
      </c>
      <c r="O928" t="n">
        <v>0</v>
      </c>
      <c r="P928" t="n">
        <v>0</v>
      </c>
      <c r="Q928" t="n">
        <v>0</v>
      </c>
      <c r="R928" s="2" t="inlineStr"/>
    </row>
    <row r="929" ht="15" customHeight="1">
      <c r="A929" t="inlineStr">
        <is>
          <t>A 45652-2020</t>
        </is>
      </c>
      <c r="B929" s="1" t="n">
        <v>44090.48449074074</v>
      </c>
      <c r="C929" s="1" t="n">
        <v>45883</v>
      </c>
      <c r="D929" t="inlineStr">
        <is>
          <t>GÄVLEBORGS LÄN</t>
        </is>
      </c>
      <c r="E929" t="inlineStr">
        <is>
          <t>BOLLNÄS</t>
        </is>
      </c>
      <c r="G929" t="n">
        <v>1</v>
      </c>
      <c r="H929" t="n">
        <v>0</v>
      </c>
      <c r="I929" t="n">
        <v>0</v>
      </c>
      <c r="J929" t="n">
        <v>0</v>
      </c>
      <c r="K929" t="n">
        <v>0</v>
      </c>
      <c r="L929" t="n">
        <v>0</v>
      </c>
      <c r="M929" t="n">
        <v>0</v>
      </c>
      <c r="N929" t="n">
        <v>0</v>
      </c>
      <c r="O929" t="n">
        <v>0</v>
      </c>
      <c r="P929" t="n">
        <v>0</v>
      </c>
      <c r="Q929" t="n">
        <v>0</v>
      </c>
      <c r="R929" s="2" t="inlineStr"/>
    </row>
    <row r="930" ht="15" customHeight="1">
      <c r="A930" t="inlineStr">
        <is>
          <t>A 10709-2021</t>
        </is>
      </c>
      <c r="B930" s="1" t="n">
        <v>44258</v>
      </c>
      <c r="C930" s="1" t="n">
        <v>45883</v>
      </c>
      <c r="D930" t="inlineStr">
        <is>
          <t>GÄVLEBORGS LÄN</t>
        </is>
      </c>
      <c r="E930" t="inlineStr">
        <is>
          <t>GÄVLE</t>
        </is>
      </c>
      <c r="G930" t="n">
        <v>0.6</v>
      </c>
      <c r="H930" t="n">
        <v>0</v>
      </c>
      <c r="I930" t="n">
        <v>0</v>
      </c>
      <c r="J930" t="n">
        <v>0</v>
      </c>
      <c r="K930" t="n">
        <v>0</v>
      </c>
      <c r="L930" t="n">
        <v>0</v>
      </c>
      <c r="M930" t="n">
        <v>0</v>
      </c>
      <c r="N930" t="n">
        <v>0</v>
      </c>
      <c r="O930" t="n">
        <v>0</v>
      </c>
      <c r="P930" t="n">
        <v>0</v>
      </c>
      <c r="Q930" t="n">
        <v>0</v>
      </c>
      <c r="R930" s="2" t="inlineStr"/>
    </row>
    <row r="931" ht="15" customHeight="1">
      <c r="A931" t="inlineStr">
        <is>
          <t>A 16305-2021</t>
        </is>
      </c>
      <c r="B931" s="1" t="n">
        <v>44292</v>
      </c>
      <c r="C931" s="1" t="n">
        <v>45883</v>
      </c>
      <c r="D931" t="inlineStr">
        <is>
          <t>GÄVLEBORGS LÄN</t>
        </is>
      </c>
      <c r="E931" t="inlineStr">
        <is>
          <t>SÖDERHAMN</t>
        </is>
      </c>
      <c r="G931" t="n">
        <v>0.5</v>
      </c>
      <c r="H931" t="n">
        <v>0</v>
      </c>
      <c r="I931" t="n">
        <v>0</v>
      </c>
      <c r="J931" t="n">
        <v>0</v>
      </c>
      <c r="K931" t="n">
        <v>0</v>
      </c>
      <c r="L931" t="n">
        <v>0</v>
      </c>
      <c r="M931" t="n">
        <v>0</v>
      </c>
      <c r="N931" t="n">
        <v>0</v>
      </c>
      <c r="O931" t="n">
        <v>0</v>
      </c>
      <c r="P931" t="n">
        <v>0</v>
      </c>
      <c r="Q931" t="n">
        <v>0</v>
      </c>
      <c r="R931" s="2" t="inlineStr"/>
    </row>
    <row r="932" ht="15" customHeight="1">
      <c r="A932" t="inlineStr">
        <is>
          <t>A 70914-2021</t>
        </is>
      </c>
      <c r="B932" s="1" t="n">
        <v>44538.44221064815</v>
      </c>
      <c r="C932" s="1" t="n">
        <v>45883</v>
      </c>
      <c r="D932" t="inlineStr">
        <is>
          <t>GÄVLEBORGS LÄN</t>
        </is>
      </c>
      <c r="E932" t="inlineStr">
        <is>
          <t>BOLLNÄS</t>
        </is>
      </c>
      <c r="G932" t="n">
        <v>1.7</v>
      </c>
      <c r="H932" t="n">
        <v>0</v>
      </c>
      <c r="I932" t="n">
        <v>0</v>
      </c>
      <c r="J932" t="n">
        <v>0</v>
      </c>
      <c r="K932" t="n">
        <v>0</v>
      </c>
      <c r="L932" t="n">
        <v>0</v>
      </c>
      <c r="M932" t="n">
        <v>0</v>
      </c>
      <c r="N932" t="n">
        <v>0</v>
      </c>
      <c r="O932" t="n">
        <v>0</v>
      </c>
      <c r="P932" t="n">
        <v>0</v>
      </c>
      <c r="Q932" t="n">
        <v>0</v>
      </c>
      <c r="R932" s="2" t="inlineStr"/>
    </row>
    <row r="933" ht="15" customHeight="1">
      <c r="A933" t="inlineStr">
        <is>
          <t>A 44777-2020</t>
        </is>
      </c>
      <c r="B933" s="1" t="n">
        <v>44085</v>
      </c>
      <c r="C933" s="1" t="n">
        <v>45883</v>
      </c>
      <c r="D933" t="inlineStr">
        <is>
          <t>GÄVLEBORGS LÄN</t>
        </is>
      </c>
      <c r="E933" t="inlineStr">
        <is>
          <t>LJUSDAL</t>
        </is>
      </c>
      <c r="F933" t="inlineStr">
        <is>
          <t>Sveaskog</t>
        </is>
      </c>
      <c r="G933" t="n">
        <v>1.5</v>
      </c>
      <c r="H933" t="n">
        <v>0</v>
      </c>
      <c r="I933" t="n">
        <v>0</v>
      </c>
      <c r="J933" t="n">
        <v>0</v>
      </c>
      <c r="K933" t="n">
        <v>0</v>
      </c>
      <c r="L933" t="n">
        <v>0</v>
      </c>
      <c r="M933" t="n">
        <v>0</v>
      </c>
      <c r="N933" t="n">
        <v>0</v>
      </c>
      <c r="O933" t="n">
        <v>0</v>
      </c>
      <c r="P933" t="n">
        <v>0</v>
      </c>
      <c r="Q933" t="n">
        <v>0</v>
      </c>
      <c r="R933" s="2" t="inlineStr"/>
    </row>
    <row r="934" ht="15" customHeight="1">
      <c r="A934" t="inlineStr">
        <is>
          <t>A 23629-2021</t>
        </is>
      </c>
      <c r="B934" s="1" t="n">
        <v>44334</v>
      </c>
      <c r="C934" s="1" t="n">
        <v>45883</v>
      </c>
      <c r="D934" t="inlineStr">
        <is>
          <t>GÄVLEBORGS LÄN</t>
        </is>
      </c>
      <c r="E934" t="inlineStr">
        <is>
          <t>OCKELBO</t>
        </is>
      </c>
      <c r="G934" t="n">
        <v>1.3</v>
      </c>
      <c r="H934" t="n">
        <v>0</v>
      </c>
      <c r="I934" t="n">
        <v>0</v>
      </c>
      <c r="J934" t="n">
        <v>0</v>
      </c>
      <c r="K934" t="n">
        <v>0</v>
      </c>
      <c r="L934" t="n">
        <v>0</v>
      </c>
      <c r="M934" t="n">
        <v>0</v>
      </c>
      <c r="N934" t="n">
        <v>0</v>
      </c>
      <c r="O934" t="n">
        <v>0</v>
      </c>
      <c r="P934" t="n">
        <v>0</v>
      </c>
      <c r="Q934" t="n">
        <v>0</v>
      </c>
      <c r="R934" s="2" t="inlineStr"/>
    </row>
    <row r="935" ht="15" customHeight="1">
      <c r="A935" t="inlineStr">
        <is>
          <t>A 46288-2020</t>
        </is>
      </c>
      <c r="B935" s="1" t="n">
        <v>44092</v>
      </c>
      <c r="C935" s="1" t="n">
        <v>45883</v>
      </c>
      <c r="D935" t="inlineStr">
        <is>
          <t>GÄVLEBORGS LÄN</t>
        </is>
      </c>
      <c r="E935" t="inlineStr">
        <is>
          <t>LJUSDAL</t>
        </is>
      </c>
      <c r="F935" t="inlineStr">
        <is>
          <t>Holmen skog AB</t>
        </is>
      </c>
      <c r="G935" t="n">
        <v>2.5</v>
      </c>
      <c r="H935" t="n">
        <v>0</v>
      </c>
      <c r="I935" t="n">
        <v>0</v>
      </c>
      <c r="J935" t="n">
        <v>0</v>
      </c>
      <c r="K935" t="n">
        <v>0</v>
      </c>
      <c r="L935" t="n">
        <v>0</v>
      </c>
      <c r="M935" t="n">
        <v>0</v>
      </c>
      <c r="N935" t="n">
        <v>0</v>
      </c>
      <c r="O935" t="n">
        <v>0</v>
      </c>
      <c r="P935" t="n">
        <v>0</v>
      </c>
      <c r="Q935" t="n">
        <v>0</v>
      </c>
      <c r="R935" s="2" t="inlineStr"/>
    </row>
    <row r="936" ht="15" customHeight="1">
      <c r="A936" t="inlineStr">
        <is>
          <t>A 46334-2020</t>
        </is>
      </c>
      <c r="B936" s="1" t="n">
        <v>44092</v>
      </c>
      <c r="C936" s="1" t="n">
        <v>45883</v>
      </c>
      <c r="D936" t="inlineStr">
        <is>
          <t>GÄVLEBORGS LÄN</t>
        </is>
      </c>
      <c r="E936" t="inlineStr">
        <is>
          <t>NORDANSTIG</t>
        </is>
      </c>
      <c r="G936" t="n">
        <v>3</v>
      </c>
      <c r="H936" t="n">
        <v>0</v>
      </c>
      <c r="I936" t="n">
        <v>0</v>
      </c>
      <c r="J936" t="n">
        <v>0</v>
      </c>
      <c r="K936" t="n">
        <v>0</v>
      </c>
      <c r="L936" t="n">
        <v>0</v>
      </c>
      <c r="M936" t="n">
        <v>0</v>
      </c>
      <c r="N936" t="n">
        <v>0</v>
      </c>
      <c r="O936" t="n">
        <v>0</v>
      </c>
      <c r="P936" t="n">
        <v>0</v>
      </c>
      <c r="Q936" t="n">
        <v>0</v>
      </c>
      <c r="R936" s="2" t="inlineStr"/>
    </row>
    <row r="937" ht="15" customHeight="1">
      <c r="A937" t="inlineStr">
        <is>
          <t>A 24347-2022</t>
        </is>
      </c>
      <c r="B937" s="1" t="n">
        <v>44726</v>
      </c>
      <c r="C937" s="1" t="n">
        <v>45883</v>
      </c>
      <c r="D937" t="inlineStr">
        <is>
          <t>GÄVLEBORGS LÄN</t>
        </is>
      </c>
      <c r="E937" t="inlineStr">
        <is>
          <t>LJUSDAL</t>
        </is>
      </c>
      <c r="G937" t="n">
        <v>1.7</v>
      </c>
      <c r="H937" t="n">
        <v>0</v>
      </c>
      <c r="I937" t="n">
        <v>0</v>
      </c>
      <c r="J937" t="n">
        <v>0</v>
      </c>
      <c r="K937" t="n">
        <v>0</v>
      </c>
      <c r="L937" t="n">
        <v>0</v>
      </c>
      <c r="M937" t="n">
        <v>0</v>
      </c>
      <c r="N937" t="n">
        <v>0</v>
      </c>
      <c r="O937" t="n">
        <v>0</v>
      </c>
      <c r="P937" t="n">
        <v>0</v>
      </c>
      <c r="Q937" t="n">
        <v>0</v>
      </c>
      <c r="R937" s="2" t="inlineStr"/>
    </row>
    <row r="938" ht="15" customHeight="1">
      <c r="A938" t="inlineStr">
        <is>
          <t>A 44513-2021</t>
        </is>
      </c>
      <c r="B938" s="1" t="n">
        <v>44435.61856481482</v>
      </c>
      <c r="C938" s="1" t="n">
        <v>45883</v>
      </c>
      <c r="D938" t="inlineStr">
        <is>
          <t>GÄVLEBORGS LÄN</t>
        </is>
      </c>
      <c r="E938" t="inlineStr">
        <is>
          <t>NORDANSTIG</t>
        </is>
      </c>
      <c r="G938" t="n">
        <v>0.5</v>
      </c>
      <c r="H938" t="n">
        <v>0</v>
      </c>
      <c r="I938" t="n">
        <v>0</v>
      </c>
      <c r="J938" t="n">
        <v>0</v>
      </c>
      <c r="K938" t="n">
        <v>0</v>
      </c>
      <c r="L938" t="n">
        <v>0</v>
      </c>
      <c r="M938" t="n">
        <v>0</v>
      </c>
      <c r="N938" t="n">
        <v>0</v>
      </c>
      <c r="O938" t="n">
        <v>0</v>
      </c>
      <c r="P938" t="n">
        <v>0</v>
      </c>
      <c r="Q938" t="n">
        <v>0</v>
      </c>
      <c r="R938" s="2" t="inlineStr"/>
    </row>
    <row r="939" ht="15" customHeight="1">
      <c r="A939" t="inlineStr">
        <is>
          <t>A 55301-2020</t>
        </is>
      </c>
      <c r="B939" s="1" t="n">
        <v>44130</v>
      </c>
      <c r="C939" s="1" t="n">
        <v>45883</v>
      </c>
      <c r="D939" t="inlineStr">
        <is>
          <t>GÄVLEBORGS LÄN</t>
        </is>
      </c>
      <c r="E939" t="inlineStr">
        <is>
          <t>HOFORS</t>
        </is>
      </c>
      <c r="G939" t="n">
        <v>1.8</v>
      </c>
      <c r="H939" t="n">
        <v>0</v>
      </c>
      <c r="I939" t="n">
        <v>0</v>
      </c>
      <c r="J939" t="n">
        <v>0</v>
      </c>
      <c r="K939" t="n">
        <v>0</v>
      </c>
      <c r="L939" t="n">
        <v>0</v>
      </c>
      <c r="M939" t="n">
        <v>0</v>
      </c>
      <c r="N939" t="n">
        <v>0</v>
      </c>
      <c r="O939" t="n">
        <v>0</v>
      </c>
      <c r="P939" t="n">
        <v>0</v>
      </c>
      <c r="Q939" t="n">
        <v>0</v>
      </c>
      <c r="R939" s="2" t="inlineStr"/>
    </row>
    <row r="940" ht="15" customHeight="1">
      <c r="A940" t="inlineStr">
        <is>
          <t>A 55446-2020</t>
        </is>
      </c>
      <c r="B940" s="1" t="n">
        <v>44131</v>
      </c>
      <c r="C940" s="1" t="n">
        <v>45883</v>
      </c>
      <c r="D940" t="inlineStr">
        <is>
          <t>GÄVLEBORGS LÄN</t>
        </is>
      </c>
      <c r="E940" t="inlineStr">
        <is>
          <t>HUDIKSVALL</t>
        </is>
      </c>
      <c r="F940" t="inlineStr">
        <is>
          <t>Sveaskog</t>
        </is>
      </c>
      <c r="G940" t="n">
        <v>2.6</v>
      </c>
      <c r="H940" t="n">
        <v>0</v>
      </c>
      <c r="I940" t="n">
        <v>0</v>
      </c>
      <c r="J940" t="n">
        <v>0</v>
      </c>
      <c r="K940" t="n">
        <v>0</v>
      </c>
      <c r="L940" t="n">
        <v>0</v>
      </c>
      <c r="M940" t="n">
        <v>0</v>
      </c>
      <c r="N940" t="n">
        <v>0</v>
      </c>
      <c r="O940" t="n">
        <v>0</v>
      </c>
      <c r="P940" t="n">
        <v>0</v>
      </c>
      <c r="Q940" t="n">
        <v>0</v>
      </c>
      <c r="R940" s="2" t="inlineStr"/>
    </row>
    <row r="941" ht="15" customHeight="1">
      <c r="A941" t="inlineStr">
        <is>
          <t>A 70219-2021</t>
        </is>
      </c>
      <c r="B941" s="1" t="n">
        <v>44535</v>
      </c>
      <c r="C941" s="1" t="n">
        <v>45883</v>
      </c>
      <c r="D941" t="inlineStr">
        <is>
          <t>GÄVLEBORGS LÄN</t>
        </is>
      </c>
      <c r="E941" t="inlineStr">
        <is>
          <t>HUDIKSVALL</t>
        </is>
      </c>
      <c r="G941" t="n">
        <v>1.5</v>
      </c>
      <c r="H941" t="n">
        <v>0</v>
      </c>
      <c r="I941" t="n">
        <v>0</v>
      </c>
      <c r="J941" t="n">
        <v>0</v>
      </c>
      <c r="K941" t="n">
        <v>0</v>
      </c>
      <c r="L941" t="n">
        <v>0</v>
      </c>
      <c r="M941" t="n">
        <v>0</v>
      </c>
      <c r="N941" t="n">
        <v>0</v>
      </c>
      <c r="O941" t="n">
        <v>0</v>
      </c>
      <c r="P941" t="n">
        <v>0</v>
      </c>
      <c r="Q941" t="n">
        <v>0</v>
      </c>
      <c r="R941" s="2" t="inlineStr"/>
    </row>
    <row r="942" ht="15" customHeight="1">
      <c r="A942" t="inlineStr">
        <is>
          <t>A 10851-2021</t>
        </is>
      </c>
      <c r="B942" s="1" t="n">
        <v>44259</v>
      </c>
      <c r="C942" s="1" t="n">
        <v>45883</v>
      </c>
      <c r="D942" t="inlineStr">
        <is>
          <t>GÄVLEBORGS LÄN</t>
        </is>
      </c>
      <c r="E942" t="inlineStr">
        <is>
          <t>HUDIKSVALL</t>
        </is>
      </c>
      <c r="G942" t="n">
        <v>1.4</v>
      </c>
      <c r="H942" t="n">
        <v>0</v>
      </c>
      <c r="I942" t="n">
        <v>0</v>
      </c>
      <c r="J942" t="n">
        <v>0</v>
      </c>
      <c r="K942" t="n">
        <v>0</v>
      </c>
      <c r="L942" t="n">
        <v>0</v>
      </c>
      <c r="M942" t="n">
        <v>0</v>
      </c>
      <c r="N942" t="n">
        <v>0</v>
      </c>
      <c r="O942" t="n">
        <v>0</v>
      </c>
      <c r="P942" t="n">
        <v>0</v>
      </c>
      <c r="Q942" t="n">
        <v>0</v>
      </c>
      <c r="R942" s="2" t="inlineStr"/>
    </row>
    <row r="943" ht="15" customHeight="1">
      <c r="A943" t="inlineStr">
        <is>
          <t>A 62538-2021</t>
        </is>
      </c>
      <c r="B943" s="1" t="n">
        <v>44503.61028935185</v>
      </c>
      <c r="C943" s="1" t="n">
        <v>45883</v>
      </c>
      <c r="D943" t="inlineStr">
        <is>
          <t>GÄVLEBORGS LÄN</t>
        </is>
      </c>
      <c r="E943" t="inlineStr">
        <is>
          <t>SÖDERHAMN</t>
        </is>
      </c>
      <c r="G943" t="n">
        <v>0.7</v>
      </c>
      <c r="H943" t="n">
        <v>0</v>
      </c>
      <c r="I943" t="n">
        <v>0</v>
      </c>
      <c r="J943" t="n">
        <v>0</v>
      </c>
      <c r="K943" t="n">
        <v>0</v>
      </c>
      <c r="L943" t="n">
        <v>0</v>
      </c>
      <c r="M943" t="n">
        <v>0</v>
      </c>
      <c r="N943" t="n">
        <v>0</v>
      </c>
      <c r="O943" t="n">
        <v>0</v>
      </c>
      <c r="P943" t="n">
        <v>0</v>
      </c>
      <c r="Q943" t="n">
        <v>0</v>
      </c>
      <c r="R943" s="2" t="inlineStr"/>
    </row>
    <row r="944" ht="15" customHeight="1">
      <c r="A944" t="inlineStr">
        <is>
          <t>A 23955-2021</t>
        </is>
      </c>
      <c r="B944" s="1" t="n">
        <v>44335.66545138889</v>
      </c>
      <c r="C944" s="1" t="n">
        <v>45883</v>
      </c>
      <c r="D944" t="inlineStr">
        <is>
          <t>GÄVLEBORGS LÄN</t>
        </is>
      </c>
      <c r="E944" t="inlineStr">
        <is>
          <t>LJUSDAL</t>
        </is>
      </c>
      <c r="F944" t="inlineStr">
        <is>
          <t>Holmen skog AB</t>
        </is>
      </c>
      <c r="G944" t="n">
        <v>1.4</v>
      </c>
      <c r="H944" t="n">
        <v>0</v>
      </c>
      <c r="I944" t="n">
        <v>0</v>
      </c>
      <c r="J944" t="n">
        <v>0</v>
      </c>
      <c r="K944" t="n">
        <v>0</v>
      </c>
      <c r="L944" t="n">
        <v>0</v>
      </c>
      <c r="M944" t="n">
        <v>0</v>
      </c>
      <c r="N944" t="n">
        <v>0</v>
      </c>
      <c r="O944" t="n">
        <v>0</v>
      </c>
      <c r="P944" t="n">
        <v>0</v>
      </c>
      <c r="Q944" t="n">
        <v>0</v>
      </c>
      <c r="R944" s="2" t="inlineStr"/>
    </row>
    <row r="945" ht="15" customHeight="1">
      <c r="A945" t="inlineStr">
        <is>
          <t>A 60040-2021</t>
        </is>
      </c>
      <c r="B945" s="1" t="n">
        <v>44495.32123842592</v>
      </c>
      <c r="C945" s="1" t="n">
        <v>45883</v>
      </c>
      <c r="D945" t="inlineStr">
        <is>
          <t>GÄVLEBORGS LÄN</t>
        </is>
      </c>
      <c r="E945" t="inlineStr">
        <is>
          <t>HUDIKSVALL</t>
        </is>
      </c>
      <c r="F945" t="inlineStr">
        <is>
          <t>Holmen skog AB</t>
        </is>
      </c>
      <c r="G945" t="n">
        <v>10.4</v>
      </c>
      <c r="H945" t="n">
        <v>0</v>
      </c>
      <c r="I945" t="n">
        <v>0</v>
      </c>
      <c r="J945" t="n">
        <v>0</v>
      </c>
      <c r="K945" t="n">
        <v>0</v>
      </c>
      <c r="L945" t="n">
        <v>0</v>
      </c>
      <c r="M945" t="n">
        <v>0</v>
      </c>
      <c r="N945" t="n">
        <v>0</v>
      </c>
      <c r="O945" t="n">
        <v>0</v>
      </c>
      <c r="P945" t="n">
        <v>0</v>
      </c>
      <c r="Q945" t="n">
        <v>0</v>
      </c>
      <c r="R945" s="2" t="inlineStr"/>
    </row>
    <row r="946" ht="15" customHeight="1">
      <c r="A946" t="inlineStr">
        <is>
          <t>A 51250-2021</t>
        </is>
      </c>
      <c r="B946" s="1" t="n">
        <v>44460</v>
      </c>
      <c r="C946" s="1" t="n">
        <v>45883</v>
      </c>
      <c r="D946" t="inlineStr">
        <is>
          <t>GÄVLEBORGS LÄN</t>
        </is>
      </c>
      <c r="E946" t="inlineStr">
        <is>
          <t>OCKELBO</t>
        </is>
      </c>
      <c r="G946" t="n">
        <v>4.5</v>
      </c>
      <c r="H946" t="n">
        <v>0</v>
      </c>
      <c r="I946" t="n">
        <v>0</v>
      </c>
      <c r="J946" t="n">
        <v>0</v>
      </c>
      <c r="K946" t="n">
        <v>0</v>
      </c>
      <c r="L946" t="n">
        <v>0</v>
      </c>
      <c r="M946" t="n">
        <v>0</v>
      </c>
      <c r="N946" t="n">
        <v>0</v>
      </c>
      <c r="O946" t="n">
        <v>0</v>
      </c>
      <c r="P946" t="n">
        <v>0</v>
      </c>
      <c r="Q946" t="n">
        <v>0</v>
      </c>
      <c r="R946" s="2" t="inlineStr"/>
    </row>
    <row r="947" ht="15" customHeight="1">
      <c r="A947" t="inlineStr">
        <is>
          <t>A 39497-2020</t>
        </is>
      </c>
      <c r="B947" s="1" t="n">
        <v>44064</v>
      </c>
      <c r="C947" s="1" t="n">
        <v>45883</v>
      </c>
      <c r="D947" t="inlineStr">
        <is>
          <t>GÄVLEBORGS LÄN</t>
        </is>
      </c>
      <c r="E947" t="inlineStr">
        <is>
          <t>LJUSDAL</t>
        </is>
      </c>
      <c r="F947" t="inlineStr">
        <is>
          <t>Sveaskog</t>
        </is>
      </c>
      <c r="G947" t="n">
        <v>6.7</v>
      </c>
      <c r="H947" t="n">
        <v>0</v>
      </c>
      <c r="I947" t="n">
        <v>0</v>
      </c>
      <c r="J947" t="n">
        <v>0</v>
      </c>
      <c r="K947" t="n">
        <v>0</v>
      </c>
      <c r="L947" t="n">
        <v>0</v>
      </c>
      <c r="M947" t="n">
        <v>0</v>
      </c>
      <c r="N947" t="n">
        <v>0</v>
      </c>
      <c r="O947" t="n">
        <v>0</v>
      </c>
      <c r="P947" t="n">
        <v>0</v>
      </c>
      <c r="Q947" t="n">
        <v>0</v>
      </c>
      <c r="R947" s="2" t="inlineStr"/>
    </row>
    <row r="948" ht="15" customHeight="1">
      <c r="A948" t="inlineStr">
        <is>
          <t>A 39498-2020</t>
        </is>
      </c>
      <c r="B948" s="1" t="n">
        <v>44064</v>
      </c>
      <c r="C948" s="1" t="n">
        <v>45883</v>
      </c>
      <c r="D948" t="inlineStr">
        <is>
          <t>GÄVLEBORGS LÄN</t>
        </is>
      </c>
      <c r="E948" t="inlineStr">
        <is>
          <t>LJUSDAL</t>
        </is>
      </c>
      <c r="F948" t="inlineStr">
        <is>
          <t>Sveaskog</t>
        </is>
      </c>
      <c r="G948" t="n">
        <v>3</v>
      </c>
      <c r="H948" t="n">
        <v>0</v>
      </c>
      <c r="I948" t="n">
        <v>0</v>
      </c>
      <c r="J948" t="n">
        <v>0</v>
      </c>
      <c r="K948" t="n">
        <v>0</v>
      </c>
      <c r="L948" t="n">
        <v>0</v>
      </c>
      <c r="M948" t="n">
        <v>0</v>
      </c>
      <c r="N948" t="n">
        <v>0</v>
      </c>
      <c r="O948" t="n">
        <v>0</v>
      </c>
      <c r="P948" t="n">
        <v>0</v>
      </c>
      <c r="Q948" t="n">
        <v>0</v>
      </c>
      <c r="R948" s="2" t="inlineStr"/>
    </row>
    <row r="949" ht="15" customHeight="1">
      <c r="A949" t="inlineStr">
        <is>
          <t>A 7102-2022</t>
        </is>
      </c>
      <c r="B949" s="1" t="n">
        <v>44603.61780092592</v>
      </c>
      <c r="C949" s="1" t="n">
        <v>45883</v>
      </c>
      <c r="D949" t="inlineStr">
        <is>
          <t>GÄVLEBORGS LÄN</t>
        </is>
      </c>
      <c r="E949" t="inlineStr">
        <is>
          <t>BOLLNÄS</t>
        </is>
      </c>
      <c r="G949" t="n">
        <v>1.9</v>
      </c>
      <c r="H949" t="n">
        <v>0</v>
      </c>
      <c r="I949" t="n">
        <v>0</v>
      </c>
      <c r="J949" t="n">
        <v>0</v>
      </c>
      <c r="K949" t="n">
        <v>0</v>
      </c>
      <c r="L949" t="n">
        <v>0</v>
      </c>
      <c r="M949" t="n">
        <v>0</v>
      </c>
      <c r="N949" t="n">
        <v>0</v>
      </c>
      <c r="O949" t="n">
        <v>0</v>
      </c>
      <c r="P949" t="n">
        <v>0</v>
      </c>
      <c r="Q949" t="n">
        <v>0</v>
      </c>
      <c r="R949" s="2" t="inlineStr"/>
    </row>
    <row r="950" ht="15" customHeight="1">
      <c r="A950" t="inlineStr">
        <is>
          <t>A 68791-2020</t>
        </is>
      </c>
      <c r="B950" s="1" t="n">
        <v>44187</v>
      </c>
      <c r="C950" s="1" t="n">
        <v>45883</v>
      </c>
      <c r="D950" t="inlineStr">
        <is>
          <t>GÄVLEBORGS LÄN</t>
        </is>
      </c>
      <c r="E950" t="inlineStr">
        <is>
          <t>SANDVIKEN</t>
        </is>
      </c>
      <c r="G950" t="n">
        <v>0.8</v>
      </c>
      <c r="H950" t="n">
        <v>0</v>
      </c>
      <c r="I950" t="n">
        <v>0</v>
      </c>
      <c r="J950" t="n">
        <v>0</v>
      </c>
      <c r="K950" t="n">
        <v>0</v>
      </c>
      <c r="L950" t="n">
        <v>0</v>
      </c>
      <c r="M950" t="n">
        <v>0</v>
      </c>
      <c r="N950" t="n">
        <v>0</v>
      </c>
      <c r="O950" t="n">
        <v>0</v>
      </c>
      <c r="P950" t="n">
        <v>0</v>
      </c>
      <c r="Q950" t="n">
        <v>0</v>
      </c>
      <c r="R950" s="2" t="inlineStr"/>
    </row>
    <row r="951" ht="15" customHeight="1">
      <c r="A951" t="inlineStr">
        <is>
          <t>A 48432-2020</t>
        </is>
      </c>
      <c r="B951" s="1" t="n">
        <v>44102</v>
      </c>
      <c r="C951" s="1" t="n">
        <v>45883</v>
      </c>
      <c r="D951" t="inlineStr">
        <is>
          <t>GÄVLEBORGS LÄN</t>
        </is>
      </c>
      <c r="E951" t="inlineStr">
        <is>
          <t>HUDIKSVALL</t>
        </is>
      </c>
      <c r="G951" t="n">
        <v>4</v>
      </c>
      <c r="H951" t="n">
        <v>0</v>
      </c>
      <c r="I951" t="n">
        <v>0</v>
      </c>
      <c r="J951" t="n">
        <v>0</v>
      </c>
      <c r="K951" t="n">
        <v>0</v>
      </c>
      <c r="L951" t="n">
        <v>0</v>
      </c>
      <c r="M951" t="n">
        <v>0</v>
      </c>
      <c r="N951" t="n">
        <v>0</v>
      </c>
      <c r="O951" t="n">
        <v>0</v>
      </c>
      <c r="P951" t="n">
        <v>0</v>
      </c>
      <c r="Q951" t="n">
        <v>0</v>
      </c>
      <c r="R951" s="2" t="inlineStr"/>
    </row>
    <row r="952" ht="15" customHeight="1">
      <c r="A952" t="inlineStr">
        <is>
          <t>A 1634-2022</t>
        </is>
      </c>
      <c r="B952" s="1" t="n">
        <v>44573</v>
      </c>
      <c r="C952" s="1" t="n">
        <v>45883</v>
      </c>
      <c r="D952" t="inlineStr">
        <is>
          <t>GÄVLEBORGS LÄN</t>
        </is>
      </c>
      <c r="E952" t="inlineStr">
        <is>
          <t>GÄVLE</t>
        </is>
      </c>
      <c r="G952" t="n">
        <v>2.9</v>
      </c>
      <c r="H952" t="n">
        <v>0</v>
      </c>
      <c r="I952" t="n">
        <v>0</v>
      </c>
      <c r="J952" t="n">
        <v>0</v>
      </c>
      <c r="K952" t="n">
        <v>0</v>
      </c>
      <c r="L952" t="n">
        <v>0</v>
      </c>
      <c r="M952" t="n">
        <v>0</v>
      </c>
      <c r="N952" t="n">
        <v>0</v>
      </c>
      <c r="O952" t="n">
        <v>0</v>
      </c>
      <c r="P952" t="n">
        <v>0</v>
      </c>
      <c r="Q952" t="n">
        <v>0</v>
      </c>
      <c r="R952" s="2" t="inlineStr"/>
    </row>
    <row r="953" ht="15" customHeight="1">
      <c r="A953" t="inlineStr">
        <is>
          <t>A 54745-2020</t>
        </is>
      </c>
      <c r="B953" s="1" t="n">
        <v>44127</v>
      </c>
      <c r="C953" s="1" t="n">
        <v>45883</v>
      </c>
      <c r="D953" t="inlineStr">
        <is>
          <t>GÄVLEBORGS LÄN</t>
        </is>
      </c>
      <c r="E953" t="inlineStr">
        <is>
          <t>NORDANSTIG</t>
        </is>
      </c>
      <c r="G953" t="n">
        <v>0.7</v>
      </c>
      <c r="H953" t="n">
        <v>0</v>
      </c>
      <c r="I953" t="n">
        <v>0</v>
      </c>
      <c r="J953" t="n">
        <v>0</v>
      </c>
      <c r="K953" t="n">
        <v>0</v>
      </c>
      <c r="L953" t="n">
        <v>0</v>
      </c>
      <c r="M953" t="n">
        <v>0</v>
      </c>
      <c r="N953" t="n">
        <v>0</v>
      </c>
      <c r="O953" t="n">
        <v>0</v>
      </c>
      <c r="P953" t="n">
        <v>0</v>
      </c>
      <c r="Q953" t="n">
        <v>0</v>
      </c>
      <c r="R953" s="2" t="inlineStr"/>
    </row>
    <row r="954" ht="15" customHeight="1">
      <c r="A954" t="inlineStr">
        <is>
          <t>A 15694-2022</t>
        </is>
      </c>
      <c r="B954" s="1" t="n">
        <v>44663.42211805555</v>
      </c>
      <c r="C954" s="1" t="n">
        <v>45883</v>
      </c>
      <c r="D954" t="inlineStr">
        <is>
          <t>GÄVLEBORGS LÄN</t>
        </is>
      </c>
      <c r="E954" t="inlineStr">
        <is>
          <t>OCKELBO</t>
        </is>
      </c>
      <c r="F954" t="inlineStr">
        <is>
          <t>Bergvik skog väst AB</t>
        </is>
      </c>
      <c r="G954" t="n">
        <v>2.5</v>
      </c>
      <c r="H954" t="n">
        <v>0</v>
      </c>
      <c r="I954" t="n">
        <v>0</v>
      </c>
      <c r="J954" t="n">
        <v>0</v>
      </c>
      <c r="K954" t="n">
        <v>0</v>
      </c>
      <c r="L954" t="n">
        <v>0</v>
      </c>
      <c r="M954" t="n">
        <v>0</v>
      </c>
      <c r="N954" t="n">
        <v>0</v>
      </c>
      <c r="O954" t="n">
        <v>0</v>
      </c>
      <c r="P954" t="n">
        <v>0</v>
      </c>
      <c r="Q954" t="n">
        <v>0</v>
      </c>
      <c r="R954" s="2" t="inlineStr"/>
    </row>
    <row r="955" ht="15" customHeight="1">
      <c r="A955" t="inlineStr">
        <is>
          <t>A 15704-2022</t>
        </is>
      </c>
      <c r="B955" s="1" t="n">
        <v>44663.44313657407</v>
      </c>
      <c r="C955" s="1" t="n">
        <v>45883</v>
      </c>
      <c r="D955" t="inlineStr">
        <is>
          <t>GÄVLEBORGS LÄN</t>
        </is>
      </c>
      <c r="E955" t="inlineStr">
        <is>
          <t>GÄVLE</t>
        </is>
      </c>
      <c r="G955" t="n">
        <v>0.5</v>
      </c>
      <c r="H955" t="n">
        <v>0</v>
      </c>
      <c r="I955" t="n">
        <v>0</v>
      </c>
      <c r="J955" t="n">
        <v>0</v>
      </c>
      <c r="K955" t="n">
        <v>0</v>
      </c>
      <c r="L955" t="n">
        <v>0</v>
      </c>
      <c r="M955" t="n">
        <v>0</v>
      </c>
      <c r="N955" t="n">
        <v>0</v>
      </c>
      <c r="O955" t="n">
        <v>0</v>
      </c>
      <c r="P955" t="n">
        <v>0</v>
      </c>
      <c r="Q955" t="n">
        <v>0</v>
      </c>
      <c r="R955" s="2" t="inlineStr"/>
    </row>
    <row r="956" ht="15" customHeight="1">
      <c r="A956" t="inlineStr">
        <is>
          <t>A 18983-2021</t>
        </is>
      </c>
      <c r="B956" s="1" t="n">
        <v>44308</v>
      </c>
      <c r="C956" s="1" t="n">
        <v>45883</v>
      </c>
      <c r="D956" t="inlineStr">
        <is>
          <t>GÄVLEBORGS LÄN</t>
        </is>
      </c>
      <c r="E956" t="inlineStr">
        <is>
          <t>OCKELBO</t>
        </is>
      </c>
      <c r="G956" t="n">
        <v>2.4</v>
      </c>
      <c r="H956" t="n">
        <v>0</v>
      </c>
      <c r="I956" t="n">
        <v>0</v>
      </c>
      <c r="J956" t="n">
        <v>0</v>
      </c>
      <c r="K956" t="n">
        <v>0</v>
      </c>
      <c r="L956" t="n">
        <v>0</v>
      </c>
      <c r="M956" t="n">
        <v>0</v>
      </c>
      <c r="N956" t="n">
        <v>0</v>
      </c>
      <c r="O956" t="n">
        <v>0</v>
      </c>
      <c r="P956" t="n">
        <v>0</v>
      </c>
      <c r="Q956" t="n">
        <v>0</v>
      </c>
      <c r="R956" s="2" t="inlineStr"/>
    </row>
    <row r="957" ht="15" customHeight="1">
      <c r="A957" t="inlineStr">
        <is>
          <t>A 15269-2022</t>
        </is>
      </c>
      <c r="B957" s="1" t="n">
        <v>44659.36878472222</v>
      </c>
      <c r="C957" s="1" t="n">
        <v>45883</v>
      </c>
      <c r="D957" t="inlineStr">
        <is>
          <t>GÄVLEBORGS LÄN</t>
        </is>
      </c>
      <c r="E957" t="inlineStr">
        <is>
          <t>BOLLNÄS</t>
        </is>
      </c>
      <c r="G957" t="n">
        <v>0.7</v>
      </c>
      <c r="H957" t="n">
        <v>0</v>
      </c>
      <c r="I957" t="n">
        <v>0</v>
      </c>
      <c r="J957" t="n">
        <v>0</v>
      </c>
      <c r="K957" t="n">
        <v>0</v>
      </c>
      <c r="L957" t="n">
        <v>0</v>
      </c>
      <c r="M957" t="n">
        <v>0</v>
      </c>
      <c r="N957" t="n">
        <v>0</v>
      </c>
      <c r="O957" t="n">
        <v>0</v>
      </c>
      <c r="P957" t="n">
        <v>0</v>
      </c>
      <c r="Q957" t="n">
        <v>0</v>
      </c>
      <c r="R957" s="2" t="inlineStr"/>
    </row>
    <row r="958" ht="15" customHeight="1">
      <c r="A958" t="inlineStr">
        <is>
          <t>A 53673-2022</t>
        </is>
      </c>
      <c r="B958" s="1" t="n">
        <v>44879</v>
      </c>
      <c r="C958" s="1" t="n">
        <v>45883</v>
      </c>
      <c r="D958" t="inlineStr">
        <is>
          <t>GÄVLEBORGS LÄN</t>
        </is>
      </c>
      <c r="E958" t="inlineStr">
        <is>
          <t>NORDANSTIG</t>
        </is>
      </c>
      <c r="F958" t="inlineStr">
        <is>
          <t>SCA</t>
        </is>
      </c>
      <c r="G958" t="n">
        <v>2.1</v>
      </c>
      <c r="H958" t="n">
        <v>0</v>
      </c>
      <c r="I958" t="n">
        <v>0</v>
      </c>
      <c r="J958" t="n">
        <v>0</v>
      </c>
      <c r="K958" t="n">
        <v>0</v>
      </c>
      <c r="L958" t="n">
        <v>0</v>
      </c>
      <c r="M958" t="n">
        <v>0</v>
      </c>
      <c r="N958" t="n">
        <v>0</v>
      </c>
      <c r="O958" t="n">
        <v>0</v>
      </c>
      <c r="P958" t="n">
        <v>0</v>
      </c>
      <c r="Q958" t="n">
        <v>0</v>
      </c>
      <c r="R958" s="2" t="inlineStr"/>
    </row>
    <row r="959" ht="15" customHeight="1">
      <c r="A959" t="inlineStr">
        <is>
          <t>A 40342-2022</t>
        </is>
      </c>
      <c r="B959" s="1" t="n">
        <v>44823.3633912037</v>
      </c>
      <c r="C959" s="1" t="n">
        <v>45883</v>
      </c>
      <c r="D959" t="inlineStr">
        <is>
          <t>GÄVLEBORGS LÄN</t>
        </is>
      </c>
      <c r="E959" t="inlineStr">
        <is>
          <t>NORDANSTIG</t>
        </is>
      </c>
      <c r="F959" t="inlineStr">
        <is>
          <t>Holmen skog AB</t>
        </is>
      </c>
      <c r="G959" t="n">
        <v>1.6</v>
      </c>
      <c r="H959" t="n">
        <v>0</v>
      </c>
      <c r="I959" t="n">
        <v>0</v>
      </c>
      <c r="J959" t="n">
        <v>0</v>
      </c>
      <c r="K959" t="n">
        <v>0</v>
      </c>
      <c r="L959" t="n">
        <v>0</v>
      </c>
      <c r="M959" t="n">
        <v>0</v>
      </c>
      <c r="N959" t="n">
        <v>0</v>
      </c>
      <c r="O959" t="n">
        <v>0</v>
      </c>
      <c r="P959" t="n">
        <v>0</v>
      </c>
      <c r="Q959" t="n">
        <v>0</v>
      </c>
      <c r="R959" s="2" t="inlineStr"/>
    </row>
    <row r="960" ht="15" customHeight="1">
      <c r="A960" t="inlineStr">
        <is>
          <t>A 15173-2021</t>
        </is>
      </c>
      <c r="B960" s="1" t="n">
        <v>44284</v>
      </c>
      <c r="C960" s="1" t="n">
        <v>45883</v>
      </c>
      <c r="D960" t="inlineStr">
        <is>
          <t>GÄVLEBORGS LÄN</t>
        </is>
      </c>
      <c r="E960" t="inlineStr">
        <is>
          <t>NORDANSTIG</t>
        </is>
      </c>
      <c r="G960" t="n">
        <v>1.4</v>
      </c>
      <c r="H960" t="n">
        <v>0</v>
      </c>
      <c r="I960" t="n">
        <v>0</v>
      </c>
      <c r="J960" t="n">
        <v>0</v>
      </c>
      <c r="K960" t="n">
        <v>0</v>
      </c>
      <c r="L960" t="n">
        <v>0</v>
      </c>
      <c r="M960" t="n">
        <v>0</v>
      </c>
      <c r="N960" t="n">
        <v>0</v>
      </c>
      <c r="O960" t="n">
        <v>0</v>
      </c>
      <c r="P960" t="n">
        <v>0</v>
      </c>
      <c r="Q960" t="n">
        <v>0</v>
      </c>
      <c r="R960" s="2" t="inlineStr"/>
    </row>
    <row r="961" ht="15" customHeight="1">
      <c r="A961" t="inlineStr">
        <is>
          <t>A 17487-2022</t>
        </is>
      </c>
      <c r="B961" s="1" t="n">
        <v>44679.46375</v>
      </c>
      <c r="C961" s="1" t="n">
        <v>45883</v>
      </c>
      <c r="D961" t="inlineStr">
        <is>
          <t>GÄVLEBORGS LÄN</t>
        </is>
      </c>
      <c r="E961" t="inlineStr">
        <is>
          <t>LJUSDAL</t>
        </is>
      </c>
      <c r="F961" t="inlineStr">
        <is>
          <t>Holmen skog AB</t>
        </is>
      </c>
      <c r="G961" t="n">
        <v>0.4</v>
      </c>
      <c r="H961" t="n">
        <v>0</v>
      </c>
      <c r="I961" t="n">
        <v>0</v>
      </c>
      <c r="J961" t="n">
        <v>0</v>
      </c>
      <c r="K961" t="n">
        <v>0</v>
      </c>
      <c r="L961" t="n">
        <v>0</v>
      </c>
      <c r="M961" t="n">
        <v>0</v>
      </c>
      <c r="N961" t="n">
        <v>0</v>
      </c>
      <c r="O961" t="n">
        <v>0</v>
      </c>
      <c r="P961" t="n">
        <v>0</v>
      </c>
      <c r="Q961" t="n">
        <v>0</v>
      </c>
      <c r="R961" s="2" t="inlineStr"/>
    </row>
    <row r="962" ht="15" customHeight="1">
      <c r="A962" t="inlineStr">
        <is>
          <t>A 38824-2022</t>
        </is>
      </c>
      <c r="B962" s="1" t="n">
        <v>44816.48034722222</v>
      </c>
      <c r="C962" s="1" t="n">
        <v>45883</v>
      </c>
      <c r="D962" t="inlineStr">
        <is>
          <t>GÄVLEBORGS LÄN</t>
        </is>
      </c>
      <c r="E962" t="inlineStr">
        <is>
          <t>LJUSDAL</t>
        </is>
      </c>
      <c r="F962" t="inlineStr">
        <is>
          <t>Holmen skog AB</t>
        </is>
      </c>
      <c r="G962" t="n">
        <v>3.6</v>
      </c>
      <c r="H962" t="n">
        <v>0</v>
      </c>
      <c r="I962" t="n">
        <v>0</v>
      </c>
      <c r="J962" t="n">
        <v>0</v>
      </c>
      <c r="K962" t="n">
        <v>0</v>
      </c>
      <c r="L962" t="n">
        <v>0</v>
      </c>
      <c r="M962" t="n">
        <v>0</v>
      </c>
      <c r="N962" t="n">
        <v>0</v>
      </c>
      <c r="O962" t="n">
        <v>0</v>
      </c>
      <c r="P962" t="n">
        <v>0</v>
      </c>
      <c r="Q962" t="n">
        <v>0</v>
      </c>
      <c r="R962" s="2" t="inlineStr"/>
    </row>
    <row r="963" ht="15" customHeight="1">
      <c r="A963" t="inlineStr">
        <is>
          <t>A 16646-2022</t>
        </is>
      </c>
      <c r="B963" s="1" t="n">
        <v>44672.65672453704</v>
      </c>
      <c r="C963" s="1" t="n">
        <v>45883</v>
      </c>
      <c r="D963" t="inlineStr">
        <is>
          <t>GÄVLEBORGS LÄN</t>
        </is>
      </c>
      <c r="E963" t="inlineStr">
        <is>
          <t>BOLLNÄS</t>
        </is>
      </c>
      <c r="G963" t="n">
        <v>0.5</v>
      </c>
      <c r="H963" t="n">
        <v>0</v>
      </c>
      <c r="I963" t="n">
        <v>0</v>
      </c>
      <c r="J963" t="n">
        <v>0</v>
      </c>
      <c r="K963" t="n">
        <v>0</v>
      </c>
      <c r="L963" t="n">
        <v>0</v>
      </c>
      <c r="M963" t="n">
        <v>0</v>
      </c>
      <c r="N963" t="n">
        <v>0</v>
      </c>
      <c r="O963" t="n">
        <v>0</v>
      </c>
      <c r="P963" t="n">
        <v>0</v>
      </c>
      <c r="Q963" t="n">
        <v>0</v>
      </c>
      <c r="R963" s="2" t="inlineStr"/>
    </row>
    <row r="964" ht="15" customHeight="1">
      <c r="A964" t="inlineStr">
        <is>
          <t>A 44287-2022</t>
        </is>
      </c>
      <c r="B964" s="1" t="n">
        <v>44839.59350694445</v>
      </c>
      <c r="C964" s="1" t="n">
        <v>45883</v>
      </c>
      <c r="D964" t="inlineStr">
        <is>
          <t>GÄVLEBORGS LÄN</t>
        </is>
      </c>
      <c r="E964" t="inlineStr">
        <is>
          <t>HUDIKSVALL</t>
        </is>
      </c>
      <c r="F964" t="inlineStr">
        <is>
          <t>Holmen skog AB</t>
        </is>
      </c>
      <c r="G964" t="n">
        <v>1.7</v>
      </c>
      <c r="H964" t="n">
        <v>0</v>
      </c>
      <c r="I964" t="n">
        <v>0</v>
      </c>
      <c r="J964" t="n">
        <v>0</v>
      </c>
      <c r="K964" t="n">
        <v>0</v>
      </c>
      <c r="L964" t="n">
        <v>0</v>
      </c>
      <c r="M964" t="n">
        <v>0</v>
      </c>
      <c r="N964" t="n">
        <v>0</v>
      </c>
      <c r="O964" t="n">
        <v>0</v>
      </c>
      <c r="P964" t="n">
        <v>0</v>
      </c>
      <c r="Q964" t="n">
        <v>0</v>
      </c>
      <c r="R964" s="2" t="inlineStr"/>
    </row>
    <row r="965" ht="15" customHeight="1">
      <c r="A965" t="inlineStr">
        <is>
          <t>A 46975-2021</t>
        </is>
      </c>
      <c r="B965" s="1" t="n">
        <v>44446.55512731482</v>
      </c>
      <c r="C965" s="1" t="n">
        <v>45883</v>
      </c>
      <c r="D965" t="inlineStr">
        <is>
          <t>GÄVLEBORGS LÄN</t>
        </is>
      </c>
      <c r="E965" t="inlineStr">
        <is>
          <t>SÖDERHAMN</t>
        </is>
      </c>
      <c r="G965" t="n">
        <v>1.1</v>
      </c>
      <c r="H965" t="n">
        <v>0</v>
      </c>
      <c r="I965" t="n">
        <v>0</v>
      </c>
      <c r="J965" t="n">
        <v>0</v>
      </c>
      <c r="K965" t="n">
        <v>0</v>
      </c>
      <c r="L965" t="n">
        <v>0</v>
      </c>
      <c r="M965" t="n">
        <v>0</v>
      </c>
      <c r="N965" t="n">
        <v>0</v>
      </c>
      <c r="O965" t="n">
        <v>0</v>
      </c>
      <c r="P965" t="n">
        <v>0</v>
      </c>
      <c r="Q965" t="n">
        <v>0</v>
      </c>
      <c r="R965" s="2" t="inlineStr"/>
    </row>
    <row r="966" ht="15" customHeight="1">
      <c r="A966" t="inlineStr">
        <is>
          <t>A 54897-2022</t>
        </is>
      </c>
      <c r="B966" s="1" t="n">
        <v>44886.37402777778</v>
      </c>
      <c r="C966" s="1" t="n">
        <v>45883</v>
      </c>
      <c r="D966" t="inlineStr">
        <is>
          <t>GÄVLEBORGS LÄN</t>
        </is>
      </c>
      <c r="E966" t="inlineStr">
        <is>
          <t>BOLLNÄS</t>
        </is>
      </c>
      <c r="G966" t="n">
        <v>1</v>
      </c>
      <c r="H966" t="n">
        <v>0</v>
      </c>
      <c r="I966" t="n">
        <v>0</v>
      </c>
      <c r="J966" t="n">
        <v>0</v>
      </c>
      <c r="K966" t="n">
        <v>0</v>
      </c>
      <c r="L966" t="n">
        <v>0</v>
      </c>
      <c r="M966" t="n">
        <v>0</v>
      </c>
      <c r="N966" t="n">
        <v>0</v>
      </c>
      <c r="O966" t="n">
        <v>0</v>
      </c>
      <c r="P966" t="n">
        <v>0</v>
      </c>
      <c r="Q966" t="n">
        <v>0</v>
      </c>
      <c r="R966" s="2" t="inlineStr"/>
    </row>
    <row r="967" ht="15" customHeight="1">
      <c r="A967" t="inlineStr">
        <is>
          <t>A 65684-2020</t>
        </is>
      </c>
      <c r="B967" s="1" t="n">
        <v>44172</v>
      </c>
      <c r="C967" s="1" t="n">
        <v>45883</v>
      </c>
      <c r="D967" t="inlineStr">
        <is>
          <t>GÄVLEBORGS LÄN</t>
        </is>
      </c>
      <c r="E967" t="inlineStr">
        <is>
          <t>OCKELBO</t>
        </is>
      </c>
      <c r="G967" t="n">
        <v>2.8</v>
      </c>
      <c r="H967" t="n">
        <v>0</v>
      </c>
      <c r="I967" t="n">
        <v>0</v>
      </c>
      <c r="J967" t="n">
        <v>0</v>
      </c>
      <c r="K967" t="n">
        <v>0</v>
      </c>
      <c r="L967" t="n">
        <v>0</v>
      </c>
      <c r="M967" t="n">
        <v>0</v>
      </c>
      <c r="N967" t="n">
        <v>0</v>
      </c>
      <c r="O967" t="n">
        <v>0</v>
      </c>
      <c r="P967" t="n">
        <v>0</v>
      </c>
      <c r="Q967" t="n">
        <v>0</v>
      </c>
      <c r="R967" s="2" t="inlineStr"/>
      <c r="U967">
        <f>HYPERLINK("https://klasma.github.io/Logging_2101/knärot/A 65684-2020 karta knärot.png", "A 65684-2020")</f>
        <v/>
      </c>
      <c r="V967">
        <f>HYPERLINK("https://klasma.github.io/Logging_2101/klagomål/A 65684-2020 FSC-klagomål.docx", "A 65684-2020")</f>
        <v/>
      </c>
      <c r="W967">
        <f>HYPERLINK("https://klasma.github.io/Logging_2101/klagomålsmail/A 65684-2020 FSC-klagomål mail.docx", "A 65684-2020")</f>
        <v/>
      </c>
      <c r="X967">
        <f>HYPERLINK("https://klasma.github.io/Logging_2101/tillsyn/A 65684-2020 tillsynsbegäran.docx", "A 65684-2020")</f>
        <v/>
      </c>
      <c r="Y967">
        <f>HYPERLINK("https://klasma.github.io/Logging_2101/tillsynsmail/A 65684-2020 tillsynsbegäran mail.docx", "A 65684-2020")</f>
        <v/>
      </c>
    </row>
    <row r="968" ht="15" customHeight="1">
      <c r="A968" t="inlineStr">
        <is>
          <t>A 54393-2022</t>
        </is>
      </c>
      <c r="B968" s="1" t="n">
        <v>44882.52832175926</v>
      </c>
      <c r="C968" s="1" t="n">
        <v>45883</v>
      </c>
      <c r="D968" t="inlineStr">
        <is>
          <t>GÄVLEBORGS LÄN</t>
        </is>
      </c>
      <c r="E968" t="inlineStr">
        <is>
          <t>GÄVLE</t>
        </is>
      </c>
      <c r="G968" t="n">
        <v>0.9</v>
      </c>
      <c r="H968" t="n">
        <v>0</v>
      </c>
      <c r="I968" t="n">
        <v>0</v>
      </c>
      <c r="J968" t="n">
        <v>0</v>
      </c>
      <c r="K968" t="n">
        <v>0</v>
      </c>
      <c r="L968" t="n">
        <v>0</v>
      </c>
      <c r="M968" t="n">
        <v>0</v>
      </c>
      <c r="N968" t="n">
        <v>0</v>
      </c>
      <c r="O968" t="n">
        <v>0</v>
      </c>
      <c r="P968" t="n">
        <v>0</v>
      </c>
      <c r="Q968" t="n">
        <v>0</v>
      </c>
      <c r="R968" s="2" t="inlineStr"/>
    </row>
    <row r="969" ht="15" customHeight="1">
      <c r="A969" t="inlineStr">
        <is>
          <t>A 6983-2021</t>
        </is>
      </c>
      <c r="B969" s="1" t="n">
        <v>44237</v>
      </c>
      <c r="C969" s="1" t="n">
        <v>45883</v>
      </c>
      <c r="D969" t="inlineStr">
        <is>
          <t>GÄVLEBORGS LÄN</t>
        </is>
      </c>
      <c r="E969" t="inlineStr">
        <is>
          <t>NORDANSTIG</t>
        </is>
      </c>
      <c r="G969" t="n">
        <v>1.4</v>
      </c>
      <c r="H969" t="n">
        <v>0</v>
      </c>
      <c r="I969" t="n">
        <v>0</v>
      </c>
      <c r="J969" t="n">
        <v>0</v>
      </c>
      <c r="K969" t="n">
        <v>0</v>
      </c>
      <c r="L969" t="n">
        <v>0</v>
      </c>
      <c r="M969" t="n">
        <v>0</v>
      </c>
      <c r="N969" t="n">
        <v>0</v>
      </c>
      <c r="O969" t="n">
        <v>0</v>
      </c>
      <c r="P969" t="n">
        <v>0</v>
      </c>
      <c r="Q969" t="n">
        <v>0</v>
      </c>
      <c r="R969" s="2" t="inlineStr"/>
    </row>
    <row r="970" ht="15" customHeight="1">
      <c r="A970" t="inlineStr">
        <is>
          <t>A 23881-2022</t>
        </is>
      </c>
      <c r="B970" s="1" t="n">
        <v>44722.5656712963</v>
      </c>
      <c r="C970" s="1" t="n">
        <v>45883</v>
      </c>
      <c r="D970" t="inlineStr">
        <is>
          <t>GÄVLEBORGS LÄN</t>
        </is>
      </c>
      <c r="E970" t="inlineStr">
        <is>
          <t>NORDANSTIG</t>
        </is>
      </c>
      <c r="F970" t="inlineStr">
        <is>
          <t>Holmen skog AB</t>
        </is>
      </c>
      <c r="G970" t="n">
        <v>1.4</v>
      </c>
      <c r="H970" t="n">
        <v>0</v>
      </c>
      <c r="I970" t="n">
        <v>0</v>
      </c>
      <c r="J970" t="n">
        <v>0</v>
      </c>
      <c r="K970" t="n">
        <v>0</v>
      </c>
      <c r="L970" t="n">
        <v>0</v>
      </c>
      <c r="M970" t="n">
        <v>0</v>
      </c>
      <c r="N970" t="n">
        <v>0</v>
      </c>
      <c r="O970" t="n">
        <v>0</v>
      </c>
      <c r="P970" t="n">
        <v>0</v>
      </c>
      <c r="Q970" t="n">
        <v>0</v>
      </c>
      <c r="R970" s="2" t="inlineStr"/>
    </row>
    <row r="971" ht="15" customHeight="1">
      <c r="A971" t="inlineStr">
        <is>
          <t>A 54706-2022</t>
        </is>
      </c>
      <c r="B971" s="1" t="n">
        <v>44883</v>
      </c>
      <c r="C971" s="1" t="n">
        <v>45883</v>
      </c>
      <c r="D971" t="inlineStr">
        <is>
          <t>GÄVLEBORGS LÄN</t>
        </is>
      </c>
      <c r="E971" t="inlineStr">
        <is>
          <t>HUDIKSVALL</t>
        </is>
      </c>
      <c r="G971" t="n">
        <v>1.8</v>
      </c>
      <c r="H971" t="n">
        <v>0</v>
      </c>
      <c r="I971" t="n">
        <v>0</v>
      </c>
      <c r="J971" t="n">
        <v>0</v>
      </c>
      <c r="K971" t="n">
        <v>0</v>
      </c>
      <c r="L971" t="n">
        <v>0</v>
      </c>
      <c r="M971" t="n">
        <v>0</v>
      </c>
      <c r="N971" t="n">
        <v>0</v>
      </c>
      <c r="O971" t="n">
        <v>0</v>
      </c>
      <c r="P971" t="n">
        <v>0</v>
      </c>
      <c r="Q971" t="n">
        <v>0</v>
      </c>
      <c r="R971" s="2" t="inlineStr"/>
    </row>
    <row r="972" ht="15" customHeight="1">
      <c r="A972" t="inlineStr">
        <is>
          <t>A 54731-2022</t>
        </is>
      </c>
      <c r="B972" s="1" t="n">
        <v>44883</v>
      </c>
      <c r="C972" s="1" t="n">
        <v>45883</v>
      </c>
      <c r="D972" t="inlineStr">
        <is>
          <t>GÄVLEBORGS LÄN</t>
        </is>
      </c>
      <c r="E972" t="inlineStr">
        <is>
          <t>OVANÅKER</t>
        </is>
      </c>
      <c r="G972" t="n">
        <v>21.8</v>
      </c>
      <c r="H972" t="n">
        <v>0</v>
      </c>
      <c r="I972" t="n">
        <v>0</v>
      </c>
      <c r="J972" t="n">
        <v>0</v>
      </c>
      <c r="K972" t="n">
        <v>0</v>
      </c>
      <c r="L972" t="n">
        <v>0</v>
      </c>
      <c r="M972" t="n">
        <v>0</v>
      </c>
      <c r="N972" t="n">
        <v>0</v>
      </c>
      <c r="O972" t="n">
        <v>0</v>
      </c>
      <c r="P972" t="n">
        <v>0</v>
      </c>
      <c r="Q972" t="n">
        <v>0</v>
      </c>
      <c r="R972" s="2" t="inlineStr"/>
    </row>
    <row r="973" ht="15" customHeight="1">
      <c r="A973" t="inlineStr">
        <is>
          <t>A 50235-2022</t>
        </is>
      </c>
      <c r="B973" s="1" t="n">
        <v>44865.66157407407</v>
      </c>
      <c r="C973" s="1" t="n">
        <v>45883</v>
      </c>
      <c r="D973" t="inlineStr">
        <is>
          <t>GÄVLEBORGS LÄN</t>
        </is>
      </c>
      <c r="E973" t="inlineStr">
        <is>
          <t>HUDIKSVALL</t>
        </is>
      </c>
      <c r="G973" t="n">
        <v>0.5</v>
      </c>
      <c r="H973" t="n">
        <v>0</v>
      </c>
      <c r="I973" t="n">
        <v>0</v>
      </c>
      <c r="J973" t="n">
        <v>0</v>
      </c>
      <c r="K973" t="n">
        <v>0</v>
      </c>
      <c r="L973" t="n">
        <v>0</v>
      </c>
      <c r="M973" t="n">
        <v>0</v>
      </c>
      <c r="N973" t="n">
        <v>0</v>
      </c>
      <c r="O973" t="n">
        <v>0</v>
      </c>
      <c r="P973" t="n">
        <v>0</v>
      </c>
      <c r="Q973" t="n">
        <v>0</v>
      </c>
      <c r="R973" s="2" t="inlineStr"/>
    </row>
    <row r="974" ht="15" customHeight="1">
      <c r="A974" t="inlineStr">
        <is>
          <t>A 42404-2022</t>
        </is>
      </c>
      <c r="B974" s="1" t="n">
        <v>44831.43390046297</v>
      </c>
      <c r="C974" s="1" t="n">
        <v>45883</v>
      </c>
      <c r="D974" t="inlineStr">
        <is>
          <t>GÄVLEBORGS LÄN</t>
        </is>
      </c>
      <c r="E974" t="inlineStr">
        <is>
          <t>NORDANSTIG</t>
        </is>
      </c>
      <c r="F974" t="inlineStr">
        <is>
          <t>Holmen skog AB</t>
        </is>
      </c>
      <c r="G974" t="n">
        <v>4.6</v>
      </c>
      <c r="H974" t="n">
        <v>0</v>
      </c>
      <c r="I974" t="n">
        <v>0</v>
      </c>
      <c r="J974" t="n">
        <v>0</v>
      </c>
      <c r="K974" t="n">
        <v>0</v>
      </c>
      <c r="L974" t="n">
        <v>0</v>
      </c>
      <c r="M974" t="n">
        <v>0</v>
      </c>
      <c r="N974" t="n">
        <v>0</v>
      </c>
      <c r="O974" t="n">
        <v>0</v>
      </c>
      <c r="P974" t="n">
        <v>0</v>
      </c>
      <c r="Q974" t="n">
        <v>0</v>
      </c>
      <c r="R974" s="2" t="inlineStr"/>
    </row>
    <row r="975" ht="15" customHeight="1">
      <c r="A975" t="inlineStr">
        <is>
          <t>A 52780-2021</t>
        </is>
      </c>
      <c r="B975" s="1" t="n">
        <v>44467.35469907407</v>
      </c>
      <c r="C975" s="1" t="n">
        <v>45883</v>
      </c>
      <c r="D975" t="inlineStr">
        <is>
          <t>GÄVLEBORGS LÄN</t>
        </is>
      </c>
      <c r="E975" t="inlineStr">
        <is>
          <t>LJUSDAL</t>
        </is>
      </c>
      <c r="F975" t="inlineStr">
        <is>
          <t>Sveaskog</t>
        </is>
      </c>
      <c r="G975" t="n">
        <v>2.4</v>
      </c>
      <c r="H975" t="n">
        <v>0</v>
      </c>
      <c r="I975" t="n">
        <v>0</v>
      </c>
      <c r="J975" t="n">
        <v>0</v>
      </c>
      <c r="K975" t="n">
        <v>0</v>
      </c>
      <c r="L975" t="n">
        <v>0</v>
      </c>
      <c r="M975" t="n">
        <v>0</v>
      </c>
      <c r="N975" t="n">
        <v>0</v>
      </c>
      <c r="O975" t="n">
        <v>0</v>
      </c>
      <c r="P975" t="n">
        <v>0</v>
      </c>
      <c r="Q975" t="n">
        <v>0</v>
      </c>
      <c r="R975" s="2" t="inlineStr"/>
    </row>
    <row r="976" ht="15" customHeight="1">
      <c r="A976" t="inlineStr">
        <is>
          <t>A 52784-2021</t>
        </is>
      </c>
      <c r="B976" s="1" t="n">
        <v>44467.35965277778</v>
      </c>
      <c r="C976" s="1" t="n">
        <v>45883</v>
      </c>
      <c r="D976" t="inlineStr">
        <is>
          <t>GÄVLEBORGS LÄN</t>
        </is>
      </c>
      <c r="E976" t="inlineStr">
        <is>
          <t>BOLLNÄS</t>
        </is>
      </c>
      <c r="F976" t="inlineStr">
        <is>
          <t>Sveaskog</t>
        </is>
      </c>
      <c r="G976" t="n">
        <v>2.1</v>
      </c>
      <c r="H976" t="n">
        <v>0</v>
      </c>
      <c r="I976" t="n">
        <v>0</v>
      </c>
      <c r="J976" t="n">
        <v>0</v>
      </c>
      <c r="K976" t="n">
        <v>0</v>
      </c>
      <c r="L976" t="n">
        <v>0</v>
      </c>
      <c r="M976" t="n">
        <v>0</v>
      </c>
      <c r="N976" t="n">
        <v>0</v>
      </c>
      <c r="O976" t="n">
        <v>0</v>
      </c>
      <c r="P976" t="n">
        <v>0</v>
      </c>
      <c r="Q976" t="n">
        <v>0</v>
      </c>
      <c r="R976" s="2" t="inlineStr"/>
    </row>
    <row r="977" ht="15" customHeight="1">
      <c r="A977" t="inlineStr">
        <is>
          <t>A 62875-2021</t>
        </is>
      </c>
      <c r="B977" s="1" t="n">
        <v>44504.60092592592</v>
      </c>
      <c r="C977" s="1" t="n">
        <v>45883</v>
      </c>
      <c r="D977" t="inlineStr">
        <is>
          <t>GÄVLEBORGS LÄN</t>
        </is>
      </c>
      <c r="E977" t="inlineStr">
        <is>
          <t>HOFORS</t>
        </is>
      </c>
      <c r="G977" t="n">
        <v>1.5</v>
      </c>
      <c r="H977" t="n">
        <v>0</v>
      </c>
      <c r="I977" t="n">
        <v>0</v>
      </c>
      <c r="J977" t="n">
        <v>0</v>
      </c>
      <c r="K977" t="n">
        <v>0</v>
      </c>
      <c r="L977" t="n">
        <v>0</v>
      </c>
      <c r="M977" t="n">
        <v>0</v>
      </c>
      <c r="N977" t="n">
        <v>0</v>
      </c>
      <c r="O977" t="n">
        <v>0</v>
      </c>
      <c r="P977" t="n">
        <v>0</v>
      </c>
      <c r="Q977" t="n">
        <v>0</v>
      </c>
      <c r="R977" s="2" t="inlineStr"/>
    </row>
    <row r="978" ht="15" customHeight="1">
      <c r="A978" t="inlineStr">
        <is>
          <t>A 38800-2022</t>
        </is>
      </c>
      <c r="B978" s="1" t="n">
        <v>44816.44962962963</v>
      </c>
      <c r="C978" s="1" t="n">
        <v>45883</v>
      </c>
      <c r="D978" t="inlineStr">
        <is>
          <t>GÄVLEBORGS LÄN</t>
        </is>
      </c>
      <c r="E978" t="inlineStr">
        <is>
          <t>NORDANSTIG</t>
        </is>
      </c>
      <c r="F978" t="inlineStr">
        <is>
          <t>Holmen skog AB</t>
        </is>
      </c>
      <c r="G978" t="n">
        <v>0.8</v>
      </c>
      <c r="H978" t="n">
        <v>0</v>
      </c>
      <c r="I978" t="n">
        <v>0</v>
      </c>
      <c r="J978" t="n">
        <v>0</v>
      </c>
      <c r="K978" t="n">
        <v>0</v>
      </c>
      <c r="L978" t="n">
        <v>0</v>
      </c>
      <c r="M978" t="n">
        <v>0</v>
      </c>
      <c r="N978" t="n">
        <v>0</v>
      </c>
      <c r="O978" t="n">
        <v>0</v>
      </c>
      <c r="P978" t="n">
        <v>0</v>
      </c>
      <c r="Q978" t="n">
        <v>0</v>
      </c>
      <c r="R978" s="2" t="inlineStr"/>
    </row>
    <row r="979" ht="15" customHeight="1">
      <c r="A979" t="inlineStr">
        <is>
          <t>A 51038-2022</t>
        </is>
      </c>
      <c r="B979" s="1" t="n">
        <v>44868.31685185185</v>
      </c>
      <c r="C979" s="1" t="n">
        <v>45883</v>
      </c>
      <c r="D979" t="inlineStr">
        <is>
          <t>GÄVLEBORGS LÄN</t>
        </is>
      </c>
      <c r="E979" t="inlineStr">
        <is>
          <t>BOLLNÄS</t>
        </is>
      </c>
      <c r="G979" t="n">
        <v>3.8</v>
      </c>
      <c r="H979" t="n">
        <v>0</v>
      </c>
      <c r="I979" t="n">
        <v>0</v>
      </c>
      <c r="J979" t="n">
        <v>0</v>
      </c>
      <c r="K979" t="n">
        <v>0</v>
      </c>
      <c r="L979" t="n">
        <v>0</v>
      </c>
      <c r="M979" t="n">
        <v>0</v>
      </c>
      <c r="N979" t="n">
        <v>0</v>
      </c>
      <c r="O979" t="n">
        <v>0</v>
      </c>
      <c r="P979" t="n">
        <v>0</v>
      </c>
      <c r="Q979" t="n">
        <v>0</v>
      </c>
      <c r="R979" s="2" t="inlineStr"/>
    </row>
    <row r="980" ht="15" customHeight="1">
      <c r="A980" t="inlineStr">
        <is>
          <t>A 48381-2022</t>
        </is>
      </c>
      <c r="B980" s="1" t="n">
        <v>44858.59162037037</v>
      </c>
      <c r="C980" s="1" t="n">
        <v>45883</v>
      </c>
      <c r="D980" t="inlineStr">
        <is>
          <t>GÄVLEBORGS LÄN</t>
        </is>
      </c>
      <c r="E980" t="inlineStr">
        <is>
          <t>OCKELBO</t>
        </is>
      </c>
      <c r="F980" t="inlineStr">
        <is>
          <t>Bergvik skog väst AB</t>
        </is>
      </c>
      <c r="G980" t="n">
        <v>1.1</v>
      </c>
      <c r="H980" t="n">
        <v>0</v>
      </c>
      <c r="I980" t="n">
        <v>0</v>
      </c>
      <c r="J980" t="n">
        <v>0</v>
      </c>
      <c r="K980" t="n">
        <v>0</v>
      </c>
      <c r="L980" t="n">
        <v>0</v>
      </c>
      <c r="M980" t="n">
        <v>0</v>
      </c>
      <c r="N980" t="n">
        <v>0</v>
      </c>
      <c r="O980" t="n">
        <v>0</v>
      </c>
      <c r="P980" t="n">
        <v>0</v>
      </c>
      <c r="Q980" t="n">
        <v>0</v>
      </c>
      <c r="R980" s="2" t="inlineStr"/>
    </row>
    <row r="981" ht="15" customHeight="1">
      <c r="A981" t="inlineStr">
        <is>
          <t>A 58198-2021</t>
        </is>
      </c>
      <c r="B981" s="1" t="n">
        <v>44487</v>
      </c>
      <c r="C981" s="1" t="n">
        <v>45883</v>
      </c>
      <c r="D981" t="inlineStr">
        <is>
          <t>GÄVLEBORGS LÄN</t>
        </is>
      </c>
      <c r="E981" t="inlineStr">
        <is>
          <t>SÖDERHAMN</t>
        </is>
      </c>
      <c r="G981" t="n">
        <v>2.6</v>
      </c>
      <c r="H981" t="n">
        <v>0</v>
      </c>
      <c r="I981" t="n">
        <v>0</v>
      </c>
      <c r="J981" t="n">
        <v>0</v>
      </c>
      <c r="K981" t="n">
        <v>0</v>
      </c>
      <c r="L981" t="n">
        <v>0</v>
      </c>
      <c r="M981" t="n">
        <v>0</v>
      </c>
      <c r="N981" t="n">
        <v>0</v>
      </c>
      <c r="O981" t="n">
        <v>0</v>
      </c>
      <c r="P981" t="n">
        <v>0</v>
      </c>
      <c r="Q981" t="n">
        <v>0</v>
      </c>
      <c r="R981" s="2" t="inlineStr"/>
    </row>
    <row r="982" ht="15" customHeight="1">
      <c r="A982" t="inlineStr">
        <is>
          <t>A 54434-2020</t>
        </is>
      </c>
      <c r="B982" s="1" t="n">
        <v>44126</v>
      </c>
      <c r="C982" s="1" t="n">
        <v>45883</v>
      </c>
      <c r="D982" t="inlineStr">
        <is>
          <t>GÄVLEBORGS LÄN</t>
        </is>
      </c>
      <c r="E982" t="inlineStr">
        <is>
          <t>HUDIKSVALL</t>
        </is>
      </c>
      <c r="G982" t="n">
        <v>1</v>
      </c>
      <c r="H982" t="n">
        <v>0</v>
      </c>
      <c r="I982" t="n">
        <v>0</v>
      </c>
      <c r="J982" t="n">
        <v>0</v>
      </c>
      <c r="K982" t="n">
        <v>0</v>
      </c>
      <c r="L982" t="n">
        <v>0</v>
      </c>
      <c r="M982" t="n">
        <v>0</v>
      </c>
      <c r="N982" t="n">
        <v>0</v>
      </c>
      <c r="O982" t="n">
        <v>0</v>
      </c>
      <c r="P982" t="n">
        <v>0</v>
      </c>
      <c r="Q982" t="n">
        <v>0</v>
      </c>
      <c r="R982" s="2" t="inlineStr"/>
    </row>
    <row r="983" ht="15" customHeight="1">
      <c r="A983" t="inlineStr">
        <is>
          <t>A 59270-2020</t>
        </is>
      </c>
      <c r="B983" s="1" t="n">
        <v>44147</v>
      </c>
      <c r="C983" s="1" t="n">
        <v>45883</v>
      </c>
      <c r="D983" t="inlineStr">
        <is>
          <t>GÄVLEBORGS LÄN</t>
        </is>
      </c>
      <c r="E983" t="inlineStr">
        <is>
          <t>SÖDERHAMN</t>
        </is>
      </c>
      <c r="G983" t="n">
        <v>1.1</v>
      </c>
      <c r="H983" t="n">
        <v>0</v>
      </c>
      <c r="I983" t="n">
        <v>0</v>
      </c>
      <c r="J983" t="n">
        <v>0</v>
      </c>
      <c r="K983" t="n">
        <v>0</v>
      </c>
      <c r="L983" t="n">
        <v>0</v>
      </c>
      <c r="M983" t="n">
        <v>0</v>
      </c>
      <c r="N983" t="n">
        <v>0</v>
      </c>
      <c r="O983" t="n">
        <v>0</v>
      </c>
      <c r="P983" t="n">
        <v>0</v>
      </c>
      <c r="Q983" t="n">
        <v>0</v>
      </c>
      <c r="R983" s="2" t="inlineStr"/>
    </row>
    <row r="984" ht="15" customHeight="1">
      <c r="A984" t="inlineStr">
        <is>
          <t>A 40575-2022</t>
        </is>
      </c>
      <c r="B984" s="1" t="n">
        <v>44823</v>
      </c>
      <c r="C984" s="1" t="n">
        <v>45883</v>
      </c>
      <c r="D984" t="inlineStr">
        <is>
          <t>GÄVLEBORGS LÄN</t>
        </is>
      </c>
      <c r="E984" t="inlineStr">
        <is>
          <t>SÖDERHAMN</t>
        </is>
      </c>
      <c r="G984" t="n">
        <v>1.4</v>
      </c>
      <c r="H984" t="n">
        <v>0</v>
      </c>
      <c r="I984" t="n">
        <v>0</v>
      </c>
      <c r="J984" t="n">
        <v>0</v>
      </c>
      <c r="K984" t="n">
        <v>0</v>
      </c>
      <c r="L984" t="n">
        <v>0</v>
      </c>
      <c r="M984" t="n">
        <v>0</v>
      </c>
      <c r="N984" t="n">
        <v>0</v>
      </c>
      <c r="O984" t="n">
        <v>0</v>
      </c>
      <c r="P984" t="n">
        <v>0</v>
      </c>
      <c r="Q984" t="n">
        <v>0</v>
      </c>
      <c r="R984" s="2" t="inlineStr"/>
    </row>
    <row r="985" ht="15" customHeight="1">
      <c r="A985" t="inlineStr">
        <is>
          <t>A 46256-2022</t>
        </is>
      </c>
      <c r="B985" s="1" t="n">
        <v>44847</v>
      </c>
      <c r="C985" s="1" t="n">
        <v>45883</v>
      </c>
      <c r="D985" t="inlineStr">
        <is>
          <t>GÄVLEBORGS LÄN</t>
        </is>
      </c>
      <c r="E985" t="inlineStr">
        <is>
          <t>LJUSDAL</t>
        </is>
      </c>
      <c r="F985" t="inlineStr">
        <is>
          <t>Holmen skog AB</t>
        </is>
      </c>
      <c r="G985" t="n">
        <v>2.5</v>
      </c>
      <c r="H985" t="n">
        <v>0</v>
      </c>
      <c r="I985" t="n">
        <v>0</v>
      </c>
      <c r="J985" t="n">
        <v>0</v>
      </c>
      <c r="K985" t="n">
        <v>0</v>
      </c>
      <c r="L985" t="n">
        <v>0</v>
      </c>
      <c r="M985" t="n">
        <v>0</v>
      </c>
      <c r="N985" t="n">
        <v>0</v>
      </c>
      <c r="O985" t="n">
        <v>0</v>
      </c>
      <c r="P985" t="n">
        <v>0</v>
      </c>
      <c r="Q985" t="n">
        <v>0</v>
      </c>
      <c r="R985" s="2" t="inlineStr"/>
    </row>
    <row r="986" ht="15" customHeight="1">
      <c r="A986" t="inlineStr">
        <is>
          <t>A 42629-2022</t>
        </is>
      </c>
      <c r="B986" s="1" t="n">
        <v>44831.92733796296</v>
      </c>
      <c r="C986" s="1" t="n">
        <v>45883</v>
      </c>
      <c r="D986" t="inlineStr">
        <is>
          <t>GÄVLEBORGS LÄN</t>
        </is>
      </c>
      <c r="E986" t="inlineStr">
        <is>
          <t>NORDANSTIG</t>
        </is>
      </c>
      <c r="G986" t="n">
        <v>4.5</v>
      </c>
      <c r="H986" t="n">
        <v>0</v>
      </c>
      <c r="I986" t="n">
        <v>0</v>
      </c>
      <c r="J986" t="n">
        <v>0</v>
      </c>
      <c r="K986" t="n">
        <v>0</v>
      </c>
      <c r="L986" t="n">
        <v>0</v>
      </c>
      <c r="M986" t="n">
        <v>0</v>
      </c>
      <c r="N986" t="n">
        <v>0</v>
      </c>
      <c r="O986" t="n">
        <v>0</v>
      </c>
      <c r="P986" t="n">
        <v>0</v>
      </c>
      <c r="Q986" t="n">
        <v>0</v>
      </c>
      <c r="R986" s="2" t="inlineStr"/>
    </row>
    <row r="987" ht="15" customHeight="1">
      <c r="A987" t="inlineStr">
        <is>
          <t>A 40599-2020</t>
        </is>
      </c>
      <c r="B987" s="1" t="n">
        <v>44069</v>
      </c>
      <c r="C987" s="1" t="n">
        <v>45883</v>
      </c>
      <c r="D987" t="inlineStr">
        <is>
          <t>GÄVLEBORGS LÄN</t>
        </is>
      </c>
      <c r="E987" t="inlineStr">
        <is>
          <t>LJUSDAL</t>
        </is>
      </c>
      <c r="F987" t="inlineStr">
        <is>
          <t>Sveaskog</t>
        </is>
      </c>
      <c r="G987" t="n">
        <v>1.2</v>
      </c>
      <c r="H987" t="n">
        <v>0</v>
      </c>
      <c r="I987" t="n">
        <v>0</v>
      </c>
      <c r="J987" t="n">
        <v>0</v>
      </c>
      <c r="K987" t="n">
        <v>0</v>
      </c>
      <c r="L987" t="n">
        <v>0</v>
      </c>
      <c r="M987" t="n">
        <v>0</v>
      </c>
      <c r="N987" t="n">
        <v>0</v>
      </c>
      <c r="O987" t="n">
        <v>0</v>
      </c>
      <c r="P987" t="n">
        <v>0</v>
      </c>
      <c r="Q987" t="n">
        <v>0</v>
      </c>
      <c r="R987" s="2" t="inlineStr"/>
    </row>
    <row r="988" ht="15" customHeight="1">
      <c r="A988" t="inlineStr">
        <is>
          <t>A 65259-2020</t>
        </is>
      </c>
      <c r="B988" s="1" t="n">
        <v>44172</v>
      </c>
      <c r="C988" s="1" t="n">
        <v>45883</v>
      </c>
      <c r="D988" t="inlineStr">
        <is>
          <t>GÄVLEBORGS LÄN</t>
        </is>
      </c>
      <c r="E988" t="inlineStr">
        <is>
          <t>NORDANSTIG</t>
        </is>
      </c>
      <c r="F988" t="inlineStr">
        <is>
          <t>SCA</t>
        </is>
      </c>
      <c r="G988" t="n">
        <v>1.8</v>
      </c>
      <c r="H988" t="n">
        <v>0</v>
      </c>
      <c r="I988" t="n">
        <v>0</v>
      </c>
      <c r="J988" t="n">
        <v>0</v>
      </c>
      <c r="K988" t="n">
        <v>0</v>
      </c>
      <c r="L988" t="n">
        <v>0</v>
      </c>
      <c r="M988" t="n">
        <v>0</v>
      </c>
      <c r="N988" t="n">
        <v>0</v>
      </c>
      <c r="O988" t="n">
        <v>0</v>
      </c>
      <c r="P988" t="n">
        <v>0</v>
      </c>
      <c r="Q988" t="n">
        <v>0</v>
      </c>
      <c r="R988" s="2" t="inlineStr"/>
    </row>
    <row r="989" ht="15" customHeight="1">
      <c r="A989" t="inlineStr">
        <is>
          <t>A 1204-2021</t>
        </is>
      </c>
      <c r="B989" s="1" t="n">
        <v>44208</v>
      </c>
      <c r="C989" s="1" t="n">
        <v>45883</v>
      </c>
      <c r="D989" t="inlineStr">
        <is>
          <t>GÄVLEBORGS LÄN</t>
        </is>
      </c>
      <c r="E989" t="inlineStr">
        <is>
          <t>BOLLNÄS</t>
        </is>
      </c>
      <c r="F989" t="inlineStr">
        <is>
          <t>Bergvik skog väst AB</t>
        </is>
      </c>
      <c r="G989" t="n">
        <v>0.9</v>
      </c>
      <c r="H989" t="n">
        <v>0</v>
      </c>
      <c r="I989" t="n">
        <v>0</v>
      </c>
      <c r="J989" t="n">
        <v>0</v>
      </c>
      <c r="K989" t="n">
        <v>0</v>
      </c>
      <c r="L989" t="n">
        <v>0</v>
      </c>
      <c r="M989" t="n">
        <v>0</v>
      </c>
      <c r="N989" t="n">
        <v>0</v>
      </c>
      <c r="O989" t="n">
        <v>0</v>
      </c>
      <c r="P989" t="n">
        <v>0</v>
      </c>
      <c r="Q989" t="n">
        <v>0</v>
      </c>
      <c r="R989" s="2" t="inlineStr"/>
    </row>
    <row r="990" ht="15" customHeight="1">
      <c r="A990" t="inlineStr">
        <is>
          <t>A 22206-2021</t>
        </is>
      </c>
      <c r="B990" s="1" t="n">
        <v>44326</v>
      </c>
      <c r="C990" s="1" t="n">
        <v>45883</v>
      </c>
      <c r="D990" t="inlineStr">
        <is>
          <t>GÄVLEBORGS LÄN</t>
        </is>
      </c>
      <c r="E990" t="inlineStr">
        <is>
          <t>LJUSDAL</t>
        </is>
      </c>
      <c r="G990" t="n">
        <v>1.6</v>
      </c>
      <c r="H990" t="n">
        <v>0</v>
      </c>
      <c r="I990" t="n">
        <v>0</v>
      </c>
      <c r="J990" t="n">
        <v>0</v>
      </c>
      <c r="K990" t="n">
        <v>0</v>
      </c>
      <c r="L990" t="n">
        <v>0</v>
      </c>
      <c r="M990" t="n">
        <v>0</v>
      </c>
      <c r="N990" t="n">
        <v>0</v>
      </c>
      <c r="O990" t="n">
        <v>0</v>
      </c>
      <c r="P990" t="n">
        <v>0</v>
      </c>
      <c r="Q990" t="n">
        <v>0</v>
      </c>
      <c r="R990" s="2" t="inlineStr"/>
    </row>
    <row r="991" ht="15" customHeight="1">
      <c r="A991" t="inlineStr">
        <is>
          <t>A 52628-2022</t>
        </is>
      </c>
      <c r="B991" s="1" t="n">
        <v>44874.69761574074</v>
      </c>
      <c r="C991" s="1" t="n">
        <v>45883</v>
      </c>
      <c r="D991" t="inlineStr">
        <is>
          <t>GÄVLEBORGS LÄN</t>
        </is>
      </c>
      <c r="E991" t="inlineStr">
        <is>
          <t>SANDVIKEN</t>
        </is>
      </c>
      <c r="F991" t="inlineStr">
        <is>
          <t>Sveaskog</t>
        </is>
      </c>
      <c r="G991" t="n">
        <v>3.3</v>
      </c>
      <c r="H991" t="n">
        <v>0</v>
      </c>
      <c r="I991" t="n">
        <v>0</v>
      </c>
      <c r="J991" t="n">
        <v>0</v>
      </c>
      <c r="K991" t="n">
        <v>0</v>
      </c>
      <c r="L991" t="n">
        <v>0</v>
      </c>
      <c r="M991" t="n">
        <v>0</v>
      </c>
      <c r="N991" t="n">
        <v>0</v>
      </c>
      <c r="O991" t="n">
        <v>0</v>
      </c>
      <c r="P991" t="n">
        <v>0</v>
      </c>
      <c r="Q991" t="n">
        <v>0</v>
      </c>
      <c r="R991" s="2" t="inlineStr"/>
    </row>
    <row r="992" ht="15" customHeight="1">
      <c r="A992" t="inlineStr">
        <is>
          <t>A 63783-2021</t>
        </is>
      </c>
      <c r="B992" s="1" t="n">
        <v>44509.50847222222</v>
      </c>
      <c r="C992" s="1" t="n">
        <v>45883</v>
      </c>
      <c r="D992" t="inlineStr">
        <is>
          <t>GÄVLEBORGS LÄN</t>
        </is>
      </c>
      <c r="E992" t="inlineStr">
        <is>
          <t>HUDIKSVALL</t>
        </is>
      </c>
      <c r="G992" t="n">
        <v>1.2</v>
      </c>
      <c r="H992" t="n">
        <v>0</v>
      </c>
      <c r="I992" t="n">
        <v>0</v>
      </c>
      <c r="J992" t="n">
        <v>0</v>
      </c>
      <c r="K992" t="n">
        <v>0</v>
      </c>
      <c r="L992" t="n">
        <v>0</v>
      </c>
      <c r="M992" t="n">
        <v>0</v>
      </c>
      <c r="N992" t="n">
        <v>0</v>
      </c>
      <c r="O992" t="n">
        <v>0</v>
      </c>
      <c r="P992" t="n">
        <v>0</v>
      </c>
      <c r="Q992" t="n">
        <v>0</v>
      </c>
      <c r="R992" s="2" t="inlineStr"/>
    </row>
    <row r="993" ht="15" customHeight="1">
      <c r="A993" t="inlineStr">
        <is>
          <t>A 60075-2020</t>
        </is>
      </c>
      <c r="B993" s="1" t="n">
        <v>44152</v>
      </c>
      <c r="C993" s="1" t="n">
        <v>45883</v>
      </c>
      <c r="D993" t="inlineStr">
        <is>
          <t>GÄVLEBORGS LÄN</t>
        </is>
      </c>
      <c r="E993" t="inlineStr">
        <is>
          <t>BOLLNÄS</t>
        </is>
      </c>
      <c r="F993" t="inlineStr">
        <is>
          <t>Bergvik skog väst AB</t>
        </is>
      </c>
      <c r="G993" t="n">
        <v>0.6</v>
      </c>
      <c r="H993" t="n">
        <v>0</v>
      </c>
      <c r="I993" t="n">
        <v>0</v>
      </c>
      <c r="J993" t="n">
        <v>0</v>
      </c>
      <c r="K993" t="n">
        <v>0</v>
      </c>
      <c r="L993" t="n">
        <v>0</v>
      </c>
      <c r="M993" t="n">
        <v>0</v>
      </c>
      <c r="N993" t="n">
        <v>0</v>
      </c>
      <c r="O993" t="n">
        <v>0</v>
      </c>
      <c r="P993" t="n">
        <v>0</v>
      </c>
      <c r="Q993" t="n">
        <v>0</v>
      </c>
      <c r="R993" s="2" t="inlineStr"/>
    </row>
    <row r="994" ht="15" customHeight="1">
      <c r="A994" t="inlineStr">
        <is>
          <t>A 62033-2020</t>
        </is>
      </c>
      <c r="B994" s="1" t="n">
        <v>44159</v>
      </c>
      <c r="C994" s="1" t="n">
        <v>45883</v>
      </c>
      <c r="D994" t="inlineStr">
        <is>
          <t>GÄVLEBORGS LÄN</t>
        </is>
      </c>
      <c r="E994" t="inlineStr">
        <is>
          <t>OVANÅKER</t>
        </is>
      </c>
      <c r="G994" t="n">
        <v>0.6</v>
      </c>
      <c r="H994" t="n">
        <v>0</v>
      </c>
      <c r="I994" t="n">
        <v>0</v>
      </c>
      <c r="J994" t="n">
        <v>0</v>
      </c>
      <c r="K994" t="n">
        <v>0</v>
      </c>
      <c r="L994" t="n">
        <v>0</v>
      </c>
      <c r="M994" t="n">
        <v>0</v>
      </c>
      <c r="N994" t="n">
        <v>0</v>
      </c>
      <c r="O994" t="n">
        <v>0</v>
      </c>
      <c r="P994" t="n">
        <v>0</v>
      </c>
      <c r="Q994" t="n">
        <v>0</v>
      </c>
      <c r="R994" s="2" t="inlineStr"/>
    </row>
    <row r="995" ht="15" customHeight="1">
      <c r="A995" t="inlineStr">
        <is>
          <t>A 64117-2020</t>
        </is>
      </c>
      <c r="B995" s="1" t="n">
        <v>44167</v>
      </c>
      <c r="C995" s="1" t="n">
        <v>45883</v>
      </c>
      <c r="D995" t="inlineStr">
        <is>
          <t>GÄVLEBORGS LÄN</t>
        </is>
      </c>
      <c r="E995" t="inlineStr">
        <is>
          <t>OVANÅKER</t>
        </is>
      </c>
      <c r="G995" t="n">
        <v>0.4</v>
      </c>
      <c r="H995" t="n">
        <v>0</v>
      </c>
      <c r="I995" t="n">
        <v>0</v>
      </c>
      <c r="J995" t="n">
        <v>0</v>
      </c>
      <c r="K995" t="n">
        <v>0</v>
      </c>
      <c r="L995" t="n">
        <v>0</v>
      </c>
      <c r="M995" t="n">
        <v>0</v>
      </c>
      <c r="N995" t="n">
        <v>0</v>
      </c>
      <c r="O995" t="n">
        <v>0</v>
      </c>
      <c r="P995" t="n">
        <v>0</v>
      </c>
      <c r="Q995" t="n">
        <v>0</v>
      </c>
      <c r="R995" s="2" t="inlineStr"/>
    </row>
    <row r="996" ht="15" customHeight="1">
      <c r="A996" t="inlineStr">
        <is>
          <t>A 46961-2022</t>
        </is>
      </c>
      <c r="B996" s="1" t="n">
        <v>44851.94770833333</v>
      </c>
      <c r="C996" s="1" t="n">
        <v>45883</v>
      </c>
      <c r="D996" t="inlineStr">
        <is>
          <t>GÄVLEBORGS LÄN</t>
        </is>
      </c>
      <c r="E996" t="inlineStr">
        <is>
          <t>BOLLNÄS</t>
        </is>
      </c>
      <c r="F996" t="inlineStr">
        <is>
          <t>Bergvik skog väst AB</t>
        </is>
      </c>
      <c r="G996" t="n">
        <v>0.4</v>
      </c>
      <c r="H996" t="n">
        <v>0</v>
      </c>
      <c r="I996" t="n">
        <v>0</v>
      </c>
      <c r="J996" t="n">
        <v>0</v>
      </c>
      <c r="K996" t="n">
        <v>0</v>
      </c>
      <c r="L996" t="n">
        <v>0</v>
      </c>
      <c r="M996" t="n">
        <v>0</v>
      </c>
      <c r="N996" t="n">
        <v>0</v>
      </c>
      <c r="O996" t="n">
        <v>0</v>
      </c>
      <c r="P996" t="n">
        <v>0</v>
      </c>
      <c r="Q996" t="n">
        <v>0</v>
      </c>
      <c r="R996" s="2" t="inlineStr"/>
    </row>
    <row r="997" ht="15" customHeight="1">
      <c r="A997" t="inlineStr">
        <is>
          <t>A 62146-2020</t>
        </is>
      </c>
      <c r="B997" s="1" t="n">
        <v>44159</v>
      </c>
      <c r="C997" s="1" t="n">
        <v>45883</v>
      </c>
      <c r="D997" t="inlineStr">
        <is>
          <t>GÄVLEBORGS LÄN</t>
        </is>
      </c>
      <c r="E997" t="inlineStr">
        <is>
          <t>SÖDERHAMN</t>
        </is>
      </c>
      <c r="G997" t="n">
        <v>0.6</v>
      </c>
      <c r="H997" t="n">
        <v>0</v>
      </c>
      <c r="I997" t="n">
        <v>0</v>
      </c>
      <c r="J997" t="n">
        <v>0</v>
      </c>
      <c r="K997" t="n">
        <v>0</v>
      </c>
      <c r="L997" t="n">
        <v>0</v>
      </c>
      <c r="M997" t="n">
        <v>0</v>
      </c>
      <c r="N997" t="n">
        <v>0</v>
      </c>
      <c r="O997" t="n">
        <v>0</v>
      </c>
      <c r="P997" t="n">
        <v>0</v>
      </c>
      <c r="Q997" t="n">
        <v>0</v>
      </c>
      <c r="R997" s="2" t="inlineStr"/>
    </row>
    <row r="998" ht="15" customHeight="1">
      <c r="A998" t="inlineStr">
        <is>
          <t>A 534-2022</t>
        </is>
      </c>
      <c r="B998" s="1" t="n">
        <v>44566.60619212963</v>
      </c>
      <c r="C998" s="1" t="n">
        <v>45883</v>
      </c>
      <c r="D998" t="inlineStr">
        <is>
          <t>GÄVLEBORGS LÄN</t>
        </is>
      </c>
      <c r="E998" t="inlineStr">
        <is>
          <t>BOLLNÄS</t>
        </is>
      </c>
      <c r="G998" t="n">
        <v>2.5</v>
      </c>
      <c r="H998" t="n">
        <v>0</v>
      </c>
      <c r="I998" t="n">
        <v>0</v>
      </c>
      <c r="J998" t="n">
        <v>0</v>
      </c>
      <c r="K998" t="n">
        <v>0</v>
      </c>
      <c r="L998" t="n">
        <v>0</v>
      </c>
      <c r="M998" t="n">
        <v>0</v>
      </c>
      <c r="N998" t="n">
        <v>0</v>
      </c>
      <c r="O998" t="n">
        <v>0</v>
      </c>
      <c r="P998" t="n">
        <v>0</v>
      </c>
      <c r="Q998" t="n">
        <v>0</v>
      </c>
      <c r="R998" s="2" t="inlineStr"/>
    </row>
    <row r="999" ht="15" customHeight="1">
      <c r="A999" t="inlineStr">
        <is>
          <t>A 54398-2022</t>
        </is>
      </c>
      <c r="B999" s="1" t="n">
        <v>44882.53259259259</v>
      </c>
      <c r="C999" s="1" t="n">
        <v>45883</v>
      </c>
      <c r="D999" t="inlineStr">
        <is>
          <t>GÄVLEBORGS LÄN</t>
        </is>
      </c>
      <c r="E999" t="inlineStr">
        <is>
          <t>BOLLNÄS</t>
        </is>
      </c>
      <c r="G999" t="n">
        <v>0.5</v>
      </c>
      <c r="H999" t="n">
        <v>0</v>
      </c>
      <c r="I999" t="n">
        <v>0</v>
      </c>
      <c r="J999" t="n">
        <v>0</v>
      </c>
      <c r="K999" t="n">
        <v>0</v>
      </c>
      <c r="L999" t="n">
        <v>0</v>
      </c>
      <c r="M999" t="n">
        <v>0</v>
      </c>
      <c r="N999" t="n">
        <v>0</v>
      </c>
      <c r="O999" t="n">
        <v>0</v>
      </c>
      <c r="P999" t="n">
        <v>0</v>
      </c>
      <c r="Q999" t="n">
        <v>0</v>
      </c>
      <c r="R999" s="2" t="inlineStr"/>
    </row>
    <row r="1000" ht="15" customHeight="1">
      <c r="A1000" t="inlineStr">
        <is>
          <t>A 52226-2022</t>
        </is>
      </c>
      <c r="B1000" s="1" t="n">
        <v>44873</v>
      </c>
      <c r="C1000" s="1" t="n">
        <v>45883</v>
      </c>
      <c r="D1000" t="inlineStr">
        <is>
          <t>GÄVLEBORGS LÄN</t>
        </is>
      </c>
      <c r="E1000" t="inlineStr">
        <is>
          <t>LJUSDAL</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8038-2021</t>
        </is>
      </c>
      <c r="B1001" s="1" t="n">
        <v>44243.60890046296</v>
      </c>
      <c r="C1001" s="1" t="n">
        <v>45883</v>
      </c>
      <c r="D1001" t="inlineStr">
        <is>
          <t>GÄVLEBORGS LÄN</t>
        </is>
      </c>
      <c r="E1001" t="inlineStr">
        <is>
          <t>BOLLNÄS</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7592-2022</t>
        </is>
      </c>
      <c r="B1002" s="1" t="n">
        <v>44607.63438657407</v>
      </c>
      <c r="C1002" s="1" t="n">
        <v>45883</v>
      </c>
      <c r="D1002" t="inlineStr">
        <is>
          <t>GÄVLEBORGS LÄN</t>
        </is>
      </c>
      <c r="E1002" t="inlineStr">
        <is>
          <t>LJUSDAL</t>
        </is>
      </c>
      <c r="F1002" t="inlineStr">
        <is>
          <t>Holmen skog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7529-2021</t>
        </is>
      </c>
      <c r="B1003" s="1" t="n">
        <v>44239</v>
      </c>
      <c r="C1003" s="1" t="n">
        <v>45883</v>
      </c>
      <c r="D1003" t="inlineStr">
        <is>
          <t>GÄVLEBORGS LÄN</t>
        </is>
      </c>
      <c r="E1003" t="inlineStr">
        <is>
          <t>HUDIKSVALL</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54546-2022</t>
        </is>
      </c>
      <c r="B1004" s="1" t="n">
        <v>44882.82246527778</v>
      </c>
      <c r="C1004" s="1" t="n">
        <v>45883</v>
      </c>
      <c r="D1004" t="inlineStr">
        <is>
          <t>GÄVLEBORGS LÄN</t>
        </is>
      </c>
      <c r="E1004" t="inlineStr">
        <is>
          <t>BOLLNÄS</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51853-2022</t>
        </is>
      </c>
      <c r="B1005" s="1" t="n">
        <v>44872</v>
      </c>
      <c r="C1005" s="1" t="n">
        <v>45883</v>
      </c>
      <c r="D1005" t="inlineStr">
        <is>
          <t>GÄVLEBORGS LÄN</t>
        </is>
      </c>
      <c r="E1005" t="inlineStr">
        <is>
          <t>LJUSDAL</t>
        </is>
      </c>
      <c r="F1005" t="inlineStr">
        <is>
          <t>Bergvik skog väst AB</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59213-2020</t>
        </is>
      </c>
      <c r="B1006" s="1" t="n">
        <v>44147</v>
      </c>
      <c r="C1006" s="1" t="n">
        <v>45883</v>
      </c>
      <c r="D1006" t="inlineStr">
        <is>
          <t>GÄVLEBORGS LÄN</t>
        </is>
      </c>
      <c r="E1006" t="inlineStr">
        <is>
          <t>NORDANSTIG</t>
        </is>
      </c>
      <c r="F1006" t="inlineStr">
        <is>
          <t>Holmen skog AB</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29858-2021</t>
        </is>
      </c>
      <c r="B1007" s="1" t="n">
        <v>44362</v>
      </c>
      <c r="C1007" s="1" t="n">
        <v>45883</v>
      </c>
      <c r="D1007" t="inlineStr">
        <is>
          <t>GÄVLEBORGS LÄN</t>
        </is>
      </c>
      <c r="E1007" t="inlineStr">
        <is>
          <t>HUDIKSVALL</t>
        </is>
      </c>
      <c r="F1007" t="inlineStr">
        <is>
          <t>Holmen skog AB</t>
        </is>
      </c>
      <c r="G1007" t="n">
        <v>8.1</v>
      </c>
      <c r="H1007" t="n">
        <v>0</v>
      </c>
      <c r="I1007" t="n">
        <v>0</v>
      </c>
      <c r="J1007" t="n">
        <v>0</v>
      </c>
      <c r="K1007" t="n">
        <v>0</v>
      </c>
      <c r="L1007" t="n">
        <v>0</v>
      </c>
      <c r="M1007" t="n">
        <v>0</v>
      </c>
      <c r="N1007" t="n">
        <v>0</v>
      </c>
      <c r="O1007" t="n">
        <v>0</v>
      </c>
      <c r="P1007" t="n">
        <v>0</v>
      </c>
      <c r="Q1007" t="n">
        <v>0</v>
      </c>
      <c r="R1007" s="2" t="inlineStr"/>
    </row>
    <row r="1008" ht="15" customHeight="1">
      <c r="A1008" t="inlineStr">
        <is>
          <t>A 486-2022</t>
        </is>
      </c>
      <c r="B1008" s="1" t="n">
        <v>44566</v>
      </c>
      <c r="C1008" s="1" t="n">
        <v>45883</v>
      </c>
      <c r="D1008" t="inlineStr">
        <is>
          <t>GÄVLEBORGS LÄN</t>
        </is>
      </c>
      <c r="E1008" t="inlineStr">
        <is>
          <t>HUDIKSVALL</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46302-2022</t>
        </is>
      </c>
      <c r="B1009" s="1" t="n">
        <v>44847</v>
      </c>
      <c r="C1009" s="1" t="n">
        <v>45883</v>
      </c>
      <c r="D1009" t="inlineStr">
        <is>
          <t>GÄVLEBORGS LÄN</t>
        </is>
      </c>
      <c r="E1009" t="inlineStr">
        <is>
          <t>SÖDERHAMN</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24894-2021</t>
        </is>
      </c>
      <c r="B1010" s="1" t="n">
        <v>44341</v>
      </c>
      <c r="C1010" s="1" t="n">
        <v>45883</v>
      </c>
      <c r="D1010" t="inlineStr">
        <is>
          <t>GÄVLEBORGS LÄN</t>
        </is>
      </c>
      <c r="E1010" t="inlineStr">
        <is>
          <t>LJUSDAL</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64289-2020</t>
        </is>
      </c>
      <c r="B1011" s="1" t="n">
        <v>44168</v>
      </c>
      <c r="C1011" s="1" t="n">
        <v>45883</v>
      </c>
      <c r="D1011" t="inlineStr">
        <is>
          <t>GÄVLEBORGS LÄN</t>
        </is>
      </c>
      <c r="E1011" t="inlineStr">
        <is>
          <t>OCKELBO</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41663-2021</t>
        </is>
      </c>
      <c r="B1012" s="1" t="n">
        <v>44425</v>
      </c>
      <c r="C1012" s="1" t="n">
        <v>45883</v>
      </c>
      <c r="D1012" t="inlineStr">
        <is>
          <t>GÄVLEBORGS LÄN</t>
        </is>
      </c>
      <c r="E1012" t="inlineStr">
        <is>
          <t>LJUSDAL</t>
        </is>
      </c>
      <c r="F1012" t="inlineStr">
        <is>
          <t>Sveaskog</t>
        </is>
      </c>
      <c r="G1012" t="n">
        <v>8.9</v>
      </c>
      <c r="H1012" t="n">
        <v>0</v>
      </c>
      <c r="I1012" t="n">
        <v>0</v>
      </c>
      <c r="J1012" t="n">
        <v>0</v>
      </c>
      <c r="K1012" t="n">
        <v>0</v>
      </c>
      <c r="L1012" t="n">
        <v>0</v>
      </c>
      <c r="M1012" t="n">
        <v>0</v>
      </c>
      <c r="N1012" t="n">
        <v>0</v>
      </c>
      <c r="O1012" t="n">
        <v>0</v>
      </c>
      <c r="P1012" t="n">
        <v>0</v>
      </c>
      <c r="Q1012" t="n">
        <v>0</v>
      </c>
      <c r="R1012" s="2" t="inlineStr"/>
    </row>
    <row r="1013" ht="15" customHeight="1">
      <c r="A1013" t="inlineStr">
        <is>
          <t>A 10100-2021</t>
        </is>
      </c>
      <c r="B1013" s="1" t="n">
        <v>44256</v>
      </c>
      <c r="C1013" s="1" t="n">
        <v>45883</v>
      </c>
      <c r="D1013" t="inlineStr">
        <is>
          <t>GÄVLEBORGS LÄN</t>
        </is>
      </c>
      <c r="E1013" t="inlineStr">
        <is>
          <t>OCKELBO</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69185-2020</t>
        </is>
      </c>
      <c r="B1014" s="1" t="n">
        <v>44190</v>
      </c>
      <c r="C1014" s="1" t="n">
        <v>45883</v>
      </c>
      <c r="D1014" t="inlineStr">
        <is>
          <t>GÄVLEBORGS LÄN</t>
        </is>
      </c>
      <c r="E1014" t="inlineStr">
        <is>
          <t>NORDANSTIG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39973-2020</t>
        </is>
      </c>
      <c r="B1015" s="1" t="n">
        <v>44067</v>
      </c>
      <c r="C1015" s="1" t="n">
        <v>45883</v>
      </c>
      <c r="D1015" t="inlineStr">
        <is>
          <t>GÄVLEBORGS LÄN</t>
        </is>
      </c>
      <c r="E1015" t="inlineStr">
        <is>
          <t>HUDIKSVALL</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45494-2022</t>
        </is>
      </c>
      <c r="B1016" s="1" t="n">
        <v>44841</v>
      </c>
      <c r="C1016" s="1" t="n">
        <v>45883</v>
      </c>
      <c r="D1016" t="inlineStr">
        <is>
          <t>GÄVLEBORGS LÄN</t>
        </is>
      </c>
      <c r="E1016" t="inlineStr">
        <is>
          <t>SÖDERHAMN</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18350-2021</t>
        </is>
      </c>
      <c r="B1017" s="1" t="n">
        <v>44305</v>
      </c>
      <c r="C1017" s="1" t="n">
        <v>45883</v>
      </c>
      <c r="D1017" t="inlineStr">
        <is>
          <t>GÄVLEBORGS LÄN</t>
        </is>
      </c>
      <c r="E1017" t="inlineStr">
        <is>
          <t>OVANÅKER</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42959-2020</t>
        </is>
      </c>
      <c r="B1018" s="1" t="n">
        <v>44078</v>
      </c>
      <c r="C1018" s="1" t="n">
        <v>45883</v>
      </c>
      <c r="D1018" t="inlineStr">
        <is>
          <t>GÄVLEBORGS LÄN</t>
        </is>
      </c>
      <c r="E1018" t="inlineStr">
        <is>
          <t>HOFORS</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68382-2020</t>
        </is>
      </c>
      <c r="B1019" s="1" t="n">
        <v>44186</v>
      </c>
      <c r="C1019" s="1" t="n">
        <v>45883</v>
      </c>
      <c r="D1019" t="inlineStr">
        <is>
          <t>GÄVLEBORGS LÄN</t>
        </is>
      </c>
      <c r="E1019" t="inlineStr">
        <is>
          <t>BOLLNÄS</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41133-2020</t>
        </is>
      </c>
      <c r="B1020" s="1" t="n">
        <v>44071</v>
      </c>
      <c r="C1020" s="1" t="n">
        <v>45883</v>
      </c>
      <c r="D1020" t="inlineStr">
        <is>
          <t>GÄVLEBORGS LÄN</t>
        </is>
      </c>
      <c r="E1020" t="inlineStr">
        <is>
          <t>HUDIKSVALL</t>
        </is>
      </c>
      <c r="F1020" t="inlineStr">
        <is>
          <t>Holmen skog AB</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41155-2020</t>
        </is>
      </c>
      <c r="B1021" s="1" t="n">
        <v>44071</v>
      </c>
      <c r="C1021" s="1" t="n">
        <v>45883</v>
      </c>
      <c r="D1021" t="inlineStr">
        <is>
          <t>GÄVLEBORGS LÄN</t>
        </is>
      </c>
      <c r="E1021" t="inlineStr">
        <is>
          <t>OVANÅKER</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15982-2021</t>
        </is>
      </c>
      <c r="B1022" s="1" t="n">
        <v>44287</v>
      </c>
      <c r="C1022" s="1" t="n">
        <v>45883</v>
      </c>
      <c r="D1022" t="inlineStr">
        <is>
          <t>GÄVLEBORGS LÄN</t>
        </is>
      </c>
      <c r="E1022" t="inlineStr">
        <is>
          <t>NORDANSTIG</t>
        </is>
      </c>
      <c r="G1022" t="n">
        <v>5</v>
      </c>
      <c r="H1022" t="n">
        <v>0</v>
      </c>
      <c r="I1022" t="n">
        <v>0</v>
      </c>
      <c r="J1022" t="n">
        <v>0</v>
      </c>
      <c r="K1022" t="n">
        <v>0</v>
      </c>
      <c r="L1022" t="n">
        <v>0</v>
      </c>
      <c r="M1022" t="n">
        <v>0</v>
      </c>
      <c r="N1022" t="n">
        <v>0</v>
      </c>
      <c r="O1022" t="n">
        <v>0</v>
      </c>
      <c r="P1022" t="n">
        <v>0</v>
      </c>
      <c r="Q1022" t="n">
        <v>0</v>
      </c>
      <c r="R1022" s="2" t="inlineStr"/>
    </row>
    <row r="1023" ht="15" customHeight="1">
      <c r="A1023" t="inlineStr">
        <is>
          <t>A 13401-2022</t>
        </is>
      </c>
      <c r="B1023" s="1" t="n">
        <v>44645.52770833333</v>
      </c>
      <c r="C1023" s="1" t="n">
        <v>45883</v>
      </c>
      <c r="D1023" t="inlineStr">
        <is>
          <t>GÄVLEBORGS LÄN</t>
        </is>
      </c>
      <c r="E1023" t="inlineStr">
        <is>
          <t>BOLLNÄS</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15876-2022</t>
        </is>
      </c>
      <c r="B1024" s="1" t="n">
        <v>44664.47868055556</v>
      </c>
      <c r="C1024" s="1" t="n">
        <v>45883</v>
      </c>
      <c r="D1024" t="inlineStr">
        <is>
          <t>GÄVLEBORGS LÄN</t>
        </is>
      </c>
      <c r="E1024" t="inlineStr">
        <is>
          <t>HUDIKSVALL</t>
        </is>
      </c>
      <c r="F1024" t="inlineStr">
        <is>
          <t>Holmen skog AB</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52276-2022</t>
        </is>
      </c>
      <c r="B1025" s="1" t="n">
        <v>44873.65104166666</v>
      </c>
      <c r="C1025" s="1" t="n">
        <v>45883</v>
      </c>
      <c r="D1025" t="inlineStr">
        <is>
          <t>GÄVLEBORGS LÄN</t>
        </is>
      </c>
      <c r="E1025" t="inlineStr">
        <is>
          <t>SANDVIKEN</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25446-2021</t>
        </is>
      </c>
      <c r="B1026" s="1" t="n">
        <v>44342.67332175926</v>
      </c>
      <c r="C1026" s="1" t="n">
        <v>45883</v>
      </c>
      <c r="D1026" t="inlineStr">
        <is>
          <t>GÄVLEBORGS LÄN</t>
        </is>
      </c>
      <c r="E1026" t="inlineStr">
        <is>
          <t>GÄVLE</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25494-2021</t>
        </is>
      </c>
      <c r="B1027" s="1" t="n">
        <v>44342.92086805555</v>
      </c>
      <c r="C1027" s="1" t="n">
        <v>45883</v>
      </c>
      <c r="D1027" t="inlineStr">
        <is>
          <t>GÄVLEBORGS LÄN</t>
        </is>
      </c>
      <c r="E1027" t="inlineStr">
        <is>
          <t>LJUSDAL</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53850-2020</t>
        </is>
      </c>
      <c r="B1028" s="1" t="n">
        <v>44125</v>
      </c>
      <c r="C1028" s="1" t="n">
        <v>45883</v>
      </c>
      <c r="D1028" t="inlineStr">
        <is>
          <t>GÄVLEBORGS LÄN</t>
        </is>
      </c>
      <c r="E1028" t="inlineStr">
        <is>
          <t>LJUSDAL</t>
        </is>
      </c>
      <c r="F1028" t="inlineStr">
        <is>
          <t>Sveaskog</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18078-2021</t>
        </is>
      </c>
      <c r="B1029" s="1" t="n">
        <v>44302.45065972222</v>
      </c>
      <c r="C1029" s="1" t="n">
        <v>45883</v>
      </c>
      <c r="D1029" t="inlineStr">
        <is>
          <t>GÄVLEBORGS LÄN</t>
        </is>
      </c>
      <c r="E1029" t="inlineStr">
        <is>
          <t>LJUSDAL</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19143-2022</t>
        </is>
      </c>
      <c r="B1030" s="1" t="n">
        <v>44691.62394675926</v>
      </c>
      <c r="C1030" s="1" t="n">
        <v>45883</v>
      </c>
      <c r="D1030" t="inlineStr">
        <is>
          <t>GÄVLEBORGS LÄN</t>
        </is>
      </c>
      <c r="E1030" t="inlineStr">
        <is>
          <t>BOLLNÄS</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3401-2021</t>
        </is>
      </c>
      <c r="B1031" s="1" t="n">
        <v>44218</v>
      </c>
      <c r="C1031" s="1" t="n">
        <v>45883</v>
      </c>
      <c r="D1031" t="inlineStr">
        <is>
          <t>GÄVLEBORGS LÄN</t>
        </is>
      </c>
      <c r="E1031" t="inlineStr">
        <is>
          <t>SÖDERHAMN</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55489-2021</t>
        </is>
      </c>
      <c r="B1032" s="1" t="n">
        <v>44475.61556712963</v>
      </c>
      <c r="C1032" s="1" t="n">
        <v>45883</v>
      </c>
      <c r="D1032" t="inlineStr">
        <is>
          <t>GÄVLEBORGS LÄN</t>
        </is>
      </c>
      <c r="E1032" t="inlineStr">
        <is>
          <t>HUDIKSVALL</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45584-2021</t>
        </is>
      </c>
      <c r="B1033" s="1" t="n">
        <v>44440.6995949074</v>
      </c>
      <c r="C1033" s="1" t="n">
        <v>45883</v>
      </c>
      <c r="D1033" t="inlineStr">
        <is>
          <t>GÄVLEBORGS LÄN</t>
        </is>
      </c>
      <c r="E1033" t="inlineStr">
        <is>
          <t>LJUSDAL</t>
        </is>
      </c>
      <c r="F1033" t="inlineStr">
        <is>
          <t>Holmen skog AB</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21709-2021</t>
        </is>
      </c>
      <c r="B1034" s="1" t="n">
        <v>44322</v>
      </c>
      <c r="C1034" s="1" t="n">
        <v>45883</v>
      </c>
      <c r="D1034" t="inlineStr">
        <is>
          <t>GÄVLEBORGS LÄN</t>
        </is>
      </c>
      <c r="E1034" t="inlineStr">
        <is>
          <t>OVANÅKER</t>
        </is>
      </c>
      <c r="F1034" t="inlineStr">
        <is>
          <t>Bergvik skog väst AB</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29933-2022</t>
        </is>
      </c>
      <c r="B1035" s="1" t="n">
        <v>44756.58375</v>
      </c>
      <c r="C1035" s="1" t="n">
        <v>45883</v>
      </c>
      <c r="D1035" t="inlineStr">
        <is>
          <t>GÄVLEBORGS LÄN</t>
        </is>
      </c>
      <c r="E1035" t="inlineStr">
        <is>
          <t>GÄVLE</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29949-2022</t>
        </is>
      </c>
      <c r="B1036" s="1" t="n">
        <v>44756.62429398148</v>
      </c>
      <c r="C1036" s="1" t="n">
        <v>45883</v>
      </c>
      <c r="D1036" t="inlineStr">
        <is>
          <t>GÄVLEBORGS LÄN</t>
        </is>
      </c>
      <c r="E1036" t="inlineStr">
        <is>
          <t>LJUSDAL</t>
        </is>
      </c>
      <c r="F1036" t="inlineStr">
        <is>
          <t>Sveaskog</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24162-2021</t>
        </is>
      </c>
      <c r="B1037" s="1" t="n">
        <v>44336.60556712963</v>
      </c>
      <c r="C1037" s="1" t="n">
        <v>45883</v>
      </c>
      <c r="D1037" t="inlineStr">
        <is>
          <t>GÄVLEBORGS LÄN</t>
        </is>
      </c>
      <c r="E1037" t="inlineStr">
        <is>
          <t>HUDIKSVALL</t>
        </is>
      </c>
      <c r="F1037" t="inlineStr">
        <is>
          <t>Holmen skog AB</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64706-2021</t>
        </is>
      </c>
      <c r="B1038" s="1" t="n">
        <v>44512</v>
      </c>
      <c r="C1038" s="1" t="n">
        <v>45883</v>
      </c>
      <c r="D1038" t="inlineStr">
        <is>
          <t>GÄVLEBORGS LÄN</t>
        </is>
      </c>
      <c r="E1038" t="inlineStr">
        <is>
          <t>HOFORS</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22239-2021</t>
        </is>
      </c>
      <c r="B1039" s="1" t="n">
        <v>44326</v>
      </c>
      <c r="C1039" s="1" t="n">
        <v>45883</v>
      </c>
      <c r="D1039" t="inlineStr">
        <is>
          <t>GÄVLEBORGS LÄN</t>
        </is>
      </c>
      <c r="E1039" t="inlineStr">
        <is>
          <t>LJUSDAL</t>
        </is>
      </c>
      <c r="G1039" t="n">
        <v>13.9</v>
      </c>
      <c r="H1039" t="n">
        <v>0</v>
      </c>
      <c r="I1039" t="n">
        <v>0</v>
      </c>
      <c r="J1039" t="n">
        <v>0</v>
      </c>
      <c r="K1039" t="n">
        <v>0</v>
      </c>
      <c r="L1039" t="n">
        <v>0</v>
      </c>
      <c r="M1039" t="n">
        <v>0</v>
      </c>
      <c r="N1039" t="n">
        <v>0</v>
      </c>
      <c r="O1039" t="n">
        <v>0</v>
      </c>
      <c r="P1039" t="n">
        <v>0</v>
      </c>
      <c r="Q1039" t="n">
        <v>0</v>
      </c>
      <c r="R1039" s="2" t="inlineStr"/>
    </row>
    <row r="1040" ht="15" customHeight="1">
      <c r="A1040" t="inlineStr">
        <is>
          <t>A 16344-2022</t>
        </is>
      </c>
      <c r="B1040" s="1" t="n">
        <v>44670</v>
      </c>
      <c r="C1040" s="1" t="n">
        <v>45883</v>
      </c>
      <c r="D1040" t="inlineStr">
        <is>
          <t>GÄVLEBORGS LÄN</t>
        </is>
      </c>
      <c r="E1040" t="inlineStr">
        <is>
          <t>HUDIKSVALL</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18496-2021</t>
        </is>
      </c>
      <c r="B1041" s="1" t="n">
        <v>44306.39076388889</v>
      </c>
      <c r="C1041" s="1" t="n">
        <v>45883</v>
      </c>
      <c r="D1041" t="inlineStr">
        <is>
          <t>GÄVLEBORGS LÄN</t>
        </is>
      </c>
      <c r="E1041" t="inlineStr">
        <is>
          <t>SANDVIKEN</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47036-2020</t>
        </is>
      </c>
      <c r="B1042" s="1" t="n">
        <v>44096</v>
      </c>
      <c r="C1042" s="1" t="n">
        <v>45883</v>
      </c>
      <c r="D1042" t="inlineStr">
        <is>
          <t>GÄVLEBORGS LÄN</t>
        </is>
      </c>
      <c r="E1042" t="inlineStr">
        <is>
          <t>OVANÅKER</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17555-2021</t>
        </is>
      </c>
      <c r="B1043" s="1" t="n">
        <v>44299.64576388889</v>
      </c>
      <c r="C1043" s="1" t="n">
        <v>45883</v>
      </c>
      <c r="D1043" t="inlineStr">
        <is>
          <t>GÄVLEBORGS LÄN</t>
        </is>
      </c>
      <c r="E1043" t="inlineStr">
        <is>
          <t>BOLLNÄS</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21436-2022</t>
        </is>
      </c>
      <c r="B1044" s="1" t="n">
        <v>44706.34598379629</v>
      </c>
      <c r="C1044" s="1" t="n">
        <v>45883</v>
      </c>
      <c r="D1044" t="inlineStr">
        <is>
          <t>GÄVLEBORGS LÄN</t>
        </is>
      </c>
      <c r="E1044" t="inlineStr">
        <is>
          <t>HUDIKSVALL</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11189-2022</t>
        </is>
      </c>
      <c r="B1045" s="1" t="n">
        <v>44629</v>
      </c>
      <c r="C1045" s="1" t="n">
        <v>45883</v>
      </c>
      <c r="D1045" t="inlineStr">
        <is>
          <t>GÄVLEBORGS LÄN</t>
        </is>
      </c>
      <c r="E1045" t="inlineStr">
        <is>
          <t>GÄVLE</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18151-2021</t>
        </is>
      </c>
      <c r="B1046" s="1" t="n">
        <v>44302</v>
      </c>
      <c r="C1046" s="1" t="n">
        <v>45883</v>
      </c>
      <c r="D1046" t="inlineStr">
        <is>
          <t>GÄVLEBORGS LÄN</t>
        </is>
      </c>
      <c r="E1046" t="inlineStr">
        <is>
          <t>LJUSDAL</t>
        </is>
      </c>
      <c r="F1046" t="inlineStr">
        <is>
          <t>Sveaskog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19496-2021</t>
        </is>
      </c>
      <c r="B1047" s="1" t="n">
        <v>44312</v>
      </c>
      <c r="C1047" s="1" t="n">
        <v>45883</v>
      </c>
      <c r="D1047" t="inlineStr">
        <is>
          <t>GÄVLEBORGS LÄN</t>
        </is>
      </c>
      <c r="E1047" t="inlineStr">
        <is>
          <t>NORDANSTIG</t>
        </is>
      </c>
      <c r="G1047" t="n">
        <v>5.5</v>
      </c>
      <c r="H1047" t="n">
        <v>0</v>
      </c>
      <c r="I1047" t="n">
        <v>0</v>
      </c>
      <c r="J1047" t="n">
        <v>0</v>
      </c>
      <c r="K1047" t="n">
        <v>0</v>
      </c>
      <c r="L1047" t="n">
        <v>0</v>
      </c>
      <c r="M1047" t="n">
        <v>0</v>
      </c>
      <c r="N1047" t="n">
        <v>0</v>
      </c>
      <c r="O1047" t="n">
        <v>0</v>
      </c>
      <c r="P1047" t="n">
        <v>0</v>
      </c>
      <c r="Q1047" t="n">
        <v>0</v>
      </c>
      <c r="R1047" s="2" t="inlineStr"/>
    </row>
    <row r="1048" ht="15" customHeight="1">
      <c r="A1048" t="inlineStr">
        <is>
          <t>A 62044-2020</t>
        </is>
      </c>
      <c r="B1048" s="1" t="n">
        <v>44158</v>
      </c>
      <c r="C1048" s="1" t="n">
        <v>45883</v>
      </c>
      <c r="D1048" t="inlineStr">
        <is>
          <t>GÄVLEBORGS LÄN</t>
        </is>
      </c>
      <c r="E1048" t="inlineStr">
        <is>
          <t>SÖDERHAMN</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16923-2022</t>
        </is>
      </c>
      <c r="B1049" s="1" t="n">
        <v>44676.44880787037</v>
      </c>
      <c r="C1049" s="1" t="n">
        <v>45883</v>
      </c>
      <c r="D1049" t="inlineStr">
        <is>
          <t>GÄVLEBORGS LÄN</t>
        </is>
      </c>
      <c r="E1049" t="inlineStr">
        <is>
          <t>BOLLNÄS</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30615-2022</t>
        </is>
      </c>
      <c r="B1050" s="1" t="n">
        <v>44763</v>
      </c>
      <c r="C1050" s="1" t="n">
        <v>45883</v>
      </c>
      <c r="D1050" t="inlineStr">
        <is>
          <t>GÄVLEBORGS LÄN</t>
        </is>
      </c>
      <c r="E1050" t="inlineStr">
        <is>
          <t>BOLLNÄS</t>
        </is>
      </c>
      <c r="G1050" t="n">
        <v>0.2</v>
      </c>
      <c r="H1050" t="n">
        <v>0</v>
      </c>
      <c r="I1050" t="n">
        <v>0</v>
      </c>
      <c r="J1050" t="n">
        <v>0</v>
      </c>
      <c r="K1050" t="n">
        <v>0</v>
      </c>
      <c r="L1050" t="n">
        <v>0</v>
      </c>
      <c r="M1050" t="n">
        <v>0</v>
      </c>
      <c r="N1050" t="n">
        <v>0</v>
      </c>
      <c r="O1050" t="n">
        <v>0</v>
      </c>
      <c r="P1050" t="n">
        <v>0</v>
      </c>
      <c r="Q1050" t="n">
        <v>0</v>
      </c>
      <c r="R1050" s="2" t="inlineStr"/>
    </row>
    <row r="1051" ht="15" customHeight="1">
      <c r="A1051" t="inlineStr">
        <is>
          <t>A 57535-2020</t>
        </is>
      </c>
      <c r="B1051" s="1" t="n">
        <v>44140</v>
      </c>
      <c r="C1051" s="1" t="n">
        <v>45883</v>
      </c>
      <c r="D1051" t="inlineStr">
        <is>
          <t>GÄVLEBORGS LÄN</t>
        </is>
      </c>
      <c r="E1051" t="inlineStr">
        <is>
          <t>GÄVLE</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7925-2021</t>
        </is>
      </c>
      <c r="B1052" s="1" t="n">
        <v>44243</v>
      </c>
      <c r="C1052" s="1" t="n">
        <v>45883</v>
      </c>
      <c r="D1052" t="inlineStr">
        <is>
          <t>GÄVLEBORGS LÄN</t>
        </is>
      </c>
      <c r="E1052" t="inlineStr">
        <is>
          <t>LJUSDAL</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26715-2021</t>
        </is>
      </c>
      <c r="B1053" s="1" t="n">
        <v>44349.36012731482</v>
      </c>
      <c r="C1053" s="1" t="n">
        <v>45883</v>
      </c>
      <c r="D1053" t="inlineStr">
        <is>
          <t>GÄVLEBORGS LÄN</t>
        </is>
      </c>
      <c r="E1053" t="inlineStr">
        <is>
          <t>LJUSDAL</t>
        </is>
      </c>
      <c r="F1053" t="inlineStr">
        <is>
          <t>Sveaskog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26782-2021</t>
        </is>
      </c>
      <c r="B1054" s="1" t="n">
        <v>44349</v>
      </c>
      <c r="C1054" s="1" t="n">
        <v>45883</v>
      </c>
      <c r="D1054" t="inlineStr">
        <is>
          <t>GÄVLEBORGS LÄN</t>
        </is>
      </c>
      <c r="E1054" t="inlineStr">
        <is>
          <t>HUDIKSVALL</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52756-2022</t>
        </is>
      </c>
      <c r="B1055" s="1" t="n">
        <v>44875</v>
      </c>
      <c r="C1055" s="1" t="n">
        <v>45883</v>
      </c>
      <c r="D1055" t="inlineStr">
        <is>
          <t>GÄVLEBORGS LÄN</t>
        </is>
      </c>
      <c r="E1055" t="inlineStr">
        <is>
          <t>BOLLNÄS</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64843-2021</t>
        </is>
      </c>
      <c r="B1056" s="1" t="n">
        <v>44512.56739583334</v>
      </c>
      <c r="C1056" s="1" t="n">
        <v>45883</v>
      </c>
      <c r="D1056" t="inlineStr">
        <is>
          <t>GÄVLEBORGS LÄN</t>
        </is>
      </c>
      <c r="E1056" t="inlineStr">
        <is>
          <t>OVANÅKER</t>
        </is>
      </c>
      <c r="F1056" t="inlineStr">
        <is>
          <t>Bergvik skog väst AB</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26269-2021</t>
        </is>
      </c>
      <c r="B1057" s="1" t="n">
        <v>44347.50230324074</v>
      </c>
      <c r="C1057" s="1" t="n">
        <v>45883</v>
      </c>
      <c r="D1057" t="inlineStr">
        <is>
          <t>GÄVLEBORGS LÄN</t>
        </is>
      </c>
      <c r="E1057" t="inlineStr">
        <is>
          <t>OVANÅKER</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16931-2021</t>
        </is>
      </c>
      <c r="B1058" s="1" t="n">
        <v>44295</v>
      </c>
      <c r="C1058" s="1" t="n">
        <v>45883</v>
      </c>
      <c r="D1058" t="inlineStr">
        <is>
          <t>GÄVLEBORGS LÄN</t>
        </is>
      </c>
      <c r="E1058" t="inlineStr">
        <is>
          <t>GÄVLE</t>
        </is>
      </c>
      <c r="F1058" t="inlineStr">
        <is>
          <t>Kyrkan</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59629-2021</t>
        </is>
      </c>
      <c r="B1059" s="1" t="n">
        <v>44492</v>
      </c>
      <c r="C1059" s="1" t="n">
        <v>45883</v>
      </c>
      <c r="D1059" t="inlineStr">
        <is>
          <t>GÄVLEBORGS LÄN</t>
        </is>
      </c>
      <c r="E1059" t="inlineStr">
        <is>
          <t>OCKELBO</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27083-2021</t>
        </is>
      </c>
      <c r="B1060" s="1" t="n">
        <v>44350.48465277778</v>
      </c>
      <c r="C1060" s="1" t="n">
        <v>45883</v>
      </c>
      <c r="D1060" t="inlineStr">
        <is>
          <t>GÄVLEBORGS LÄN</t>
        </is>
      </c>
      <c r="E1060" t="inlineStr">
        <is>
          <t>HUDIKSVALL</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55082-2021</t>
        </is>
      </c>
      <c r="B1061" s="1" t="n">
        <v>44474.65907407407</v>
      </c>
      <c r="C1061" s="1" t="n">
        <v>45883</v>
      </c>
      <c r="D1061" t="inlineStr">
        <is>
          <t>GÄVLEBORGS LÄN</t>
        </is>
      </c>
      <c r="E1061" t="inlineStr">
        <is>
          <t>SANDVIKEN</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16532-2021</t>
        </is>
      </c>
      <c r="B1062" s="1" t="n">
        <v>44293.66891203704</v>
      </c>
      <c r="C1062" s="1" t="n">
        <v>45883</v>
      </c>
      <c r="D1062" t="inlineStr">
        <is>
          <t>GÄVLEBORGS LÄN</t>
        </is>
      </c>
      <c r="E1062" t="inlineStr">
        <is>
          <t>SÖDERHAMN</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38447-2022</t>
        </is>
      </c>
      <c r="B1063" s="1" t="n">
        <v>44813.51212962963</v>
      </c>
      <c r="C1063" s="1" t="n">
        <v>45883</v>
      </c>
      <c r="D1063" t="inlineStr">
        <is>
          <t>GÄVLEBORGS LÄN</t>
        </is>
      </c>
      <c r="E1063" t="inlineStr">
        <is>
          <t>GÄVLE</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34462-2021</t>
        </is>
      </c>
      <c r="B1064" s="1" t="n">
        <v>44381</v>
      </c>
      <c r="C1064" s="1" t="n">
        <v>45883</v>
      </c>
      <c r="D1064" t="inlineStr">
        <is>
          <t>GÄVLEBORGS LÄN</t>
        </is>
      </c>
      <c r="E1064" t="inlineStr">
        <is>
          <t>BOLLNÄS</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38348-2022</t>
        </is>
      </c>
      <c r="B1065" s="1" t="n">
        <v>44812.63510416666</v>
      </c>
      <c r="C1065" s="1" t="n">
        <v>45883</v>
      </c>
      <c r="D1065" t="inlineStr">
        <is>
          <t>GÄVLEBORGS LÄN</t>
        </is>
      </c>
      <c r="E1065" t="inlineStr">
        <is>
          <t>NORDANSTIG</t>
        </is>
      </c>
      <c r="F1065" t="inlineStr">
        <is>
          <t>Holmen skog AB</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27276-2022</t>
        </is>
      </c>
      <c r="B1066" s="1" t="n">
        <v>44741.92570601852</v>
      </c>
      <c r="C1066" s="1" t="n">
        <v>45883</v>
      </c>
      <c r="D1066" t="inlineStr">
        <is>
          <t>GÄVLEBORGS LÄN</t>
        </is>
      </c>
      <c r="E1066" t="inlineStr">
        <is>
          <t>NORDANSTIG</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40787-2022</t>
        </is>
      </c>
      <c r="B1067" s="1" t="n">
        <v>44824</v>
      </c>
      <c r="C1067" s="1" t="n">
        <v>45883</v>
      </c>
      <c r="D1067" t="inlineStr">
        <is>
          <t>GÄVLEBORGS LÄN</t>
        </is>
      </c>
      <c r="E1067" t="inlineStr">
        <is>
          <t>LJUSDAL</t>
        </is>
      </c>
      <c r="F1067" t="inlineStr">
        <is>
          <t>Holmen skog AB</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29479-2021</t>
        </is>
      </c>
      <c r="B1068" s="1" t="n">
        <v>44361.63824074074</v>
      </c>
      <c r="C1068" s="1" t="n">
        <v>45883</v>
      </c>
      <c r="D1068" t="inlineStr">
        <is>
          <t>GÄVLEBORGS LÄN</t>
        </is>
      </c>
      <c r="E1068" t="inlineStr">
        <is>
          <t>LJUSDAL</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66611-2020</t>
        </is>
      </c>
      <c r="B1069" s="1" t="n">
        <v>44179</v>
      </c>
      <c r="C1069" s="1" t="n">
        <v>45883</v>
      </c>
      <c r="D1069" t="inlineStr">
        <is>
          <t>GÄVLEBORGS LÄN</t>
        </is>
      </c>
      <c r="E1069" t="inlineStr">
        <is>
          <t>OCKELBO</t>
        </is>
      </c>
      <c r="F1069" t="inlineStr">
        <is>
          <t>Bergvik skog väst AB</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64685-2020</t>
        </is>
      </c>
      <c r="B1070" s="1" t="n">
        <v>44169</v>
      </c>
      <c r="C1070" s="1" t="n">
        <v>45883</v>
      </c>
      <c r="D1070" t="inlineStr">
        <is>
          <t>GÄVLEBORGS LÄN</t>
        </is>
      </c>
      <c r="E1070" t="inlineStr">
        <is>
          <t>BOLLNÄS</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39120-2020</t>
        </is>
      </c>
      <c r="B1071" s="1" t="n">
        <v>44063.36523148148</v>
      </c>
      <c r="C1071" s="1" t="n">
        <v>45883</v>
      </c>
      <c r="D1071" t="inlineStr">
        <is>
          <t>GÄVLEBORGS LÄN</t>
        </is>
      </c>
      <c r="E1071" t="inlineStr">
        <is>
          <t>OVANÅKER</t>
        </is>
      </c>
      <c r="G1071" t="n">
        <v>25.3</v>
      </c>
      <c r="H1071" t="n">
        <v>0</v>
      </c>
      <c r="I1071" t="n">
        <v>0</v>
      </c>
      <c r="J1071" t="n">
        <v>0</v>
      </c>
      <c r="K1071" t="n">
        <v>0</v>
      </c>
      <c r="L1071" t="n">
        <v>0</v>
      </c>
      <c r="M1071" t="n">
        <v>0</v>
      </c>
      <c r="N1071" t="n">
        <v>0</v>
      </c>
      <c r="O1071" t="n">
        <v>0</v>
      </c>
      <c r="P1071" t="n">
        <v>0</v>
      </c>
      <c r="Q1071" t="n">
        <v>0</v>
      </c>
      <c r="R1071" s="2" t="inlineStr"/>
    </row>
    <row r="1072" ht="15" customHeight="1">
      <c r="A1072" t="inlineStr">
        <is>
          <t>A 39210-2020</t>
        </is>
      </c>
      <c r="B1072" s="1" t="n">
        <v>44063</v>
      </c>
      <c r="C1072" s="1" t="n">
        <v>45883</v>
      </c>
      <c r="D1072" t="inlineStr">
        <is>
          <t>GÄVLEBORGS LÄN</t>
        </is>
      </c>
      <c r="E1072" t="inlineStr">
        <is>
          <t>SÖDERHAMN</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45992-2021</t>
        </is>
      </c>
      <c r="B1073" s="1" t="n">
        <v>44441</v>
      </c>
      <c r="C1073" s="1" t="n">
        <v>45883</v>
      </c>
      <c r="D1073" t="inlineStr">
        <is>
          <t>GÄVLEBORGS LÄN</t>
        </is>
      </c>
      <c r="E1073" t="inlineStr">
        <is>
          <t>SANDVIKEN</t>
        </is>
      </c>
      <c r="F1073" t="inlineStr">
        <is>
          <t>Sveaskog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65837-2020</t>
        </is>
      </c>
      <c r="B1074" s="1" t="n">
        <v>44174</v>
      </c>
      <c r="C1074" s="1" t="n">
        <v>45883</v>
      </c>
      <c r="D1074" t="inlineStr">
        <is>
          <t>GÄVLEBORGS LÄN</t>
        </is>
      </c>
      <c r="E1074" t="inlineStr">
        <is>
          <t>HUDIKSVALL</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64120-2021</t>
        </is>
      </c>
      <c r="B1075" s="1" t="n">
        <v>44510</v>
      </c>
      <c r="C1075" s="1" t="n">
        <v>45883</v>
      </c>
      <c r="D1075" t="inlineStr">
        <is>
          <t>GÄVLEBORGS LÄN</t>
        </is>
      </c>
      <c r="E1075" t="inlineStr">
        <is>
          <t>LJUSDAL</t>
        </is>
      </c>
      <c r="F1075" t="inlineStr">
        <is>
          <t>Kommuner</t>
        </is>
      </c>
      <c r="G1075" t="n">
        <v>7.3</v>
      </c>
      <c r="H1075" t="n">
        <v>0</v>
      </c>
      <c r="I1075" t="n">
        <v>0</v>
      </c>
      <c r="J1075" t="n">
        <v>0</v>
      </c>
      <c r="K1075" t="n">
        <v>0</v>
      </c>
      <c r="L1075" t="n">
        <v>0</v>
      </c>
      <c r="M1075" t="n">
        <v>0</v>
      </c>
      <c r="N1075" t="n">
        <v>0</v>
      </c>
      <c r="O1075" t="n">
        <v>0</v>
      </c>
      <c r="P1075" t="n">
        <v>0</v>
      </c>
      <c r="Q1075" t="n">
        <v>0</v>
      </c>
      <c r="R1075" s="2" t="inlineStr"/>
    </row>
    <row r="1076" ht="15" customHeight="1">
      <c r="A1076" t="inlineStr">
        <is>
          <t>A 40573-2020</t>
        </is>
      </c>
      <c r="B1076" s="1" t="n">
        <v>44069.50508101852</v>
      </c>
      <c r="C1076" s="1" t="n">
        <v>45883</v>
      </c>
      <c r="D1076" t="inlineStr">
        <is>
          <t>GÄVLEBORGS LÄN</t>
        </is>
      </c>
      <c r="E1076" t="inlineStr">
        <is>
          <t>BOLLNÄS</t>
        </is>
      </c>
      <c r="F1076" t="inlineStr">
        <is>
          <t>Sveaskog</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60737-2020</t>
        </is>
      </c>
      <c r="B1077" s="1" t="n">
        <v>44153</v>
      </c>
      <c r="C1077" s="1" t="n">
        <v>45883</v>
      </c>
      <c r="D1077" t="inlineStr">
        <is>
          <t>GÄVLEBORGS LÄN</t>
        </is>
      </c>
      <c r="E1077" t="inlineStr">
        <is>
          <t>HUDIKSVALL</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43077-2022</t>
        </is>
      </c>
      <c r="B1078" s="1" t="n">
        <v>44833</v>
      </c>
      <c r="C1078" s="1" t="n">
        <v>45883</v>
      </c>
      <c r="D1078" t="inlineStr">
        <is>
          <t>GÄVLEBORGS LÄN</t>
        </is>
      </c>
      <c r="E1078" t="inlineStr">
        <is>
          <t>LJUSDAL</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33605-2021</t>
        </is>
      </c>
      <c r="B1079" s="1" t="n">
        <v>44378.32232638889</v>
      </c>
      <c r="C1079" s="1" t="n">
        <v>45883</v>
      </c>
      <c r="D1079" t="inlineStr">
        <is>
          <t>GÄVLEBORGS LÄN</t>
        </is>
      </c>
      <c r="E1079" t="inlineStr">
        <is>
          <t>LJUSDAL</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40431-2021</t>
        </is>
      </c>
      <c r="B1080" s="1" t="n">
        <v>44419.68258101852</v>
      </c>
      <c r="C1080" s="1" t="n">
        <v>45883</v>
      </c>
      <c r="D1080" t="inlineStr">
        <is>
          <t>GÄVLEBORGS LÄN</t>
        </is>
      </c>
      <c r="E1080" t="inlineStr">
        <is>
          <t>LJUSDAL</t>
        </is>
      </c>
      <c r="F1080" t="inlineStr">
        <is>
          <t>Holmen skog AB</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34286-2021</t>
        </is>
      </c>
      <c r="B1081" s="1" t="n">
        <v>44379</v>
      </c>
      <c r="C1081" s="1" t="n">
        <v>45883</v>
      </c>
      <c r="D1081" t="inlineStr">
        <is>
          <t>GÄVLEBORGS LÄN</t>
        </is>
      </c>
      <c r="E1081" t="inlineStr">
        <is>
          <t>NORDANSTIG</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69086-2020</t>
        </is>
      </c>
      <c r="B1082" s="1" t="n">
        <v>44188.50596064814</v>
      </c>
      <c r="C1082" s="1" t="n">
        <v>45883</v>
      </c>
      <c r="D1082" t="inlineStr">
        <is>
          <t>GÄVLEBORGS LÄN</t>
        </is>
      </c>
      <c r="E1082" t="inlineStr">
        <is>
          <t>NORDANSTIG</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58690-2020</t>
        </is>
      </c>
      <c r="B1083" s="1" t="n">
        <v>44146</v>
      </c>
      <c r="C1083" s="1" t="n">
        <v>45883</v>
      </c>
      <c r="D1083" t="inlineStr">
        <is>
          <t>GÄVLEBORGS LÄN</t>
        </is>
      </c>
      <c r="E1083" t="inlineStr">
        <is>
          <t>GÄVLE</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50876-2022</t>
        </is>
      </c>
      <c r="B1084" s="1" t="n">
        <v>44867.57646990741</v>
      </c>
      <c r="C1084" s="1" t="n">
        <v>45883</v>
      </c>
      <c r="D1084" t="inlineStr">
        <is>
          <t>GÄVLEBORGS LÄN</t>
        </is>
      </c>
      <c r="E1084" t="inlineStr">
        <is>
          <t>SÖDERHAMN</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69304-2020</t>
        </is>
      </c>
      <c r="B1085" s="1" t="n">
        <v>44188</v>
      </c>
      <c r="C1085" s="1" t="n">
        <v>45883</v>
      </c>
      <c r="D1085" t="inlineStr">
        <is>
          <t>GÄVLEBORGS LÄN</t>
        </is>
      </c>
      <c r="E1085" t="inlineStr">
        <is>
          <t>OVANÅKER</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26158-2021</t>
        </is>
      </c>
      <c r="B1086" s="1" t="n">
        <v>44347</v>
      </c>
      <c r="C1086" s="1" t="n">
        <v>45883</v>
      </c>
      <c r="D1086" t="inlineStr">
        <is>
          <t>GÄVLEBORGS LÄN</t>
        </is>
      </c>
      <c r="E1086" t="inlineStr">
        <is>
          <t>BOLLNÄS</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64284-2020</t>
        </is>
      </c>
      <c r="B1087" s="1" t="n">
        <v>44168</v>
      </c>
      <c r="C1087" s="1" t="n">
        <v>45883</v>
      </c>
      <c r="D1087" t="inlineStr">
        <is>
          <t>GÄVLEBORGS LÄN</t>
        </is>
      </c>
      <c r="E1087" t="inlineStr">
        <is>
          <t>OCKELBO</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30591-2022</t>
        </is>
      </c>
      <c r="B1088" s="1" t="n">
        <v>44762.69137731481</v>
      </c>
      <c r="C1088" s="1" t="n">
        <v>45883</v>
      </c>
      <c r="D1088" t="inlineStr">
        <is>
          <t>GÄVLEBORGS LÄN</t>
        </is>
      </c>
      <c r="E1088" t="inlineStr">
        <is>
          <t>HUDIKSVALL</t>
        </is>
      </c>
      <c r="F1088" t="inlineStr">
        <is>
          <t>Sveaskog</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1520-2021</t>
        </is>
      </c>
      <c r="B1089" s="1" t="n">
        <v>44209</v>
      </c>
      <c r="C1089" s="1" t="n">
        <v>45883</v>
      </c>
      <c r="D1089" t="inlineStr">
        <is>
          <t>GÄVLEBORGS LÄN</t>
        </is>
      </c>
      <c r="E1089" t="inlineStr">
        <is>
          <t>BOLLNÄS</t>
        </is>
      </c>
      <c r="F1089" t="inlineStr">
        <is>
          <t>Bergvik skog väst AB</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42325-2022</t>
        </is>
      </c>
      <c r="B1090" s="1" t="n">
        <v>44831.34217592593</v>
      </c>
      <c r="C1090" s="1" t="n">
        <v>45883</v>
      </c>
      <c r="D1090" t="inlineStr">
        <is>
          <t>GÄVLEBORGS LÄN</t>
        </is>
      </c>
      <c r="E1090" t="inlineStr">
        <is>
          <t>BOLLNÄS</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44050-2020</t>
        </is>
      </c>
      <c r="B1091" s="1" t="n">
        <v>44083</v>
      </c>
      <c r="C1091" s="1" t="n">
        <v>45883</v>
      </c>
      <c r="D1091" t="inlineStr">
        <is>
          <t>GÄVLEBORGS LÄN</t>
        </is>
      </c>
      <c r="E1091" t="inlineStr">
        <is>
          <t>OVANÅKER</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214-2021</t>
        </is>
      </c>
      <c r="B1092" s="1" t="n">
        <v>44200</v>
      </c>
      <c r="C1092" s="1" t="n">
        <v>45883</v>
      </c>
      <c r="D1092" t="inlineStr">
        <is>
          <t>GÄVLEBORGS LÄN</t>
        </is>
      </c>
      <c r="E1092" t="inlineStr">
        <is>
          <t>BOLLNÄS</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47720-2022</t>
        </is>
      </c>
      <c r="B1093" s="1" t="n">
        <v>44854</v>
      </c>
      <c r="C1093" s="1" t="n">
        <v>45883</v>
      </c>
      <c r="D1093" t="inlineStr">
        <is>
          <t>GÄVLEBORGS LÄN</t>
        </is>
      </c>
      <c r="E1093" t="inlineStr">
        <is>
          <t>SANDVIKEN</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47723-2022</t>
        </is>
      </c>
      <c r="B1094" s="1" t="n">
        <v>44854</v>
      </c>
      <c r="C1094" s="1" t="n">
        <v>45883</v>
      </c>
      <c r="D1094" t="inlineStr">
        <is>
          <t>GÄVLEBORGS LÄN</t>
        </is>
      </c>
      <c r="E1094" t="inlineStr">
        <is>
          <t>BOLLNÄS</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72594-2021</t>
        </is>
      </c>
      <c r="B1095" s="1" t="n">
        <v>44546.48967592593</v>
      </c>
      <c r="C1095" s="1" t="n">
        <v>45883</v>
      </c>
      <c r="D1095" t="inlineStr">
        <is>
          <t>GÄVLEBORGS LÄN</t>
        </is>
      </c>
      <c r="E1095" t="inlineStr">
        <is>
          <t>NORDANSTIG</t>
        </is>
      </c>
      <c r="G1095" t="n">
        <v>5.7</v>
      </c>
      <c r="H1095" t="n">
        <v>0</v>
      </c>
      <c r="I1095" t="n">
        <v>0</v>
      </c>
      <c r="J1095" t="n">
        <v>0</v>
      </c>
      <c r="K1095" t="n">
        <v>0</v>
      </c>
      <c r="L1095" t="n">
        <v>0</v>
      </c>
      <c r="M1095" t="n">
        <v>0</v>
      </c>
      <c r="N1095" t="n">
        <v>0</v>
      </c>
      <c r="O1095" t="n">
        <v>0</v>
      </c>
      <c r="P1095" t="n">
        <v>0</v>
      </c>
      <c r="Q1095" t="n">
        <v>0</v>
      </c>
      <c r="R1095" s="2" t="inlineStr"/>
    </row>
    <row r="1096" ht="15" customHeight="1">
      <c r="A1096" t="inlineStr">
        <is>
          <t>A 72645-2021</t>
        </is>
      </c>
      <c r="B1096" s="1" t="n">
        <v>44546</v>
      </c>
      <c r="C1096" s="1" t="n">
        <v>45883</v>
      </c>
      <c r="D1096" t="inlineStr">
        <is>
          <t>GÄVLEBORGS LÄN</t>
        </is>
      </c>
      <c r="E1096" t="inlineStr">
        <is>
          <t>SÖDERHAMN</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50811-2021</t>
        </is>
      </c>
      <c r="B1097" s="1" t="n">
        <v>44460</v>
      </c>
      <c r="C1097" s="1" t="n">
        <v>45883</v>
      </c>
      <c r="D1097" t="inlineStr">
        <is>
          <t>GÄVLEBORGS LÄN</t>
        </is>
      </c>
      <c r="E1097" t="inlineStr">
        <is>
          <t>NORDANSTIG</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48811-2022</t>
        </is>
      </c>
      <c r="B1098" s="1" t="n">
        <v>44859</v>
      </c>
      <c r="C1098" s="1" t="n">
        <v>45883</v>
      </c>
      <c r="D1098" t="inlineStr">
        <is>
          <t>GÄVLEBORGS LÄN</t>
        </is>
      </c>
      <c r="E1098" t="inlineStr">
        <is>
          <t>OVANÅKER</t>
        </is>
      </c>
      <c r="F1098" t="inlineStr">
        <is>
          <t>Bergvik skog väst AB</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71532-2021</t>
        </is>
      </c>
      <c r="B1099" s="1" t="n">
        <v>44540</v>
      </c>
      <c r="C1099" s="1" t="n">
        <v>45883</v>
      </c>
      <c r="D1099" t="inlineStr">
        <is>
          <t>GÄVLEBORGS LÄN</t>
        </is>
      </c>
      <c r="E1099" t="inlineStr">
        <is>
          <t>NORDANSTIG</t>
        </is>
      </c>
      <c r="F1099" t="inlineStr">
        <is>
          <t>Holmen skog AB</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8881-2021</t>
        </is>
      </c>
      <c r="B1100" s="1" t="n">
        <v>44247</v>
      </c>
      <c r="C1100" s="1" t="n">
        <v>45883</v>
      </c>
      <c r="D1100" t="inlineStr">
        <is>
          <t>GÄVLEBORGS LÄN</t>
        </is>
      </c>
      <c r="E1100" t="inlineStr">
        <is>
          <t>SANDVIKEN</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44585-2021</t>
        </is>
      </c>
      <c r="B1101" s="1" t="n">
        <v>44435</v>
      </c>
      <c r="C1101" s="1" t="n">
        <v>45883</v>
      </c>
      <c r="D1101" t="inlineStr">
        <is>
          <t>GÄVLEBORGS LÄN</t>
        </is>
      </c>
      <c r="E1101" t="inlineStr">
        <is>
          <t>OVANÅKER</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42792-2020</t>
        </is>
      </c>
      <c r="B1102" s="1" t="n">
        <v>44078.34765046297</v>
      </c>
      <c r="C1102" s="1" t="n">
        <v>45883</v>
      </c>
      <c r="D1102" t="inlineStr">
        <is>
          <t>GÄVLEBORGS LÄN</t>
        </is>
      </c>
      <c r="E1102" t="inlineStr">
        <is>
          <t>SANDVIKEN</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29263-2022</t>
        </is>
      </c>
      <c r="B1103" s="1" t="n">
        <v>44750.65607638889</v>
      </c>
      <c r="C1103" s="1" t="n">
        <v>45883</v>
      </c>
      <c r="D1103" t="inlineStr">
        <is>
          <t>GÄVLEBORGS LÄN</t>
        </is>
      </c>
      <c r="E1103" t="inlineStr">
        <is>
          <t>LJUSDAL</t>
        </is>
      </c>
      <c r="F1103" t="inlineStr">
        <is>
          <t>Holmen skog AB</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34854-2021</t>
        </is>
      </c>
      <c r="B1104" s="1" t="n">
        <v>44383</v>
      </c>
      <c r="C1104" s="1" t="n">
        <v>45883</v>
      </c>
      <c r="D1104" t="inlineStr">
        <is>
          <t>GÄVLEBORGS LÄN</t>
        </is>
      </c>
      <c r="E1104" t="inlineStr">
        <is>
          <t>OCKELBO</t>
        </is>
      </c>
      <c r="F1104" t="inlineStr">
        <is>
          <t>Bergvik skog väst AB</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480-2022</t>
        </is>
      </c>
      <c r="B1105" s="1" t="n">
        <v>44566</v>
      </c>
      <c r="C1105" s="1" t="n">
        <v>45883</v>
      </c>
      <c r="D1105" t="inlineStr">
        <is>
          <t>GÄVLEBORGS LÄN</t>
        </is>
      </c>
      <c r="E1105" t="inlineStr">
        <is>
          <t>HUDIKSVALL</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37705-2021</t>
        </is>
      </c>
      <c r="B1106" s="1" t="n">
        <v>44400.55195601852</v>
      </c>
      <c r="C1106" s="1" t="n">
        <v>45883</v>
      </c>
      <c r="D1106" t="inlineStr">
        <is>
          <t>GÄVLEBORGS LÄN</t>
        </is>
      </c>
      <c r="E1106" t="inlineStr">
        <is>
          <t>OCKELBO</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49653-2020</t>
        </is>
      </c>
      <c r="B1107" s="1" t="n">
        <v>44106.46587962963</v>
      </c>
      <c r="C1107" s="1" t="n">
        <v>45883</v>
      </c>
      <c r="D1107" t="inlineStr">
        <is>
          <t>GÄVLEBORGS LÄN</t>
        </is>
      </c>
      <c r="E1107" t="inlineStr">
        <is>
          <t>BOLLNÄS</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37694-2021</t>
        </is>
      </c>
      <c r="B1108" s="1" t="n">
        <v>44400.50061342592</v>
      </c>
      <c r="C1108" s="1" t="n">
        <v>45883</v>
      </c>
      <c r="D1108" t="inlineStr">
        <is>
          <t>GÄVLEBORGS LÄN</t>
        </is>
      </c>
      <c r="E1108" t="inlineStr">
        <is>
          <t>OCKELBO</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1842-2021</t>
        </is>
      </c>
      <c r="B1109" s="1" t="n">
        <v>44210</v>
      </c>
      <c r="C1109" s="1" t="n">
        <v>45883</v>
      </c>
      <c r="D1109" t="inlineStr">
        <is>
          <t>GÄVLEBORGS LÄN</t>
        </is>
      </c>
      <c r="E1109" t="inlineStr">
        <is>
          <t>HUDIKSVALL</t>
        </is>
      </c>
      <c r="F1109" t="inlineStr">
        <is>
          <t>Holmen skog AB</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11821-2021</t>
        </is>
      </c>
      <c r="B1110" s="1" t="n">
        <v>44265.56106481481</v>
      </c>
      <c r="C1110" s="1" t="n">
        <v>45883</v>
      </c>
      <c r="D1110" t="inlineStr">
        <is>
          <t>GÄVLEBORGS LÄN</t>
        </is>
      </c>
      <c r="E1110" t="inlineStr">
        <is>
          <t>SÖDERHAMN</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37900-2021</t>
        </is>
      </c>
      <c r="B1111" s="1" t="n">
        <v>44403.56305555555</v>
      </c>
      <c r="C1111" s="1" t="n">
        <v>45883</v>
      </c>
      <c r="D1111" t="inlineStr">
        <is>
          <t>GÄVLEBORGS LÄN</t>
        </is>
      </c>
      <c r="E1111" t="inlineStr">
        <is>
          <t>HUDIKSVALL</t>
        </is>
      </c>
      <c r="F1111" t="inlineStr">
        <is>
          <t>Holmen skog AB</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31923-2021</t>
        </is>
      </c>
      <c r="B1112" s="1" t="n">
        <v>44370.48982638889</v>
      </c>
      <c r="C1112" s="1" t="n">
        <v>45883</v>
      </c>
      <c r="D1112" t="inlineStr">
        <is>
          <t>GÄVLEBORGS LÄN</t>
        </is>
      </c>
      <c r="E1112" t="inlineStr">
        <is>
          <t>NORDANSTIG</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59659-2020</t>
        </is>
      </c>
      <c r="B1113" s="1" t="n">
        <v>44151</v>
      </c>
      <c r="C1113" s="1" t="n">
        <v>45883</v>
      </c>
      <c r="D1113" t="inlineStr">
        <is>
          <t>GÄVLEBORGS LÄN</t>
        </is>
      </c>
      <c r="E1113" t="inlineStr">
        <is>
          <t>HUDIKSVALL</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31961-2021</t>
        </is>
      </c>
      <c r="B1114" s="1" t="n">
        <v>44370.56376157407</v>
      </c>
      <c r="C1114" s="1" t="n">
        <v>45883</v>
      </c>
      <c r="D1114" t="inlineStr">
        <is>
          <t>GÄVLEBORGS LÄN</t>
        </is>
      </c>
      <c r="E1114" t="inlineStr">
        <is>
          <t>LJUSDAL</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8572-2021</t>
        </is>
      </c>
      <c r="B1115" s="1" t="n">
        <v>44244</v>
      </c>
      <c r="C1115" s="1" t="n">
        <v>45883</v>
      </c>
      <c r="D1115" t="inlineStr">
        <is>
          <t>GÄVLEBORGS LÄN</t>
        </is>
      </c>
      <c r="E1115" t="inlineStr">
        <is>
          <t>HUDIKSVALL</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62650-2021</t>
        </is>
      </c>
      <c r="B1116" s="1" t="n">
        <v>44503.92040509259</v>
      </c>
      <c r="C1116" s="1" t="n">
        <v>45883</v>
      </c>
      <c r="D1116" t="inlineStr">
        <is>
          <t>GÄVLEBORGS LÄN</t>
        </is>
      </c>
      <c r="E1116" t="inlineStr">
        <is>
          <t>LJUSDAL</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64720-2021</t>
        </is>
      </c>
      <c r="B1117" s="1" t="n">
        <v>44512.376875</v>
      </c>
      <c r="C1117" s="1" t="n">
        <v>45883</v>
      </c>
      <c r="D1117" t="inlineStr">
        <is>
          <t>GÄVLEBORGS LÄN</t>
        </is>
      </c>
      <c r="E1117" t="inlineStr">
        <is>
          <t>SANDVIKEN</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62321-2021</t>
        </is>
      </c>
      <c r="B1118" s="1" t="n">
        <v>44503</v>
      </c>
      <c r="C1118" s="1" t="n">
        <v>45883</v>
      </c>
      <c r="D1118" t="inlineStr">
        <is>
          <t>GÄVLEBORGS LÄN</t>
        </is>
      </c>
      <c r="E1118" t="inlineStr">
        <is>
          <t>HUDIKSVALL</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54496-2021</t>
        </is>
      </c>
      <c r="B1119" s="1" t="n">
        <v>44473.50452546297</v>
      </c>
      <c r="C1119" s="1" t="n">
        <v>45883</v>
      </c>
      <c r="D1119" t="inlineStr">
        <is>
          <t>GÄVLEBORGS LÄN</t>
        </is>
      </c>
      <c r="E1119" t="inlineStr">
        <is>
          <t>NORDANSTIG</t>
        </is>
      </c>
      <c r="F1119" t="inlineStr">
        <is>
          <t>Holmen skog AB</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69057-2021</t>
        </is>
      </c>
      <c r="B1120" s="1" t="n">
        <v>44530.64190972222</v>
      </c>
      <c r="C1120" s="1" t="n">
        <v>45883</v>
      </c>
      <c r="D1120" t="inlineStr">
        <is>
          <t>GÄVLEBORGS LÄN</t>
        </is>
      </c>
      <c r="E1120" t="inlineStr">
        <is>
          <t>LJUSDAL</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49068-2021</t>
        </is>
      </c>
      <c r="B1121" s="1" t="n">
        <v>44453.61233796296</v>
      </c>
      <c r="C1121" s="1" t="n">
        <v>45883</v>
      </c>
      <c r="D1121" t="inlineStr">
        <is>
          <t>GÄVLEBORGS LÄN</t>
        </is>
      </c>
      <c r="E1121" t="inlineStr">
        <is>
          <t>LJUSDAL</t>
        </is>
      </c>
      <c r="F1121" t="inlineStr">
        <is>
          <t>Holmen skog AB</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20089-2021</t>
        </is>
      </c>
      <c r="B1122" s="1" t="n">
        <v>44314.43032407408</v>
      </c>
      <c r="C1122" s="1" t="n">
        <v>45883</v>
      </c>
      <c r="D1122" t="inlineStr">
        <is>
          <t>GÄVLEBORGS LÄN</t>
        </is>
      </c>
      <c r="E1122" t="inlineStr">
        <is>
          <t>OVANÅKER</t>
        </is>
      </c>
      <c r="F1122" t="inlineStr">
        <is>
          <t>Sveaskog</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20095-2021</t>
        </is>
      </c>
      <c r="B1123" s="1" t="n">
        <v>44314</v>
      </c>
      <c r="C1123" s="1" t="n">
        <v>45883</v>
      </c>
      <c r="D1123" t="inlineStr">
        <is>
          <t>GÄVLEBORGS LÄN</t>
        </is>
      </c>
      <c r="E1123" t="inlineStr">
        <is>
          <t>OVANÅKER</t>
        </is>
      </c>
      <c r="F1123" t="inlineStr">
        <is>
          <t>Sveaskog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42553-2021</t>
        </is>
      </c>
      <c r="B1124" s="1" t="n">
        <v>44427</v>
      </c>
      <c r="C1124" s="1" t="n">
        <v>45883</v>
      </c>
      <c r="D1124" t="inlineStr">
        <is>
          <t>GÄVLEBORGS LÄN</t>
        </is>
      </c>
      <c r="E1124" t="inlineStr">
        <is>
          <t>LJUSDAL</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12330-2021</t>
        </is>
      </c>
      <c r="B1125" s="1" t="n">
        <v>44267</v>
      </c>
      <c r="C1125" s="1" t="n">
        <v>45883</v>
      </c>
      <c r="D1125" t="inlineStr">
        <is>
          <t>GÄVLEBORGS LÄN</t>
        </is>
      </c>
      <c r="E1125" t="inlineStr">
        <is>
          <t>LJUSDAL</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54570-2021</t>
        </is>
      </c>
      <c r="B1126" s="1" t="n">
        <v>44473.57443287037</v>
      </c>
      <c r="C1126" s="1" t="n">
        <v>45883</v>
      </c>
      <c r="D1126" t="inlineStr">
        <is>
          <t>GÄVLEBORGS LÄN</t>
        </is>
      </c>
      <c r="E1126" t="inlineStr">
        <is>
          <t>NORDANSTIG</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62111-2021</t>
        </is>
      </c>
      <c r="B1127" s="1" t="n">
        <v>44502.64059027778</v>
      </c>
      <c r="C1127" s="1" t="n">
        <v>45883</v>
      </c>
      <c r="D1127" t="inlineStr">
        <is>
          <t>GÄVLEBORGS LÄN</t>
        </is>
      </c>
      <c r="E1127" t="inlineStr">
        <is>
          <t>NORDANSTIG</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49991-2020</t>
        </is>
      </c>
      <c r="B1128" s="1" t="n">
        <v>44109</v>
      </c>
      <c r="C1128" s="1" t="n">
        <v>45883</v>
      </c>
      <c r="D1128" t="inlineStr">
        <is>
          <t>GÄVLEBORGS LÄN</t>
        </is>
      </c>
      <c r="E1128" t="inlineStr">
        <is>
          <t>OVANÅKER</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42357-2020</t>
        </is>
      </c>
      <c r="B1129" s="1" t="n">
        <v>44076</v>
      </c>
      <c r="C1129" s="1" t="n">
        <v>45883</v>
      </c>
      <c r="D1129" t="inlineStr">
        <is>
          <t>GÄVLEBORGS LÄN</t>
        </is>
      </c>
      <c r="E1129" t="inlineStr">
        <is>
          <t>GÄVLE</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11051-2021</t>
        </is>
      </c>
      <c r="B1130" s="1" t="n">
        <v>44260.5655787037</v>
      </c>
      <c r="C1130" s="1" t="n">
        <v>45883</v>
      </c>
      <c r="D1130" t="inlineStr">
        <is>
          <t>GÄVLEBORGS LÄN</t>
        </is>
      </c>
      <c r="E1130" t="inlineStr">
        <is>
          <t>HUDIKSVALL</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53381-2020</t>
        </is>
      </c>
      <c r="B1131" s="1" t="n">
        <v>44123</v>
      </c>
      <c r="C1131" s="1" t="n">
        <v>45883</v>
      </c>
      <c r="D1131" t="inlineStr">
        <is>
          <t>GÄVLEBORGS LÄN</t>
        </is>
      </c>
      <c r="E1131" t="inlineStr">
        <is>
          <t>OCKELBO</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48547-2021</t>
        </is>
      </c>
      <c r="B1132" s="1" t="n">
        <v>44452.45461805556</v>
      </c>
      <c r="C1132" s="1" t="n">
        <v>45883</v>
      </c>
      <c r="D1132" t="inlineStr">
        <is>
          <t>GÄVLEBORGS LÄN</t>
        </is>
      </c>
      <c r="E1132" t="inlineStr">
        <is>
          <t>BOLLNÄS</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16699-2021</t>
        </is>
      </c>
      <c r="B1133" s="1" t="n">
        <v>44294</v>
      </c>
      <c r="C1133" s="1" t="n">
        <v>45883</v>
      </c>
      <c r="D1133" t="inlineStr">
        <is>
          <t>GÄVLEBORGS LÄN</t>
        </is>
      </c>
      <c r="E1133" t="inlineStr">
        <is>
          <t>LJUSDAL</t>
        </is>
      </c>
      <c r="F1133" t="inlineStr">
        <is>
          <t>Kyrkan</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67146-2020</t>
        </is>
      </c>
      <c r="B1134" s="1" t="n">
        <v>44180</v>
      </c>
      <c r="C1134" s="1" t="n">
        <v>45883</v>
      </c>
      <c r="D1134" t="inlineStr">
        <is>
          <t>GÄVLEBORGS LÄN</t>
        </is>
      </c>
      <c r="E1134" t="inlineStr">
        <is>
          <t>HUDIKSVALL</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67152-2020</t>
        </is>
      </c>
      <c r="B1135" s="1" t="n">
        <v>44180</v>
      </c>
      <c r="C1135" s="1" t="n">
        <v>45883</v>
      </c>
      <c r="D1135" t="inlineStr">
        <is>
          <t>GÄVLEBORGS LÄN</t>
        </is>
      </c>
      <c r="E1135" t="inlineStr">
        <is>
          <t>HUDIKSVALL</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17656-2021</t>
        </is>
      </c>
      <c r="B1136" s="1" t="n">
        <v>44300</v>
      </c>
      <c r="C1136" s="1" t="n">
        <v>45883</v>
      </c>
      <c r="D1136" t="inlineStr">
        <is>
          <t>GÄVLEBORGS LÄN</t>
        </is>
      </c>
      <c r="E1136" t="inlineStr">
        <is>
          <t>GÄVLE</t>
        </is>
      </c>
      <c r="F1136" t="inlineStr">
        <is>
          <t>Bergvik skog väst AB</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63951-2020</t>
        </is>
      </c>
      <c r="B1137" s="1" t="n">
        <v>44167</v>
      </c>
      <c r="C1137" s="1" t="n">
        <v>45883</v>
      </c>
      <c r="D1137" t="inlineStr">
        <is>
          <t>GÄVLEBORGS LÄN</t>
        </is>
      </c>
      <c r="E1137" t="inlineStr">
        <is>
          <t>HOFORS</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51121-2022</t>
        </is>
      </c>
      <c r="B1138" s="1" t="n">
        <v>44868.46837962963</v>
      </c>
      <c r="C1138" s="1" t="n">
        <v>45883</v>
      </c>
      <c r="D1138" t="inlineStr">
        <is>
          <t>GÄVLEBORGS LÄN</t>
        </is>
      </c>
      <c r="E1138" t="inlineStr">
        <is>
          <t>LJUSDAL</t>
        </is>
      </c>
      <c r="F1138" t="inlineStr">
        <is>
          <t>Sveaskog</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46651-2021</t>
        </is>
      </c>
      <c r="B1139" s="1" t="n">
        <v>44445</v>
      </c>
      <c r="C1139" s="1" t="n">
        <v>45883</v>
      </c>
      <c r="D1139" t="inlineStr">
        <is>
          <t>GÄVLEBORGS LÄN</t>
        </is>
      </c>
      <c r="E1139" t="inlineStr">
        <is>
          <t>LJUSDAL</t>
        </is>
      </c>
      <c r="F1139" t="inlineStr">
        <is>
          <t>Holmen skog AB</t>
        </is>
      </c>
      <c r="G1139" t="n">
        <v>6.2</v>
      </c>
      <c r="H1139" t="n">
        <v>0</v>
      </c>
      <c r="I1139" t="n">
        <v>0</v>
      </c>
      <c r="J1139" t="n">
        <v>0</v>
      </c>
      <c r="K1139" t="n">
        <v>0</v>
      </c>
      <c r="L1139" t="n">
        <v>0</v>
      </c>
      <c r="M1139" t="n">
        <v>0</v>
      </c>
      <c r="N1139" t="n">
        <v>0</v>
      </c>
      <c r="O1139" t="n">
        <v>0</v>
      </c>
      <c r="P1139" t="n">
        <v>0</v>
      </c>
      <c r="Q1139" t="n">
        <v>0</v>
      </c>
      <c r="R1139" s="2" t="inlineStr"/>
    </row>
    <row r="1140" ht="15" customHeight="1">
      <c r="A1140" t="inlineStr">
        <is>
          <t>A 48664-2022</t>
        </is>
      </c>
      <c r="B1140" s="1" t="n">
        <v>44859</v>
      </c>
      <c r="C1140" s="1" t="n">
        <v>45883</v>
      </c>
      <c r="D1140" t="inlineStr">
        <is>
          <t>GÄVLEBORGS LÄN</t>
        </is>
      </c>
      <c r="E1140" t="inlineStr">
        <is>
          <t>BOLLNÄS</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66120-2021</t>
        </is>
      </c>
      <c r="B1141" s="1" t="n">
        <v>44517</v>
      </c>
      <c r="C1141" s="1" t="n">
        <v>45883</v>
      </c>
      <c r="D1141" t="inlineStr">
        <is>
          <t>GÄVLEBORGS LÄN</t>
        </is>
      </c>
      <c r="E1141" t="inlineStr">
        <is>
          <t>BOLLNÄS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66128-2021</t>
        </is>
      </c>
      <c r="B1142" s="1" t="n">
        <v>44517</v>
      </c>
      <c r="C1142" s="1" t="n">
        <v>45883</v>
      </c>
      <c r="D1142" t="inlineStr">
        <is>
          <t>GÄVLEBORGS LÄN</t>
        </is>
      </c>
      <c r="E1142" t="inlineStr">
        <is>
          <t>BOLLNÄS</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66129-2021</t>
        </is>
      </c>
      <c r="B1143" s="1" t="n">
        <v>44517</v>
      </c>
      <c r="C1143" s="1" t="n">
        <v>45883</v>
      </c>
      <c r="D1143" t="inlineStr">
        <is>
          <t>GÄVLEBORGS LÄN</t>
        </is>
      </c>
      <c r="E1143" t="inlineStr">
        <is>
          <t>BOLLNÄS</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16459-2022</t>
        </is>
      </c>
      <c r="B1144" s="1" t="n">
        <v>44671.58972222222</v>
      </c>
      <c r="C1144" s="1" t="n">
        <v>45883</v>
      </c>
      <c r="D1144" t="inlineStr">
        <is>
          <t>GÄVLEBORGS LÄN</t>
        </is>
      </c>
      <c r="E1144" t="inlineStr">
        <is>
          <t>GÄVLE</t>
        </is>
      </c>
      <c r="F1144" t="inlineStr">
        <is>
          <t>Bergvik skog öst AB</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16469-2022</t>
        </is>
      </c>
      <c r="B1145" s="1" t="n">
        <v>44671.61422453704</v>
      </c>
      <c r="C1145" s="1" t="n">
        <v>45883</v>
      </c>
      <c r="D1145" t="inlineStr">
        <is>
          <t>GÄVLEBORGS LÄN</t>
        </is>
      </c>
      <c r="E1145" t="inlineStr">
        <is>
          <t>GÄVLE</t>
        </is>
      </c>
      <c r="F1145" t="inlineStr">
        <is>
          <t>Bergvik skog öst AB</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52948-2021</t>
        </is>
      </c>
      <c r="B1146" s="1" t="n">
        <v>44467</v>
      </c>
      <c r="C1146" s="1" t="n">
        <v>45883</v>
      </c>
      <c r="D1146" t="inlineStr">
        <is>
          <t>GÄVLEBORGS LÄN</t>
        </is>
      </c>
      <c r="E1146" t="inlineStr">
        <is>
          <t>LJUSDAL</t>
        </is>
      </c>
      <c r="F1146" t="inlineStr">
        <is>
          <t>Holmen skog AB</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22019-2022</t>
        </is>
      </c>
      <c r="B1147" s="1" t="n">
        <v>44711</v>
      </c>
      <c r="C1147" s="1" t="n">
        <v>45883</v>
      </c>
      <c r="D1147" t="inlineStr">
        <is>
          <t>GÄVLEBORGS LÄN</t>
        </is>
      </c>
      <c r="E1147" t="inlineStr">
        <is>
          <t>SÖDERHAMN</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22035-2022</t>
        </is>
      </c>
      <c r="B1148" s="1" t="n">
        <v>44711.63396990741</v>
      </c>
      <c r="C1148" s="1" t="n">
        <v>45883</v>
      </c>
      <c r="D1148" t="inlineStr">
        <is>
          <t>GÄVLEBORGS LÄN</t>
        </is>
      </c>
      <c r="E1148" t="inlineStr">
        <is>
          <t>OCKELBO</t>
        </is>
      </c>
      <c r="F1148" t="inlineStr">
        <is>
          <t>Bergvik skog väst AB</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46592-2022</t>
        </is>
      </c>
      <c r="B1149" s="1" t="n">
        <v>44848.71773148148</v>
      </c>
      <c r="C1149" s="1" t="n">
        <v>45883</v>
      </c>
      <c r="D1149" t="inlineStr">
        <is>
          <t>GÄVLEBORGS LÄN</t>
        </is>
      </c>
      <c r="E1149" t="inlineStr">
        <is>
          <t>NORDANSTIG</t>
        </is>
      </c>
      <c r="F1149" t="inlineStr">
        <is>
          <t>Holmen skog AB</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59107-2020</t>
        </is>
      </c>
      <c r="B1150" s="1" t="n">
        <v>44147</v>
      </c>
      <c r="C1150" s="1" t="n">
        <v>45883</v>
      </c>
      <c r="D1150" t="inlineStr">
        <is>
          <t>GÄVLEBORGS LÄN</t>
        </is>
      </c>
      <c r="E1150" t="inlineStr">
        <is>
          <t>BOLLNÄS</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45273-2021</t>
        </is>
      </c>
      <c r="B1151" s="1" t="n">
        <v>44439.64582175926</v>
      </c>
      <c r="C1151" s="1" t="n">
        <v>45883</v>
      </c>
      <c r="D1151" t="inlineStr">
        <is>
          <t>GÄVLEBORGS LÄN</t>
        </is>
      </c>
      <c r="E1151" t="inlineStr">
        <is>
          <t>OVANÅKER</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45366-2021</t>
        </is>
      </c>
      <c r="B1152" s="1" t="n">
        <v>44440.27297453704</v>
      </c>
      <c r="C1152" s="1" t="n">
        <v>45883</v>
      </c>
      <c r="D1152" t="inlineStr">
        <is>
          <t>GÄVLEBORGS LÄN</t>
        </is>
      </c>
      <c r="E1152" t="inlineStr">
        <is>
          <t>LJUSDAL</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5825-2022</t>
        </is>
      </c>
      <c r="B1153" s="1" t="n">
        <v>44596</v>
      </c>
      <c r="C1153" s="1" t="n">
        <v>45883</v>
      </c>
      <c r="D1153" t="inlineStr">
        <is>
          <t>GÄVLEBORGS LÄN</t>
        </is>
      </c>
      <c r="E1153" t="inlineStr">
        <is>
          <t>SANDVIKEN</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70573-2021</t>
        </is>
      </c>
      <c r="B1154" s="1" t="n">
        <v>44537.35547453703</v>
      </c>
      <c r="C1154" s="1" t="n">
        <v>45883</v>
      </c>
      <c r="D1154" t="inlineStr">
        <is>
          <t>GÄVLEBORGS LÄN</t>
        </is>
      </c>
      <c r="E1154" t="inlineStr">
        <is>
          <t>OVANÅKER</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25312-2021</t>
        </is>
      </c>
      <c r="B1155" s="1" t="n">
        <v>44342.53046296296</v>
      </c>
      <c r="C1155" s="1" t="n">
        <v>45883</v>
      </c>
      <c r="D1155" t="inlineStr">
        <is>
          <t>GÄVLEBORGS LÄN</t>
        </is>
      </c>
      <c r="E1155" t="inlineStr">
        <is>
          <t>GÄVLE</t>
        </is>
      </c>
      <c r="F1155" t="inlineStr">
        <is>
          <t>Bergvik skog öst AB</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47157-2020</t>
        </is>
      </c>
      <c r="B1156" s="1" t="n">
        <v>44097</v>
      </c>
      <c r="C1156" s="1" t="n">
        <v>45883</v>
      </c>
      <c r="D1156" t="inlineStr">
        <is>
          <t>GÄVLEBORGS LÄN</t>
        </is>
      </c>
      <c r="E1156" t="inlineStr">
        <is>
          <t>SÖDERHAMN</t>
        </is>
      </c>
      <c r="G1156" t="n">
        <v>5.8</v>
      </c>
      <c r="H1156" t="n">
        <v>0</v>
      </c>
      <c r="I1156" t="n">
        <v>0</v>
      </c>
      <c r="J1156" t="n">
        <v>0</v>
      </c>
      <c r="K1156" t="n">
        <v>0</v>
      </c>
      <c r="L1156" t="n">
        <v>0</v>
      </c>
      <c r="M1156" t="n">
        <v>0</v>
      </c>
      <c r="N1156" t="n">
        <v>0</v>
      </c>
      <c r="O1156" t="n">
        <v>0</v>
      </c>
      <c r="P1156" t="n">
        <v>0</v>
      </c>
      <c r="Q1156" t="n">
        <v>0</v>
      </c>
      <c r="R1156" s="2" t="inlineStr"/>
    </row>
    <row r="1157" ht="15" customHeight="1">
      <c r="A1157" t="inlineStr">
        <is>
          <t>A 60717-2020</t>
        </is>
      </c>
      <c r="B1157" s="1" t="n">
        <v>44153</v>
      </c>
      <c r="C1157" s="1" t="n">
        <v>45883</v>
      </c>
      <c r="D1157" t="inlineStr">
        <is>
          <t>GÄVLEBORGS LÄN</t>
        </is>
      </c>
      <c r="E1157" t="inlineStr">
        <is>
          <t>BOLLNÄS</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60726-2020</t>
        </is>
      </c>
      <c r="B1158" s="1" t="n">
        <v>44153</v>
      </c>
      <c r="C1158" s="1" t="n">
        <v>45883</v>
      </c>
      <c r="D1158" t="inlineStr">
        <is>
          <t>GÄVLEBORGS LÄN</t>
        </is>
      </c>
      <c r="E1158" t="inlineStr">
        <is>
          <t>BOLLNÄS</t>
        </is>
      </c>
      <c r="F1158" t="inlineStr">
        <is>
          <t>Kommuner</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50389-2021</t>
        </is>
      </c>
      <c r="B1159" s="1" t="n">
        <v>44459.46950231482</v>
      </c>
      <c r="C1159" s="1" t="n">
        <v>45883</v>
      </c>
      <c r="D1159" t="inlineStr">
        <is>
          <t>GÄVLEBORGS LÄN</t>
        </is>
      </c>
      <c r="E1159" t="inlineStr">
        <is>
          <t>GÄVLE</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52614-2021</t>
        </is>
      </c>
      <c r="B1160" s="1" t="n">
        <v>44466.60356481482</v>
      </c>
      <c r="C1160" s="1" t="n">
        <v>45883</v>
      </c>
      <c r="D1160" t="inlineStr">
        <is>
          <t>GÄVLEBORGS LÄN</t>
        </is>
      </c>
      <c r="E1160" t="inlineStr">
        <is>
          <t>OVANÅKER</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52886-2020</t>
        </is>
      </c>
      <c r="B1161" s="1" t="n">
        <v>44119</v>
      </c>
      <c r="C1161" s="1" t="n">
        <v>45883</v>
      </c>
      <c r="D1161" t="inlineStr">
        <is>
          <t>GÄVLEBORGS LÄN</t>
        </is>
      </c>
      <c r="E1161" t="inlineStr">
        <is>
          <t>SÖDERHAMN</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54699-2020</t>
        </is>
      </c>
      <c r="B1162" s="1" t="n">
        <v>44127</v>
      </c>
      <c r="C1162" s="1" t="n">
        <v>45883</v>
      </c>
      <c r="D1162" t="inlineStr">
        <is>
          <t>GÄVLEBORGS LÄN</t>
        </is>
      </c>
      <c r="E1162" t="inlineStr">
        <is>
          <t>BOLLNÄS</t>
        </is>
      </c>
      <c r="G1162" t="n">
        <v>6.6</v>
      </c>
      <c r="H1162" t="n">
        <v>0</v>
      </c>
      <c r="I1162" t="n">
        <v>0</v>
      </c>
      <c r="J1162" t="n">
        <v>0</v>
      </c>
      <c r="K1162" t="n">
        <v>0</v>
      </c>
      <c r="L1162" t="n">
        <v>0</v>
      </c>
      <c r="M1162" t="n">
        <v>0</v>
      </c>
      <c r="N1162" t="n">
        <v>0</v>
      </c>
      <c r="O1162" t="n">
        <v>0</v>
      </c>
      <c r="P1162" t="n">
        <v>0</v>
      </c>
      <c r="Q1162" t="n">
        <v>0</v>
      </c>
      <c r="R1162" s="2" t="inlineStr"/>
    </row>
    <row r="1163" ht="15" customHeight="1">
      <c r="A1163" t="inlineStr">
        <is>
          <t>A 64556-2021</t>
        </is>
      </c>
      <c r="B1163" s="1" t="n">
        <v>44511</v>
      </c>
      <c r="C1163" s="1" t="n">
        <v>45883</v>
      </c>
      <c r="D1163" t="inlineStr">
        <is>
          <t>GÄVLEBORGS LÄN</t>
        </is>
      </c>
      <c r="E1163" t="inlineStr">
        <is>
          <t>LJUSDAL</t>
        </is>
      </c>
      <c r="F1163" t="inlineStr">
        <is>
          <t>Holmen skog AB</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62191-2020</t>
        </is>
      </c>
      <c r="B1164" s="1" t="n">
        <v>44159</v>
      </c>
      <c r="C1164" s="1" t="n">
        <v>45883</v>
      </c>
      <c r="D1164" t="inlineStr">
        <is>
          <t>GÄVLEBORGS LÄN</t>
        </is>
      </c>
      <c r="E1164" t="inlineStr">
        <is>
          <t>LJUSDAL</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72080-2021</t>
        </is>
      </c>
      <c r="B1165" s="1" t="n">
        <v>44544.51302083334</v>
      </c>
      <c r="C1165" s="1" t="n">
        <v>45883</v>
      </c>
      <c r="D1165" t="inlineStr">
        <is>
          <t>GÄVLEBORGS LÄN</t>
        </is>
      </c>
      <c r="E1165" t="inlineStr">
        <is>
          <t>NORDANSTIG</t>
        </is>
      </c>
      <c r="F1165" t="inlineStr">
        <is>
          <t>Holmen skog AB</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63656-2021</t>
        </is>
      </c>
      <c r="B1166" s="1" t="n">
        <v>44509.35530092593</v>
      </c>
      <c r="C1166" s="1" t="n">
        <v>45883</v>
      </c>
      <c r="D1166" t="inlineStr">
        <is>
          <t>GÄVLEBORGS LÄN</t>
        </is>
      </c>
      <c r="E1166" t="inlineStr">
        <is>
          <t>NORDANSTIG</t>
        </is>
      </c>
      <c r="F1166" t="inlineStr">
        <is>
          <t>Holmen skog AB</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32774-2021</t>
        </is>
      </c>
      <c r="B1167" s="1" t="n">
        <v>44375.57163194445</v>
      </c>
      <c r="C1167" s="1" t="n">
        <v>45883</v>
      </c>
      <c r="D1167" t="inlineStr">
        <is>
          <t>GÄVLEBORGS LÄN</t>
        </is>
      </c>
      <c r="E1167" t="inlineStr">
        <is>
          <t>LJUSDAL</t>
        </is>
      </c>
      <c r="F1167" t="inlineStr">
        <is>
          <t>Holmen skog AB</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5610-2022</t>
        </is>
      </c>
      <c r="B1168" s="1" t="n">
        <v>44595.69634259259</v>
      </c>
      <c r="C1168" s="1" t="n">
        <v>45883</v>
      </c>
      <c r="D1168" t="inlineStr">
        <is>
          <t>GÄVLEBORGS LÄN</t>
        </is>
      </c>
      <c r="E1168" t="inlineStr">
        <is>
          <t>SANDVIKEN</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51223-2021</t>
        </is>
      </c>
      <c r="B1169" s="1" t="n">
        <v>44461</v>
      </c>
      <c r="C1169" s="1" t="n">
        <v>45883</v>
      </c>
      <c r="D1169" t="inlineStr">
        <is>
          <t>GÄVLEBORGS LÄN</t>
        </is>
      </c>
      <c r="E1169" t="inlineStr">
        <is>
          <t>NORDANSTIG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55848-2020</t>
        </is>
      </c>
      <c r="B1170" s="1" t="n">
        <v>44132</v>
      </c>
      <c r="C1170" s="1" t="n">
        <v>45883</v>
      </c>
      <c r="D1170" t="inlineStr">
        <is>
          <t>GÄVLEBORGS LÄN</t>
        </is>
      </c>
      <c r="E1170" t="inlineStr">
        <is>
          <t>SANDVIKEN</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60405-2021</t>
        </is>
      </c>
      <c r="B1171" s="1" t="n">
        <v>44496</v>
      </c>
      <c r="C1171" s="1" t="n">
        <v>45883</v>
      </c>
      <c r="D1171" t="inlineStr">
        <is>
          <t>GÄVLEBORGS LÄN</t>
        </is>
      </c>
      <c r="E1171" t="inlineStr">
        <is>
          <t>SANDVIKEN</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49928-2021</t>
        </is>
      </c>
      <c r="B1172" s="1" t="n">
        <v>44455</v>
      </c>
      <c r="C1172" s="1" t="n">
        <v>45883</v>
      </c>
      <c r="D1172" t="inlineStr">
        <is>
          <t>GÄVLEBORGS LÄN</t>
        </is>
      </c>
      <c r="E1172" t="inlineStr">
        <is>
          <t>HUDIKSVALL</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14246-2022</t>
        </is>
      </c>
      <c r="B1173" s="1" t="n">
        <v>44651.68858796296</v>
      </c>
      <c r="C1173" s="1" t="n">
        <v>45883</v>
      </c>
      <c r="D1173" t="inlineStr">
        <is>
          <t>GÄVLEBORGS LÄN</t>
        </is>
      </c>
      <c r="E1173" t="inlineStr">
        <is>
          <t>NORDANSTIG</t>
        </is>
      </c>
      <c r="F1173" t="inlineStr">
        <is>
          <t>Holmen skog AB</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53258-2022</t>
        </is>
      </c>
      <c r="B1174" s="1" t="n">
        <v>44876</v>
      </c>
      <c r="C1174" s="1" t="n">
        <v>45883</v>
      </c>
      <c r="D1174" t="inlineStr">
        <is>
          <t>GÄVLEBORGS LÄN</t>
        </is>
      </c>
      <c r="E1174" t="inlineStr">
        <is>
          <t>SANDVIKEN</t>
        </is>
      </c>
      <c r="F1174" t="inlineStr">
        <is>
          <t>Sveaskog</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46419-2021</t>
        </is>
      </c>
      <c r="B1175" s="1" t="n">
        <v>44445.30451388889</v>
      </c>
      <c r="C1175" s="1" t="n">
        <v>45883</v>
      </c>
      <c r="D1175" t="inlineStr">
        <is>
          <t>GÄVLEBORGS LÄN</t>
        </is>
      </c>
      <c r="E1175" t="inlineStr">
        <is>
          <t>LJUSDAL</t>
        </is>
      </c>
      <c r="F1175" t="inlineStr">
        <is>
          <t>Sveaskog</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31691-2021</t>
        </is>
      </c>
      <c r="B1176" s="1" t="n">
        <v>44369.69809027778</v>
      </c>
      <c r="C1176" s="1" t="n">
        <v>45883</v>
      </c>
      <c r="D1176" t="inlineStr">
        <is>
          <t>GÄVLEBORGS LÄN</t>
        </is>
      </c>
      <c r="E1176" t="inlineStr">
        <is>
          <t>BOLLNÄS</t>
        </is>
      </c>
      <c r="F1176" t="inlineStr">
        <is>
          <t>Sveaskog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26547-2022</t>
        </is>
      </c>
      <c r="B1177" s="1" t="n">
        <v>44739</v>
      </c>
      <c r="C1177" s="1" t="n">
        <v>45883</v>
      </c>
      <c r="D1177" t="inlineStr">
        <is>
          <t>GÄVLEBORGS LÄN</t>
        </is>
      </c>
      <c r="E1177" t="inlineStr">
        <is>
          <t>NORDANSTIG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58731-2021</t>
        </is>
      </c>
      <c r="B1178" s="1" t="n">
        <v>44489</v>
      </c>
      <c r="C1178" s="1" t="n">
        <v>45883</v>
      </c>
      <c r="D1178" t="inlineStr">
        <is>
          <t>GÄVLEBORGS LÄN</t>
        </is>
      </c>
      <c r="E1178" t="inlineStr">
        <is>
          <t>LJUSDAL</t>
        </is>
      </c>
      <c r="F1178" t="inlineStr">
        <is>
          <t>Holmen skog AB</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64654-2020</t>
        </is>
      </c>
      <c r="B1179" s="1" t="n">
        <v>44169</v>
      </c>
      <c r="C1179" s="1" t="n">
        <v>45883</v>
      </c>
      <c r="D1179" t="inlineStr">
        <is>
          <t>GÄVLEBORGS LÄN</t>
        </is>
      </c>
      <c r="E1179" t="inlineStr">
        <is>
          <t>OVANÅKER</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59129-2021</t>
        </is>
      </c>
      <c r="B1180" s="1" t="n">
        <v>44490</v>
      </c>
      <c r="C1180" s="1" t="n">
        <v>45883</v>
      </c>
      <c r="D1180" t="inlineStr">
        <is>
          <t>GÄVLEBORGS LÄN</t>
        </is>
      </c>
      <c r="E1180" t="inlineStr">
        <is>
          <t>LJUSDAL</t>
        </is>
      </c>
      <c r="F1180" t="inlineStr">
        <is>
          <t>Sveaskog</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62475-2020</t>
        </is>
      </c>
      <c r="B1181" s="1" t="n">
        <v>44160</v>
      </c>
      <c r="C1181" s="1" t="n">
        <v>45883</v>
      </c>
      <c r="D1181" t="inlineStr">
        <is>
          <t>GÄVLEBORGS LÄN</t>
        </is>
      </c>
      <c r="E1181" t="inlineStr">
        <is>
          <t>HOFORS</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11923-2022</t>
        </is>
      </c>
      <c r="B1182" s="1" t="n">
        <v>44635.50788194445</v>
      </c>
      <c r="C1182" s="1" t="n">
        <v>45883</v>
      </c>
      <c r="D1182" t="inlineStr">
        <is>
          <t>GÄVLEBORGS LÄN</t>
        </is>
      </c>
      <c r="E1182" t="inlineStr">
        <is>
          <t>SANDVIKEN</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36000-2021</t>
        </is>
      </c>
      <c r="B1183" s="1" t="n">
        <v>44389</v>
      </c>
      <c r="C1183" s="1" t="n">
        <v>45883</v>
      </c>
      <c r="D1183" t="inlineStr">
        <is>
          <t>GÄVLEBORGS LÄN</t>
        </is>
      </c>
      <c r="E1183" t="inlineStr">
        <is>
          <t>BOLLNÄS</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55298-2021</t>
        </is>
      </c>
      <c r="B1184" s="1" t="n">
        <v>44475.44704861111</v>
      </c>
      <c r="C1184" s="1" t="n">
        <v>45883</v>
      </c>
      <c r="D1184" t="inlineStr">
        <is>
          <t>GÄVLEBORGS LÄN</t>
        </is>
      </c>
      <c r="E1184" t="inlineStr">
        <is>
          <t>OVANÅKER</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55766-2020</t>
        </is>
      </c>
      <c r="B1185" s="1" t="n">
        <v>44132</v>
      </c>
      <c r="C1185" s="1" t="n">
        <v>45883</v>
      </c>
      <c r="D1185" t="inlineStr">
        <is>
          <t>GÄVLEBORGS LÄN</t>
        </is>
      </c>
      <c r="E1185" t="inlineStr">
        <is>
          <t>NORDANSTIG</t>
        </is>
      </c>
      <c r="F1185" t="inlineStr">
        <is>
          <t>Holmen skog AB</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62424-2021</t>
        </is>
      </c>
      <c r="B1186" s="1" t="n">
        <v>44503.49143518518</v>
      </c>
      <c r="C1186" s="1" t="n">
        <v>45883</v>
      </c>
      <c r="D1186" t="inlineStr">
        <is>
          <t>GÄVLEBORGS LÄN</t>
        </is>
      </c>
      <c r="E1186" t="inlineStr">
        <is>
          <t>LJUSDAL</t>
        </is>
      </c>
      <c r="F1186" t="inlineStr">
        <is>
          <t>Holmen skog AB</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53071-2020</t>
        </is>
      </c>
      <c r="B1187" s="1" t="n">
        <v>44120</v>
      </c>
      <c r="C1187" s="1" t="n">
        <v>45883</v>
      </c>
      <c r="D1187" t="inlineStr">
        <is>
          <t>GÄVLEBORGS LÄN</t>
        </is>
      </c>
      <c r="E1187" t="inlineStr">
        <is>
          <t>LJUSDAL</t>
        </is>
      </c>
      <c r="F1187" t="inlineStr">
        <is>
          <t>Sveaskog</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56136-2021</t>
        </is>
      </c>
      <c r="B1188" s="1" t="n">
        <v>44477</v>
      </c>
      <c r="C1188" s="1" t="n">
        <v>45883</v>
      </c>
      <c r="D1188" t="inlineStr">
        <is>
          <t>GÄVLEBORGS LÄN</t>
        </is>
      </c>
      <c r="E1188" t="inlineStr">
        <is>
          <t>HUDIKSVALL</t>
        </is>
      </c>
      <c r="F1188" t="inlineStr">
        <is>
          <t>Kommuner</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19233-2022</t>
        </is>
      </c>
      <c r="B1189" s="1" t="n">
        <v>44692</v>
      </c>
      <c r="C1189" s="1" t="n">
        <v>45883</v>
      </c>
      <c r="D1189" t="inlineStr">
        <is>
          <t>GÄVLEBORGS LÄN</t>
        </is>
      </c>
      <c r="E1189" t="inlineStr">
        <is>
          <t>NORDANSTIG</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60729-2020</t>
        </is>
      </c>
      <c r="B1190" s="1" t="n">
        <v>44153</v>
      </c>
      <c r="C1190" s="1" t="n">
        <v>45883</v>
      </c>
      <c r="D1190" t="inlineStr">
        <is>
          <t>GÄVLEBORGS LÄN</t>
        </is>
      </c>
      <c r="E1190" t="inlineStr">
        <is>
          <t>BOLLNÄS</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34522-2021</t>
        </is>
      </c>
      <c r="B1191" s="1" t="n">
        <v>44382</v>
      </c>
      <c r="C1191" s="1" t="n">
        <v>45883</v>
      </c>
      <c r="D1191" t="inlineStr">
        <is>
          <t>GÄVLEBORGS LÄN</t>
        </is>
      </c>
      <c r="E1191" t="inlineStr">
        <is>
          <t>LJUSDAL</t>
        </is>
      </c>
      <c r="F1191" t="inlineStr">
        <is>
          <t>Bergvik skog väst AB</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8769-2022</t>
        </is>
      </c>
      <c r="B1192" s="1" t="n">
        <v>44614.38916666667</v>
      </c>
      <c r="C1192" s="1" t="n">
        <v>45883</v>
      </c>
      <c r="D1192" t="inlineStr">
        <is>
          <t>GÄVLEBORGS LÄN</t>
        </is>
      </c>
      <c r="E1192" t="inlineStr">
        <is>
          <t>OVANÅKER</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3098-2022</t>
        </is>
      </c>
      <c r="B1193" s="1" t="n">
        <v>44582</v>
      </c>
      <c r="C1193" s="1" t="n">
        <v>45883</v>
      </c>
      <c r="D1193" t="inlineStr">
        <is>
          <t>GÄVLEBORGS LÄN</t>
        </is>
      </c>
      <c r="E1193" t="inlineStr">
        <is>
          <t>LJUSDAL</t>
        </is>
      </c>
      <c r="G1193" t="n">
        <v>0.1</v>
      </c>
      <c r="H1193" t="n">
        <v>0</v>
      </c>
      <c r="I1193" t="n">
        <v>0</v>
      </c>
      <c r="J1193" t="n">
        <v>0</v>
      </c>
      <c r="K1193" t="n">
        <v>0</v>
      </c>
      <c r="L1193" t="n">
        <v>0</v>
      </c>
      <c r="M1193" t="n">
        <v>0</v>
      </c>
      <c r="N1193" t="n">
        <v>0</v>
      </c>
      <c r="O1193" t="n">
        <v>0</v>
      </c>
      <c r="P1193" t="n">
        <v>0</v>
      </c>
      <c r="Q1193" t="n">
        <v>0</v>
      </c>
      <c r="R1193" s="2" t="inlineStr"/>
    </row>
    <row r="1194" ht="15" customHeight="1">
      <c r="A1194" t="inlineStr">
        <is>
          <t>A 64044-2020</t>
        </is>
      </c>
      <c r="B1194" s="1" t="n">
        <v>44167</v>
      </c>
      <c r="C1194" s="1" t="n">
        <v>45883</v>
      </c>
      <c r="D1194" t="inlineStr">
        <is>
          <t>GÄVLEBORGS LÄN</t>
        </is>
      </c>
      <c r="E1194" t="inlineStr">
        <is>
          <t>OVANÅKER</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34797-2021</t>
        </is>
      </c>
      <c r="B1195" s="1" t="n">
        <v>44383.30501157408</v>
      </c>
      <c r="C1195" s="1" t="n">
        <v>45883</v>
      </c>
      <c r="D1195" t="inlineStr">
        <is>
          <t>GÄVLEBORGS LÄN</t>
        </is>
      </c>
      <c r="E1195" t="inlineStr">
        <is>
          <t>OCKELBO</t>
        </is>
      </c>
      <c r="F1195" t="inlineStr">
        <is>
          <t>Bergvik skog väst AB</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13406-2022</t>
        </is>
      </c>
      <c r="B1196" s="1" t="n">
        <v>44645.53327546296</v>
      </c>
      <c r="C1196" s="1" t="n">
        <v>45883</v>
      </c>
      <c r="D1196" t="inlineStr">
        <is>
          <t>GÄVLEBORGS LÄN</t>
        </is>
      </c>
      <c r="E1196" t="inlineStr">
        <is>
          <t>BOLLNÄS</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13407-2022</t>
        </is>
      </c>
      <c r="B1197" s="1" t="n">
        <v>44645.53493055556</v>
      </c>
      <c r="C1197" s="1" t="n">
        <v>45883</v>
      </c>
      <c r="D1197" t="inlineStr">
        <is>
          <t>GÄVLEBORGS LÄN</t>
        </is>
      </c>
      <c r="E1197" t="inlineStr">
        <is>
          <t>BOLLNÄS</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44654-2021</t>
        </is>
      </c>
      <c r="B1198" s="1" t="n">
        <v>44437</v>
      </c>
      <c r="C1198" s="1" t="n">
        <v>45883</v>
      </c>
      <c r="D1198" t="inlineStr">
        <is>
          <t>GÄVLEBORGS LÄN</t>
        </is>
      </c>
      <c r="E1198" t="inlineStr">
        <is>
          <t>GÄVLE</t>
        </is>
      </c>
      <c r="G1198" t="n">
        <v>0.1</v>
      </c>
      <c r="H1198" t="n">
        <v>0</v>
      </c>
      <c r="I1198" t="n">
        <v>0</v>
      </c>
      <c r="J1198" t="n">
        <v>0</v>
      </c>
      <c r="K1198" t="n">
        <v>0</v>
      </c>
      <c r="L1198" t="n">
        <v>0</v>
      </c>
      <c r="M1198" t="n">
        <v>0</v>
      </c>
      <c r="N1198" t="n">
        <v>0</v>
      </c>
      <c r="O1198" t="n">
        <v>0</v>
      </c>
      <c r="P1198" t="n">
        <v>0</v>
      </c>
      <c r="Q1198" t="n">
        <v>0</v>
      </c>
      <c r="R1198" s="2" t="inlineStr"/>
    </row>
    <row r="1199" ht="15" customHeight="1">
      <c r="A1199" t="inlineStr">
        <is>
          <t>A 35461-2022</t>
        </is>
      </c>
      <c r="B1199" s="1" t="n">
        <v>44798.71696759259</v>
      </c>
      <c r="C1199" s="1" t="n">
        <v>45883</v>
      </c>
      <c r="D1199" t="inlineStr">
        <is>
          <t>GÄVLEBORGS LÄN</t>
        </is>
      </c>
      <c r="E1199" t="inlineStr">
        <is>
          <t>LJUSDAL</t>
        </is>
      </c>
      <c r="F1199" t="inlineStr">
        <is>
          <t>Holmen skog AB</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35467-2022</t>
        </is>
      </c>
      <c r="B1200" s="1" t="n">
        <v>44798</v>
      </c>
      <c r="C1200" s="1" t="n">
        <v>45883</v>
      </c>
      <c r="D1200" t="inlineStr">
        <is>
          <t>GÄVLEBORGS LÄN</t>
        </is>
      </c>
      <c r="E1200" t="inlineStr">
        <is>
          <t>LJUSDAL</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19182-2022</t>
        </is>
      </c>
      <c r="B1201" s="1" t="n">
        <v>44691.71042824074</v>
      </c>
      <c r="C1201" s="1" t="n">
        <v>45883</v>
      </c>
      <c r="D1201" t="inlineStr">
        <is>
          <t>GÄVLEBORGS LÄN</t>
        </is>
      </c>
      <c r="E1201" t="inlineStr">
        <is>
          <t>NORDANSTIG</t>
        </is>
      </c>
      <c r="F1201" t="inlineStr">
        <is>
          <t>Holmen skog AB</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38441-2020</t>
        </is>
      </c>
      <c r="B1202" s="1" t="n">
        <v>44060</v>
      </c>
      <c r="C1202" s="1" t="n">
        <v>45883</v>
      </c>
      <c r="D1202" t="inlineStr">
        <is>
          <t>GÄVLEBORGS LÄN</t>
        </is>
      </c>
      <c r="E1202" t="inlineStr">
        <is>
          <t>HUDIKSVALL</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14394-2022</t>
        </is>
      </c>
      <c r="B1203" s="1" t="n">
        <v>44652.56049768518</v>
      </c>
      <c r="C1203" s="1" t="n">
        <v>45883</v>
      </c>
      <c r="D1203" t="inlineStr">
        <is>
          <t>GÄVLEBORGS LÄN</t>
        </is>
      </c>
      <c r="E1203" t="inlineStr">
        <is>
          <t>HUDIKSVALL</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14409-2022</t>
        </is>
      </c>
      <c r="B1204" s="1" t="n">
        <v>44652.64380787037</v>
      </c>
      <c r="C1204" s="1" t="n">
        <v>45883</v>
      </c>
      <c r="D1204" t="inlineStr">
        <is>
          <t>GÄVLEBORGS LÄN</t>
        </is>
      </c>
      <c r="E1204" t="inlineStr">
        <is>
          <t>HUDIKSVALL</t>
        </is>
      </c>
      <c r="G1204" t="n">
        <v>23.2</v>
      </c>
      <c r="H1204" t="n">
        <v>0</v>
      </c>
      <c r="I1204" t="n">
        <v>0</v>
      </c>
      <c r="J1204" t="n">
        <v>0</v>
      </c>
      <c r="K1204" t="n">
        <v>0</v>
      </c>
      <c r="L1204" t="n">
        <v>0</v>
      </c>
      <c r="M1204" t="n">
        <v>0</v>
      </c>
      <c r="N1204" t="n">
        <v>0</v>
      </c>
      <c r="O1204" t="n">
        <v>0</v>
      </c>
      <c r="P1204" t="n">
        <v>0</v>
      </c>
      <c r="Q1204" t="n">
        <v>0</v>
      </c>
      <c r="R1204" s="2" t="inlineStr"/>
    </row>
    <row r="1205" ht="15" customHeight="1">
      <c r="A1205" t="inlineStr">
        <is>
          <t>A 38884-2020</t>
        </is>
      </c>
      <c r="B1205" s="1" t="n">
        <v>44062</v>
      </c>
      <c r="C1205" s="1" t="n">
        <v>45883</v>
      </c>
      <c r="D1205" t="inlineStr">
        <is>
          <t>GÄVLEBORGS LÄN</t>
        </is>
      </c>
      <c r="E1205" t="inlineStr">
        <is>
          <t>OVANÅKER</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64633-2021</t>
        </is>
      </c>
      <c r="B1206" s="1" t="n">
        <v>44511.92282407408</v>
      </c>
      <c r="C1206" s="1" t="n">
        <v>45883</v>
      </c>
      <c r="D1206" t="inlineStr">
        <is>
          <t>GÄVLEBORGS LÄN</t>
        </is>
      </c>
      <c r="E1206" t="inlineStr">
        <is>
          <t>BOLLNÄS</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35387-2022</t>
        </is>
      </c>
      <c r="B1207" s="1" t="n">
        <v>44798.59079861111</v>
      </c>
      <c r="C1207" s="1" t="n">
        <v>45883</v>
      </c>
      <c r="D1207" t="inlineStr">
        <is>
          <t>GÄVLEBORGS LÄN</t>
        </is>
      </c>
      <c r="E1207" t="inlineStr">
        <is>
          <t>LJUSDAL</t>
        </is>
      </c>
      <c r="F1207" t="inlineStr">
        <is>
          <t>Sveaskog</t>
        </is>
      </c>
      <c r="G1207" t="n">
        <v>6.4</v>
      </c>
      <c r="H1207" t="n">
        <v>0</v>
      </c>
      <c r="I1207" t="n">
        <v>0</v>
      </c>
      <c r="J1207" t="n">
        <v>0</v>
      </c>
      <c r="K1207" t="n">
        <v>0</v>
      </c>
      <c r="L1207" t="n">
        <v>0</v>
      </c>
      <c r="M1207" t="n">
        <v>0</v>
      </c>
      <c r="N1207" t="n">
        <v>0</v>
      </c>
      <c r="O1207" t="n">
        <v>0</v>
      </c>
      <c r="P1207" t="n">
        <v>0</v>
      </c>
      <c r="Q1207" t="n">
        <v>0</v>
      </c>
      <c r="R1207" s="2" t="inlineStr"/>
    </row>
    <row r="1208" ht="15" customHeight="1">
      <c r="A1208" t="inlineStr">
        <is>
          <t>A 12207-2021</t>
        </is>
      </c>
      <c r="B1208" s="1" t="n">
        <v>44266.65435185185</v>
      </c>
      <c r="C1208" s="1" t="n">
        <v>45883</v>
      </c>
      <c r="D1208" t="inlineStr">
        <is>
          <t>GÄVLEBORGS LÄN</t>
        </is>
      </c>
      <c r="E1208" t="inlineStr">
        <is>
          <t>OVANÅKER</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38341-2022</t>
        </is>
      </c>
      <c r="B1209" s="1" t="n">
        <v>44812.61805555555</v>
      </c>
      <c r="C1209" s="1" t="n">
        <v>45883</v>
      </c>
      <c r="D1209" t="inlineStr">
        <is>
          <t>GÄVLEBORGS LÄN</t>
        </is>
      </c>
      <c r="E1209" t="inlineStr">
        <is>
          <t>HUDIKSVALL</t>
        </is>
      </c>
      <c r="F1209" t="inlineStr">
        <is>
          <t>Holmen skog AB</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35129-2022</t>
        </is>
      </c>
      <c r="B1210" s="1" t="n">
        <v>44797.47615740741</v>
      </c>
      <c r="C1210" s="1" t="n">
        <v>45883</v>
      </c>
      <c r="D1210" t="inlineStr">
        <is>
          <t>GÄVLEBORGS LÄN</t>
        </is>
      </c>
      <c r="E1210" t="inlineStr">
        <is>
          <t>NORDANSTIG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59154-2020</t>
        </is>
      </c>
      <c r="B1211" s="1" t="n">
        <v>44147</v>
      </c>
      <c r="C1211" s="1" t="n">
        <v>45883</v>
      </c>
      <c r="D1211" t="inlineStr">
        <is>
          <t>GÄVLEBORGS LÄN</t>
        </is>
      </c>
      <c r="E1211" t="inlineStr">
        <is>
          <t>BOLLNÄS</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19308-2022</t>
        </is>
      </c>
      <c r="B1212" s="1" t="n">
        <v>44692.55635416666</v>
      </c>
      <c r="C1212" s="1" t="n">
        <v>45883</v>
      </c>
      <c r="D1212" t="inlineStr">
        <is>
          <t>GÄVLEBORGS LÄN</t>
        </is>
      </c>
      <c r="E1212" t="inlineStr">
        <is>
          <t>OVANÅKER</t>
        </is>
      </c>
      <c r="F1212" t="inlineStr">
        <is>
          <t>Sveaskog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50278-2021</t>
        </is>
      </c>
      <c r="B1213" s="1" t="n">
        <v>44456</v>
      </c>
      <c r="C1213" s="1" t="n">
        <v>45883</v>
      </c>
      <c r="D1213" t="inlineStr">
        <is>
          <t>GÄVLEBORGS LÄN</t>
        </is>
      </c>
      <c r="E1213" t="inlineStr">
        <is>
          <t>HOFORS</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61622-2021</t>
        </is>
      </c>
      <c r="B1214" s="1" t="n">
        <v>44501.49077546296</v>
      </c>
      <c r="C1214" s="1" t="n">
        <v>45883</v>
      </c>
      <c r="D1214" t="inlineStr">
        <is>
          <t>GÄVLEBORGS LÄN</t>
        </is>
      </c>
      <c r="E1214" t="inlineStr">
        <is>
          <t>OCKELBO</t>
        </is>
      </c>
      <c r="F1214" t="inlineStr">
        <is>
          <t>Bergvik skog väst AB</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11172-2022</t>
        </is>
      </c>
      <c r="B1215" s="1" t="n">
        <v>44629.44729166666</v>
      </c>
      <c r="C1215" s="1" t="n">
        <v>45883</v>
      </c>
      <c r="D1215" t="inlineStr">
        <is>
          <t>GÄVLEBORGS LÄN</t>
        </is>
      </c>
      <c r="E1215" t="inlineStr">
        <is>
          <t>HUDIKSVALL</t>
        </is>
      </c>
      <c r="F1215" t="inlineStr">
        <is>
          <t>Holmen skog AB</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45522-2021</t>
        </is>
      </c>
      <c r="B1216" s="1" t="n">
        <v>44440</v>
      </c>
      <c r="C1216" s="1" t="n">
        <v>45883</v>
      </c>
      <c r="D1216" t="inlineStr">
        <is>
          <t>GÄVLEBORGS LÄN</t>
        </is>
      </c>
      <c r="E1216" t="inlineStr">
        <is>
          <t>OCKELBO</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51271-2021</t>
        </is>
      </c>
      <c r="B1217" s="1" t="n">
        <v>44460</v>
      </c>
      <c r="C1217" s="1" t="n">
        <v>45883</v>
      </c>
      <c r="D1217" t="inlineStr">
        <is>
          <t>GÄVLEBORGS LÄN</t>
        </is>
      </c>
      <c r="E1217" t="inlineStr">
        <is>
          <t>OCKELBO</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33180-2021</t>
        </is>
      </c>
      <c r="B1218" s="1" t="n">
        <v>44376</v>
      </c>
      <c r="C1218" s="1" t="n">
        <v>45883</v>
      </c>
      <c r="D1218" t="inlineStr">
        <is>
          <t>GÄVLEBORGS LÄN</t>
        </is>
      </c>
      <c r="E1218" t="inlineStr">
        <is>
          <t>OVANÅKER</t>
        </is>
      </c>
      <c r="F1218" t="inlineStr">
        <is>
          <t>Sveaskog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8328-2022</t>
        </is>
      </c>
      <c r="B1219" s="1" t="n">
        <v>44610</v>
      </c>
      <c r="C1219" s="1" t="n">
        <v>45883</v>
      </c>
      <c r="D1219" t="inlineStr">
        <is>
          <t>GÄVLEBORGS LÄN</t>
        </is>
      </c>
      <c r="E1219" t="inlineStr">
        <is>
          <t>HUDIKSVALL</t>
        </is>
      </c>
      <c r="G1219" t="n">
        <v>11.9</v>
      </c>
      <c r="H1219" t="n">
        <v>0</v>
      </c>
      <c r="I1219" t="n">
        <v>0</v>
      </c>
      <c r="J1219" t="n">
        <v>0</v>
      </c>
      <c r="K1219" t="n">
        <v>0</v>
      </c>
      <c r="L1219" t="n">
        <v>0</v>
      </c>
      <c r="M1219" t="n">
        <v>0</v>
      </c>
      <c r="N1219" t="n">
        <v>0</v>
      </c>
      <c r="O1219" t="n">
        <v>0</v>
      </c>
      <c r="P1219" t="n">
        <v>0</v>
      </c>
      <c r="Q1219" t="n">
        <v>0</v>
      </c>
      <c r="R1219" s="2" t="inlineStr"/>
    </row>
    <row r="1220" ht="15" customHeight="1">
      <c r="A1220" t="inlineStr">
        <is>
          <t>A 12108-2022</t>
        </is>
      </c>
      <c r="B1220" s="1" t="n">
        <v>44636</v>
      </c>
      <c r="C1220" s="1" t="n">
        <v>45883</v>
      </c>
      <c r="D1220" t="inlineStr">
        <is>
          <t>GÄVLEBORGS LÄN</t>
        </is>
      </c>
      <c r="E1220" t="inlineStr">
        <is>
          <t>BOLLNÄS</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71698-2021</t>
        </is>
      </c>
      <c r="B1221" s="1" t="n">
        <v>44543.43693287037</v>
      </c>
      <c r="C1221" s="1" t="n">
        <v>45883</v>
      </c>
      <c r="D1221" t="inlineStr">
        <is>
          <t>GÄVLEBORGS LÄN</t>
        </is>
      </c>
      <c r="E1221" t="inlineStr">
        <is>
          <t>LJUSDAL</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30556-2022</t>
        </is>
      </c>
      <c r="B1222" s="1" t="n">
        <v>44762</v>
      </c>
      <c r="C1222" s="1" t="n">
        <v>45883</v>
      </c>
      <c r="D1222" t="inlineStr">
        <is>
          <t>GÄVLEBORGS LÄN</t>
        </is>
      </c>
      <c r="E1222" t="inlineStr">
        <is>
          <t>LJUSDAL</t>
        </is>
      </c>
      <c r="F1222" t="inlineStr">
        <is>
          <t>Bergvik skog väst AB</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37565-2021</t>
        </is>
      </c>
      <c r="B1223" s="1" t="n">
        <v>44399</v>
      </c>
      <c r="C1223" s="1" t="n">
        <v>45883</v>
      </c>
      <c r="D1223" t="inlineStr">
        <is>
          <t>GÄVLEBORGS LÄN</t>
        </is>
      </c>
      <c r="E1223" t="inlineStr">
        <is>
          <t>OCKELBO</t>
        </is>
      </c>
      <c r="G1223" t="n">
        <v>6</v>
      </c>
      <c r="H1223" t="n">
        <v>0</v>
      </c>
      <c r="I1223" t="n">
        <v>0</v>
      </c>
      <c r="J1223" t="n">
        <v>0</v>
      </c>
      <c r="K1223" t="n">
        <v>0</v>
      </c>
      <c r="L1223" t="n">
        <v>0</v>
      </c>
      <c r="M1223" t="n">
        <v>0</v>
      </c>
      <c r="N1223" t="n">
        <v>0</v>
      </c>
      <c r="O1223" t="n">
        <v>0</v>
      </c>
      <c r="P1223" t="n">
        <v>0</v>
      </c>
      <c r="Q1223" t="n">
        <v>0</v>
      </c>
      <c r="R1223" s="2" t="inlineStr"/>
    </row>
    <row r="1224" ht="15" customHeight="1">
      <c r="A1224" t="inlineStr">
        <is>
          <t>A 54390-2022</t>
        </is>
      </c>
      <c r="B1224" s="1" t="n">
        <v>44882.52335648148</v>
      </c>
      <c r="C1224" s="1" t="n">
        <v>45883</v>
      </c>
      <c r="D1224" t="inlineStr">
        <is>
          <t>GÄVLEBORGS LÄN</t>
        </is>
      </c>
      <c r="E1224" t="inlineStr">
        <is>
          <t>GÄVLE</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60481-2021</t>
        </is>
      </c>
      <c r="B1225" s="1" t="n">
        <v>44496</v>
      </c>
      <c r="C1225" s="1" t="n">
        <v>45883</v>
      </c>
      <c r="D1225" t="inlineStr">
        <is>
          <t>GÄVLEBORGS LÄN</t>
        </is>
      </c>
      <c r="E1225" t="inlineStr">
        <is>
          <t>BOLLNÄS</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62146-2021</t>
        </is>
      </c>
      <c r="B1226" s="1" t="n">
        <v>44502</v>
      </c>
      <c r="C1226" s="1" t="n">
        <v>45883</v>
      </c>
      <c r="D1226" t="inlineStr">
        <is>
          <t>GÄVLEBORGS LÄN</t>
        </is>
      </c>
      <c r="E1226" t="inlineStr">
        <is>
          <t>LJUSDAL</t>
        </is>
      </c>
      <c r="G1226" t="n">
        <v>6</v>
      </c>
      <c r="H1226" t="n">
        <v>0</v>
      </c>
      <c r="I1226" t="n">
        <v>0</v>
      </c>
      <c r="J1226" t="n">
        <v>0</v>
      </c>
      <c r="K1226" t="n">
        <v>0</v>
      </c>
      <c r="L1226" t="n">
        <v>0</v>
      </c>
      <c r="M1226" t="n">
        <v>0</v>
      </c>
      <c r="N1226" t="n">
        <v>0</v>
      </c>
      <c r="O1226" t="n">
        <v>0</v>
      </c>
      <c r="P1226" t="n">
        <v>0</v>
      </c>
      <c r="Q1226" t="n">
        <v>0</v>
      </c>
      <c r="R1226" s="2" t="inlineStr"/>
    </row>
    <row r="1227" ht="15" customHeight="1">
      <c r="A1227" t="inlineStr">
        <is>
          <t>A 16559-2021</t>
        </is>
      </c>
      <c r="B1227" s="1" t="n">
        <v>44293.91796296297</v>
      </c>
      <c r="C1227" s="1" t="n">
        <v>45883</v>
      </c>
      <c r="D1227" t="inlineStr">
        <is>
          <t>GÄVLEBORGS LÄN</t>
        </is>
      </c>
      <c r="E1227" t="inlineStr">
        <is>
          <t>HUDIKSVALL</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15705-2022</t>
        </is>
      </c>
      <c r="B1228" s="1" t="n">
        <v>44663.44337962963</v>
      </c>
      <c r="C1228" s="1" t="n">
        <v>45883</v>
      </c>
      <c r="D1228" t="inlineStr">
        <is>
          <t>GÄVLEBORGS LÄN</t>
        </is>
      </c>
      <c r="E1228" t="inlineStr">
        <is>
          <t>OCKELBO</t>
        </is>
      </c>
      <c r="F1228" t="inlineStr">
        <is>
          <t>Bergvik skog väst AB</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34457-2022</t>
        </is>
      </c>
      <c r="B1229" s="1" t="n">
        <v>44792</v>
      </c>
      <c r="C1229" s="1" t="n">
        <v>45883</v>
      </c>
      <c r="D1229" t="inlineStr">
        <is>
          <t>GÄVLEBORGS LÄN</t>
        </is>
      </c>
      <c r="E1229" t="inlineStr">
        <is>
          <t>LJUSDAL</t>
        </is>
      </c>
      <c r="F1229" t="inlineStr">
        <is>
          <t>Sveaskog</t>
        </is>
      </c>
      <c r="G1229" t="n">
        <v>11.1</v>
      </c>
      <c r="H1229" t="n">
        <v>0</v>
      </c>
      <c r="I1229" t="n">
        <v>0</v>
      </c>
      <c r="J1229" t="n">
        <v>0</v>
      </c>
      <c r="K1229" t="n">
        <v>0</v>
      </c>
      <c r="L1229" t="n">
        <v>0</v>
      </c>
      <c r="M1229" t="n">
        <v>0</v>
      </c>
      <c r="N1229" t="n">
        <v>0</v>
      </c>
      <c r="O1229" t="n">
        <v>0</v>
      </c>
      <c r="P1229" t="n">
        <v>0</v>
      </c>
      <c r="Q1229" t="n">
        <v>0</v>
      </c>
      <c r="R1229" s="2" t="inlineStr"/>
    </row>
    <row r="1230" ht="15" customHeight="1">
      <c r="A1230" t="inlineStr">
        <is>
          <t>A 11993-2022</t>
        </is>
      </c>
      <c r="B1230" s="1" t="n">
        <v>44635.71787037037</v>
      </c>
      <c r="C1230" s="1" t="n">
        <v>45883</v>
      </c>
      <c r="D1230" t="inlineStr">
        <is>
          <t>GÄVLEBORGS LÄN</t>
        </is>
      </c>
      <c r="E1230" t="inlineStr">
        <is>
          <t>SANDVIKEN</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45367-2021</t>
        </is>
      </c>
      <c r="B1231" s="1" t="n">
        <v>44440.27378472222</v>
      </c>
      <c r="C1231" s="1" t="n">
        <v>45883</v>
      </c>
      <c r="D1231" t="inlineStr">
        <is>
          <t>GÄVLEBORGS LÄN</t>
        </is>
      </c>
      <c r="E1231" t="inlineStr">
        <is>
          <t>LJUSDAL</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45368-2021</t>
        </is>
      </c>
      <c r="B1232" s="1" t="n">
        <v>44440</v>
      </c>
      <c r="C1232" s="1" t="n">
        <v>45883</v>
      </c>
      <c r="D1232" t="inlineStr">
        <is>
          <t>GÄVLEBORGS LÄN</t>
        </is>
      </c>
      <c r="E1232" t="inlineStr">
        <is>
          <t>LJUSDAL</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35245-2021</t>
        </is>
      </c>
      <c r="B1233" s="1" t="n">
        <v>44384.58857638889</v>
      </c>
      <c r="C1233" s="1" t="n">
        <v>45883</v>
      </c>
      <c r="D1233" t="inlineStr">
        <is>
          <t>GÄVLEBORGS LÄN</t>
        </is>
      </c>
      <c r="E1233" t="inlineStr">
        <is>
          <t>OCKELBO</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23087-2022</t>
        </is>
      </c>
      <c r="B1234" s="1" t="n">
        <v>44719.48083333333</v>
      </c>
      <c r="C1234" s="1" t="n">
        <v>45883</v>
      </c>
      <c r="D1234" t="inlineStr">
        <is>
          <t>GÄVLEBORGS LÄN</t>
        </is>
      </c>
      <c r="E1234" t="inlineStr">
        <is>
          <t>LJUSDAL</t>
        </is>
      </c>
      <c r="F1234" t="inlineStr">
        <is>
          <t>Sveaskog</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22334-2021</t>
        </is>
      </c>
      <c r="B1235" s="1" t="n">
        <v>44326</v>
      </c>
      <c r="C1235" s="1" t="n">
        <v>45883</v>
      </c>
      <c r="D1235" t="inlineStr">
        <is>
          <t>GÄVLEBORGS LÄN</t>
        </is>
      </c>
      <c r="E1235" t="inlineStr">
        <is>
          <t>BOLLNÄS</t>
        </is>
      </c>
      <c r="F1235" t="inlineStr">
        <is>
          <t>Sveaskog</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9593-2022</t>
        </is>
      </c>
      <c r="B1236" s="1" t="n">
        <v>44617</v>
      </c>
      <c r="C1236" s="1" t="n">
        <v>45883</v>
      </c>
      <c r="D1236" t="inlineStr">
        <is>
          <t>GÄVLEBORGS LÄN</t>
        </is>
      </c>
      <c r="E1236" t="inlineStr">
        <is>
          <t>OVANÅKER</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10030-2021</t>
        </is>
      </c>
      <c r="B1237" s="1" t="n">
        <v>44256</v>
      </c>
      <c r="C1237" s="1" t="n">
        <v>45883</v>
      </c>
      <c r="D1237" t="inlineStr">
        <is>
          <t>GÄVLEBORGS LÄN</t>
        </is>
      </c>
      <c r="E1237" t="inlineStr">
        <is>
          <t>HUDIKSVALL</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40403-2022</t>
        </is>
      </c>
      <c r="B1238" s="1" t="n">
        <v>44823</v>
      </c>
      <c r="C1238" s="1" t="n">
        <v>45883</v>
      </c>
      <c r="D1238" t="inlineStr">
        <is>
          <t>GÄVLEBORGS LÄN</t>
        </is>
      </c>
      <c r="E1238" t="inlineStr">
        <is>
          <t>OVANÅKER</t>
        </is>
      </c>
      <c r="F1238" t="inlineStr">
        <is>
          <t>Bergvik skog väst AB</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33178-2022</t>
        </is>
      </c>
      <c r="B1239" s="1" t="n">
        <v>44785.60922453704</v>
      </c>
      <c r="C1239" s="1" t="n">
        <v>45883</v>
      </c>
      <c r="D1239" t="inlineStr">
        <is>
          <t>GÄVLEBORGS LÄN</t>
        </is>
      </c>
      <c r="E1239" t="inlineStr">
        <is>
          <t>GÄVLE</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2946-2022</t>
        </is>
      </c>
      <c r="B1240" s="1" t="n">
        <v>44581.62998842593</v>
      </c>
      <c r="C1240" s="1" t="n">
        <v>45883</v>
      </c>
      <c r="D1240" t="inlineStr">
        <is>
          <t>GÄVLEBORGS LÄN</t>
        </is>
      </c>
      <c r="E1240" t="inlineStr">
        <is>
          <t>OVANÅKER</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56458-2020</t>
        </is>
      </c>
      <c r="B1241" s="1" t="n">
        <v>44137</v>
      </c>
      <c r="C1241" s="1" t="n">
        <v>45883</v>
      </c>
      <c r="D1241" t="inlineStr">
        <is>
          <t>GÄVLEBORGS LÄN</t>
        </is>
      </c>
      <c r="E1241" t="inlineStr">
        <is>
          <t>HUDIKSVALL</t>
        </is>
      </c>
      <c r="F1241" t="inlineStr">
        <is>
          <t>Sveaskog</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48734-2020</t>
        </is>
      </c>
      <c r="B1242" s="1" t="n">
        <v>44103</v>
      </c>
      <c r="C1242" s="1" t="n">
        <v>45883</v>
      </c>
      <c r="D1242" t="inlineStr">
        <is>
          <t>GÄVLEBORGS LÄN</t>
        </is>
      </c>
      <c r="E1242" t="inlineStr">
        <is>
          <t>BOLLNÄS</t>
        </is>
      </c>
      <c r="G1242" t="n">
        <v>10.4</v>
      </c>
      <c r="H1242" t="n">
        <v>0</v>
      </c>
      <c r="I1242" t="n">
        <v>0</v>
      </c>
      <c r="J1242" t="n">
        <v>0</v>
      </c>
      <c r="K1242" t="n">
        <v>0</v>
      </c>
      <c r="L1242" t="n">
        <v>0</v>
      </c>
      <c r="M1242" t="n">
        <v>0</v>
      </c>
      <c r="N1242" t="n">
        <v>0</v>
      </c>
      <c r="O1242" t="n">
        <v>0</v>
      </c>
      <c r="P1242" t="n">
        <v>0</v>
      </c>
      <c r="Q1242" t="n">
        <v>0</v>
      </c>
      <c r="R1242" s="2" t="inlineStr"/>
    </row>
    <row r="1243" ht="15" customHeight="1">
      <c r="A1243" t="inlineStr">
        <is>
          <t>A 52962-2020</t>
        </is>
      </c>
      <c r="B1243" s="1" t="n">
        <v>44120</v>
      </c>
      <c r="C1243" s="1" t="n">
        <v>45883</v>
      </c>
      <c r="D1243" t="inlineStr">
        <is>
          <t>GÄVLEBORGS LÄN</t>
        </is>
      </c>
      <c r="E1243" t="inlineStr">
        <is>
          <t>OVANÅKER</t>
        </is>
      </c>
      <c r="G1243" t="n">
        <v>5.3</v>
      </c>
      <c r="H1243" t="n">
        <v>0</v>
      </c>
      <c r="I1243" t="n">
        <v>0</v>
      </c>
      <c r="J1243" t="n">
        <v>0</v>
      </c>
      <c r="K1243" t="n">
        <v>0</v>
      </c>
      <c r="L1243" t="n">
        <v>0</v>
      </c>
      <c r="M1243" t="n">
        <v>0</v>
      </c>
      <c r="N1243" t="n">
        <v>0</v>
      </c>
      <c r="O1243" t="n">
        <v>0</v>
      </c>
      <c r="P1243" t="n">
        <v>0</v>
      </c>
      <c r="Q1243" t="n">
        <v>0</v>
      </c>
      <c r="R1243" s="2" t="inlineStr"/>
    </row>
    <row r="1244" ht="15" customHeight="1">
      <c r="A1244" t="inlineStr">
        <is>
          <t>A 52966-2020</t>
        </is>
      </c>
      <c r="B1244" s="1" t="n">
        <v>44120.40053240741</v>
      </c>
      <c r="C1244" s="1" t="n">
        <v>45883</v>
      </c>
      <c r="D1244" t="inlineStr">
        <is>
          <t>GÄVLEBORGS LÄN</t>
        </is>
      </c>
      <c r="E1244" t="inlineStr">
        <is>
          <t>NORDANSTIG</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40110-2022</t>
        </is>
      </c>
      <c r="B1245" s="1" t="n">
        <v>44820.49546296296</v>
      </c>
      <c r="C1245" s="1" t="n">
        <v>45883</v>
      </c>
      <c r="D1245" t="inlineStr">
        <is>
          <t>GÄVLEBORGS LÄN</t>
        </is>
      </c>
      <c r="E1245" t="inlineStr">
        <is>
          <t>NORDANSTIG</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41919-2021</t>
        </is>
      </c>
      <c r="B1246" s="1" t="n">
        <v>44426</v>
      </c>
      <c r="C1246" s="1" t="n">
        <v>45883</v>
      </c>
      <c r="D1246" t="inlineStr">
        <is>
          <t>GÄVLEBORGS LÄN</t>
        </is>
      </c>
      <c r="E1246" t="inlineStr">
        <is>
          <t>LJUSDAL</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10858-2022</t>
        </is>
      </c>
      <c r="B1247" s="1" t="n">
        <v>44627</v>
      </c>
      <c r="C1247" s="1" t="n">
        <v>45883</v>
      </c>
      <c r="D1247" t="inlineStr">
        <is>
          <t>GÄVLEBORGS LÄN</t>
        </is>
      </c>
      <c r="E1247" t="inlineStr">
        <is>
          <t>HUDIKSVALL</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28683-2021</t>
        </is>
      </c>
      <c r="B1248" s="1" t="n">
        <v>44357.40423611111</v>
      </c>
      <c r="C1248" s="1" t="n">
        <v>45883</v>
      </c>
      <c r="D1248" t="inlineStr">
        <is>
          <t>GÄVLEBORGS LÄN</t>
        </is>
      </c>
      <c r="E1248" t="inlineStr">
        <is>
          <t>LJUSDAL</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20171-2022</t>
        </is>
      </c>
      <c r="B1249" s="1" t="n">
        <v>44698</v>
      </c>
      <c r="C1249" s="1" t="n">
        <v>45883</v>
      </c>
      <c r="D1249" t="inlineStr">
        <is>
          <t>GÄVLEBORGS LÄN</t>
        </is>
      </c>
      <c r="E1249" t="inlineStr">
        <is>
          <t>SÖDERHAMN</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45280-2022</t>
        </is>
      </c>
      <c r="B1250" s="1" t="n">
        <v>44840</v>
      </c>
      <c r="C1250" s="1" t="n">
        <v>45883</v>
      </c>
      <c r="D1250" t="inlineStr">
        <is>
          <t>GÄVLEBORGS LÄN</t>
        </is>
      </c>
      <c r="E1250" t="inlineStr">
        <is>
          <t>GÄVLE</t>
        </is>
      </c>
      <c r="F1250" t="inlineStr">
        <is>
          <t>Bergvik skog väst AB</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44151-2022</t>
        </is>
      </c>
      <c r="B1251" s="1" t="n">
        <v>44839</v>
      </c>
      <c r="C1251" s="1" t="n">
        <v>45883</v>
      </c>
      <c r="D1251" t="inlineStr">
        <is>
          <t>GÄVLEBORGS LÄN</t>
        </is>
      </c>
      <c r="E1251" t="inlineStr">
        <is>
          <t>BOLLNÄS</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49160-2020</t>
        </is>
      </c>
      <c r="B1252" s="1" t="n">
        <v>44104</v>
      </c>
      <c r="C1252" s="1" t="n">
        <v>45883</v>
      </c>
      <c r="D1252" t="inlineStr">
        <is>
          <t>GÄVLEBORGS LÄN</t>
        </is>
      </c>
      <c r="E1252" t="inlineStr">
        <is>
          <t>NORDANSTIG</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49191-2020</t>
        </is>
      </c>
      <c r="B1253" s="1" t="n">
        <v>44105.33461805555</v>
      </c>
      <c r="C1253" s="1" t="n">
        <v>45883</v>
      </c>
      <c r="D1253" t="inlineStr">
        <is>
          <t>GÄVLEBORGS LÄN</t>
        </is>
      </c>
      <c r="E1253" t="inlineStr">
        <is>
          <t>OVANÅKER</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20272-2022</t>
        </is>
      </c>
      <c r="B1254" s="1" t="n">
        <v>44698.68241898148</v>
      </c>
      <c r="C1254" s="1" t="n">
        <v>45883</v>
      </c>
      <c r="D1254" t="inlineStr">
        <is>
          <t>GÄVLEBORGS LÄN</t>
        </is>
      </c>
      <c r="E1254" t="inlineStr">
        <is>
          <t>SÖDERHAMN</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20926-2022</t>
        </is>
      </c>
      <c r="B1255" s="1" t="n">
        <v>44701</v>
      </c>
      <c r="C1255" s="1" t="n">
        <v>45883</v>
      </c>
      <c r="D1255" t="inlineStr">
        <is>
          <t>GÄVLEBORGS LÄN</t>
        </is>
      </c>
      <c r="E1255" t="inlineStr">
        <is>
          <t>OVANÅKER</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25087-2022</t>
        </is>
      </c>
      <c r="B1256" s="1" t="n">
        <v>44729</v>
      </c>
      <c r="C1256" s="1" t="n">
        <v>45883</v>
      </c>
      <c r="D1256" t="inlineStr">
        <is>
          <t>GÄVLEBORGS LÄN</t>
        </is>
      </c>
      <c r="E1256" t="inlineStr">
        <is>
          <t>OVANÅKER</t>
        </is>
      </c>
      <c r="F1256" t="inlineStr">
        <is>
          <t>Bergvik skog väst AB</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24217-2022</t>
        </is>
      </c>
      <c r="B1257" s="1" t="n">
        <v>44725.62199074074</v>
      </c>
      <c r="C1257" s="1" t="n">
        <v>45883</v>
      </c>
      <c r="D1257" t="inlineStr">
        <is>
          <t>GÄVLEBORGS LÄN</t>
        </is>
      </c>
      <c r="E1257" t="inlineStr">
        <is>
          <t>LJUSDAL</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51249-2021</t>
        </is>
      </c>
      <c r="B1258" s="1" t="n">
        <v>44461</v>
      </c>
      <c r="C1258" s="1" t="n">
        <v>45883</v>
      </c>
      <c r="D1258" t="inlineStr">
        <is>
          <t>GÄVLEBORGS LÄN</t>
        </is>
      </c>
      <c r="E1258" t="inlineStr">
        <is>
          <t>GÄVLE</t>
        </is>
      </c>
      <c r="F1258" t="inlineStr">
        <is>
          <t>Bergvik skog öst AB</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23966-2021</t>
        </is>
      </c>
      <c r="B1259" s="1" t="n">
        <v>44335.67445601852</v>
      </c>
      <c r="C1259" s="1" t="n">
        <v>45883</v>
      </c>
      <c r="D1259" t="inlineStr">
        <is>
          <t>GÄVLEBORGS LÄN</t>
        </is>
      </c>
      <c r="E1259" t="inlineStr">
        <is>
          <t>LJUSDAL</t>
        </is>
      </c>
      <c r="F1259" t="inlineStr">
        <is>
          <t>Holmen skog AB</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24075-2021</t>
        </is>
      </c>
      <c r="B1260" s="1" t="n">
        <v>44336.41662037037</v>
      </c>
      <c r="C1260" s="1" t="n">
        <v>45883</v>
      </c>
      <c r="D1260" t="inlineStr">
        <is>
          <t>GÄVLEBORGS LÄN</t>
        </is>
      </c>
      <c r="E1260" t="inlineStr">
        <is>
          <t>OVANÅKER</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46064-2022</t>
        </is>
      </c>
      <c r="B1261" s="1" t="n">
        <v>44847</v>
      </c>
      <c r="C1261" s="1" t="n">
        <v>45883</v>
      </c>
      <c r="D1261" t="inlineStr">
        <is>
          <t>GÄVLEBORGS LÄN</t>
        </is>
      </c>
      <c r="E1261" t="inlineStr">
        <is>
          <t>HUDIKSVALL</t>
        </is>
      </c>
      <c r="F1261" t="inlineStr">
        <is>
          <t>Naturvårdsverket</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22654-2022</t>
        </is>
      </c>
      <c r="B1262" s="1" t="n">
        <v>44714</v>
      </c>
      <c r="C1262" s="1" t="n">
        <v>45883</v>
      </c>
      <c r="D1262" t="inlineStr">
        <is>
          <t>GÄVLEBORGS LÄN</t>
        </is>
      </c>
      <c r="E1262" t="inlineStr">
        <is>
          <t>SANDVIKEN</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51274-2020</t>
        </is>
      </c>
      <c r="B1263" s="1" t="n">
        <v>44112</v>
      </c>
      <c r="C1263" s="1" t="n">
        <v>45883</v>
      </c>
      <c r="D1263" t="inlineStr">
        <is>
          <t>GÄVLEBORGS LÄN</t>
        </is>
      </c>
      <c r="E1263" t="inlineStr">
        <is>
          <t>OVANÅKER</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36470-2022</t>
        </is>
      </c>
      <c r="B1264" s="1" t="n">
        <v>44804</v>
      </c>
      <c r="C1264" s="1" t="n">
        <v>45883</v>
      </c>
      <c r="D1264" t="inlineStr">
        <is>
          <t>GÄVLEBORGS LÄN</t>
        </is>
      </c>
      <c r="E1264" t="inlineStr">
        <is>
          <t>LJUSDAL</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44014-2020</t>
        </is>
      </c>
      <c r="B1265" s="1" t="n">
        <v>44083</v>
      </c>
      <c r="C1265" s="1" t="n">
        <v>45883</v>
      </c>
      <c r="D1265" t="inlineStr">
        <is>
          <t>GÄVLEBORGS LÄN</t>
        </is>
      </c>
      <c r="E1265" t="inlineStr">
        <is>
          <t>BOLLNÄS</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20022-2022</t>
        </is>
      </c>
      <c r="B1266" s="1" t="n">
        <v>44697</v>
      </c>
      <c r="C1266" s="1" t="n">
        <v>45883</v>
      </c>
      <c r="D1266" t="inlineStr">
        <is>
          <t>GÄVLEBORGS LÄN</t>
        </is>
      </c>
      <c r="E1266" t="inlineStr">
        <is>
          <t>HUDIKSVALL</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51086-2020</t>
        </is>
      </c>
      <c r="B1267" s="1" t="n">
        <v>44112</v>
      </c>
      <c r="C1267" s="1" t="n">
        <v>45883</v>
      </c>
      <c r="D1267" t="inlineStr">
        <is>
          <t>GÄVLEBORGS LÄN</t>
        </is>
      </c>
      <c r="E1267" t="inlineStr">
        <is>
          <t>OVANÅKER</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16985-2021</t>
        </is>
      </c>
      <c r="B1268" s="1" t="n">
        <v>44295.6012962963</v>
      </c>
      <c r="C1268" s="1" t="n">
        <v>45883</v>
      </c>
      <c r="D1268" t="inlineStr">
        <is>
          <t>GÄVLEBORGS LÄN</t>
        </is>
      </c>
      <c r="E1268" t="inlineStr">
        <is>
          <t>HOFORS</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23066-2021</t>
        </is>
      </c>
      <c r="B1269" s="1" t="n">
        <v>44329</v>
      </c>
      <c r="C1269" s="1" t="n">
        <v>45883</v>
      </c>
      <c r="D1269" t="inlineStr">
        <is>
          <t>GÄVLEBORGS LÄN</t>
        </is>
      </c>
      <c r="E1269" t="inlineStr">
        <is>
          <t>NORDANSTIG</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23179-2021</t>
        </is>
      </c>
      <c r="B1270" s="1" t="n">
        <v>44333.30881944444</v>
      </c>
      <c r="C1270" s="1" t="n">
        <v>45883</v>
      </c>
      <c r="D1270" t="inlineStr">
        <is>
          <t>GÄVLEBORGS LÄN</t>
        </is>
      </c>
      <c r="E1270" t="inlineStr">
        <is>
          <t>BOLLNÄS</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56410-2021</t>
        </is>
      </c>
      <c r="B1271" s="1" t="n">
        <v>44480.46203703704</v>
      </c>
      <c r="C1271" s="1" t="n">
        <v>45883</v>
      </c>
      <c r="D1271" t="inlineStr">
        <is>
          <t>GÄVLEBORGS LÄN</t>
        </is>
      </c>
      <c r="E1271" t="inlineStr">
        <is>
          <t>BOLLNÄS</t>
        </is>
      </c>
      <c r="F1271" t="inlineStr">
        <is>
          <t>Bergvik skog väst AB</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39052-2021</t>
        </is>
      </c>
      <c r="B1272" s="1" t="n">
        <v>44412.52725694444</v>
      </c>
      <c r="C1272" s="1" t="n">
        <v>45883</v>
      </c>
      <c r="D1272" t="inlineStr">
        <is>
          <t>GÄVLEBORGS LÄN</t>
        </is>
      </c>
      <c r="E1272" t="inlineStr">
        <is>
          <t>NORDANSTIG</t>
        </is>
      </c>
      <c r="F1272" t="inlineStr">
        <is>
          <t>Holmen skog AB</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53470-2020</t>
        </is>
      </c>
      <c r="B1273" s="1" t="n">
        <v>44123</v>
      </c>
      <c r="C1273" s="1" t="n">
        <v>45883</v>
      </c>
      <c r="D1273" t="inlineStr">
        <is>
          <t>GÄVLEBORGS LÄN</t>
        </is>
      </c>
      <c r="E1273" t="inlineStr">
        <is>
          <t>GÄVLE</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45272-2021</t>
        </is>
      </c>
      <c r="B1274" s="1" t="n">
        <v>44439.64534722222</v>
      </c>
      <c r="C1274" s="1" t="n">
        <v>45883</v>
      </c>
      <c r="D1274" t="inlineStr">
        <is>
          <t>GÄVLEBORGS LÄN</t>
        </is>
      </c>
      <c r="E1274" t="inlineStr">
        <is>
          <t>NORDANSTIG</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71973-2021</t>
        </is>
      </c>
      <c r="B1275" s="1" t="n">
        <v>44544</v>
      </c>
      <c r="C1275" s="1" t="n">
        <v>45883</v>
      </c>
      <c r="D1275" t="inlineStr">
        <is>
          <t>GÄVLEBORGS LÄN</t>
        </is>
      </c>
      <c r="E1275" t="inlineStr">
        <is>
          <t>NORDANSTIG</t>
        </is>
      </c>
      <c r="F1275" t="inlineStr">
        <is>
          <t>Holmen skog AB</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6947-2022</t>
        </is>
      </c>
      <c r="B1276" s="1" t="n">
        <v>44603</v>
      </c>
      <c r="C1276" s="1" t="n">
        <v>45883</v>
      </c>
      <c r="D1276" t="inlineStr">
        <is>
          <t>GÄVLEBORGS LÄN</t>
        </is>
      </c>
      <c r="E1276" t="inlineStr">
        <is>
          <t>SANDVIKEN</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3632-2022</t>
        </is>
      </c>
      <c r="B1277" s="1" t="n">
        <v>44586</v>
      </c>
      <c r="C1277" s="1" t="n">
        <v>45883</v>
      </c>
      <c r="D1277" t="inlineStr">
        <is>
          <t>GÄVLEBORGS LÄN</t>
        </is>
      </c>
      <c r="E1277" t="inlineStr">
        <is>
          <t>NORDANSTIG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14012-2022</t>
        </is>
      </c>
      <c r="B1278" s="1" t="n">
        <v>44650</v>
      </c>
      <c r="C1278" s="1" t="n">
        <v>45883</v>
      </c>
      <c r="D1278" t="inlineStr">
        <is>
          <t>GÄVLEBORGS LÄN</t>
        </is>
      </c>
      <c r="E1278" t="inlineStr">
        <is>
          <t>BOLLNÄS</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52776-2020</t>
        </is>
      </c>
      <c r="B1279" s="1" t="n">
        <v>44119</v>
      </c>
      <c r="C1279" s="1" t="n">
        <v>45883</v>
      </c>
      <c r="D1279" t="inlineStr">
        <is>
          <t>GÄVLEBORGS LÄN</t>
        </is>
      </c>
      <c r="E1279" t="inlineStr">
        <is>
          <t>BOLLNÄS</t>
        </is>
      </c>
      <c r="F1279" t="inlineStr">
        <is>
          <t>Holmen skog AB</t>
        </is>
      </c>
      <c r="G1279" t="n">
        <v>3.9</v>
      </c>
      <c r="H1279" t="n">
        <v>0</v>
      </c>
      <c r="I1279" t="n">
        <v>0</v>
      </c>
      <c r="J1279" t="n">
        <v>0</v>
      </c>
      <c r="K1279" t="n">
        <v>0</v>
      </c>
      <c r="L1279" t="n">
        <v>0</v>
      </c>
      <c r="M1279" t="n">
        <v>0</v>
      </c>
      <c r="N1279" t="n">
        <v>0</v>
      </c>
      <c r="O1279" t="n">
        <v>0</v>
      </c>
      <c r="P1279" t="n">
        <v>0</v>
      </c>
      <c r="Q1279" t="n">
        <v>0</v>
      </c>
      <c r="R1279" s="2" t="inlineStr"/>
    </row>
    <row r="1280" ht="15" customHeight="1">
      <c r="A1280" t="inlineStr">
        <is>
          <t>A 37895-2020</t>
        </is>
      </c>
      <c r="B1280" s="1" t="n">
        <v>44057</v>
      </c>
      <c r="C1280" s="1" t="n">
        <v>45883</v>
      </c>
      <c r="D1280" t="inlineStr">
        <is>
          <t>GÄVLEBORGS LÄN</t>
        </is>
      </c>
      <c r="E1280" t="inlineStr">
        <is>
          <t>LJUSDAL</t>
        </is>
      </c>
      <c r="F1280" t="inlineStr">
        <is>
          <t>Sveaskog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46301-2020</t>
        </is>
      </c>
      <c r="B1281" s="1" t="n">
        <v>44092</v>
      </c>
      <c r="C1281" s="1" t="n">
        <v>45883</v>
      </c>
      <c r="D1281" t="inlineStr">
        <is>
          <t>GÄVLEBORGS LÄN</t>
        </is>
      </c>
      <c r="E1281" t="inlineStr">
        <is>
          <t>LJUSDAL</t>
        </is>
      </c>
      <c r="F1281" t="inlineStr">
        <is>
          <t>Sveaskog</t>
        </is>
      </c>
      <c r="G1281" t="n">
        <v>7.1</v>
      </c>
      <c r="H1281" t="n">
        <v>0</v>
      </c>
      <c r="I1281" t="n">
        <v>0</v>
      </c>
      <c r="J1281" t="n">
        <v>0</v>
      </c>
      <c r="K1281" t="n">
        <v>0</v>
      </c>
      <c r="L1281" t="n">
        <v>0</v>
      </c>
      <c r="M1281" t="n">
        <v>0</v>
      </c>
      <c r="N1281" t="n">
        <v>0</v>
      </c>
      <c r="O1281" t="n">
        <v>0</v>
      </c>
      <c r="P1281" t="n">
        <v>0</v>
      </c>
      <c r="Q1281" t="n">
        <v>0</v>
      </c>
      <c r="R1281" s="2" t="inlineStr"/>
    </row>
    <row r="1282" ht="15" customHeight="1">
      <c r="A1282" t="inlineStr">
        <is>
          <t>A 72102-2021</t>
        </is>
      </c>
      <c r="B1282" s="1" t="n">
        <v>44544.54862268519</v>
      </c>
      <c r="C1282" s="1" t="n">
        <v>45883</v>
      </c>
      <c r="D1282" t="inlineStr">
        <is>
          <t>GÄVLEBORGS LÄN</t>
        </is>
      </c>
      <c r="E1282" t="inlineStr">
        <is>
          <t>NORDANSTIG</t>
        </is>
      </c>
      <c r="F1282" t="inlineStr">
        <is>
          <t>Holmen skog AB</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72105-2021</t>
        </is>
      </c>
      <c r="B1283" s="1" t="n">
        <v>44544</v>
      </c>
      <c r="C1283" s="1" t="n">
        <v>45883</v>
      </c>
      <c r="D1283" t="inlineStr">
        <is>
          <t>GÄVLEBORGS LÄN</t>
        </is>
      </c>
      <c r="E1283" t="inlineStr">
        <is>
          <t>NORDANSTIG</t>
        </is>
      </c>
      <c r="F1283" t="inlineStr">
        <is>
          <t>Holmen skog AB</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38685-2020</t>
        </is>
      </c>
      <c r="B1284" s="1" t="n">
        <v>44061</v>
      </c>
      <c r="C1284" s="1" t="n">
        <v>45883</v>
      </c>
      <c r="D1284" t="inlineStr">
        <is>
          <t>GÄVLEBORGS LÄN</t>
        </is>
      </c>
      <c r="E1284" t="inlineStr">
        <is>
          <t>LJUSDAL</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65862-2020</t>
        </is>
      </c>
      <c r="B1285" s="1" t="n">
        <v>44174.72435185185</v>
      </c>
      <c r="C1285" s="1" t="n">
        <v>45883</v>
      </c>
      <c r="D1285" t="inlineStr">
        <is>
          <t>GÄVLEBORGS LÄN</t>
        </is>
      </c>
      <c r="E1285" t="inlineStr">
        <is>
          <t>LJUSDAL</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42510-2020</t>
        </is>
      </c>
      <c r="B1286" s="1" t="n">
        <v>44077</v>
      </c>
      <c r="C1286" s="1" t="n">
        <v>45883</v>
      </c>
      <c r="D1286" t="inlineStr">
        <is>
          <t>GÄVLEBORGS LÄN</t>
        </is>
      </c>
      <c r="E1286" t="inlineStr">
        <is>
          <t>HUDIKSVALL</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58341-2020</t>
        </is>
      </c>
      <c r="B1287" s="1" t="n">
        <v>44145.36747685185</v>
      </c>
      <c r="C1287" s="1" t="n">
        <v>45883</v>
      </c>
      <c r="D1287" t="inlineStr">
        <is>
          <t>GÄVLEBORGS LÄN</t>
        </is>
      </c>
      <c r="E1287" t="inlineStr">
        <is>
          <t>OVANÅKER</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49337-2020</t>
        </is>
      </c>
      <c r="B1288" s="1" t="n">
        <v>44105</v>
      </c>
      <c r="C1288" s="1" t="n">
        <v>45883</v>
      </c>
      <c r="D1288" t="inlineStr">
        <is>
          <t>GÄVLEBORGS LÄN</t>
        </is>
      </c>
      <c r="E1288" t="inlineStr">
        <is>
          <t>BOLLNÄS</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6001-2022</t>
        </is>
      </c>
      <c r="B1289" s="1" t="n">
        <v>44599</v>
      </c>
      <c r="C1289" s="1" t="n">
        <v>45883</v>
      </c>
      <c r="D1289" t="inlineStr">
        <is>
          <t>GÄVLEBORGS LÄN</t>
        </is>
      </c>
      <c r="E1289" t="inlineStr">
        <is>
          <t>GÄVLE</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54080-2021</t>
        </is>
      </c>
      <c r="B1290" s="1" t="n">
        <v>44470.4640625</v>
      </c>
      <c r="C1290" s="1" t="n">
        <v>45883</v>
      </c>
      <c r="D1290" t="inlineStr">
        <is>
          <t>GÄVLEBORGS LÄN</t>
        </is>
      </c>
      <c r="E1290" t="inlineStr">
        <is>
          <t>OVANÅKER</t>
        </is>
      </c>
      <c r="F1290" t="inlineStr">
        <is>
          <t>Sveaskog</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50762-2021</t>
        </is>
      </c>
      <c r="B1291" s="1" t="n">
        <v>44460.42206018518</v>
      </c>
      <c r="C1291" s="1" t="n">
        <v>45883</v>
      </c>
      <c r="D1291" t="inlineStr">
        <is>
          <t>GÄVLEBORGS LÄN</t>
        </is>
      </c>
      <c r="E1291" t="inlineStr">
        <is>
          <t>OCKELBO</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66577-2020</t>
        </is>
      </c>
      <c r="B1292" s="1" t="n">
        <v>44179.40501157408</v>
      </c>
      <c r="C1292" s="1" t="n">
        <v>45883</v>
      </c>
      <c r="D1292" t="inlineStr">
        <is>
          <t>GÄVLEBORGS LÄN</t>
        </is>
      </c>
      <c r="E1292" t="inlineStr">
        <is>
          <t>HUDIKSVALL</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13809-2022</t>
        </is>
      </c>
      <c r="B1293" s="1" t="n">
        <v>44649</v>
      </c>
      <c r="C1293" s="1" t="n">
        <v>45883</v>
      </c>
      <c r="D1293" t="inlineStr">
        <is>
          <t>GÄVLEBORGS LÄN</t>
        </is>
      </c>
      <c r="E1293" t="inlineStr">
        <is>
          <t>HUDIKSVALL</t>
        </is>
      </c>
      <c r="G1293" t="n">
        <v>9</v>
      </c>
      <c r="H1293" t="n">
        <v>0</v>
      </c>
      <c r="I1293" t="n">
        <v>0</v>
      </c>
      <c r="J1293" t="n">
        <v>0</v>
      </c>
      <c r="K1293" t="n">
        <v>0</v>
      </c>
      <c r="L1293" t="n">
        <v>0</v>
      </c>
      <c r="M1293" t="n">
        <v>0</v>
      </c>
      <c r="N1293" t="n">
        <v>0</v>
      </c>
      <c r="O1293" t="n">
        <v>0</v>
      </c>
      <c r="P1293" t="n">
        <v>0</v>
      </c>
      <c r="Q1293" t="n">
        <v>0</v>
      </c>
      <c r="R1293" s="2" t="inlineStr"/>
    </row>
    <row r="1294" ht="15" customHeight="1">
      <c r="A1294" t="inlineStr">
        <is>
          <t>A 23908-2021</t>
        </is>
      </c>
      <c r="B1294" s="1" t="n">
        <v>44335.6046412037</v>
      </c>
      <c r="C1294" s="1" t="n">
        <v>45883</v>
      </c>
      <c r="D1294" t="inlineStr">
        <is>
          <t>GÄVLEBORGS LÄN</t>
        </is>
      </c>
      <c r="E1294" t="inlineStr">
        <is>
          <t>HUDIKSVALL</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23925-2021</t>
        </is>
      </c>
      <c r="B1295" s="1" t="n">
        <v>44335</v>
      </c>
      <c r="C1295" s="1" t="n">
        <v>45883</v>
      </c>
      <c r="D1295" t="inlineStr">
        <is>
          <t>GÄVLEBORGS LÄN</t>
        </is>
      </c>
      <c r="E1295" t="inlineStr">
        <is>
          <t>HUDIKSVALL</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23930-2021</t>
        </is>
      </c>
      <c r="B1296" s="1" t="n">
        <v>44335</v>
      </c>
      <c r="C1296" s="1" t="n">
        <v>45883</v>
      </c>
      <c r="D1296" t="inlineStr">
        <is>
          <t>GÄVLEBORGS LÄN</t>
        </is>
      </c>
      <c r="E1296" t="inlineStr">
        <is>
          <t>HUDIKSVALL</t>
        </is>
      </c>
      <c r="G1296" t="n">
        <v>0.1</v>
      </c>
      <c r="H1296" t="n">
        <v>0</v>
      </c>
      <c r="I1296" t="n">
        <v>0</v>
      </c>
      <c r="J1296" t="n">
        <v>0</v>
      </c>
      <c r="K1296" t="n">
        <v>0</v>
      </c>
      <c r="L1296" t="n">
        <v>0</v>
      </c>
      <c r="M1296" t="n">
        <v>0</v>
      </c>
      <c r="N1296" t="n">
        <v>0</v>
      </c>
      <c r="O1296" t="n">
        <v>0</v>
      </c>
      <c r="P1296" t="n">
        <v>0</v>
      </c>
      <c r="Q1296" t="n">
        <v>0</v>
      </c>
      <c r="R1296" s="2" t="inlineStr"/>
    </row>
    <row r="1297" ht="15" customHeight="1">
      <c r="A1297" t="inlineStr">
        <is>
          <t>A 51543-2021</t>
        </is>
      </c>
      <c r="B1297" s="1" t="n">
        <v>44461</v>
      </c>
      <c r="C1297" s="1" t="n">
        <v>45883</v>
      </c>
      <c r="D1297" t="inlineStr">
        <is>
          <t>GÄVLEBORGS LÄN</t>
        </is>
      </c>
      <c r="E1297" t="inlineStr">
        <is>
          <t>NORDANSTIG</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51565-2021</t>
        </is>
      </c>
      <c r="B1298" s="1" t="n">
        <v>44460</v>
      </c>
      <c r="C1298" s="1" t="n">
        <v>45883</v>
      </c>
      <c r="D1298" t="inlineStr">
        <is>
          <t>GÄVLEBORGS LÄN</t>
        </is>
      </c>
      <c r="E1298" t="inlineStr">
        <is>
          <t>OCKELBO</t>
        </is>
      </c>
      <c r="G1298" t="n">
        <v>8.800000000000001</v>
      </c>
      <c r="H1298" t="n">
        <v>0</v>
      </c>
      <c r="I1298" t="n">
        <v>0</v>
      </c>
      <c r="J1298" t="n">
        <v>0</v>
      </c>
      <c r="K1298" t="n">
        <v>0</v>
      </c>
      <c r="L1298" t="n">
        <v>0</v>
      </c>
      <c r="M1298" t="n">
        <v>0</v>
      </c>
      <c r="N1298" t="n">
        <v>0</v>
      </c>
      <c r="O1298" t="n">
        <v>0</v>
      </c>
      <c r="P1298" t="n">
        <v>0</v>
      </c>
      <c r="Q1298" t="n">
        <v>0</v>
      </c>
      <c r="R1298" s="2" t="inlineStr"/>
    </row>
    <row r="1299" ht="15" customHeight="1">
      <c r="A1299" t="inlineStr">
        <is>
          <t>A 56640-2020</t>
        </is>
      </c>
      <c r="B1299" s="1" t="n">
        <v>44137</v>
      </c>
      <c r="C1299" s="1" t="n">
        <v>45883</v>
      </c>
      <c r="D1299" t="inlineStr">
        <is>
          <t>GÄVLEBORGS LÄN</t>
        </is>
      </c>
      <c r="E1299" t="inlineStr">
        <is>
          <t>OVANÅKER</t>
        </is>
      </c>
      <c r="F1299" t="inlineStr">
        <is>
          <t>Kommuner</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56667-2020</t>
        </is>
      </c>
      <c r="B1300" s="1" t="n">
        <v>44137</v>
      </c>
      <c r="C1300" s="1" t="n">
        <v>45883</v>
      </c>
      <c r="D1300" t="inlineStr">
        <is>
          <t>GÄVLEBORGS LÄN</t>
        </is>
      </c>
      <c r="E1300" t="inlineStr">
        <is>
          <t>SANDVIKEN</t>
        </is>
      </c>
      <c r="F1300" t="inlineStr">
        <is>
          <t>Sveaskog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21869-2022</t>
        </is>
      </c>
      <c r="B1301" s="1" t="n">
        <v>44711</v>
      </c>
      <c r="C1301" s="1" t="n">
        <v>45883</v>
      </c>
      <c r="D1301" t="inlineStr">
        <is>
          <t>GÄVLEBORGS LÄN</t>
        </is>
      </c>
      <c r="E1301" t="inlineStr">
        <is>
          <t>NORDANSTIG</t>
        </is>
      </c>
      <c r="F1301" t="inlineStr">
        <is>
          <t>Holmen skog AB</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54-2021</t>
        </is>
      </c>
      <c r="B1302" s="1" t="n">
        <v>44199</v>
      </c>
      <c r="C1302" s="1" t="n">
        <v>45883</v>
      </c>
      <c r="D1302" t="inlineStr">
        <is>
          <t>GÄVLEBORGS LÄN</t>
        </is>
      </c>
      <c r="E1302" t="inlineStr">
        <is>
          <t>LJUSDAL</t>
        </is>
      </c>
      <c r="G1302" t="n">
        <v>5.8</v>
      </c>
      <c r="H1302" t="n">
        <v>0</v>
      </c>
      <c r="I1302" t="n">
        <v>0</v>
      </c>
      <c r="J1302" t="n">
        <v>0</v>
      </c>
      <c r="K1302" t="n">
        <v>0</v>
      </c>
      <c r="L1302" t="n">
        <v>0</v>
      </c>
      <c r="M1302" t="n">
        <v>0</v>
      </c>
      <c r="N1302" t="n">
        <v>0</v>
      </c>
      <c r="O1302" t="n">
        <v>0</v>
      </c>
      <c r="P1302" t="n">
        <v>0</v>
      </c>
      <c r="Q1302" t="n">
        <v>0</v>
      </c>
      <c r="R1302" s="2" t="inlineStr"/>
    </row>
    <row r="1303" ht="15" customHeight="1">
      <c r="A1303" t="inlineStr">
        <is>
          <t>A 14462-2021</t>
        </is>
      </c>
      <c r="B1303" s="1" t="n">
        <v>44279</v>
      </c>
      <c r="C1303" s="1" t="n">
        <v>45883</v>
      </c>
      <c r="D1303" t="inlineStr">
        <is>
          <t>GÄVLEBORGS LÄN</t>
        </is>
      </c>
      <c r="E1303" t="inlineStr">
        <is>
          <t>BOLLNÄS</t>
        </is>
      </c>
      <c r="F1303" t="inlineStr">
        <is>
          <t>Kommuner</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46823-2022</t>
        </is>
      </c>
      <c r="B1304" s="1" t="n">
        <v>44851.56997685185</v>
      </c>
      <c r="C1304" s="1" t="n">
        <v>45883</v>
      </c>
      <c r="D1304" t="inlineStr">
        <is>
          <t>GÄVLEBORGS LÄN</t>
        </is>
      </c>
      <c r="E1304" t="inlineStr">
        <is>
          <t>OVANÅKER</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66584-2020</t>
        </is>
      </c>
      <c r="B1305" s="1" t="n">
        <v>44179</v>
      </c>
      <c r="C1305" s="1" t="n">
        <v>45883</v>
      </c>
      <c r="D1305" t="inlineStr">
        <is>
          <t>GÄVLEBORGS LÄN</t>
        </is>
      </c>
      <c r="E1305" t="inlineStr">
        <is>
          <t>HUDIKSVALL</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49708-2020</t>
        </is>
      </c>
      <c r="B1306" s="1" t="n">
        <v>44106</v>
      </c>
      <c r="C1306" s="1" t="n">
        <v>45883</v>
      </c>
      <c r="D1306" t="inlineStr">
        <is>
          <t>GÄVLEBORGS LÄN</t>
        </is>
      </c>
      <c r="E1306" t="inlineStr">
        <is>
          <t>HOFORS</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33175-2022</t>
        </is>
      </c>
      <c r="B1307" s="1" t="n">
        <v>44785.60788194444</v>
      </c>
      <c r="C1307" s="1" t="n">
        <v>45883</v>
      </c>
      <c r="D1307" t="inlineStr">
        <is>
          <t>GÄVLEBORGS LÄN</t>
        </is>
      </c>
      <c r="E1307" t="inlineStr">
        <is>
          <t>GÄVLE</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45592-2022</t>
        </is>
      </c>
      <c r="B1308" s="1" t="n">
        <v>44845.5477662037</v>
      </c>
      <c r="C1308" s="1" t="n">
        <v>45883</v>
      </c>
      <c r="D1308" t="inlineStr">
        <is>
          <t>GÄVLEBORGS LÄN</t>
        </is>
      </c>
      <c r="E1308" t="inlineStr">
        <is>
          <t>GÄVLE</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16980-2021</t>
        </is>
      </c>
      <c r="B1309" s="1" t="n">
        <v>44295</v>
      </c>
      <c r="C1309" s="1" t="n">
        <v>45883</v>
      </c>
      <c r="D1309" t="inlineStr">
        <is>
          <t>GÄVLEBORGS LÄN</t>
        </is>
      </c>
      <c r="E1309" t="inlineStr">
        <is>
          <t>BOLLNÄS</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35735-2022</t>
        </is>
      </c>
      <c r="B1310" s="1" t="n">
        <v>44799</v>
      </c>
      <c r="C1310" s="1" t="n">
        <v>45883</v>
      </c>
      <c r="D1310" t="inlineStr">
        <is>
          <t>GÄVLEBORGS LÄN</t>
        </is>
      </c>
      <c r="E1310" t="inlineStr">
        <is>
          <t>BOLLNÄS</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17557-2021</t>
        </is>
      </c>
      <c r="B1311" s="1" t="n">
        <v>44299</v>
      </c>
      <c r="C1311" s="1" t="n">
        <v>45883</v>
      </c>
      <c r="D1311" t="inlineStr">
        <is>
          <t>GÄVLEBORGS LÄN</t>
        </is>
      </c>
      <c r="E1311" t="inlineStr">
        <is>
          <t>BOLLNÄS</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58112-2021</t>
        </is>
      </c>
      <c r="B1312" s="1" t="n">
        <v>44487.53695601852</v>
      </c>
      <c r="C1312" s="1" t="n">
        <v>45883</v>
      </c>
      <c r="D1312" t="inlineStr">
        <is>
          <t>GÄVLEBORGS LÄN</t>
        </is>
      </c>
      <c r="E1312" t="inlineStr">
        <is>
          <t>BOLLNÄS</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11536-2021</t>
        </is>
      </c>
      <c r="B1313" s="1" t="n">
        <v>44264</v>
      </c>
      <c r="C1313" s="1" t="n">
        <v>45883</v>
      </c>
      <c r="D1313" t="inlineStr">
        <is>
          <t>GÄVLEBORGS LÄN</t>
        </is>
      </c>
      <c r="E1313" t="inlineStr">
        <is>
          <t>OVANÅKER</t>
        </is>
      </c>
      <c r="G1313" t="n">
        <v>0.1</v>
      </c>
      <c r="H1313" t="n">
        <v>0</v>
      </c>
      <c r="I1313" t="n">
        <v>0</v>
      </c>
      <c r="J1313" t="n">
        <v>0</v>
      </c>
      <c r="K1313" t="n">
        <v>0</v>
      </c>
      <c r="L1313" t="n">
        <v>0</v>
      </c>
      <c r="M1313" t="n">
        <v>0</v>
      </c>
      <c r="N1313" t="n">
        <v>0</v>
      </c>
      <c r="O1313" t="n">
        <v>0</v>
      </c>
      <c r="P1313" t="n">
        <v>0</v>
      </c>
      <c r="Q1313" t="n">
        <v>0</v>
      </c>
      <c r="R1313" s="2" t="inlineStr"/>
    </row>
    <row r="1314" ht="15" customHeight="1">
      <c r="A1314" t="inlineStr">
        <is>
          <t>A 18306-2022</t>
        </is>
      </c>
      <c r="B1314" s="1" t="n">
        <v>44685</v>
      </c>
      <c r="C1314" s="1" t="n">
        <v>45883</v>
      </c>
      <c r="D1314" t="inlineStr">
        <is>
          <t>GÄVLEBORGS LÄN</t>
        </is>
      </c>
      <c r="E1314" t="inlineStr">
        <is>
          <t>NORDANSTIG</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44862-2021</t>
        </is>
      </c>
      <c r="B1315" s="1" t="n">
        <v>44438</v>
      </c>
      <c r="C1315" s="1" t="n">
        <v>45883</v>
      </c>
      <c r="D1315" t="inlineStr">
        <is>
          <t>GÄVLEBORGS LÄN</t>
        </is>
      </c>
      <c r="E1315" t="inlineStr">
        <is>
          <t>BOLLNÄS</t>
        </is>
      </c>
      <c r="F1315" t="inlineStr">
        <is>
          <t>Kyrkan</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42959-2022</t>
        </is>
      </c>
      <c r="B1316" s="1" t="n">
        <v>44833.41351851852</v>
      </c>
      <c r="C1316" s="1" t="n">
        <v>45883</v>
      </c>
      <c r="D1316" t="inlineStr">
        <is>
          <t>GÄVLEBORGS LÄN</t>
        </is>
      </c>
      <c r="E1316" t="inlineStr">
        <is>
          <t>LJUSDAL</t>
        </is>
      </c>
      <c r="F1316" t="inlineStr">
        <is>
          <t>Bergvik skog väst AB</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35811-2021</t>
        </is>
      </c>
      <c r="B1317" s="1" t="n">
        <v>44386</v>
      </c>
      <c r="C1317" s="1" t="n">
        <v>45883</v>
      </c>
      <c r="D1317" t="inlineStr">
        <is>
          <t>GÄVLEBORGS LÄN</t>
        </is>
      </c>
      <c r="E1317" t="inlineStr">
        <is>
          <t>HUDIKSVALL</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25002-2022</t>
        </is>
      </c>
      <c r="B1318" s="1" t="n">
        <v>44728</v>
      </c>
      <c r="C1318" s="1" t="n">
        <v>45883</v>
      </c>
      <c r="D1318" t="inlineStr">
        <is>
          <t>GÄVLEBORGS LÄN</t>
        </is>
      </c>
      <c r="E1318" t="inlineStr">
        <is>
          <t>NORDANSTIG</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66345-2021</t>
        </is>
      </c>
      <c r="B1319" s="1" t="n">
        <v>44518.5616087963</v>
      </c>
      <c r="C1319" s="1" t="n">
        <v>45883</v>
      </c>
      <c r="D1319" t="inlineStr">
        <is>
          <t>GÄVLEBORGS LÄN</t>
        </is>
      </c>
      <c r="E1319" t="inlineStr">
        <is>
          <t>SANDVIKEN</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33109-2022</t>
        </is>
      </c>
      <c r="B1320" s="1" t="n">
        <v>44785.50188657407</v>
      </c>
      <c r="C1320" s="1" t="n">
        <v>45883</v>
      </c>
      <c r="D1320" t="inlineStr">
        <is>
          <t>GÄVLEBORGS LÄN</t>
        </is>
      </c>
      <c r="E1320" t="inlineStr">
        <is>
          <t>NORDANSTIG</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72150-2021</t>
        </is>
      </c>
      <c r="B1321" s="1" t="n">
        <v>44544</v>
      </c>
      <c r="C1321" s="1" t="n">
        <v>45883</v>
      </c>
      <c r="D1321" t="inlineStr">
        <is>
          <t>GÄVLEBORGS LÄN</t>
        </is>
      </c>
      <c r="E1321" t="inlineStr">
        <is>
          <t>LJUSDAL</t>
        </is>
      </c>
      <c r="F1321" t="inlineStr">
        <is>
          <t>Holmen skog AB</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65-2022</t>
        </is>
      </c>
      <c r="B1322" s="1" t="n">
        <v>44564.46445601852</v>
      </c>
      <c r="C1322" s="1" t="n">
        <v>45883</v>
      </c>
      <c r="D1322" t="inlineStr">
        <is>
          <t>GÄVLEBORGS LÄN</t>
        </is>
      </c>
      <c r="E1322" t="inlineStr">
        <is>
          <t>OVANÅKER</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58434-2021</t>
        </is>
      </c>
      <c r="B1323" s="1" t="n">
        <v>44488</v>
      </c>
      <c r="C1323" s="1" t="n">
        <v>45883</v>
      </c>
      <c r="D1323" t="inlineStr">
        <is>
          <t>GÄVLEBORGS LÄN</t>
        </is>
      </c>
      <c r="E1323" t="inlineStr">
        <is>
          <t>BOLLNÄS</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45134-2021</t>
        </is>
      </c>
      <c r="B1324" s="1" t="n">
        <v>44439</v>
      </c>
      <c r="C1324" s="1" t="n">
        <v>45883</v>
      </c>
      <c r="D1324" t="inlineStr">
        <is>
          <t>GÄVLEBORGS LÄN</t>
        </is>
      </c>
      <c r="E1324" t="inlineStr">
        <is>
          <t>GÄVLE</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34893-2022</t>
        </is>
      </c>
      <c r="B1325" s="1" t="n">
        <v>44796</v>
      </c>
      <c r="C1325" s="1" t="n">
        <v>45883</v>
      </c>
      <c r="D1325" t="inlineStr">
        <is>
          <t>GÄVLEBORGS LÄN</t>
        </is>
      </c>
      <c r="E1325" t="inlineStr">
        <is>
          <t>BOLLNÄS</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60626-2021</t>
        </is>
      </c>
      <c r="B1326" s="1" t="n">
        <v>44496</v>
      </c>
      <c r="C1326" s="1" t="n">
        <v>45883</v>
      </c>
      <c r="D1326" t="inlineStr">
        <is>
          <t>GÄVLEBORGS LÄN</t>
        </is>
      </c>
      <c r="E1326" t="inlineStr">
        <is>
          <t>HUDIKSVALL</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72464-2021</t>
        </is>
      </c>
      <c r="B1327" s="1" t="n">
        <v>44545.73892361111</v>
      </c>
      <c r="C1327" s="1" t="n">
        <v>45883</v>
      </c>
      <c r="D1327" t="inlineStr">
        <is>
          <t>GÄVLEBORGS LÄN</t>
        </is>
      </c>
      <c r="E1327" t="inlineStr">
        <is>
          <t>LJUSDAL</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24996-2022</t>
        </is>
      </c>
      <c r="B1328" s="1" t="n">
        <v>44728.92789351852</v>
      </c>
      <c r="C1328" s="1" t="n">
        <v>45883</v>
      </c>
      <c r="D1328" t="inlineStr">
        <is>
          <t>GÄVLEBORGS LÄN</t>
        </is>
      </c>
      <c r="E1328" t="inlineStr">
        <is>
          <t>NORDANSTIG</t>
        </is>
      </c>
      <c r="G1328" t="n">
        <v>8.1</v>
      </c>
      <c r="H1328" t="n">
        <v>0</v>
      </c>
      <c r="I1328" t="n">
        <v>0</v>
      </c>
      <c r="J1328" t="n">
        <v>0</v>
      </c>
      <c r="K1328" t="n">
        <v>0</v>
      </c>
      <c r="L1328" t="n">
        <v>0</v>
      </c>
      <c r="M1328" t="n">
        <v>0</v>
      </c>
      <c r="N1328" t="n">
        <v>0</v>
      </c>
      <c r="O1328" t="n">
        <v>0</v>
      </c>
      <c r="P1328" t="n">
        <v>0</v>
      </c>
      <c r="Q1328" t="n">
        <v>0</v>
      </c>
      <c r="R1328" s="2" t="inlineStr"/>
    </row>
    <row r="1329" ht="15" customHeight="1">
      <c r="A1329" t="inlineStr">
        <is>
          <t>A 54624-2020</t>
        </is>
      </c>
      <c r="B1329" s="1" t="n">
        <v>44127</v>
      </c>
      <c r="C1329" s="1" t="n">
        <v>45883</v>
      </c>
      <c r="D1329" t="inlineStr">
        <is>
          <t>GÄVLEBORGS LÄN</t>
        </is>
      </c>
      <c r="E1329" t="inlineStr">
        <is>
          <t>GÄVLE</t>
        </is>
      </c>
      <c r="F1329" t="inlineStr">
        <is>
          <t>Bergvik skog öst AB</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69127-2021</t>
        </is>
      </c>
      <c r="B1330" s="1" t="n">
        <v>44530.92103009259</v>
      </c>
      <c r="C1330" s="1" t="n">
        <v>45883</v>
      </c>
      <c r="D1330" t="inlineStr">
        <is>
          <t>GÄVLEBORGS LÄN</t>
        </is>
      </c>
      <c r="E1330" t="inlineStr">
        <is>
          <t>NORDANSTIG</t>
        </is>
      </c>
      <c r="G1330" t="n">
        <v>7.8</v>
      </c>
      <c r="H1330" t="n">
        <v>0</v>
      </c>
      <c r="I1330" t="n">
        <v>0</v>
      </c>
      <c r="J1330" t="n">
        <v>0</v>
      </c>
      <c r="K1330" t="n">
        <v>0</v>
      </c>
      <c r="L1330" t="n">
        <v>0</v>
      </c>
      <c r="M1330" t="n">
        <v>0</v>
      </c>
      <c r="N1330" t="n">
        <v>0</v>
      </c>
      <c r="O1330" t="n">
        <v>0</v>
      </c>
      <c r="P1330" t="n">
        <v>0</v>
      </c>
      <c r="Q1330" t="n">
        <v>0</v>
      </c>
      <c r="R1330" s="2" t="inlineStr"/>
    </row>
    <row r="1331" ht="15" customHeight="1">
      <c r="A1331" t="inlineStr">
        <is>
          <t>A 57658-2021</t>
        </is>
      </c>
      <c r="B1331" s="1" t="n">
        <v>44484</v>
      </c>
      <c r="C1331" s="1" t="n">
        <v>45883</v>
      </c>
      <c r="D1331" t="inlineStr">
        <is>
          <t>GÄVLEBORGS LÄN</t>
        </is>
      </c>
      <c r="E1331" t="inlineStr">
        <is>
          <t>HUDIKSVALL</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39913-2021</t>
        </is>
      </c>
      <c r="B1332" s="1" t="n">
        <v>44417</v>
      </c>
      <c r="C1332" s="1" t="n">
        <v>45883</v>
      </c>
      <c r="D1332" t="inlineStr">
        <is>
          <t>GÄVLEBORGS LÄN</t>
        </is>
      </c>
      <c r="E1332" t="inlineStr">
        <is>
          <t>SÖDERHAMN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22027-2022</t>
        </is>
      </c>
      <c r="B1333" s="1" t="n">
        <v>44711.6125462963</v>
      </c>
      <c r="C1333" s="1" t="n">
        <v>45883</v>
      </c>
      <c r="D1333" t="inlineStr">
        <is>
          <t>GÄVLEBORGS LÄN</t>
        </is>
      </c>
      <c r="E1333" t="inlineStr">
        <is>
          <t>NORDANSTIG</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23925-2022</t>
        </is>
      </c>
      <c r="B1334" s="1" t="n">
        <v>44722</v>
      </c>
      <c r="C1334" s="1" t="n">
        <v>45883</v>
      </c>
      <c r="D1334" t="inlineStr">
        <is>
          <t>GÄVLEBORGS LÄN</t>
        </is>
      </c>
      <c r="E1334" t="inlineStr">
        <is>
          <t>BOLLNÄS</t>
        </is>
      </c>
      <c r="G1334" t="n">
        <v>0.1</v>
      </c>
      <c r="H1334" t="n">
        <v>0</v>
      </c>
      <c r="I1334" t="n">
        <v>0</v>
      </c>
      <c r="J1334" t="n">
        <v>0</v>
      </c>
      <c r="K1334" t="n">
        <v>0</v>
      </c>
      <c r="L1334" t="n">
        <v>0</v>
      </c>
      <c r="M1334" t="n">
        <v>0</v>
      </c>
      <c r="N1334" t="n">
        <v>0</v>
      </c>
      <c r="O1334" t="n">
        <v>0</v>
      </c>
      <c r="P1334" t="n">
        <v>0</v>
      </c>
      <c r="Q1334" t="n">
        <v>0</v>
      </c>
      <c r="R1334" s="2" t="inlineStr"/>
    </row>
    <row r="1335" ht="15" customHeight="1">
      <c r="A1335" t="inlineStr">
        <is>
          <t>A 62450-2021</t>
        </is>
      </c>
      <c r="B1335" s="1" t="n">
        <v>44503</v>
      </c>
      <c r="C1335" s="1" t="n">
        <v>45883</v>
      </c>
      <c r="D1335" t="inlineStr">
        <is>
          <t>GÄVLEBORGS LÄN</t>
        </is>
      </c>
      <c r="E1335" t="inlineStr">
        <is>
          <t>NORDANSTIG</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69001-2021</t>
        </is>
      </c>
      <c r="B1336" s="1" t="n">
        <v>44530</v>
      </c>
      <c r="C1336" s="1" t="n">
        <v>45883</v>
      </c>
      <c r="D1336" t="inlineStr">
        <is>
          <t>GÄVLEBORGS LÄN</t>
        </is>
      </c>
      <c r="E1336" t="inlineStr">
        <is>
          <t>OVANÅKER</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40593-2022</t>
        </is>
      </c>
      <c r="B1337" s="1" t="n">
        <v>44823.83914351852</v>
      </c>
      <c r="C1337" s="1" t="n">
        <v>45883</v>
      </c>
      <c r="D1337" t="inlineStr">
        <is>
          <t>GÄVLEBORGS LÄN</t>
        </is>
      </c>
      <c r="E1337" t="inlineStr">
        <is>
          <t>HUDIKSVALL</t>
        </is>
      </c>
      <c r="F1337" t="inlineStr">
        <is>
          <t>Holmen skog AB</t>
        </is>
      </c>
      <c r="G1337" t="n">
        <v>15.3</v>
      </c>
      <c r="H1337" t="n">
        <v>0</v>
      </c>
      <c r="I1337" t="n">
        <v>0</v>
      </c>
      <c r="J1337" t="n">
        <v>0</v>
      </c>
      <c r="K1337" t="n">
        <v>0</v>
      </c>
      <c r="L1337" t="n">
        <v>0</v>
      </c>
      <c r="M1337" t="n">
        <v>0</v>
      </c>
      <c r="N1337" t="n">
        <v>0</v>
      </c>
      <c r="O1337" t="n">
        <v>0</v>
      </c>
      <c r="P1337" t="n">
        <v>0</v>
      </c>
      <c r="Q1337" t="n">
        <v>0</v>
      </c>
      <c r="R1337" s="2" t="inlineStr"/>
    </row>
    <row r="1338" ht="15" customHeight="1">
      <c r="A1338" t="inlineStr">
        <is>
          <t>A 19343-2022</t>
        </is>
      </c>
      <c r="B1338" s="1" t="n">
        <v>44692.64663194444</v>
      </c>
      <c r="C1338" s="1" t="n">
        <v>45883</v>
      </c>
      <c r="D1338" t="inlineStr">
        <is>
          <t>GÄVLEBORGS LÄN</t>
        </is>
      </c>
      <c r="E1338" t="inlineStr">
        <is>
          <t>HUDIKSVALL</t>
        </is>
      </c>
      <c r="F1338" t="inlineStr">
        <is>
          <t>Holmen skog AB</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19346-2022</t>
        </is>
      </c>
      <c r="B1339" s="1" t="n">
        <v>44692.64946759259</v>
      </c>
      <c r="C1339" s="1" t="n">
        <v>45883</v>
      </c>
      <c r="D1339" t="inlineStr">
        <is>
          <t>GÄVLEBORGS LÄN</t>
        </is>
      </c>
      <c r="E1339" t="inlineStr">
        <is>
          <t>HUDIKSVALL</t>
        </is>
      </c>
      <c r="F1339" t="inlineStr">
        <is>
          <t>Holmen skog AB</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24597-2021</t>
        </is>
      </c>
      <c r="B1340" s="1" t="n">
        <v>44340.32287037037</v>
      </c>
      <c r="C1340" s="1" t="n">
        <v>45883</v>
      </c>
      <c r="D1340" t="inlineStr">
        <is>
          <t>GÄVLEBORGS LÄN</t>
        </is>
      </c>
      <c r="E1340" t="inlineStr">
        <is>
          <t>SÖDERHAMN</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66468-2020</t>
        </is>
      </c>
      <c r="B1341" s="1" t="n">
        <v>44176</v>
      </c>
      <c r="C1341" s="1" t="n">
        <v>45883</v>
      </c>
      <c r="D1341" t="inlineStr">
        <is>
          <t>GÄVLEBORGS LÄN</t>
        </is>
      </c>
      <c r="E1341" t="inlineStr">
        <is>
          <t>HUDIKSVALL</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44092-2022</t>
        </is>
      </c>
      <c r="B1342" s="1" t="n">
        <v>44839</v>
      </c>
      <c r="C1342" s="1" t="n">
        <v>45883</v>
      </c>
      <c r="D1342" t="inlineStr">
        <is>
          <t>GÄVLEBORGS LÄN</t>
        </is>
      </c>
      <c r="E1342" t="inlineStr">
        <is>
          <t>OVANÅKER</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39228-2022</t>
        </is>
      </c>
      <c r="B1343" s="1" t="n">
        <v>44817.58592592592</v>
      </c>
      <c r="C1343" s="1" t="n">
        <v>45883</v>
      </c>
      <c r="D1343" t="inlineStr">
        <is>
          <t>GÄVLEBORGS LÄN</t>
        </is>
      </c>
      <c r="E1343" t="inlineStr">
        <is>
          <t>LJUSDAL</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39258-2022</t>
        </is>
      </c>
      <c r="B1344" s="1" t="n">
        <v>44817.62399305555</v>
      </c>
      <c r="C1344" s="1" t="n">
        <v>45883</v>
      </c>
      <c r="D1344" t="inlineStr">
        <is>
          <t>GÄVLEBORGS LÄN</t>
        </is>
      </c>
      <c r="E1344" t="inlineStr">
        <is>
          <t>HUDIKSVALL</t>
        </is>
      </c>
      <c r="F1344" t="inlineStr">
        <is>
          <t>Holmen skog AB</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575-2022</t>
        </is>
      </c>
      <c r="B1345" s="1" t="n">
        <v>44566.92070601852</v>
      </c>
      <c r="C1345" s="1" t="n">
        <v>45883</v>
      </c>
      <c r="D1345" t="inlineStr">
        <is>
          <t>GÄVLEBORGS LÄN</t>
        </is>
      </c>
      <c r="E1345" t="inlineStr">
        <is>
          <t>NORDANSTIG</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42129-2022</t>
        </is>
      </c>
      <c r="B1346" s="1" t="n">
        <v>44830.575</v>
      </c>
      <c r="C1346" s="1" t="n">
        <v>45883</v>
      </c>
      <c r="D1346" t="inlineStr">
        <is>
          <t>GÄVLEBORGS LÄN</t>
        </is>
      </c>
      <c r="E1346" t="inlineStr">
        <is>
          <t>NORDANSTIG</t>
        </is>
      </c>
      <c r="F1346" t="inlineStr">
        <is>
          <t>Holmen skog AB</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39241-2022</t>
        </is>
      </c>
      <c r="B1347" s="1" t="n">
        <v>44817</v>
      </c>
      <c r="C1347" s="1" t="n">
        <v>45883</v>
      </c>
      <c r="D1347" t="inlineStr">
        <is>
          <t>GÄVLEBORGS LÄN</t>
        </is>
      </c>
      <c r="E1347" t="inlineStr">
        <is>
          <t>SANDVIKEN</t>
        </is>
      </c>
      <c r="F1347" t="inlineStr">
        <is>
          <t>Bergvik skog öst AB</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47739-2021</t>
        </is>
      </c>
      <c r="B1348" s="1" t="n">
        <v>44448</v>
      </c>
      <c r="C1348" s="1" t="n">
        <v>45883</v>
      </c>
      <c r="D1348" t="inlineStr">
        <is>
          <t>GÄVLEBORGS LÄN</t>
        </is>
      </c>
      <c r="E1348" t="inlineStr">
        <is>
          <t>GÄVLE</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35846-2022</t>
        </is>
      </c>
      <c r="B1349" s="1" t="n">
        <v>44802.41177083334</v>
      </c>
      <c r="C1349" s="1" t="n">
        <v>45883</v>
      </c>
      <c r="D1349" t="inlineStr">
        <is>
          <t>GÄVLEBORGS LÄN</t>
        </is>
      </c>
      <c r="E1349" t="inlineStr">
        <is>
          <t>OCKELBO</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22581-2021</t>
        </is>
      </c>
      <c r="B1350" s="1" t="n">
        <v>44327.39258101852</v>
      </c>
      <c r="C1350" s="1" t="n">
        <v>45883</v>
      </c>
      <c r="D1350" t="inlineStr">
        <is>
          <t>GÄVLEBORGS LÄN</t>
        </is>
      </c>
      <c r="E1350" t="inlineStr">
        <is>
          <t>OCKELBO</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22583-2021</t>
        </is>
      </c>
      <c r="B1351" s="1" t="n">
        <v>44327.396875</v>
      </c>
      <c r="C1351" s="1" t="n">
        <v>45883</v>
      </c>
      <c r="D1351" t="inlineStr">
        <is>
          <t>GÄVLEBORGS LÄN</t>
        </is>
      </c>
      <c r="E1351" t="inlineStr">
        <is>
          <t>OCKELBO</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748-2021</t>
        </is>
      </c>
      <c r="B1352" s="1" t="n">
        <v>44204</v>
      </c>
      <c r="C1352" s="1" t="n">
        <v>45883</v>
      </c>
      <c r="D1352" t="inlineStr">
        <is>
          <t>GÄVLEBORGS LÄN</t>
        </is>
      </c>
      <c r="E1352" t="inlineStr">
        <is>
          <t>OVANÅKER</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29762-2022</t>
        </is>
      </c>
      <c r="B1353" s="1" t="n">
        <v>44755.60700231481</v>
      </c>
      <c r="C1353" s="1" t="n">
        <v>45883</v>
      </c>
      <c r="D1353" t="inlineStr">
        <is>
          <t>GÄVLEBORGS LÄN</t>
        </is>
      </c>
      <c r="E1353" t="inlineStr">
        <is>
          <t>OVANÅKER</t>
        </is>
      </c>
      <c r="F1353" t="inlineStr">
        <is>
          <t>Bergvik skog öst AB</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53853-2020</t>
        </is>
      </c>
      <c r="B1354" s="1" t="n">
        <v>44125</v>
      </c>
      <c r="C1354" s="1" t="n">
        <v>45883</v>
      </c>
      <c r="D1354" t="inlineStr">
        <is>
          <t>GÄVLEBORGS LÄN</t>
        </is>
      </c>
      <c r="E1354" t="inlineStr">
        <is>
          <t>BOLLNÄS</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54136-2020</t>
        </is>
      </c>
      <c r="B1355" s="1" t="n">
        <v>44125</v>
      </c>
      <c r="C1355" s="1" t="n">
        <v>45883</v>
      </c>
      <c r="D1355" t="inlineStr">
        <is>
          <t>GÄVLEBORGS LÄN</t>
        </is>
      </c>
      <c r="E1355" t="inlineStr">
        <is>
          <t>LJUSDAL</t>
        </is>
      </c>
      <c r="F1355" t="inlineStr">
        <is>
          <t>Sveaskog</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17322-2022</t>
        </is>
      </c>
      <c r="B1356" s="1" t="n">
        <v>44678</v>
      </c>
      <c r="C1356" s="1" t="n">
        <v>45883</v>
      </c>
      <c r="D1356" t="inlineStr">
        <is>
          <t>GÄVLEBORGS LÄN</t>
        </is>
      </c>
      <c r="E1356" t="inlineStr">
        <is>
          <t>HUDIKSVALL</t>
        </is>
      </c>
      <c r="F1356" t="inlineStr">
        <is>
          <t>Holmen skog AB</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4277-2021</t>
        </is>
      </c>
      <c r="B1357" s="1" t="n">
        <v>44223</v>
      </c>
      <c r="C1357" s="1" t="n">
        <v>45883</v>
      </c>
      <c r="D1357" t="inlineStr">
        <is>
          <t>GÄVLEBORGS LÄN</t>
        </is>
      </c>
      <c r="E1357" t="inlineStr">
        <is>
          <t>GÄVLE</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27539-2022</t>
        </is>
      </c>
      <c r="B1358" s="1" t="n">
        <v>44742.7009375</v>
      </c>
      <c r="C1358" s="1" t="n">
        <v>45883</v>
      </c>
      <c r="D1358" t="inlineStr">
        <is>
          <t>GÄVLEBORGS LÄN</t>
        </is>
      </c>
      <c r="E1358" t="inlineStr">
        <is>
          <t>LJUSDAL</t>
        </is>
      </c>
      <c r="F1358" t="inlineStr">
        <is>
          <t>Holmen skog AB</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46123-2021</t>
        </is>
      </c>
      <c r="B1359" s="1" t="n">
        <v>44442.38140046296</v>
      </c>
      <c r="C1359" s="1" t="n">
        <v>45883</v>
      </c>
      <c r="D1359" t="inlineStr">
        <is>
          <t>GÄVLEBORGS LÄN</t>
        </is>
      </c>
      <c r="E1359" t="inlineStr">
        <is>
          <t>LJUSDAL</t>
        </is>
      </c>
      <c r="F1359" t="inlineStr">
        <is>
          <t>Sveaskog</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4045-2021</t>
        </is>
      </c>
      <c r="B1360" s="1" t="n">
        <v>44218</v>
      </c>
      <c r="C1360" s="1" t="n">
        <v>45883</v>
      </c>
      <c r="D1360" t="inlineStr">
        <is>
          <t>GÄVLEBORGS LÄN</t>
        </is>
      </c>
      <c r="E1360" t="inlineStr">
        <is>
          <t>SÖDERHAMN</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54388-2022</t>
        </is>
      </c>
      <c r="B1361" s="1" t="n">
        <v>44882</v>
      </c>
      <c r="C1361" s="1" t="n">
        <v>45883</v>
      </c>
      <c r="D1361" t="inlineStr">
        <is>
          <t>GÄVLEBORGS LÄN</t>
        </is>
      </c>
      <c r="E1361" t="inlineStr">
        <is>
          <t>GÄVLE</t>
        </is>
      </c>
      <c r="G1361" t="n">
        <v>4.7</v>
      </c>
      <c r="H1361" t="n">
        <v>0</v>
      </c>
      <c r="I1361" t="n">
        <v>0</v>
      </c>
      <c r="J1361" t="n">
        <v>0</v>
      </c>
      <c r="K1361" t="n">
        <v>0</v>
      </c>
      <c r="L1361" t="n">
        <v>0</v>
      </c>
      <c r="M1361" t="n">
        <v>0</v>
      </c>
      <c r="N1361" t="n">
        <v>0</v>
      </c>
      <c r="O1361" t="n">
        <v>0</v>
      </c>
      <c r="P1361" t="n">
        <v>0</v>
      </c>
      <c r="Q1361" t="n">
        <v>0</v>
      </c>
      <c r="R1361" s="2" t="inlineStr"/>
    </row>
    <row r="1362" ht="15" customHeight="1">
      <c r="A1362" t="inlineStr">
        <is>
          <t>A 67475-2020</t>
        </is>
      </c>
      <c r="B1362" s="1" t="n">
        <v>44181.63351851852</v>
      </c>
      <c r="C1362" s="1" t="n">
        <v>45883</v>
      </c>
      <c r="D1362" t="inlineStr">
        <is>
          <t>GÄVLEBORGS LÄN</t>
        </is>
      </c>
      <c r="E1362" t="inlineStr">
        <is>
          <t>OVANÅKER</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48451-2021</t>
        </is>
      </c>
      <c r="B1363" s="1" t="n">
        <v>44452</v>
      </c>
      <c r="C1363" s="1" t="n">
        <v>45883</v>
      </c>
      <c r="D1363" t="inlineStr">
        <is>
          <t>GÄVLEBORGS LÄN</t>
        </is>
      </c>
      <c r="E1363" t="inlineStr">
        <is>
          <t>BOLLNÄS</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39128-2020</t>
        </is>
      </c>
      <c r="B1364" s="1" t="n">
        <v>44063</v>
      </c>
      <c r="C1364" s="1" t="n">
        <v>45883</v>
      </c>
      <c r="D1364" t="inlineStr">
        <is>
          <t>GÄVLEBORGS LÄN</t>
        </is>
      </c>
      <c r="E1364" t="inlineStr">
        <is>
          <t>OVANÅKER</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9287-2021</t>
        </is>
      </c>
      <c r="B1365" s="1" t="n">
        <v>44250</v>
      </c>
      <c r="C1365" s="1" t="n">
        <v>45883</v>
      </c>
      <c r="D1365" t="inlineStr">
        <is>
          <t>GÄVLEBORGS LÄN</t>
        </is>
      </c>
      <c r="E1365" t="inlineStr">
        <is>
          <t>OCKELBO</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31642-2021</t>
        </is>
      </c>
      <c r="B1366" s="1" t="n">
        <v>44369</v>
      </c>
      <c r="C1366" s="1" t="n">
        <v>45883</v>
      </c>
      <c r="D1366" t="inlineStr">
        <is>
          <t>GÄVLEBORGS LÄN</t>
        </is>
      </c>
      <c r="E1366" t="inlineStr">
        <is>
          <t>HUDIKSVALL</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54152-2022</t>
        </is>
      </c>
      <c r="B1367" s="1" t="n">
        <v>44881.63907407408</v>
      </c>
      <c r="C1367" s="1" t="n">
        <v>45883</v>
      </c>
      <c r="D1367" t="inlineStr">
        <is>
          <t>GÄVLEBORGS LÄN</t>
        </is>
      </c>
      <c r="E1367" t="inlineStr">
        <is>
          <t>OCKELBO</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66825-2021</t>
        </is>
      </c>
      <c r="B1368" s="1" t="n">
        <v>44522.40350694444</v>
      </c>
      <c r="C1368" s="1" t="n">
        <v>45883</v>
      </c>
      <c r="D1368" t="inlineStr">
        <is>
          <t>GÄVLEBORGS LÄN</t>
        </is>
      </c>
      <c r="E1368" t="inlineStr">
        <is>
          <t>OCKELBO</t>
        </is>
      </c>
      <c r="F1368" t="inlineStr">
        <is>
          <t>Bergvik skog väst AB</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43662-2020</t>
        </is>
      </c>
      <c r="B1369" s="1" t="n">
        <v>44082</v>
      </c>
      <c r="C1369" s="1" t="n">
        <v>45883</v>
      </c>
      <c r="D1369" t="inlineStr">
        <is>
          <t>GÄVLEBORGS LÄN</t>
        </is>
      </c>
      <c r="E1369" t="inlineStr">
        <is>
          <t>NORDANSTIG</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52947-2022</t>
        </is>
      </c>
      <c r="B1370" s="1" t="n">
        <v>44875.65561342592</v>
      </c>
      <c r="C1370" s="1" t="n">
        <v>45883</v>
      </c>
      <c r="D1370" t="inlineStr">
        <is>
          <t>GÄVLEBORGS LÄN</t>
        </is>
      </c>
      <c r="E1370" t="inlineStr">
        <is>
          <t>HUDIKSVALL</t>
        </is>
      </c>
      <c r="F1370" t="inlineStr">
        <is>
          <t>Holmen skog AB</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55148-2022</t>
        </is>
      </c>
      <c r="B1371" s="1" t="n">
        <v>44886.67486111111</v>
      </c>
      <c r="C1371" s="1" t="n">
        <v>45883</v>
      </c>
      <c r="D1371" t="inlineStr">
        <is>
          <t>GÄVLEBORGS LÄN</t>
        </is>
      </c>
      <c r="E1371" t="inlineStr">
        <is>
          <t>SANDVIKEN</t>
        </is>
      </c>
      <c r="F1371" t="inlineStr">
        <is>
          <t>Sveaskog</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43520-2020</t>
        </is>
      </c>
      <c r="B1372" s="1" t="n">
        <v>44077</v>
      </c>
      <c r="C1372" s="1" t="n">
        <v>45883</v>
      </c>
      <c r="D1372" t="inlineStr">
        <is>
          <t>GÄVLEBORGS LÄN</t>
        </is>
      </c>
      <c r="E1372" t="inlineStr">
        <is>
          <t>HUDIKSVALL</t>
        </is>
      </c>
      <c r="G1372" t="n">
        <v>4.8</v>
      </c>
      <c r="H1372" t="n">
        <v>0</v>
      </c>
      <c r="I1372" t="n">
        <v>0</v>
      </c>
      <c r="J1372" t="n">
        <v>0</v>
      </c>
      <c r="K1372" t="n">
        <v>0</v>
      </c>
      <c r="L1372" t="n">
        <v>0</v>
      </c>
      <c r="M1372" t="n">
        <v>0</v>
      </c>
      <c r="N1372" t="n">
        <v>0</v>
      </c>
      <c r="O1372" t="n">
        <v>0</v>
      </c>
      <c r="P1372" t="n">
        <v>0</v>
      </c>
      <c r="Q1372" t="n">
        <v>0</v>
      </c>
      <c r="R1372" s="2" t="inlineStr"/>
    </row>
    <row r="1373" ht="15" customHeight="1">
      <c r="A1373" t="inlineStr">
        <is>
          <t>A 13901-2021</t>
        </is>
      </c>
      <c r="B1373" s="1" t="n">
        <v>44277</v>
      </c>
      <c r="C1373" s="1" t="n">
        <v>45883</v>
      </c>
      <c r="D1373" t="inlineStr">
        <is>
          <t>GÄVLEBORGS LÄN</t>
        </is>
      </c>
      <c r="E1373" t="inlineStr">
        <is>
          <t>OVANÅKER</t>
        </is>
      </c>
      <c r="F1373" t="inlineStr">
        <is>
          <t>Bergvik skog väst AB</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54380-2021</t>
        </is>
      </c>
      <c r="B1374" s="1" t="n">
        <v>44473</v>
      </c>
      <c r="C1374" s="1" t="n">
        <v>45883</v>
      </c>
      <c r="D1374" t="inlineStr">
        <is>
          <t>GÄVLEBORGS LÄN</t>
        </is>
      </c>
      <c r="E1374" t="inlineStr">
        <is>
          <t>HUDIKSVALL</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8281-2022</t>
        </is>
      </c>
      <c r="B1375" s="1" t="n">
        <v>44610</v>
      </c>
      <c r="C1375" s="1" t="n">
        <v>45883</v>
      </c>
      <c r="D1375" t="inlineStr">
        <is>
          <t>GÄVLEBORGS LÄN</t>
        </is>
      </c>
      <c r="E1375" t="inlineStr">
        <is>
          <t>HUDIKSVALL</t>
        </is>
      </c>
      <c r="G1375" t="n">
        <v>13.9</v>
      </c>
      <c r="H1375" t="n">
        <v>0</v>
      </c>
      <c r="I1375" t="n">
        <v>0</v>
      </c>
      <c r="J1375" t="n">
        <v>0</v>
      </c>
      <c r="K1375" t="n">
        <v>0</v>
      </c>
      <c r="L1375" t="n">
        <v>0</v>
      </c>
      <c r="M1375" t="n">
        <v>0</v>
      </c>
      <c r="N1375" t="n">
        <v>0</v>
      </c>
      <c r="O1375" t="n">
        <v>0</v>
      </c>
      <c r="P1375" t="n">
        <v>0</v>
      </c>
      <c r="Q1375" t="n">
        <v>0</v>
      </c>
      <c r="R1375" s="2" t="inlineStr"/>
    </row>
    <row r="1376" ht="15" customHeight="1">
      <c r="A1376" t="inlineStr">
        <is>
          <t>A 48124-2020</t>
        </is>
      </c>
      <c r="B1376" s="1" t="n">
        <v>44102</v>
      </c>
      <c r="C1376" s="1" t="n">
        <v>45883</v>
      </c>
      <c r="D1376" t="inlineStr">
        <is>
          <t>GÄVLEBORGS LÄN</t>
        </is>
      </c>
      <c r="E1376" t="inlineStr">
        <is>
          <t>OVANÅKER</t>
        </is>
      </c>
      <c r="F1376" t="inlineStr">
        <is>
          <t>Bergvik skog väst AB</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33078-2021</t>
        </is>
      </c>
      <c r="B1377" s="1" t="n">
        <v>44376.56015046296</v>
      </c>
      <c r="C1377" s="1" t="n">
        <v>45883</v>
      </c>
      <c r="D1377" t="inlineStr">
        <is>
          <t>GÄVLEBORGS LÄN</t>
        </is>
      </c>
      <c r="E1377" t="inlineStr">
        <is>
          <t>HUDIKSVALL</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31237-2022</t>
        </is>
      </c>
      <c r="B1378" s="1" t="n">
        <v>44771.48913194444</v>
      </c>
      <c r="C1378" s="1" t="n">
        <v>45883</v>
      </c>
      <c r="D1378" t="inlineStr">
        <is>
          <t>GÄVLEBORGS LÄN</t>
        </is>
      </c>
      <c r="E1378" t="inlineStr">
        <is>
          <t>BOLLNÄS</t>
        </is>
      </c>
      <c r="G1378" t="n">
        <v>13.5</v>
      </c>
      <c r="H1378" t="n">
        <v>0</v>
      </c>
      <c r="I1378" t="n">
        <v>0</v>
      </c>
      <c r="J1378" t="n">
        <v>0</v>
      </c>
      <c r="K1378" t="n">
        <v>0</v>
      </c>
      <c r="L1378" t="n">
        <v>0</v>
      </c>
      <c r="M1378" t="n">
        <v>0</v>
      </c>
      <c r="N1378" t="n">
        <v>0</v>
      </c>
      <c r="O1378" t="n">
        <v>0</v>
      </c>
      <c r="P1378" t="n">
        <v>0</v>
      </c>
      <c r="Q1378" t="n">
        <v>0</v>
      </c>
      <c r="R1378" s="2" t="inlineStr"/>
    </row>
    <row r="1379" ht="15" customHeight="1">
      <c r="A1379" t="inlineStr">
        <is>
          <t>A 17544-2021</t>
        </is>
      </c>
      <c r="B1379" s="1" t="n">
        <v>44299</v>
      </c>
      <c r="C1379" s="1" t="n">
        <v>45883</v>
      </c>
      <c r="D1379" t="inlineStr">
        <is>
          <t>GÄVLEBORGS LÄN</t>
        </is>
      </c>
      <c r="E1379" t="inlineStr">
        <is>
          <t>SANDVIKEN</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44451-2020</t>
        </is>
      </c>
      <c r="B1380" s="1" t="n">
        <v>44084.66369212963</v>
      </c>
      <c r="C1380" s="1" t="n">
        <v>45883</v>
      </c>
      <c r="D1380" t="inlineStr">
        <is>
          <t>GÄVLEBORGS LÄN</t>
        </is>
      </c>
      <c r="E1380" t="inlineStr">
        <is>
          <t>HUDIKSVALL</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35251-2021</t>
        </is>
      </c>
      <c r="B1381" s="1" t="n">
        <v>44384</v>
      </c>
      <c r="C1381" s="1" t="n">
        <v>45883</v>
      </c>
      <c r="D1381" t="inlineStr">
        <is>
          <t>GÄVLEBORGS LÄN</t>
        </is>
      </c>
      <c r="E1381" t="inlineStr">
        <is>
          <t>SÖDERHAMN</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54158-2021</t>
        </is>
      </c>
      <c r="B1382" s="1" t="n">
        <v>44470</v>
      </c>
      <c r="C1382" s="1" t="n">
        <v>45883</v>
      </c>
      <c r="D1382" t="inlineStr">
        <is>
          <t>GÄVLEBORGS LÄN</t>
        </is>
      </c>
      <c r="E1382" t="inlineStr">
        <is>
          <t>LJUSDAL</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13995-2022</t>
        </is>
      </c>
      <c r="B1383" s="1" t="n">
        <v>44650</v>
      </c>
      <c r="C1383" s="1" t="n">
        <v>45883</v>
      </c>
      <c r="D1383" t="inlineStr">
        <is>
          <t>GÄVLEBORGS LÄN</t>
        </is>
      </c>
      <c r="E1383" t="inlineStr">
        <is>
          <t>OVANÅKER</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13259-2021</t>
        </is>
      </c>
      <c r="B1384" s="1" t="n">
        <v>44272.65707175926</v>
      </c>
      <c r="C1384" s="1" t="n">
        <v>45883</v>
      </c>
      <c r="D1384" t="inlineStr">
        <is>
          <t>GÄVLEBORGS LÄN</t>
        </is>
      </c>
      <c r="E1384" t="inlineStr">
        <is>
          <t>GÄVLE</t>
        </is>
      </c>
      <c r="F1384" t="inlineStr">
        <is>
          <t>Bergvik skog öst AB</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54475-2020</t>
        </is>
      </c>
      <c r="B1385" s="1" t="n">
        <v>44126</v>
      </c>
      <c r="C1385" s="1" t="n">
        <v>45883</v>
      </c>
      <c r="D1385" t="inlineStr">
        <is>
          <t>GÄVLEBORGS LÄN</t>
        </is>
      </c>
      <c r="E1385" t="inlineStr">
        <is>
          <t>LJUSDAL</t>
        </is>
      </c>
      <c r="F1385" t="inlineStr">
        <is>
          <t>Bergvik skog väst AB</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63877-2020</t>
        </is>
      </c>
      <c r="B1386" s="1" t="n">
        <v>44166</v>
      </c>
      <c r="C1386" s="1" t="n">
        <v>45883</v>
      </c>
      <c r="D1386" t="inlineStr">
        <is>
          <t>GÄVLEBORGS LÄN</t>
        </is>
      </c>
      <c r="E1386" t="inlineStr">
        <is>
          <t>BOLLNÄS</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65563-2020</t>
        </is>
      </c>
      <c r="B1387" s="1" t="n">
        <v>44173</v>
      </c>
      <c r="C1387" s="1" t="n">
        <v>45883</v>
      </c>
      <c r="D1387" t="inlineStr">
        <is>
          <t>GÄVLEBORGS LÄN</t>
        </is>
      </c>
      <c r="E1387" t="inlineStr">
        <is>
          <t>HUDIKSVALL</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13402-2022</t>
        </is>
      </c>
      <c r="B1388" s="1" t="n">
        <v>44645.52859953704</v>
      </c>
      <c r="C1388" s="1" t="n">
        <v>45883</v>
      </c>
      <c r="D1388" t="inlineStr">
        <is>
          <t>GÄVLEBORGS LÄN</t>
        </is>
      </c>
      <c r="E1388" t="inlineStr">
        <is>
          <t>BOLLNÄS</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17342-2022</t>
        </is>
      </c>
      <c r="B1389" s="1" t="n">
        <v>44678.54438657407</v>
      </c>
      <c r="C1389" s="1" t="n">
        <v>45883</v>
      </c>
      <c r="D1389" t="inlineStr">
        <is>
          <t>GÄVLEBORGS LÄN</t>
        </is>
      </c>
      <c r="E1389" t="inlineStr">
        <is>
          <t>HUDIKSVALL</t>
        </is>
      </c>
      <c r="F1389" t="inlineStr">
        <is>
          <t>Holmen skog AB</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53467-2020</t>
        </is>
      </c>
      <c r="B1390" s="1" t="n">
        <v>44123</v>
      </c>
      <c r="C1390" s="1" t="n">
        <v>45883</v>
      </c>
      <c r="D1390" t="inlineStr">
        <is>
          <t>GÄVLEBORGS LÄN</t>
        </is>
      </c>
      <c r="E1390" t="inlineStr">
        <is>
          <t>HUDIKSVALL</t>
        </is>
      </c>
      <c r="F1390" t="inlineStr">
        <is>
          <t>Holmen skog AB</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62505-2021</t>
        </is>
      </c>
      <c r="B1391" s="1" t="n">
        <v>44503.58114583333</v>
      </c>
      <c r="C1391" s="1" t="n">
        <v>45883</v>
      </c>
      <c r="D1391" t="inlineStr">
        <is>
          <t>GÄVLEBORGS LÄN</t>
        </is>
      </c>
      <c r="E1391" t="inlineStr">
        <is>
          <t>LJUSDAL</t>
        </is>
      </c>
      <c r="F1391" t="inlineStr">
        <is>
          <t>Holmen skog AB</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21547-2021</t>
        </is>
      </c>
      <c r="B1392" s="1" t="n">
        <v>44321.61015046296</v>
      </c>
      <c r="C1392" s="1" t="n">
        <v>45883</v>
      </c>
      <c r="D1392" t="inlineStr">
        <is>
          <t>GÄVLEBORGS LÄN</t>
        </is>
      </c>
      <c r="E1392" t="inlineStr">
        <is>
          <t>BOLLNÄS</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32837-2021</t>
        </is>
      </c>
      <c r="B1393" s="1" t="n">
        <v>44375.6319212963</v>
      </c>
      <c r="C1393" s="1" t="n">
        <v>45883</v>
      </c>
      <c r="D1393" t="inlineStr">
        <is>
          <t>GÄVLEBORGS LÄN</t>
        </is>
      </c>
      <c r="E1393" t="inlineStr">
        <is>
          <t>BOLLNÄS</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56416-2021</t>
        </is>
      </c>
      <c r="B1394" s="1" t="n">
        <v>44480</v>
      </c>
      <c r="C1394" s="1" t="n">
        <v>45883</v>
      </c>
      <c r="D1394" t="inlineStr">
        <is>
          <t>GÄVLEBORGS LÄN</t>
        </is>
      </c>
      <c r="E1394" t="inlineStr">
        <is>
          <t>BOLLNÄS</t>
        </is>
      </c>
      <c r="G1394" t="n">
        <v>5.7</v>
      </c>
      <c r="H1394" t="n">
        <v>0</v>
      </c>
      <c r="I1394" t="n">
        <v>0</v>
      </c>
      <c r="J1394" t="n">
        <v>0</v>
      </c>
      <c r="K1394" t="n">
        <v>0</v>
      </c>
      <c r="L1394" t="n">
        <v>0</v>
      </c>
      <c r="M1394" t="n">
        <v>0</v>
      </c>
      <c r="N1394" t="n">
        <v>0</v>
      </c>
      <c r="O1394" t="n">
        <v>0</v>
      </c>
      <c r="P1394" t="n">
        <v>0</v>
      </c>
      <c r="Q1394" t="n">
        <v>0</v>
      </c>
      <c r="R1394" s="2" t="inlineStr"/>
    </row>
    <row r="1395" ht="15" customHeight="1">
      <c r="A1395" t="inlineStr">
        <is>
          <t>A 56123-2020</t>
        </is>
      </c>
      <c r="B1395" s="1" t="n">
        <v>44133</v>
      </c>
      <c r="C1395" s="1" t="n">
        <v>45883</v>
      </c>
      <c r="D1395" t="inlineStr">
        <is>
          <t>GÄVLEBORGS LÄN</t>
        </is>
      </c>
      <c r="E1395" t="inlineStr">
        <is>
          <t>HUDIKSVALL</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56139-2020</t>
        </is>
      </c>
      <c r="B1396" s="1" t="n">
        <v>44133</v>
      </c>
      <c r="C1396" s="1" t="n">
        <v>45883</v>
      </c>
      <c r="D1396" t="inlineStr">
        <is>
          <t>GÄVLEBORGS LÄN</t>
        </is>
      </c>
      <c r="E1396" t="inlineStr">
        <is>
          <t>BOLLNÄS</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55403-2021</t>
        </is>
      </c>
      <c r="B1397" s="1" t="n">
        <v>44475.53581018518</v>
      </c>
      <c r="C1397" s="1" t="n">
        <v>45883</v>
      </c>
      <c r="D1397" t="inlineStr">
        <is>
          <t>GÄVLEBORGS LÄN</t>
        </is>
      </c>
      <c r="E1397" t="inlineStr">
        <is>
          <t>OVANÅKER</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23282-2021</t>
        </is>
      </c>
      <c r="B1398" s="1" t="n">
        <v>44333.43928240741</v>
      </c>
      <c r="C1398" s="1" t="n">
        <v>45883</v>
      </c>
      <c r="D1398" t="inlineStr">
        <is>
          <t>GÄVLEBORGS LÄN</t>
        </is>
      </c>
      <c r="E1398" t="inlineStr">
        <is>
          <t>BOLLNÄS</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7075-2022</t>
        </is>
      </c>
      <c r="B1399" s="1" t="n">
        <v>44603</v>
      </c>
      <c r="C1399" s="1" t="n">
        <v>45883</v>
      </c>
      <c r="D1399" t="inlineStr">
        <is>
          <t>GÄVLEBORGS LÄN</t>
        </is>
      </c>
      <c r="E1399" t="inlineStr">
        <is>
          <t>BOLLNÄS</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7079-2022</t>
        </is>
      </c>
      <c r="B1400" s="1" t="n">
        <v>44603.58001157407</v>
      </c>
      <c r="C1400" s="1" t="n">
        <v>45883</v>
      </c>
      <c r="D1400" t="inlineStr">
        <is>
          <t>GÄVLEBORGS LÄN</t>
        </is>
      </c>
      <c r="E1400" t="inlineStr">
        <is>
          <t>BOLLNÄS</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7092-2022</t>
        </is>
      </c>
      <c r="B1401" s="1" t="n">
        <v>44603.59678240741</v>
      </c>
      <c r="C1401" s="1" t="n">
        <v>45883</v>
      </c>
      <c r="D1401" t="inlineStr">
        <is>
          <t>GÄVLEBORGS LÄN</t>
        </is>
      </c>
      <c r="E1401" t="inlineStr">
        <is>
          <t>BOLLNÄS</t>
        </is>
      </c>
      <c r="G1401" t="n">
        <v>6.3</v>
      </c>
      <c r="H1401" t="n">
        <v>0</v>
      </c>
      <c r="I1401" t="n">
        <v>0</v>
      </c>
      <c r="J1401" t="n">
        <v>0</v>
      </c>
      <c r="K1401" t="n">
        <v>0</v>
      </c>
      <c r="L1401" t="n">
        <v>0</v>
      </c>
      <c r="M1401" t="n">
        <v>0</v>
      </c>
      <c r="N1401" t="n">
        <v>0</v>
      </c>
      <c r="O1401" t="n">
        <v>0</v>
      </c>
      <c r="P1401" t="n">
        <v>0</v>
      </c>
      <c r="Q1401" t="n">
        <v>0</v>
      </c>
      <c r="R1401" s="2" t="inlineStr"/>
    </row>
    <row r="1402" ht="15" customHeight="1">
      <c r="A1402" t="inlineStr">
        <is>
          <t>A 21610-2021</t>
        </is>
      </c>
      <c r="B1402" s="1" t="n">
        <v>44321</v>
      </c>
      <c r="C1402" s="1" t="n">
        <v>45883</v>
      </c>
      <c r="D1402" t="inlineStr">
        <is>
          <t>GÄVLEBORGS LÄN</t>
        </is>
      </c>
      <c r="E1402" t="inlineStr">
        <is>
          <t>SANDVIKEN</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55487-2020</t>
        </is>
      </c>
      <c r="B1403" s="1" t="n">
        <v>44131</v>
      </c>
      <c r="C1403" s="1" t="n">
        <v>45883</v>
      </c>
      <c r="D1403" t="inlineStr">
        <is>
          <t>GÄVLEBORGS LÄN</t>
        </is>
      </c>
      <c r="E1403" t="inlineStr">
        <is>
          <t>HUDIKSVALL</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30589-2022</t>
        </is>
      </c>
      <c r="B1404" s="1" t="n">
        <v>44762.68552083334</v>
      </c>
      <c r="C1404" s="1" t="n">
        <v>45883</v>
      </c>
      <c r="D1404" t="inlineStr">
        <is>
          <t>GÄVLEBORGS LÄN</t>
        </is>
      </c>
      <c r="E1404" t="inlineStr">
        <is>
          <t>HUDIKSVALL</t>
        </is>
      </c>
      <c r="F1404" t="inlineStr">
        <is>
          <t>Sveaskog</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57369-2021</t>
        </is>
      </c>
      <c r="B1405" s="1" t="n">
        <v>44483</v>
      </c>
      <c r="C1405" s="1" t="n">
        <v>45883</v>
      </c>
      <c r="D1405" t="inlineStr">
        <is>
          <t>GÄVLEBORGS LÄN</t>
        </is>
      </c>
      <c r="E1405" t="inlineStr">
        <is>
          <t>HUDIKSVALL</t>
        </is>
      </c>
      <c r="F1405" t="inlineStr">
        <is>
          <t>Holmen skog AB</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63359-2020</t>
        </is>
      </c>
      <c r="B1406" s="1" t="n">
        <v>44165</v>
      </c>
      <c r="C1406" s="1" t="n">
        <v>45883</v>
      </c>
      <c r="D1406" t="inlineStr">
        <is>
          <t>GÄVLEBORGS LÄN</t>
        </is>
      </c>
      <c r="E1406" t="inlineStr">
        <is>
          <t>OCKELBO</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16154-2021</t>
        </is>
      </c>
      <c r="B1407" s="1" t="n">
        <v>44292.37005787037</v>
      </c>
      <c r="C1407" s="1" t="n">
        <v>45883</v>
      </c>
      <c r="D1407" t="inlineStr">
        <is>
          <t>GÄVLEBORGS LÄN</t>
        </is>
      </c>
      <c r="E1407" t="inlineStr">
        <is>
          <t>LJUSDAL</t>
        </is>
      </c>
      <c r="F1407" t="inlineStr">
        <is>
          <t>Holmen skog AB</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47029-2020</t>
        </is>
      </c>
      <c r="B1408" s="1" t="n">
        <v>44096</v>
      </c>
      <c r="C1408" s="1" t="n">
        <v>45883</v>
      </c>
      <c r="D1408" t="inlineStr">
        <is>
          <t>GÄVLEBORGS LÄN</t>
        </is>
      </c>
      <c r="E1408" t="inlineStr">
        <is>
          <t>OVANÅKER</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19655-2021</t>
        </is>
      </c>
      <c r="B1409" s="1" t="n">
        <v>44312</v>
      </c>
      <c r="C1409" s="1" t="n">
        <v>45883</v>
      </c>
      <c r="D1409" t="inlineStr">
        <is>
          <t>GÄVLEBORGS LÄN</t>
        </is>
      </c>
      <c r="E1409" t="inlineStr">
        <is>
          <t>HUDIKSVALL</t>
        </is>
      </c>
      <c r="F1409" t="inlineStr">
        <is>
          <t>Holmen skog AB</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25938-2022</t>
        </is>
      </c>
      <c r="B1410" s="1" t="n">
        <v>44734.39373842593</v>
      </c>
      <c r="C1410" s="1" t="n">
        <v>45883</v>
      </c>
      <c r="D1410" t="inlineStr">
        <is>
          <t>GÄVLEBORGS LÄN</t>
        </is>
      </c>
      <c r="E1410" t="inlineStr">
        <is>
          <t>GÄVLE</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57458-2021</t>
        </is>
      </c>
      <c r="B1411" s="1" t="n">
        <v>44483.65805555556</v>
      </c>
      <c r="C1411" s="1" t="n">
        <v>45883</v>
      </c>
      <c r="D1411" t="inlineStr">
        <is>
          <t>GÄVLEBORGS LÄN</t>
        </is>
      </c>
      <c r="E1411" t="inlineStr">
        <is>
          <t>LJUSDAL</t>
        </is>
      </c>
      <c r="F1411" t="inlineStr">
        <is>
          <t>Holmen skog AB</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50888-2020</t>
        </is>
      </c>
      <c r="B1412" s="1" t="n">
        <v>44111</v>
      </c>
      <c r="C1412" s="1" t="n">
        <v>45883</v>
      </c>
      <c r="D1412" t="inlineStr">
        <is>
          <t>GÄVLEBORGS LÄN</t>
        </is>
      </c>
      <c r="E1412" t="inlineStr">
        <is>
          <t>SANDVIKEN</t>
        </is>
      </c>
      <c r="F1412" t="inlineStr">
        <is>
          <t>Sveaskog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25100-2022</t>
        </is>
      </c>
      <c r="B1413" s="1" t="n">
        <v>44729.44290509259</v>
      </c>
      <c r="C1413" s="1" t="n">
        <v>45883</v>
      </c>
      <c r="D1413" t="inlineStr">
        <is>
          <t>GÄVLEBORGS LÄN</t>
        </is>
      </c>
      <c r="E1413" t="inlineStr">
        <is>
          <t>BOLLNÄS</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50216-2020</t>
        </is>
      </c>
      <c r="B1414" s="1" t="n">
        <v>44109</v>
      </c>
      <c r="C1414" s="1" t="n">
        <v>45883</v>
      </c>
      <c r="D1414" t="inlineStr">
        <is>
          <t>GÄVLEBORGS LÄN</t>
        </is>
      </c>
      <c r="E1414" t="inlineStr">
        <is>
          <t>GÄVLE</t>
        </is>
      </c>
      <c r="G1414" t="n">
        <v>7.9</v>
      </c>
      <c r="H1414" t="n">
        <v>0</v>
      </c>
      <c r="I1414" t="n">
        <v>0</v>
      </c>
      <c r="J1414" t="n">
        <v>0</v>
      </c>
      <c r="K1414" t="n">
        <v>0</v>
      </c>
      <c r="L1414" t="n">
        <v>0</v>
      </c>
      <c r="M1414" t="n">
        <v>0</v>
      </c>
      <c r="N1414" t="n">
        <v>0</v>
      </c>
      <c r="O1414" t="n">
        <v>0</v>
      </c>
      <c r="P1414" t="n">
        <v>0</v>
      </c>
      <c r="Q1414" t="n">
        <v>0</v>
      </c>
      <c r="R1414" s="2" t="inlineStr"/>
    </row>
    <row r="1415" ht="15" customHeight="1">
      <c r="A1415" t="inlineStr">
        <is>
          <t>A 50141-2020</t>
        </is>
      </c>
      <c r="B1415" s="1" t="n">
        <v>44109</v>
      </c>
      <c r="C1415" s="1" t="n">
        <v>45883</v>
      </c>
      <c r="D1415" t="inlineStr">
        <is>
          <t>GÄVLEBORGS LÄN</t>
        </is>
      </c>
      <c r="E1415" t="inlineStr">
        <is>
          <t>HUDIKSVALL</t>
        </is>
      </c>
      <c r="F1415" t="inlineStr">
        <is>
          <t>Holmen skog AB</t>
        </is>
      </c>
      <c r="G1415" t="n">
        <v>28.6</v>
      </c>
      <c r="H1415" t="n">
        <v>0</v>
      </c>
      <c r="I1415" t="n">
        <v>0</v>
      </c>
      <c r="J1415" t="n">
        <v>0</v>
      </c>
      <c r="K1415" t="n">
        <v>0</v>
      </c>
      <c r="L1415" t="n">
        <v>0</v>
      </c>
      <c r="M1415" t="n">
        <v>0</v>
      </c>
      <c r="N1415" t="n">
        <v>0</v>
      </c>
      <c r="O1415" t="n">
        <v>0</v>
      </c>
      <c r="P1415" t="n">
        <v>0</v>
      </c>
      <c r="Q1415" t="n">
        <v>0</v>
      </c>
      <c r="R1415" s="2" t="inlineStr"/>
    </row>
    <row r="1416" ht="15" customHeight="1">
      <c r="A1416" t="inlineStr">
        <is>
          <t>A 56734-2021</t>
        </is>
      </c>
      <c r="B1416" s="1" t="n">
        <v>44481.44684027778</v>
      </c>
      <c r="C1416" s="1" t="n">
        <v>45883</v>
      </c>
      <c r="D1416" t="inlineStr">
        <is>
          <t>GÄVLEBORGS LÄN</t>
        </is>
      </c>
      <c r="E1416" t="inlineStr">
        <is>
          <t>SANDVIKEN</t>
        </is>
      </c>
      <c r="G1416" t="n">
        <v>4.4</v>
      </c>
      <c r="H1416" t="n">
        <v>0</v>
      </c>
      <c r="I1416" t="n">
        <v>0</v>
      </c>
      <c r="J1416" t="n">
        <v>0</v>
      </c>
      <c r="K1416" t="n">
        <v>0</v>
      </c>
      <c r="L1416" t="n">
        <v>0</v>
      </c>
      <c r="M1416" t="n">
        <v>0</v>
      </c>
      <c r="N1416" t="n">
        <v>0</v>
      </c>
      <c r="O1416" t="n">
        <v>0</v>
      </c>
      <c r="P1416" t="n">
        <v>0</v>
      </c>
      <c r="Q1416" t="n">
        <v>0</v>
      </c>
      <c r="R1416" s="2" t="inlineStr"/>
    </row>
    <row r="1417" ht="15" customHeight="1">
      <c r="A1417" t="inlineStr">
        <is>
          <t>A 51874-2020</t>
        </is>
      </c>
      <c r="B1417" s="1" t="n">
        <v>44116</v>
      </c>
      <c r="C1417" s="1" t="n">
        <v>45883</v>
      </c>
      <c r="D1417" t="inlineStr">
        <is>
          <t>GÄVLEBORGS LÄN</t>
        </is>
      </c>
      <c r="E1417" t="inlineStr">
        <is>
          <t>NORDANSTIG</t>
        </is>
      </c>
      <c r="F1417" t="inlineStr">
        <is>
          <t>Holmen skog AB</t>
        </is>
      </c>
      <c r="G1417" t="n">
        <v>6.1</v>
      </c>
      <c r="H1417" t="n">
        <v>0</v>
      </c>
      <c r="I1417" t="n">
        <v>0</v>
      </c>
      <c r="J1417" t="n">
        <v>0</v>
      </c>
      <c r="K1417" t="n">
        <v>0</v>
      </c>
      <c r="L1417" t="n">
        <v>0</v>
      </c>
      <c r="M1417" t="n">
        <v>0</v>
      </c>
      <c r="N1417" t="n">
        <v>0</v>
      </c>
      <c r="O1417" t="n">
        <v>0</v>
      </c>
      <c r="P1417" t="n">
        <v>0</v>
      </c>
      <c r="Q1417" t="n">
        <v>0</v>
      </c>
      <c r="R1417" s="2" t="inlineStr"/>
    </row>
    <row r="1418" ht="15" customHeight="1">
      <c r="A1418" t="inlineStr">
        <is>
          <t>A 22126-2022</t>
        </is>
      </c>
      <c r="B1418" s="1" t="n">
        <v>44712</v>
      </c>
      <c r="C1418" s="1" t="n">
        <v>45883</v>
      </c>
      <c r="D1418" t="inlineStr">
        <is>
          <t>GÄVLEBORGS LÄN</t>
        </is>
      </c>
      <c r="E1418" t="inlineStr">
        <is>
          <t>BOLLNÄS</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62065-2021</t>
        </is>
      </c>
      <c r="B1419" s="1" t="n">
        <v>44502.59028935185</v>
      </c>
      <c r="C1419" s="1" t="n">
        <v>45883</v>
      </c>
      <c r="D1419" t="inlineStr">
        <is>
          <t>GÄVLEBORGS LÄN</t>
        </is>
      </c>
      <c r="E1419" t="inlineStr">
        <is>
          <t>NORDANSTIG</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21438-2022</t>
        </is>
      </c>
      <c r="B1420" s="1" t="n">
        <v>44706.34857638889</v>
      </c>
      <c r="C1420" s="1" t="n">
        <v>45883</v>
      </c>
      <c r="D1420" t="inlineStr">
        <is>
          <t>GÄVLEBORGS LÄN</t>
        </is>
      </c>
      <c r="E1420" t="inlineStr">
        <is>
          <t>BOLLNÄS</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61616-2021</t>
        </is>
      </c>
      <c r="B1421" s="1" t="n">
        <v>44501.48219907407</v>
      </c>
      <c r="C1421" s="1" t="n">
        <v>45883</v>
      </c>
      <c r="D1421" t="inlineStr">
        <is>
          <t>GÄVLEBORGS LÄN</t>
        </is>
      </c>
      <c r="E1421" t="inlineStr">
        <is>
          <t>SANDVIKEN</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4433-2022</t>
        </is>
      </c>
      <c r="B1422" s="1" t="n">
        <v>44589.53163194445</v>
      </c>
      <c r="C1422" s="1" t="n">
        <v>45883</v>
      </c>
      <c r="D1422" t="inlineStr">
        <is>
          <t>GÄVLEBORGS LÄN</t>
        </is>
      </c>
      <c r="E1422" t="inlineStr">
        <is>
          <t>LJUSDAL</t>
        </is>
      </c>
      <c r="G1422" t="n">
        <v>10.3</v>
      </c>
      <c r="H1422" t="n">
        <v>0</v>
      </c>
      <c r="I1422" t="n">
        <v>0</v>
      </c>
      <c r="J1422" t="n">
        <v>0</v>
      </c>
      <c r="K1422" t="n">
        <v>0</v>
      </c>
      <c r="L1422" t="n">
        <v>0</v>
      </c>
      <c r="M1422" t="n">
        <v>0</v>
      </c>
      <c r="N1422" t="n">
        <v>0</v>
      </c>
      <c r="O1422" t="n">
        <v>0</v>
      </c>
      <c r="P1422" t="n">
        <v>0</v>
      </c>
      <c r="Q1422" t="n">
        <v>0</v>
      </c>
      <c r="R1422" s="2" t="inlineStr"/>
    </row>
    <row r="1423" ht="15" customHeight="1">
      <c r="A1423" t="inlineStr">
        <is>
          <t>A 12371-2021</t>
        </is>
      </c>
      <c r="B1423" s="1" t="n">
        <v>44267</v>
      </c>
      <c r="C1423" s="1" t="n">
        <v>45883</v>
      </c>
      <c r="D1423" t="inlineStr">
        <is>
          <t>GÄVLEBORGS LÄN</t>
        </is>
      </c>
      <c r="E1423" t="inlineStr">
        <is>
          <t>OCKELBO</t>
        </is>
      </c>
      <c r="F1423" t="inlineStr">
        <is>
          <t>Bergvik skog väst AB</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26869-2021</t>
        </is>
      </c>
      <c r="B1424" s="1" t="n">
        <v>44349</v>
      </c>
      <c r="C1424" s="1" t="n">
        <v>45883</v>
      </c>
      <c r="D1424" t="inlineStr">
        <is>
          <t>GÄVLEBORGS LÄN</t>
        </is>
      </c>
      <c r="E1424" t="inlineStr">
        <is>
          <t>NORDANSTIG</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63366-2020</t>
        </is>
      </c>
      <c r="B1425" s="1" t="n">
        <v>44165.48278935185</v>
      </c>
      <c r="C1425" s="1" t="n">
        <v>45883</v>
      </c>
      <c r="D1425" t="inlineStr">
        <is>
          <t>GÄVLEBORGS LÄN</t>
        </is>
      </c>
      <c r="E1425" t="inlineStr">
        <is>
          <t>OCKELBO</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49886-2020</t>
        </is>
      </c>
      <c r="B1426" s="1" t="n">
        <v>44108</v>
      </c>
      <c r="C1426" s="1" t="n">
        <v>45883</v>
      </c>
      <c r="D1426" t="inlineStr">
        <is>
          <t>GÄVLEBORGS LÄN</t>
        </is>
      </c>
      <c r="E1426" t="inlineStr">
        <is>
          <t>LJUSDAL</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19100-2021</t>
        </is>
      </c>
      <c r="B1427" s="1" t="n">
        <v>44308</v>
      </c>
      <c r="C1427" s="1" t="n">
        <v>45883</v>
      </c>
      <c r="D1427" t="inlineStr">
        <is>
          <t>GÄVLEBORGS LÄN</t>
        </is>
      </c>
      <c r="E1427" t="inlineStr">
        <is>
          <t>HUDIKSVALL</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56597-2020</t>
        </is>
      </c>
      <c r="B1428" s="1" t="n">
        <v>44137</v>
      </c>
      <c r="C1428" s="1" t="n">
        <v>45883</v>
      </c>
      <c r="D1428" t="inlineStr">
        <is>
          <t>GÄVLEBORGS LÄN</t>
        </is>
      </c>
      <c r="E1428" t="inlineStr">
        <is>
          <t>HUDIKSVALL</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56603-2020</t>
        </is>
      </c>
      <c r="B1429" s="1" t="n">
        <v>44137</v>
      </c>
      <c r="C1429" s="1" t="n">
        <v>45883</v>
      </c>
      <c r="D1429" t="inlineStr">
        <is>
          <t>GÄVLEBORGS LÄN</t>
        </is>
      </c>
      <c r="E1429" t="inlineStr">
        <is>
          <t>HOFORS</t>
        </is>
      </c>
      <c r="F1429" t="inlineStr">
        <is>
          <t>Sveaskog</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5294-2022</t>
        </is>
      </c>
      <c r="B1430" s="1" t="n">
        <v>44594.62877314815</v>
      </c>
      <c r="C1430" s="1" t="n">
        <v>45883</v>
      </c>
      <c r="D1430" t="inlineStr">
        <is>
          <t>GÄVLEBORGS LÄN</t>
        </is>
      </c>
      <c r="E1430" t="inlineStr">
        <is>
          <t>NORDANSTIG</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56686-2021</t>
        </is>
      </c>
      <c r="B1431" s="1" t="n">
        <v>44481.36178240741</v>
      </c>
      <c r="C1431" s="1" t="n">
        <v>45883</v>
      </c>
      <c r="D1431" t="inlineStr">
        <is>
          <t>GÄVLEBORGS LÄN</t>
        </is>
      </c>
      <c r="E1431" t="inlineStr">
        <is>
          <t>BOLLNÄS</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10883-2021</t>
        </is>
      </c>
      <c r="B1432" s="1" t="n">
        <v>44259</v>
      </c>
      <c r="C1432" s="1" t="n">
        <v>45883</v>
      </c>
      <c r="D1432" t="inlineStr">
        <is>
          <t>GÄVLEBORGS LÄN</t>
        </is>
      </c>
      <c r="E1432" t="inlineStr">
        <is>
          <t>LJUSDAL</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47589-2022</t>
        </is>
      </c>
      <c r="B1433" s="1" t="n">
        <v>44853.97255787037</v>
      </c>
      <c r="C1433" s="1" t="n">
        <v>45883</v>
      </c>
      <c r="D1433" t="inlineStr">
        <is>
          <t>GÄVLEBORGS LÄN</t>
        </is>
      </c>
      <c r="E1433" t="inlineStr">
        <is>
          <t>NORDANSTIG</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960-2022</t>
        </is>
      </c>
      <c r="B1434" s="1" t="n">
        <v>44571.56971064815</v>
      </c>
      <c r="C1434" s="1" t="n">
        <v>45883</v>
      </c>
      <c r="D1434" t="inlineStr">
        <is>
          <t>GÄVLEBORGS LÄN</t>
        </is>
      </c>
      <c r="E1434" t="inlineStr">
        <is>
          <t>NORDANSTIG</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1707-2022</t>
        </is>
      </c>
      <c r="B1435" s="1" t="n">
        <v>44574</v>
      </c>
      <c r="C1435" s="1" t="n">
        <v>45883</v>
      </c>
      <c r="D1435" t="inlineStr">
        <is>
          <t>GÄVLEBORGS LÄN</t>
        </is>
      </c>
      <c r="E1435" t="inlineStr">
        <is>
          <t>HUDIKSVALL</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43295-2020</t>
        </is>
      </c>
      <c r="B1436" s="1" t="n">
        <v>44081</v>
      </c>
      <c r="C1436" s="1" t="n">
        <v>45883</v>
      </c>
      <c r="D1436" t="inlineStr">
        <is>
          <t>GÄVLEBORGS LÄN</t>
        </is>
      </c>
      <c r="E1436" t="inlineStr">
        <is>
          <t>HUDIKSVALL</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59573-2020</t>
        </is>
      </c>
      <c r="B1437" s="1" t="n">
        <v>44148</v>
      </c>
      <c r="C1437" s="1" t="n">
        <v>45883</v>
      </c>
      <c r="D1437" t="inlineStr">
        <is>
          <t>GÄVLEBORGS LÄN</t>
        </is>
      </c>
      <c r="E1437" t="inlineStr">
        <is>
          <t>BOLLNÄS</t>
        </is>
      </c>
      <c r="F1437" t="inlineStr">
        <is>
          <t>Bergvik skog väst AB</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38296-2022</t>
        </is>
      </c>
      <c r="B1438" s="1" t="n">
        <v>44812.56363425926</v>
      </c>
      <c r="C1438" s="1" t="n">
        <v>45883</v>
      </c>
      <c r="D1438" t="inlineStr">
        <is>
          <t>GÄVLEBORGS LÄN</t>
        </is>
      </c>
      <c r="E1438" t="inlineStr">
        <is>
          <t>HUDIKSVALL</t>
        </is>
      </c>
      <c r="F1438" t="inlineStr">
        <is>
          <t>Holmen skog AB</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13738-2022</t>
        </is>
      </c>
      <c r="B1439" s="1" t="n">
        <v>44649</v>
      </c>
      <c r="C1439" s="1" t="n">
        <v>45883</v>
      </c>
      <c r="D1439" t="inlineStr">
        <is>
          <t>GÄVLEBORGS LÄN</t>
        </is>
      </c>
      <c r="E1439" t="inlineStr">
        <is>
          <t>HUDIKSVALL</t>
        </is>
      </c>
      <c r="G1439" t="n">
        <v>6.3</v>
      </c>
      <c r="H1439" t="n">
        <v>0</v>
      </c>
      <c r="I1439" t="n">
        <v>0</v>
      </c>
      <c r="J1439" t="n">
        <v>0</v>
      </c>
      <c r="K1439" t="n">
        <v>0</v>
      </c>
      <c r="L1439" t="n">
        <v>0</v>
      </c>
      <c r="M1439" t="n">
        <v>0</v>
      </c>
      <c r="N1439" t="n">
        <v>0</v>
      </c>
      <c r="O1439" t="n">
        <v>0</v>
      </c>
      <c r="P1439" t="n">
        <v>0</v>
      </c>
      <c r="Q1439" t="n">
        <v>0</v>
      </c>
      <c r="R1439" s="2" t="inlineStr"/>
    </row>
    <row r="1440" ht="15" customHeight="1">
      <c r="A1440" t="inlineStr">
        <is>
          <t>A 7767-2021</t>
        </is>
      </c>
      <c r="B1440" s="1" t="n">
        <v>44242</v>
      </c>
      <c r="C1440" s="1" t="n">
        <v>45883</v>
      </c>
      <c r="D1440" t="inlineStr">
        <is>
          <t>GÄVLEBORGS LÄN</t>
        </is>
      </c>
      <c r="E1440" t="inlineStr">
        <is>
          <t>BOLLNÄS</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41184-2020</t>
        </is>
      </c>
      <c r="B1441" s="1" t="n">
        <v>44071</v>
      </c>
      <c r="C1441" s="1" t="n">
        <v>45883</v>
      </c>
      <c r="D1441" t="inlineStr">
        <is>
          <t>GÄVLEBORGS LÄN</t>
        </is>
      </c>
      <c r="E1441" t="inlineStr">
        <is>
          <t>OVANÅKER</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34542-2021</t>
        </is>
      </c>
      <c r="B1442" s="1" t="n">
        <v>44382.43252314815</v>
      </c>
      <c r="C1442" s="1" t="n">
        <v>45883</v>
      </c>
      <c r="D1442" t="inlineStr">
        <is>
          <t>GÄVLEBORGS LÄN</t>
        </is>
      </c>
      <c r="E1442" t="inlineStr">
        <is>
          <t>NORDANSTIG</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34566-2021</t>
        </is>
      </c>
      <c r="B1443" s="1" t="n">
        <v>44382</v>
      </c>
      <c r="C1443" s="1" t="n">
        <v>45883</v>
      </c>
      <c r="D1443" t="inlineStr">
        <is>
          <t>GÄVLEBORGS LÄN</t>
        </is>
      </c>
      <c r="E1443" t="inlineStr">
        <is>
          <t>LJUSDAL</t>
        </is>
      </c>
      <c r="F1443" t="inlineStr">
        <is>
          <t>Bergvik skog väst AB</t>
        </is>
      </c>
      <c r="G1443" t="n">
        <v>8.199999999999999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54133-2020</t>
        </is>
      </c>
      <c r="B1444" s="1" t="n">
        <v>44125</v>
      </c>
      <c r="C1444" s="1" t="n">
        <v>45883</v>
      </c>
      <c r="D1444" t="inlineStr">
        <is>
          <t>GÄVLEBORGS LÄN</t>
        </is>
      </c>
      <c r="E1444" t="inlineStr">
        <is>
          <t>LJUSDAL</t>
        </is>
      </c>
      <c r="F1444" t="inlineStr">
        <is>
          <t>Sveaskog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51527-2020</t>
        </is>
      </c>
      <c r="B1445" s="1" t="n">
        <v>44113</v>
      </c>
      <c r="C1445" s="1" t="n">
        <v>45883</v>
      </c>
      <c r="D1445" t="inlineStr">
        <is>
          <t>GÄVLEBORGS LÄN</t>
        </is>
      </c>
      <c r="E1445" t="inlineStr">
        <is>
          <t>HUDIKSVALL</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52435-2020</t>
        </is>
      </c>
      <c r="B1446" s="1" t="n">
        <v>44118</v>
      </c>
      <c r="C1446" s="1" t="n">
        <v>45883</v>
      </c>
      <c r="D1446" t="inlineStr">
        <is>
          <t>GÄVLEBORGS LÄN</t>
        </is>
      </c>
      <c r="E1446" t="inlineStr">
        <is>
          <t>SÖDERHAMN</t>
        </is>
      </c>
      <c r="G1446" t="n">
        <v>13.3</v>
      </c>
      <c r="H1446" t="n">
        <v>0</v>
      </c>
      <c r="I1446" t="n">
        <v>0</v>
      </c>
      <c r="J1446" t="n">
        <v>0</v>
      </c>
      <c r="K1446" t="n">
        <v>0</v>
      </c>
      <c r="L1446" t="n">
        <v>0</v>
      </c>
      <c r="M1446" t="n">
        <v>0</v>
      </c>
      <c r="N1446" t="n">
        <v>0</v>
      </c>
      <c r="O1446" t="n">
        <v>0</v>
      </c>
      <c r="P1446" t="n">
        <v>0</v>
      </c>
      <c r="Q1446" t="n">
        <v>0</v>
      </c>
      <c r="R1446" s="2" t="inlineStr"/>
    </row>
    <row r="1447" ht="15" customHeight="1">
      <c r="A1447" t="inlineStr">
        <is>
          <t>A 41742-2020</t>
        </is>
      </c>
      <c r="B1447" s="1" t="n">
        <v>44074</v>
      </c>
      <c r="C1447" s="1" t="n">
        <v>45883</v>
      </c>
      <c r="D1447" t="inlineStr">
        <is>
          <t>GÄVLEBORGS LÄN</t>
        </is>
      </c>
      <c r="E1447" t="inlineStr">
        <is>
          <t>LJUSDAL</t>
        </is>
      </c>
      <c r="F1447" t="inlineStr">
        <is>
          <t>Sveaskog</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66980-2020</t>
        </is>
      </c>
      <c r="B1448" s="1" t="n">
        <v>44180</v>
      </c>
      <c r="C1448" s="1" t="n">
        <v>45883</v>
      </c>
      <c r="D1448" t="inlineStr">
        <is>
          <t>GÄVLEBORGS LÄN</t>
        </is>
      </c>
      <c r="E1448" t="inlineStr">
        <is>
          <t>BOLLNÄS</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9888-2022</t>
        </is>
      </c>
      <c r="B1449" s="1" t="n">
        <v>44620.60839120371</v>
      </c>
      <c r="C1449" s="1" t="n">
        <v>45883</v>
      </c>
      <c r="D1449" t="inlineStr">
        <is>
          <t>GÄVLEBORGS LÄN</t>
        </is>
      </c>
      <c r="E1449" t="inlineStr">
        <is>
          <t>BOLLNÄS</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9899-2022</t>
        </is>
      </c>
      <c r="B1450" s="1" t="n">
        <v>44620.64556712963</v>
      </c>
      <c r="C1450" s="1" t="n">
        <v>45883</v>
      </c>
      <c r="D1450" t="inlineStr">
        <is>
          <t>GÄVLEBORGS LÄN</t>
        </is>
      </c>
      <c r="E1450" t="inlineStr">
        <is>
          <t>NORDANSTIG</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42782-2020</t>
        </is>
      </c>
      <c r="B1451" s="1" t="n">
        <v>44078</v>
      </c>
      <c r="C1451" s="1" t="n">
        <v>45883</v>
      </c>
      <c r="D1451" t="inlineStr">
        <is>
          <t>GÄVLEBORGS LÄN</t>
        </is>
      </c>
      <c r="E1451" t="inlineStr">
        <is>
          <t>LJUSDAL</t>
        </is>
      </c>
      <c r="F1451" t="inlineStr">
        <is>
          <t>Sveaskog</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17983-2021</t>
        </is>
      </c>
      <c r="B1452" s="1" t="n">
        <v>44301.67956018518</v>
      </c>
      <c r="C1452" s="1" t="n">
        <v>45883</v>
      </c>
      <c r="D1452" t="inlineStr">
        <is>
          <t>GÄVLEBORGS LÄN</t>
        </is>
      </c>
      <c r="E1452" t="inlineStr">
        <is>
          <t>NORDANSTIG</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220-2021</t>
        </is>
      </c>
      <c r="B1453" s="1" t="n">
        <v>44200</v>
      </c>
      <c r="C1453" s="1" t="n">
        <v>45883</v>
      </c>
      <c r="D1453" t="inlineStr">
        <is>
          <t>GÄVLEBORGS LÄN</t>
        </is>
      </c>
      <c r="E1453" t="inlineStr">
        <is>
          <t>SANDVIKEN</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3698-2021</t>
        </is>
      </c>
      <c r="B1454" s="1" t="n">
        <v>44221</v>
      </c>
      <c r="C1454" s="1" t="n">
        <v>45883</v>
      </c>
      <c r="D1454" t="inlineStr">
        <is>
          <t>GÄVLEBORGS LÄN</t>
        </is>
      </c>
      <c r="E1454" t="inlineStr">
        <is>
          <t>HUDIKSVALL</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57072-2021</t>
        </is>
      </c>
      <c r="B1455" s="1" t="n">
        <v>44482.57189814815</v>
      </c>
      <c r="C1455" s="1" t="n">
        <v>45883</v>
      </c>
      <c r="D1455" t="inlineStr">
        <is>
          <t>GÄVLEBORGS LÄN</t>
        </is>
      </c>
      <c r="E1455" t="inlineStr">
        <is>
          <t>LJUSDAL</t>
        </is>
      </c>
      <c r="F1455" t="inlineStr">
        <is>
          <t>Holmen skog AB</t>
        </is>
      </c>
      <c r="G1455" t="n">
        <v>6.3</v>
      </c>
      <c r="H1455" t="n">
        <v>0</v>
      </c>
      <c r="I1455" t="n">
        <v>0</v>
      </c>
      <c r="J1455" t="n">
        <v>0</v>
      </c>
      <c r="K1455" t="n">
        <v>0</v>
      </c>
      <c r="L1455" t="n">
        <v>0</v>
      </c>
      <c r="M1455" t="n">
        <v>0</v>
      </c>
      <c r="N1455" t="n">
        <v>0</v>
      </c>
      <c r="O1455" t="n">
        <v>0</v>
      </c>
      <c r="P1455" t="n">
        <v>0</v>
      </c>
      <c r="Q1455" t="n">
        <v>0</v>
      </c>
      <c r="R1455" s="2" t="inlineStr"/>
    </row>
    <row r="1456" ht="15" customHeight="1">
      <c r="A1456" t="inlineStr">
        <is>
          <t>A 64387-2020</t>
        </is>
      </c>
      <c r="B1456" s="1" t="n">
        <v>44168</v>
      </c>
      <c r="C1456" s="1" t="n">
        <v>45883</v>
      </c>
      <c r="D1456" t="inlineStr">
        <is>
          <t>GÄVLEBORGS LÄN</t>
        </is>
      </c>
      <c r="E1456" t="inlineStr">
        <is>
          <t>SANDVIKEN</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9982-2021</t>
        </is>
      </c>
      <c r="B1457" s="1" t="n">
        <v>44253</v>
      </c>
      <c r="C1457" s="1" t="n">
        <v>45883</v>
      </c>
      <c r="D1457" t="inlineStr">
        <is>
          <t>GÄVLEBORGS LÄN</t>
        </is>
      </c>
      <c r="E1457" t="inlineStr">
        <is>
          <t>LJUSDAL</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38870-2020</t>
        </is>
      </c>
      <c r="B1458" s="1" t="n">
        <v>44062</v>
      </c>
      <c r="C1458" s="1" t="n">
        <v>45883</v>
      </c>
      <c r="D1458" t="inlineStr">
        <is>
          <t>GÄVLEBORGS LÄN</t>
        </is>
      </c>
      <c r="E1458" t="inlineStr">
        <is>
          <t>BOLLNÄS</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48443-2021</t>
        </is>
      </c>
      <c r="B1459" s="1" t="n">
        <v>44452</v>
      </c>
      <c r="C1459" s="1" t="n">
        <v>45883</v>
      </c>
      <c r="D1459" t="inlineStr">
        <is>
          <t>GÄVLEBORGS LÄN</t>
        </is>
      </c>
      <c r="E1459" t="inlineStr">
        <is>
          <t>BOLLNÄS</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18039-2021</t>
        </is>
      </c>
      <c r="B1460" s="1" t="n">
        <v>44302.38584490741</v>
      </c>
      <c r="C1460" s="1" t="n">
        <v>45883</v>
      </c>
      <c r="D1460" t="inlineStr">
        <is>
          <t>GÄVLEBORGS LÄN</t>
        </is>
      </c>
      <c r="E1460" t="inlineStr">
        <is>
          <t>LJUSDAL</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23434-2021</t>
        </is>
      </c>
      <c r="B1461" s="1" t="n">
        <v>44333</v>
      </c>
      <c r="C1461" s="1" t="n">
        <v>45883</v>
      </c>
      <c r="D1461" t="inlineStr">
        <is>
          <t>GÄVLEBORGS LÄN</t>
        </is>
      </c>
      <c r="E1461" t="inlineStr">
        <is>
          <t>HUDIKSVALL</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28006-2021</t>
        </is>
      </c>
      <c r="B1462" s="1" t="n">
        <v>44355.33836805556</v>
      </c>
      <c r="C1462" s="1" t="n">
        <v>45883</v>
      </c>
      <c r="D1462" t="inlineStr">
        <is>
          <t>GÄVLEBORGS LÄN</t>
        </is>
      </c>
      <c r="E1462" t="inlineStr">
        <is>
          <t>OCKELBO</t>
        </is>
      </c>
      <c r="F1462" t="inlineStr">
        <is>
          <t>Bergvik skog väst AB</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66590-2021</t>
        </is>
      </c>
      <c r="B1463" s="1" t="n">
        <v>44519.46857638889</v>
      </c>
      <c r="C1463" s="1" t="n">
        <v>45883</v>
      </c>
      <c r="D1463" t="inlineStr">
        <is>
          <t>GÄVLEBORGS LÄN</t>
        </is>
      </c>
      <c r="E1463" t="inlineStr">
        <is>
          <t>SANDVIKEN</t>
        </is>
      </c>
      <c r="G1463" t="n">
        <v>7.2</v>
      </c>
      <c r="H1463" t="n">
        <v>0</v>
      </c>
      <c r="I1463" t="n">
        <v>0</v>
      </c>
      <c r="J1463" t="n">
        <v>0</v>
      </c>
      <c r="K1463" t="n">
        <v>0</v>
      </c>
      <c r="L1463" t="n">
        <v>0</v>
      </c>
      <c r="M1463" t="n">
        <v>0</v>
      </c>
      <c r="N1463" t="n">
        <v>0</v>
      </c>
      <c r="O1463" t="n">
        <v>0</v>
      </c>
      <c r="P1463" t="n">
        <v>0</v>
      </c>
      <c r="Q1463" t="n">
        <v>0</v>
      </c>
      <c r="R1463" s="2" t="inlineStr"/>
    </row>
    <row r="1464" ht="15" customHeight="1">
      <c r="A1464" t="inlineStr">
        <is>
          <t>A 51454-2020</t>
        </is>
      </c>
      <c r="B1464" s="1" t="n">
        <v>44113</v>
      </c>
      <c r="C1464" s="1" t="n">
        <v>45883</v>
      </c>
      <c r="D1464" t="inlineStr">
        <is>
          <t>GÄVLEBORGS LÄN</t>
        </is>
      </c>
      <c r="E1464" t="inlineStr">
        <is>
          <t>HUDIKSVALL</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53508-2020</t>
        </is>
      </c>
      <c r="B1465" s="1" t="n">
        <v>44124</v>
      </c>
      <c r="C1465" s="1" t="n">
        <v>45883</v>
      </c>
      <c r="D1465" t="inlineStr">
        <is>
          <t>GÄVLEBORGS LÄN</t>
        </is>
      </c>
      <c r="E1465" t="inlineStr">
        <is>
          <t>LJUSDAL</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13807-2022</t>
        </is>
      </c>
      <c r="B1466" s="1" t="n">
        <v>44649</v>
      </c>
      <c r="C1466" s="1" t="n">
        <v>45883</v>
      </c>
      <c r="D1466" t="inlineStr">
        <is>
          <t>GÄVLEBORGS LÄN</t>
        </is>
      </c>
      <c r="E1466" t="inlineStr">
        <is>
          <t>HOFORS</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13816-2022</t>
        </is>
      </c>
      <c r="B1467" s="1" t="n">
        <v>44649.60190972222</v>
      </c>
      <c r="C1467" s="1" t="n">
        <v>45883</v>
      </c>
      <c r="D1467" t="inlineStr">
        <is>
          <t>GÄVLEBORGS LÄN</t>
        </is>
      </c>
      <c r="E1467" t="inlineStr">
        <is>
          <t>HUDIKSVALL</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13819-2022</t>
        </is>
      </c>
      <c r="B1468" s="1" t="n">
        <v>44649.60987268519</v>
      </c>
      <c r="C1468" s="1" t="n">
        <v>45883</v>
      </c>
      <c r="D1468" t="inlineStr">
        <is>
          <t>GÄVLEBORGS LÄN</t>
        </is>
      </c>
      <c r="E1468" t="inlineStr">
        <is>
          <t>HUDIKSVALL</t>
        </is>
      </c>
      <c r="F1468" t="inlineStr">
        <is>
          <t>Holmen skog AB</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28231-2022</t>
        </is>
      </c>
      <c r="B1469" s="1" t="n">
        <v>44746.66461805555</v>
      </c>
      <c r="C1469" s="1" t="n">
        <v>45883</v>
      </c>
      <c r="D1469" t="inlineStr">
        <is>
          <t>GÄVLEBORGS LÄN</t>
        </is>
      </c>
      <c r="E1469" t="inlineStr">
        <is>
          <t>OVANÅKER</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37402-2021</t>
        </is>
      </c>
      <c r="B1470" s="1" t="n">
        <v>44398.41361111111</v>
      </c>
      <c r="C1470" s="1" t="n">
        <v>45883</v>
      </c>
      <c r="D1470" t="inlineStr">
        <is>
          <t>GÄVLEBORGS LÄN</t>
        </is>
      </c>
      <c r="E1470" t="inlineStr">
        <is>
          <t>LJUSDAL</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38604-2021</t>
        </is>
      </c>
      <c r="B1471" s="1" t="n">
        <v>44409.33064814815</v>
      </c>
      <c r="C1471" s="1" t="n">
        <v>45883</v>
      </c>
      <c r="D1471" t="inlineStr">
        <is>
          <t>GÄVLEBORGS LÄN</t>
        </is>
      </c>
      <c r="E1471" t="inlineStr">
        <is>
          <t>OCKELBO</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38018-2021</t>
        </is>
      </c>
      <c r="B1472" s="1" t="n">
        <v>44404</v>
      </c>
      <c r="C1472" s="1" t="n">
        <v>45883</v>
      </c>
      <c r="D1472" t="inlineStr">
        <is>
          <t>GÄVLEBORGS LÄN</t>
        </is>
      </c>
      <c r="E1472" t="inlineStr">
        <is>
          <t>HUDIKSVALL</t>
        </is>
      </c>
      <c r="F1472" t="inlineStr">
        <is>
          <t>Kommuner</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67779-2020</t>
        </is>
      </c>
      <c r="B1473" s="1" t="n">
        <v>44182</v>
      </c>
      <c r="C1473" s="1" t="n">
        <v>45883</v>
      </c>
      <c r="D1473" t="inlineStr">
        <is>
          <t>GÄVLEBORGS LÄN</t>
        </is>
      </c>
      <c r="E1473" t="inlineStr">
        <is>
          <t>OCKELBO</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29062-2021</t>
        </is>
      </c>
      <c r="B1474" s="1" t="n">
        <v>44358</v>
      </c>
      <c r="C1474" s="1" t="n">
        <v>45883</v>
      </c>
      <c r="D1474" t="inlineStr">
        <is>
          <t>GÄVLEBORGS LÄN</t>
        </is>
      </c>
      <c r="E1474" t="inlineStr">
        <is>
          <t>LJUSDAL</t>
        </is>
      </c>
      <c r="F1474" t="inlineStr">
        <is>
          <t>Bergvik skog väst AB</t>
        </is>
      </c>
      <c r="G1474" t="n">
        <v>10.8</v>
      </c>
      <c r="H1474" t="n">
        <v>0</v>
      </c>
      <c r="I1474" t="n">
        <v>0</v>
      </c>
      <c r="J1474" t="n">
        <v>0</v>
      </c>
      <c r="K1474" t="n">
        <v>0</v>
      </c>
      <c r="L1474" t="n">
        <v>0</v>
      </c>
      <c r="M1474" t="n">
        <v>0</v>
      </c>
      <c r="N1474" t="n">
        <v>0</v>
      </c>
      <c r="O1474" t="n">
        <v>0</v>
      </c>
      <c r="P1474" t="n">
        <v>0</v>
      </c>
      <c r="Q1474" t="n">
        <v>0</v>
      </c>
      <c r="R1474" s="2" t="inlineStr"/>
    </row>
    <row r="1475" ht="15" customHeight="1">
      <c r="A1475" t="inlineStr">
        <is>
          <t>A 49807-2020</t>
        </is>
      </c>
      <c r="B1475" s="1" t="n">
        <v>44106.6565625</v>
      </c>
      <c r="C1475" s="1" t="n">
        <v>45883</v>
      </c>
      <c r="D1475" t="inlineStr">
        <is>
          <t>GÄVLEBORGS LÄN</t>
        </is>
      </c>
      <c r="E1475" t="inlineStr">
        <is>
          <t>LJUSDAL</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11423-2021</t>
        </is>
      </c>
      <c r="B1476" s="1" t="n">
        <v>44263.91773148148</v>
      </c>
      <c r="C1476" s="1" t="n">
        <v>45883</v>
      </c>
      <c r="D1476" t="inlineStr">
        <is>
          <t>GÄVLEBORGS LÄN</t>
        </is>
      </c>
      <c r="E1476" t="inlineStr">
        <is>
          <t>HUDIKSVALL</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21291-2022</t>
        </is>
      </c>
      <c r="B1477" s="1" t="n">
        <v>44705.48972222222</v>
      </c>
      <c r="C1477" s="1" t="n">
        <v>45883</v>
      </c>
      <c r="D1477" t="inlineStr">
        <is>
          <t>GÄVLEBORGS LÄN</t>
        </is>
      </c>
      <c r="E1477" t="inlineStr">
        <is>
          <t>OCKELBO</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63963-2020</t>
        </is>
      </c>
      <c r="B1478" s="1" t="n">
        <v>44167</v>
      </c>
      <c r="C1478" s="1" t="n">
        <v>45883</v>
      </c>
      <c r="D1478" t="inlineStr">
        <is>
          <t>GÄVLEBORGS LÄN</t>
        </is>
      </c>
      <c r="E1478" t="inlineStr">
        <is>
          <t>OVANÅKER</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52907-2020</t>
        </is>
      </c>
      <c r="B1479" s="1" t="n">
        <v>44119</v>
      </c>
      <c r="C1479" s="1" t="n">
        <v>45883</v>
      </c>
      <c r="D1479" t="inlineStr">
        <is>
          <t>GÄVLEBORGS LÄN</t>
        </is>
      </c>
      <c r="E1479" t="inlineStr">
        <is>
          <t>BOLLNÄS</t>
        </is>
      </c>
      <c r="F1479" t="inlineStr">
        <is>
          <t>Bergvik skog väst AB</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51519-2022</t>
        </is>
      </c>
      <c r="B1480" s="1" t="n">
        <v>44869.66986111111</v>
      </c>
      <c r="C1480" s="1" t="n">
        <v>45883</v>
      </c>
      <c r="D1480" t="inlineStr">
        <is>
          <t>GÄVLEBORGS LÄN</t>
        </is>
      </c>
      <c r="E1480" t="inlineStr">
        <is>
          <t>LJUSDAL</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40614-2020</t>
        </is>
      </c>
      <c r="B1481" s="1" t="n">
        <v>44069</v>
      </c>
      <c r="C1481" s="1" t="n">
        <v>45883</v>
      </c>
      <c r="D1481" t="inlineStr">
        <is>
          <t>GÄVLEBORGS LÄN</t>
        </is>
      </c>
      <c r="E1481" t="inlineStr">
        <is>
          <t>LJUSDAL</t>
        </is>
      </c>
      <c r="F1481" t="inlineStr">
        <is>
          <t>Sveaskog</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18477-2022</t>
        </is>
      </c>
      <c r="B1482" s="1" t="n">
        <v>44686.56325231482</v>
      </c>
      <c r="C1482" s="1" t="n">
        <v>45883</v>
      </c>
      <c r="D1482" t="inlineStr">
        <is>
          <t>GÄVLEBORGS LÄN</t>
        </is>
      </c>
      <c r="E1482" t="inlineStr">
        <is>
          <t>BOLLNÄS</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49687-2020</t>
        </is>
      </c>
      <c r="B1483" s="1" t="n">
        <v>44106.49574074074</v>
      </c>
      <c r="C1483" s="1" t="n">
        <v>45883</v>
      </c>
      <c r="D1483" t="inlineStr">
        <is>
          <t>GÄVLEBORGS LÄN</t>
        </is>
      </c>
      <c r="E1483" t="inlineStr">
        <is>
          <t>LJUSDAL</t>
        </is>
      </c>
      <c r="F1483" t="inlineStr">
        <is>
          <t>Holmen skog AB</t>
        </is>
      </c>
      <c r="G1483" t="n">
        <v>4.4</v>
      </c>
      <c r="H1483" t="n">
        <v>0</v>
      </c>
      <c r="I1483" t="n">
        <v>0</v>
      </c>
      <c r="J1483" t="n">
        <v>0</v>
      </c>
      <c r="K1483" t="n">
        <v>0</v>
      </c>
      <c r="L1483" t="n">
        <v>0</v>
      </c>
      <c r="M1483" t="n">
        <v>0</v>
      </c>
      <c r="N1483" t="n">
        <v>0</v>
      </c>
      <c r="O1483" t="n">
        <v>0</v>
      </c>
      <c r="P1483" t="n">
        <v>0</v>
      </c>
      <c r="Q1483" t="n">
        <v>0</v>
      </c>
      <c r="R1483" s="2" t="inlineStr"/>
    </row>
    <row r="1484" ht="15" customHeight="1">
      <c r="A1484" t="inlineStr">
        <is>
          <t>A 1569-2021</t>
        </is>
      </c>
      <c r="B1484" s="1" t="n">
        <v>44208</v>
      </c>
      <c r="C1484" s="1" t="n">
        <v>45883</v>
      </c>
      <c r="D1484" t="inlineStr">
        <is>
          <t>GÄVLEBORGS LÄN</t>
        </is>
      </c>
      <c r="E1484" t="inlineStr">
        <is>
          <t>NORDANSTIG</t>
        </is>
      </c>
      <c r="F1484" t="inlineStr">
        <is>
          <t>Holmen skog AB</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40009-2021</t>
        </is>
      </c>
      <c r="B1485" s="1" t="n">
        <v>44418</v>
      </c>
      <c r="C1485" s="1" t="n">
        <v>45883</v>
      </c>
      <c r="D1485" t="inlineStr">
        <is>
          <t>GÄVLEBORGS LÄN</t>
        </is>
      </c>
      <c r="E1485" t="inlineStr">
        <is>
          <t>LJUSDAL</t>
        </is>
      </c>
      <c r="F1485" t="inlineStr">
        <is>
          <t>Sveaskog</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21696-2021</t>
        </is>
      </c>
      <c r="B1486" s="1" t="n">
        <v>44322.4402662037</v>
      </c>
      <c r="C1486" s="1" t="n">
        <v>45883</v>
      </c>
      <c r="D1486" t="inlineStr">
        <is>
          <t>GÄVLEBORGS LÄN</t>
        </is>
      </c>
      <c r="E1486" t="inlineStr">
        <is>
          <t>LJUSDAL</t>
        </is>
      </c>
      <c r="F1486" t="inlineStr">
        <is>
          <t>Sveaskog</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21708-2021</t>
        </is>
      </c>
      <c r="B1487" s="1" t="n">
        <v>44322.47003472222</v>
      </c>
      <c r="C1487" s="1" t="n">
        <v>45883</v>
      </c>
      <c r="D1487" t="inlineStr">
        <is>
          <t>GÄVLEBORGS LÄN</t>
        </is>
      </c>
      <c r="E1487" t="inlineStr">
        <is>
          <t>LJUSDAL</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50069-2020</t>
        </is>
      </c>
      <c r="B1488" s="1" t="n">
        <v>44109.53175925926</v>
      </c>
      <c r="C1488" s="1" t="n">
        <v>45883</v>
      </c>
      <c r="D1488" t="inlineStr">
        <is>
          <t>GÄVLEBORGS LÄN</t>
        </is>
      </c>
      <c r="E1488" t="inlineStr">
        <is>
          <t>NORDANSTIG</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46709-2022</t>
        </is>
      </c>
      <c r="B1489" s="1" t="n">
        <v>44851.38769675926</v>
      </c>
      <c r="C1489" s="1" t="n">
        <v>45883</v>
      </c>
      <c r="D1489" t="inlineStr">
        <is>
          <t>GÄVLEBORGS LÄN</t>
        </is>
      </c>
      <c r="E1489" t="inlineStr">
        <is>
          <t>OVANÅKER</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22587-2021</t>
        </is>
      </c>
      <c r="B1490" s="1" t="n">
        <v>44327.40118055556</v>
      </c>
      <c r="C1490" s="1" t="n">
        <v>45883</v>
      </c>
      <c r="D1490" t="inlineStr">
        <is>
          <t>GÄVLEBORGS LÄN</t>
        </is>
      </c>
      <c r="E1490" t="inlineStr">
        <is>
          <t>OCKELBO</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19374-2022</t>
        </is>
      </c>
      <c r="B1491" s="1" t="n">
        <v>44692.75837962963</v>
      </c>
      <c r="C1491" s="1" t="n">
        <v>45883</v>
      </c>
      <c r="D1491" t="inlineStr">
        <is>
          <t>GÄVLEBORGS LÄN</t>
        </is>
      </c>
      <c r="E1491" t="inlineStr">
        <is>
          <t>NORDANSTIG</t>
        </is>
      </c>
      <c r="F1491" t="inlineStr">
        <is>
          <t>Holmen skog AB</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15304-2021</t>
        </is>
      </c>
      <c r="B1492" s="1" t="n">
        <v>44284</v>
      </c>
      <c r="C1492" s="1" t="n">
        <v>45883</v>
      </c>
      <c r="D1492" t="inlineStr">
        <is>
          <t>GÄVLEBORGS LÄN</t>
        </is>
      </c>
      <c r="E1492" t="inlineStr">
        <is>
          <t>NORDANSTIG</t>
        </is>
      </c>
      <c r="G1492" t="n">
        <v>5.3</v>
      </c>
      <c r="H1492" t="n">
        <v>0</v>
      </c>
      <c r="I1492" t="n">
        <v>0</v>
      </c>
      <c r="J1492" t="n">
        <v>0</v>
      </c>
      <c r="K1492" t="n">
        <v>0</v>
      </c>
      <c r="L1492" t="n">
        <v>0</v>
      </c>
      <c r="M1492" t="n">
        <v>0</v>
      </c>
      <c r="N1492" t="n">
        <v>0</v>
      </c>
      <c r="O1492" t="n">
        <v>0</v>
      </c>
      <c r="P1492" t="n">
        <v>0</v>
      </c>
      <c r="Q1492" t="n">
        <v>0</v>
      </c>
      <c r="R1492" s="2" t="inlineStr"/>
    </row>
    <row r="1493" ht="15" customHeight="1">
      <c r="A1493" t="inlineStr">
        <is>
          <t>A 56635-2021</t>
        </is>
      </c>
      <c r="B1493" s="1" t="n">
        <v>44480</v>
      </c>
      <c r="C1493" s="1" t="n">
        <v>45883</v>
      </c>
      <c r="D1493" t="inlineStr">
        <is>
          <t>GÄVLEBORGS LÄN</t>
        </is>
      </c>
      <c r="E1493" t="inlineStr">
        <is>
          <t>OCKELBO</t>
        </is>
      </c>
      <c r="G1493" t="n">
        <v>10.8</v>
      </c>
      <c r="H1493" t="n">
        <v>0</v>
      </c>
      <c r="I1493" t="n">
        <v>0</v>
      </c>
      <c r="J1493" t="n">
        <v>0</v>
      </c>
      <c r="K1493" t="n">
        <v>0</v>
      </c>
      <c r="L1493" t="n">
        <v>0</v>
      </c>
      <c r="M1493" t="n">
        <v>0</v>
      </c>
      <c r="N1493" t="n">
        <v>0</v>
      </c>
      <c r="O1493" t="n">
        <v>0</v>
      </c>
      <c r="P1493" t="n">
        <v>0</v>
      </c>
      <c r="Q1493" t="n">
        <v>0</v>
      </c>
      <c r="R1493" s="2" t="inlineStr"/>
    </row>
    <row r="1494" ht="15" customHeight="1">
      <c r="A1494" t="inlineStr">
        <is>
          <t>A 31423-2021</t>
        </is>
      </c>
      <c r="B1494" s="1" t="n">
        <v>44369.35077546296</v>
      </c>
      <c r="C1494" s="1" t="n">
        <v>45883</v>
      </c>
      <c r="D1494" t="inlineStr">
        <is>
          <t>GÄVLEBORGS LÄN</t>
        </is>
      </c>
      <c r="E1494" t="inlineStr">
        <is>
          <t>GÄVLE</t>
        </is>
      </c>
      <c r="F1494" t="inlineStr">
        <is>
          <t>Bergvik skog väst AB</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51127-2022</t>
        </is>
      </c>
      <c r="B1495" s="1" t="n">
        <v>44868.47707175926</v>
      </c>
      <c r="C1495" s="1" t="n">
        <v>45883</v>
      </c>
      <c r="D1495" t="inlineStr">
        <is>
          <t>GÄVLEBORGS LÄN</t>
        </is>
      </c>
      <c r="E1495" t="inlineStr">
        <is>
          <t>OVANÅKER</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66208-2021</t>
        </is>
      </c>
      <c r="B1496" s="1" t="n">
        <v>44518.35971064815</v>
      </c>
      <c r="C1496" s="1" t="n">
        <v>45883</v>
      </c>
      <c r="D1496" t="inlineStr">
        <is>
          <t>GÄVLEBORGS LÄN</t>
        </is>
      </c>
      <c r="E1496" t="inlineStr">
        <is>
          <t>LJUSDAL</t>
        </is>
      </c>
      <c r="F1496" t="inlineStr">
        <is>
          <t>Sveaskog</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11020-2021</t>
        </is>
      </c>
      <c r="B1497" s="1" t="n">
        <v>44260</v>
      </c>
      <c r="C1497" s="1" t="n">
        <v>45883</v>
      </c>
      <c r="D1497" t="inlineStr">
        <is>
          <t>GÄVLEBORGS LÄN</t>
        </is>
      </c>
      <c r="E1497" t="inlineStr">
        <is>
          <t>GÄVLE</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45528-2022</t>
        </is>
      </c>
      <c r="B1498" s="1" t="n">
        <v>44845.46920138889</v>
      </c>
      <c r="C1498" s="1" t="n">
        <v>45883</v>
      </c>
      <c r="D1498" t="inlineStr">
        <is>
          <t>GÄVLEBORGS LÄN</t>
        </is>
      </c>
      <c r="E1498" t="inlineStr">
        <is>
          <t>OVANÅKER</t>
        </is>
      </c>
      <c r="F1498" t="inlineStr">
        <is>
          <t>Sveaskog</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51645-2022</t>
        </is>
      </c>
      <c r="B1499" s="1" t="n">
        <v>44872.38538194444</v>
      </c>
      <c r="C1499" s="1" t="n">
        <v>45883</v>
      </c>
      <c r="D1499" t="inlineStr">
        <is>
          <t>GÄVLEBORGS LÄN</t>
        </is>
      </c>
      <c r="E1499" t="inlineStr">
        <is>
          <t>BOLLNÄS</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53618-2022</t>
        </is>
      </c>
      <c r="B1500" s="1" t="n">
        <v>44879</v>
      </c>
      <c r="C1500" s="1" t="n">
        <v>45883</v>
      </c>
      <c r="D1500" t="inlineStr">
        <is>
          <t>GÄVLEBORGS LÄN</t>
        </is>
      </c>
      <c r="E1500" t="inlineStr">
        <is>
          <t>BOLLNÄS</t>
        </is>
      </c>
      <c r="F1500" t="inlineStr">
        <is>
          <t>Bergvik skog väst AB</t>
        </is>
      </c>
      <c r="G1500" t="n">
        <v>7.1</v>
      </c>
      <c r="H1500" t="n">
        <v>0</v>
      </c>
      <c r="I1500" t="n">
        <v>0</v>
      </c>
      <c r="J1500" t="n">
        <v>0</v>
      </c>
      <c r="K1500" t="n">
        <v>0</v>
      </c>
      <c r="L1500" t="n">
        <v>0</v>
      </c>
      <c r="M1500" t="n">
        <v>0</v>
      </c>
      <c r="N1500" t="n">
        <v>0</v>
      </c>
      <c r="O1500" t="n">
        <v>0</v>
      </c>
      <c r="P1500" t="n">
        <v>0</v>
      </c>
      <c r="Q1500" t="n">
        <v>0</v>
      </c>
      <c r="R1500" s="2" t="inlineStr"/>
    </row>
    <row r="1501" ht="15" customHeight="1">
      <c r="A1501" t="inlineStr">
        <is>
          <t>A 18691-2022</t>
        </is>
      </c>
      <c r="B1501" s="1" t="n">
        <v>44687.59209490741</v>
      </c>
      <c r="C1501" s="1" t="n">
        <v>45883</v>
      </c>
      <c r="D1501" t="inlineStr">
        <is>
          <t>GÄVLEBORGS LÄN</t>
        </is>
      </c>
      <c r="E1501" t="inlineStr">
        <is>
          <t>LJUSDAL</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28527-2022</t>
        </is>
      </c>
      <c r="B1502" s="1" t="n">
        <v>44748</v>
      </c>
      <c r="C1502" s="1" t="n">
        <v>45883</v>
      </c>
      <c r="D1502" t="inlineStr">
        <is>
          <t>GÄVLEBORGS LÄN</t>
        </is>
      </c>
      <c r="E1502" t="inlineStr">
        <is>
          <t>LJUSDAL</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14470-2021</t>
        </is>
      </c>
      <c r="B1503" s="1" t="n">
        <v>44279</v>
      </c>
      <c r="C1503" s="1" t="n">
        <v>45883</v>
      </c>
      <c r="D1503" t="inlineStr">
        <is>
          <t>GÄVLEBORGS LÄN</t>
        </is>
      </c>
      <c r="E1503" t="inlineStr">
        <is>
          <t>BOLLNÄS</t>
        </is>
      </c>
      <c r="F1503" t="inlineStr">
        <is>
          <t>Kommuner</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51747-2022</t>
        </is>
      </c>
      <c r="B1504" s="1" t="n">
        <v>44872.49866898148</v>
      </c>
      <c r="C1504" s="1" t="n">
        <v>45883</v>
      </c>
      <c r="D1504" t="inlineStr">
        <is>
          <t>GÄVLEBORGS LÄN</t>
        </is>
      </c>
      <c r="E1504" t="inlineStr">
        <is>
          <t>OCKELBO</t>
        </is>
      </c>
      <c r="F1504" t="inlineStr">
        <is>
          <t>Bergvik skog väst AB</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30813-2021</t>
        </is>
      </c>
      <c r="B1505" s="1" t="n">
        <v>44365</v>
      </c>
      <c r="C1505" s="1" t="n">
        <v>45883</v>
      </c>
      <c r="D1505" t="inlineStr">
        <is>
          <t>GÄVLEBORGS LÄN</t>
        </is>
      </c>
      <c r="E1505" t="inlineStr">
        <is>
          <t>BOLLNÄS</t>
        </is>
      </c>
      <c r="F1505" t="inlineStr">
        <is>
          <t>Sveaskog</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39469-2020</t>
        </is>
      </c>
      <c r="B1506" s="1" t="n">
        <v>44064</v>
      </c>
      <c r="C1506" s="1" t="n">
        <v>45883</v>
      </c>
      <c r="D1506" t="inlineStr">
        <is>
          <t>GÄVLEBORGS LÄN</t>
        </is>
      </c>
      <c r="E1506" t="inlineStr">
        <is>
          <t>SANDVIKEN</t>
        </is>
      </c>
      <c r="F1506" t="inlineStr">
        <is>
          <t>Bergvik skog öst AB</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30374-2022</t>
        </is>
      </c>
      <c r="B1507" s="1" t="n">
        <v>44760.65425925926</v>
      </c>
      <c r="C1507" s="1" t="n">
        <v>45883</v>
      </c>
      <c r="D1507" t="inlineStr">
        <is>
          <t>GÄVLEBORGS LÄN</t>
        </is>
      </c>
      <c r="E1507" t="inlineStr">
        <is>
          <t>OVANÅKER</t>
        </is>
      </c>
      <c r="G1507" t="n">
        <v>0.2</v>
      </c>
      <c r="H1507" t="n">
        <v>0</v>
      </c>
      <c r="I1507" t="n">
        <v>0</v>
      </c>
      <c r="J1507" t="n">
        <v>0</v>
      </c>
      <c r="K1507" t="n">
        <v>0</v>
      </c>
      <c r="L1507" t="n">
        <v>0</v>
      </c>
      <c r="M1507" t="n">
        <v>0</v>
      </c>
      <c r="N1507" t="n">
        <v>0</v>
      </c>
      <c r="O1507" t="n">
        <v>0</v>
      </c>
      <c r="P1507" t="n">
        <v>0</v>
      </c>
      <c r="Q1507" t="n">
        <v>0</v>
      </c>
      <c r="R1507" s="2" t="inlineStr"/>
    </row>
    <row r="1508" ht="15" customHeight="1">
      <c r="A1508" t="inlineStr">
        <is>
          <t>A 28454-2022</t>
        </is>
      </c>
      <c r="B1508" s="1" t="n">
        <v>44747.69561342592</v>
      </c>
      <c r="C1508" s="1" t="n">
        <v>45883</v>
      </c>
      <c r="D1508" t="inlineStr">
        <is>
          <t>GÄVLEBORGS LÄN</t>
        </is>
      </c>
      <c r="E1508" t="inlineStr">
        <is>
          <t>LJUSDAL</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19279-2022</t>
        </is>
      </c>
      <c r="B1509" s="1" t="n">
        <v>44692</v>
      </c>
      <c r="C1509" s="1" t="n">
        <v>45883</v>
      </c>
      <c r="D1509" t="inlineStr">
        <is>
          <t>GÄVLEBORGS LÄN</t>
        </is>
      </c>
      <c r="E1509" t="inlineStr">
        <is>
          <t>NORDANSTIG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19288-2022</t>
        </is>
      </c>
      <c r="B1510" s="1" t="n">
        <v>44692.49936342592</v>
      </c>
      <c r="C1510" s="1" t="n">
        <v>45883</v>
      </c>
      <c r="D1510" t="inlineStr">
        <is>
          <t>GÄVLEBORGS LÄN</t>
        </is>
      </c>
      <c r="E1510" t="inlineStr">
        <is>
          <t>LJUSDAL</t>
        </is>
      </c>
      <c r="F1510" t="inlineStr">
        <is>
          <t>Holmen skog AB</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19292-2022</t>
        </is>
      </c>
      <c r="B1511" s="1" t="n">
        <v>44692</v>
      </c>
      <c r="C1511" s="1" t="n">
        <v>45883</v>
      </c>
      <c r="D1511" t="inlineStr">
        <is>
          <t>GÄVLEBORGS LÄN</t>
        </is>
      </c>
      <c r="E1511" t="inlineStr">
        <is>
          <t>HOFORS</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31930-2021</t>
        </is>
      </c>
      <c r="B1512" s="1" t="n">
        <v>44370.49515046296</v>
      </c>
      <c r="C1512" s="1" t="n">
        <v>45883</v>
      </c>
      <c r="D1512" t="inlineStr">
        <is>
          <t>GÄVLEBORGS LÄN</t>
        </is>
      </c>
      <c r="E1512" t="inlineStr">
        <is>
          <t>NORDANSTIG</t>
        </is>
      </c>
      <c r="G1512" t="n">
        <v>9.4</v>
      </c>
      <c r="H1512" t="n">
        <v>0</v>
      </c>
      <c r="I1512" t="n">
        <v>0</v>
      </c>
      <c r="J1512" t="n">
        <v>0</v>
      </c>
      <c r="K1512" t="n">
        <v>0</v>
      </c>
      <c r="L1512" t="n">
        <v>0</v>
      </c>
      <c r="M1512" t="n">
        <v>0</v>
      </c>
      <c r="N1512" t="n">
        <v>0</v>
      </c>
      <c r="O1512" t="n">
        <v>0</v>
      </c>
      <c r="P1512" t="n">
        <v>0</v>
      </c>
      <c r="Q1512" t="n">
        <v>0</v>
      </c>
      <c r="R1512" s="2" t="inlineStr"/>
    </row>
    <row r="1513" ht="15" customHeight="1">
      <c r="A1513" t="inlineStr">
        <is>
          <t>A 58385-2021</t>
        </is>
      </c>
      <c r="B1513" s="1" t="n">
        <v>44488.47545138889</v>
      </c>
      <c r="C1513" s="1" t="n">
        <v>45883</v>
      </c>
      <c r="D1513" t="inlineStr">
        <is>
          <t>GÄVLEBORGS LÄN</t>
        </is>
      </c>
      <c r="E1513" t="inlineStr">
        <is>
          <t>LJUSDAL</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59611-2021</t>
        </is>
      </c>
      <c r="B1514" s="1" t="n">
        <v>44491.69429398148</v>
      </c>
      <c r="C1514" s="1" t="n">
        <v>45883</v>
      </c>
      <c r="D1514" t="inlineStr">
        <is>
          <t>GÄVLEBORGS LÄN</t>
        </is>
      </c>
      <c r="E1514" t="inlineStr">
        <is>
          <t>SÖDERHAMN</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36680-2021</t>
        </is>
      </c>
      <c r="B1515" s="1" t="n">
        <v>44392</v>
      </c>
      <c r="C1515" s="1" t="n">
        <v>45883</v>
      </c>
      <c r="D1515" t="inlineStr">
        <is>
          <t>GÄVLEBORGS LÄN</t>
        </is>
      </c>
      <c r="E1515" t="inlineStr">
        <is>
          <t>SÖDERHAMN</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18167-2022</t>
        </is>
      </c>
      <c r="B1516" s="1" t="n">
        <v>44684</v>
      </c>
      <c r="C1516" s="1" t="n">
        <v>45883</v>
      </c>
      <c r="D1516" t="inlineStr">
        <is>
          <t>GÄVLEBORGS LÄN</t>
        </is>
      </c>
      <c r="E1516" t="inlineStr">
        <is>
          <t>NORDANSTIG</t>
        </is>
      </c>
      <c r="F1516" t="inlineStr">
        <is>
          <t>Holmen skog AB</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18181-2022</t>
        </is>
      </c>
      <c r="B1517" s="1" t="n">
        <v>44684.68034722222</v>
      </c>
      <c r="C1517" s="1" t="n">
        <v>45883</v>
      </c>
      <c r="D1517" t="inlineStr">
        <is>
          <t>GÄVLEBORGS LÄN</t>
        </is>
      </c>
      <c r="E1517" t="inlineStr">
        <is>
          <t>GÄVLE</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51567-2022</t>
        </is>
      </c>
      <c r="B1518" s="1" t="n">
        <v>44869.96807870371</v>
      </c>
      <c r="C1518" s="1" t="n">
        <v>45883</v>
      </c>
      <c r="D1518" t="inlineStr">
        <is>
          <t>GÄVLEBORGS LÄN</t>
        </is>
      </c>
      <c r="E1518" t="inlineStr">
        <is>
          <t>HUDIKSVALL</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59271-2020</t>
        </is>
      </c>
      <c r="B1519" s="1" t="n">
        <v>44147.68422453704</v>
      </c>
      <c r="C1519" s="1" t="n">
        <v>45883</v>
      </c>
      <c r="D1519" t="inlineStr">
        <is>
          <t>GÄVLEBORGS LÄN</t>
        </is>
      </c>
      <c r="E1519" t="inlineStr">
        <is>
          <t>SÖDERHAMN</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20593-2022</t>
        </is>
      </c>
      <c r="B1520" s="1" t="n">
        <v>44700.44726851852</v>
      </c>
      <c r="C1520" s="1" t="n">
        <v>45883</v>
      </c>
      <c r="D1520" t="inlineStr">
        <is>
          <t>GÄVLEBORGS LÄN</t>
        </is>
      </c>
      <c r="E1520" t="inlineStr">
        <is>
          <t>LJUSDAL</t>
        </is>
      </c>
      <c r="F1520" t="inlineStr">
        <is>
          <t>Holmen skog AB</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23707-2021</t>
        </is>
      </c>
      <c r="B1521" s="1" t="n">
        <v>44334.68707175926</v>
      </c>
      <c r="C1521" s="1" t="n">
        <v>45883</v>
      </c>
      <c r="D1521" t="inlineStr">
        <is>
          <t>GÄVLEBORGS LÄN</t>
        </is>
      </c>
      <c r="E1521" t="inlineStr">
        <is>
          <t>OCKELBO</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35525-2022</t>
        </is>
      </c>
      <c r="B1522" s="1" t="n">
        <v>44799.29469907407</v>
      </c>
      <c r="C1522" s="1" t="n">
        <v>45883</v>
      </c>
      <c r="D1522" t="inlineStr">
        <is>
          <t>GÄVLEBORGS LÄN</t>
        </is>
      </c>
      <c r="E1522" t="inlineStr">
        <is>
          <t>SANDVIKEN</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51202-2022</t>
        </is>
      </c>
      <c r="B1523" s="1" t="n">
        <v>44868.60868055555</v>
      </c>
      <c r="C1523" s="1" t="n">
        <v>45883</v>
      </c>
      <c r="D1523" t="inlineStr">
        <is>
          <t>GÄVLEBORGS LÄN</t>
        </is>
      </c>
      <c r="E1523" t="inlineStr">
        <is>
          <t>HOFORS</t>
        </is>
      </c>
      <c r="F1523" t="inlineStr">
        <is>
          <t>Sveaskog</t>
        </is>
      </c>
      <c r="G1523" t="n">
        <v>11.3</v>
      </c>
      <c r="H1523" t="n">
        <v>0</v>
      </c>
      <c r="I1523" t="n">
        <v>0</v>
      </c>
      <c r="J1523" t="n">
        <v>0</v>
      </c>
      <c r="K1523" t="n">
        <v>0</v>
      </c>
      <c r="L1523" t="n">
        <v>0</v>
      </c>
      <c r="M1523" t="n">
        <v>0</v>
      </c>
      <c r="N1523" t="n">
        <v>0</v>
      </c>
      <c r="O1523" t="n">
        <v>0</v>
      </c>
      <c r="P1523" t="n">
        <v>0</v>
      </c>
      <c r="Q1523" t="n">
        <v>0</v>
      </c>
      <c r="R1523" s="2" t="inlineStr"/>
    </row>
    <row r="1524" ht="15" customHeight="1">
      <c r="A1524" t="inlineStr">
        <is>
          <t>A 18394-2021</t>
        </is>
      </c>
      <c r="B1524" s="1" t="n">
        <v>44305.62493055555</v>
      </c>
      <c r="C1524" s="1" t="n">
        <v>45883</v>
      </c>
      <c r="D1524" t="inlineStr">
        <is>
          <t>GÄVLEBORGS LÄN</t>
        </is>
      </c>
      <c r="E1524" t="inlineStr">
        <is>
          <t>NORDANSTIG</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19180-2021</t>
        </is>
      </c>
      <c r="B1525" s="1" t="n">
        <v>44308.72342592593</v>
      </c>
      <c r="C1525" s="1" t="n">
        <v>45883</v>
      </c>
      <c r="D1525" t="inlineStr">
        <is>
          <t>GÄVLEBORGS LÄN</t>
        </is>
      </c>
      <c r="E1525" t="inlineStr">
        <is>
          <t>GÄVLE</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53445-2022</t>
        </is>
      </c>
      <c r="B1526" s="1" t="n">
        <v>44879.48770833333</v>
      </c>
      <c r="C1526" s="1" t="n">
        <v>45883</v>
      </c>
      <c r="D1526" t="inlineStr">
        <is>
          <t>GÄVLEBORGS LÄN</t>
        </is>
      </c>
      <c r="E1526" t="inlineStr">
        <is>
          <t>OVANÅKER</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44257-2021</t>
        </is>
      </c>
      <c r="B1527" s="1" t="n">
        <v>44435</v>
      </c>
      <c r="C1527" s="1" t="n">
        <v>45883</v>
      </c>
      <c r="D1527" t="inlineStr">
        <is>
          <t>GÄVLEBORGS LÄN</t>
        </is>
      </c>
      <c r="E1527" t="inlineStr">
        <is>
          <t>LJUSDAL</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15725-2022</t>
        </is>
      </c>
      <c r="B1528" s="1" t="n">
        <v>44663.49115740741</v>
      </c>
      <c r="C1528" s="1" t="n">
        <v>45883</v>
      </c>
      <c r="D1528" t="inlineStr">
        <is>
          <t>GÄVLEBORGS LÄN</t>
        </is>
      </c>
      <c r="E1528" t="inlineStr">
        <is>
          <t>SÖDERHAMN</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27695-2022</t>
        </is>
      </c>
      <c r="B1529" s="1" t="n">
        <v>44743.45225694445</v>
      </c>
      <c r="C1529" s="1" t="n">
        <v>45883</v>
      </c>
      <c r="D1529" t="inlineStr">
        <is>
          <t>GÄVLEBORGS LÄN</t>
        </is>
      </c>
      <c r="E1529" t="inlineStr">
        <is>
          <t>NORDANSTIG</t>
        </is>
      </c>
      <c r="F1529" t="inlineStr">
        <is>
          <t>Holmen skog AB</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22416-2021</t>
        </is>
      </c>
      <c r="B1530" s="1" t="n">
        <v>44326.62326388889</v>
      </c>
      <c r="C1530" s="1" t="n">
        <v>45883</v>
      </c>
      <c r="D1530" t="inlineStr">
        <is>
          <t>GÄVLEBORGS LÄN</t>
        </is>
      </c>
      <c r="E1530" t="inlineStr">
        <is>
          <t>OVANÅKER</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30152-2022</t>
        </is>
      </c>
      <c r="B1531" s="1" t="n">
        <v>44757.508125</v>
      </c>
      <c r="C1531" s="1" t="n">
        <v>45883</v>
      </c>
      <c r="D1531" t="inlineStr">
        <is>
          <t>GÄVLEBORGS LÄN</t>
        </is>
      </c>
      <c r="E1531" t="inlineStr">
        <is>
          <t>BOLLNÄS</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19264-2021</t>
        </is>
      </c>
      <c r="B1532" s="1" t="n">
        <v>44309</v>
      </c>
      <c r="C1532" s="1" t="n">
        <v>45883</v>
      </c>
      <c r="D1532" t="inlineStr">
        <is>
          <t>GÄVLEBORGS LÄN</t>
        </is>
      </c>
      <c r="E1532" t="inlineStr">
        <is>
          <t>NORDANSTIG</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21189-2022</t>
        </is>
      </c>
      <c r="B1533" s="1" t="n">
        <v>44704.92618055556</v>
      </c>
      <c r="C1533" s="1" t="n">
        <v>45883</v>
      </c>
      <c r="D1533" t="inlineStr">
        <is>
          <t>GÄVLEBORGS LÄN</t>
        </is>
      </c>
      <c r="E1533" t="inlineStr">
        <is>
          <t>NORDANSTIG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15748-2022</t>
        </is>
      </c>
      <c r="B1534" s="1" t="n">
        <v>44663.55478009259</v>
      </c>
      <c r="C1534" s="1" t="n">
        <v>45883</v>
      </c>
      <c r="D1534" t="inlineStr">
        <is>
          <t>GÄVLEBORGS LÄN</t>
        </is>
      </c>
      <c r="E1534" t="inlineStr">
        <is>
          <t>SÖDERHAMN</t>
        </is>
      </c>
      <c r="G1534" t="n">
        <v>10.3</v>
      </c>
      <c r="H1534" t="n">
        <v>0</v>
      </c>
      <c r="I1534" t="n">
        <v>0</v>
      </c>
      <c r="J1534" t="n">
        <v>0</v>
      </c>
      <c r="K1534" t="n">
        <v>0</v>
      </c>
      <c r="L1534" t="n">
        <v>0</v>
      </c>
      <c r="M1534" t="n">
        <v>0</v>
      </c>
      <c r="N1534" t="n">
        <v>0</v>
      </c>
      <c r="O1534" t="n">
        <v>0</v>
      </c>
      <c r="P1534" t="n">
        <v>0</v>
      </c>
      <c r="Q1534" t="n">
        <v>0</v>
      </c>
      <c r="R1534" s="2" t="inlineStr"/>
    </row>
    <row r="1535" ht="15" customHeight="1">
      <c r="A1535" t="inlineStr">
        <is>
          <t>A 42287-2021</t>
        </is>
      </c>
      <c r="B1535" s="1" t="n">
        <v>44427.35351851852</v>
      </c>
      <c r="C1535" s="1" t="n">
        <v>45883</v>
      </c>
      <c r="D1535" t="inlineStr">
        <is>
          <t>GÄVLEBORGS LÄN</t>
        </is>
      </c>
      <c r="E1535" t="inlineStr">
        <is>
          <t>SANDVIKEN</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30668-2021</t>
        </is>
      </c>
      <c r="B1536" s="1" t="n">
        <v>44365.38498842593</v>
      </c>
      <c r="C1536" s="1" t="n">
        <v>45883</v>
      </c>
      <c r="D1536" t="inlineStr">
        <is>
          <t>GÄVLEBORGS LÄN</t>
        </is>
      </c>
      <c r="E1536" t="inlineStr">
        <is>
          <t>LJUSDAL</t>
        </is>
      </c>
      <c r="G1536" t="n">
        <v>7.6</v>
      </c>
      <c r="H1536" t="n">
        <v>0</v>
      </c>
      <c r="I1536" t="n">
        <v>0</v>
      </c>
      <c r="J1536" t="n">
        <v>0</v>
      </c>
      <c r="K1536" t="n">
        <v>0</v>
      </c>
      <c r="L1536" t="n">
        <v>0</v>
      </c>
      <c r="M1536" t="n">
        <v>0</v>
      </c>
      <c r="N1536" t="n">
        <v>0</v>
      </c>
      <c r="O1536" t="n">
        <v>0</v>
      </c>
      <c r="P1536" t="n">
        <v>0</v>
      </c>
      <c r="Q1536" t="n">
        <v>0</v>
      </c>
      <c r="R1536" s="2" t="inlineStr"/>
    </row>
    <row r="1537" ht="15" customHeight="1">
      <c r="A1537" t="inlineStr">
        <is>
          <t>A 30112-2021</t>
        </is>
      </c>
      <c r="B1537" s="1" t="n">
        <v>44363</v>
      </c>
      <c r="C1537" s="1" t="n">
        <v>45883</v>
      </c>
      <c r="D1537" t="inlineStr">
        <is>
          <t>GÄVLEBORGS LÄN</t>
        </is>
      </c>
      <c r="E1537" t="inlineStr">
        <is>
          <t>LJUSDAL</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65907-2021</t>
        </is>
      </c>
      <c r="B1538" s="1" t="n">
        <v>44517</v>
      </c>
      <c r="C1538" s="1" t="n">
        <v>45883</v>
      </c>
      <c r="D1538" t="inlineStr">
        <is>
          <t>GÄVLEBORGS LÄN</t>
        </is>
      </c>
      <c r="E1538" t="inlineStr">
        <is>
          <t>HUDIKSVALL</t>
        </is>
      </c>
      <c r="F1538" t="inlineStr">
        <is>
          <t>Holmen skog AB</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26499-2021</t>
        </is>
      </c>
      <c r="B1539" s="1" t="n">
        <v>44348.44310185185</v>
      </c>
      <c r="C1539" s="1" t="n">
        <v>45883</v>
      </c>
      <c r="D1539" t="inlineStr">
        <is>
          <t>GÄVLEBORGS LÄN</t>
        </is>
      </c>
      <c r="E1539" t="inlineStr">
        <is>
          <t>OCKELBO</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55209-2021</t>
        </is>
      </c>
      <c r="B1540" s="1" t="n">
        <v>44475.37101851852</v>
      </c>
      <c r="C1540" s="1" t="n">
        <v>45883</v>
      </c>
      <c r="D1540" t="inlineStr">
        <is>
          <t>GÄVLEBORGS LÄN</t>
        </is>
      </c>
      <c r="E1540" t="inlineStr">
        <is>
          <t>LJUSDAL</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41529-2021</t>
        </is>
      </c>
      <c r="B1541" s="1" t="n">
        <v>44425.33693287037</v>
      </c>
      <c r="C1541" s="1" t="n">
        <v>45883</v>
      </c>
      <c r="D1541" t="inlineStr">
        <is>
          <t>GÄVLEBORGS LÄN</t>
        </is>
      </c>
      <c r="E1541" t="inlineStr">
        <is>
          <t>OVANÅKER</t>
        </is>
      </c>
      <c r="F1541" t="inlineStr">
        <is>
          <t>Bergvik skog väst AB</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80-2022</t>
        </is>
      </c>
      <c r="B1542" s="1" t="n">
        <v>44564.47640046296</v>
      </c>
      <c r="C1542" s="1" t="n">
        <v>45883</v>
      </c>
      <c r="D1542" t="inlineStr">
        <is>
          <t>GÄVLEBORGS LÄN</t>
        </is>
      </c>
      <c r="E1542" t="inlineStr">
        <is>
          <t>OVANÅKER</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34706-2022</t>
        </is>
      </c>
      <c r="B1543" s="1" t="n">
        <v>44795.57741898148</v>
      </c>
      <c r="C1543" s="1" t="n">
        <v>45883</v>
      </c>
      <c r="D1543" t="inlineStr">
        <is>
          <t>GÄVLEBORGS LÄN</t>
        </is>
      </c>
      <c r="E1543" t="inlineStr">
        <is>
          <t>GÄVLE</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4349-2022</t>
        </is>
      </c>
      <c r="B1544" s="1" t="n">
        <v>44589.32091435185</v>
      </c>
      <c r="C1544" s="1" t="n">
        <v>45883</v>
      </c>
      <c r="D1544" t="inlineStr">
        <is>
          <t>GÄVLEBORGS LÄN</t>
        </is>
      </c>
      <c r="E1544" t="inlineStr">
        <is>
          <t>GÄVLE</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39170-2022</t>
        </is>
      </c>
      <c r="B1545" s="1" t="n">
        <v>44817.4978125</v>
      </c>
      <c r="C1545" s="1" t="n">
        <v>45883</v>
      </c>
      <c r="D1545" t="inlineStr">
        <is>
          <t>GÄVLEBORGS LÄN</t>
        </is>
      </c>
      <c r="E1545" t="inlineStr">
        <is>
          <t>SANDVIKEN</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48401-2020</t>
        </is>
      </c>
      <c r="B1546" s="1" t="n">
        <v>44102</v>
      </c>
      <c r="C1546" s="1" t="n">
        <v>45883</v>
      </c>
      <c r="D1546" t="inlineStr">
        <is>
          <t>GÄVLEBORGS LÄN</t>
        </is>
      </c>
      <c r="E1546" t="inlineStr">
        <is>
          <t>SANDVIKEN</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33609-2021</t>
        </is>
      </c>
      <c r="B1547" s="1" t="n">
        <v>44378</v>
      </c>
      <c r="C1547" s="1" t="n">
        <v>45883</v>
      </c>
      <c r="D1547" t="inlineStr">
        <is>
          <t>GÄVLEBORGS LÄN</t>
        </is>
      </c>
      <c r="E1547" t="inlineStr">
        <is>
          <t>LJUSDAL</t>
        </is>
      </c>
      <c r="F1547" t="inlineStr">
        <is>
          <t>Sveaskog</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50697-2021</t>
        </is>
      </c>
      <c r="B1548" s="1" t="n">
        <v>44460</v>
      </c>
      <c r="C1548" s="1" t="n">
        <v>45883</v>
      </c>
      <c r="D1548" t="inlineStr">
        <is>
          <t>GÄVLEBORGS LÄN</t>
        </is>
      </c>
      <c r="E1548" t="inlineStr">
        <is>
          <t>LJUSDAL</t>
        </is>
      </c>
      <c r="F1548" t="inlineStr">
        <is>
          <t>Holmen skog AB</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26113-2022</t>
        </is>
      </c>
      <c r="B1549" s="1" t="n">
        <v>44734</v>
      </c>
      <c r="C1549" s="1" t="n">
        <v>45883</v>
      </c>
      <c r="D1549" t="inlineStr">
        <is>
          <t>GÄVLEBORGS LÄN</t>
        </is>
      </c>
      <c r="E1549" t="inlineStr">
        <is>
          <t>NORDANSTIG</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21688-2021</t>
        </is>
      </c>
      <c r="B1550" s="1" t="n">
        <v>44322</v>
      </c>
      <c r="C1550" s="1" t="n">
        <v>45883</v>
      </c>
      <c r="D1550" t="inlineStr">
        <is>
          <t>GÄVLEBORGS LÄN</t>
        </is>
      </c>
      <c r="E1550" t="inlineStr">
        <is>
          <t>HUDIKSVALL</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44765-2022</t>
        </is>
      </c>
      <c r="B1551" s="1" t="n">
        <v>44840.95450231482</v>
      </c>
      <c r="C1551" s="1" t="n">
        <v>45883</v>
      </c>
      <c r="D1551" t="inlineStr">
        <is>
          <t>GÄVLEBORGS LÄN</t>
        </is>
      </c>
      <c r="E1551" t="inlineStr">
        <is>
          <t>NORDANSTIG</t>
        </is>
      </c>
      <c r="F1551" t="inlineStr">
        <is>
          <t>SCA</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73672-2021</t>
        </is>
      </c>
      <c r="B1552" s="1" t="n">
        <v>44552</v>
      </c>
      <c r="C1552" s="1" t="n">
        <v>45883</v>
      </c>
      <c r="D1552" t="inlineStr">
        <is>
          <t>GÄVLEBORGS LÄN</t>
        </is>
      </c>
      <c r="E1552" t="inlineStr">
        <is>
          <t>LJUSDAL</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3121-2021</t>
        </is>
      </c>
      <c r="B1553" s="1" t="n">
        <v>44217</v>
      </c>
      <c r="C1553" s="1" t="n">
        <v>45883</v>
      </c>
      <c r="D1553" t="inlineStr">
        <is>
          <t>GÄVLEBORGS LÄN</t>
        </is>
      </c>
      <c r="E1553" t="inlineStr">
        <is>
          <t>SÖDERHAMN</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59515-2021</t>
        </is>
      </c>
      <c r="B1554" s="1" t="n">
        <v>44491</v>
      </c>
      <c r="C1554" s="1" t="n">
        <v>45883</v>
      </c>
      <c r="D1554" t="inlineStr">
        <is>
          <t>GÄVLEBORGS LÄN</t>
        </is>
      </c>
      <c r="E1554" t="inlineStr">
        <is>
          <t>GÄVLE</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12330-2022</t>
        </is>
      </c>
      <c r="B1555" s="1" t="n">
        <v>44637.62068287037</v>
      </c>
      <c r="C1555" s="1" t="n">
        <v>45883</v>
      </c>
      <c r="D1555" t="inlineStr">
        <is>
          <t>GÄVLEBORGS LÄN</t>
        </is>
      </c>
      <c r="E1555" t="inlineStr">
        <is>
          <t>OVANÅKER</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25005-2022</t>
        </is>
      </c>
      <c r="B1556" s="1" t="n">
        <v>44728.92844907408</v>
      </c>
      <c r="C1556" s="1" t="n">
        <v>45883</v>
      </c>
      <c r="D1556" t="inlineStr">
        <is>
          <t>GÄVLEBORGS LÄN</t>
        </is>
      </c>
      <c r="E1556" t="inlineStr">
        <is>
          <t>NORDANSTIG</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16603-2022</t>
        </is>
      </c>
      <c r="B1557" s="1" t="n">
        <v>44672</v>
      </c>
      <c r="C1557" s="1" t="n">
        <v>45883</v>
      </c>
      <c r="D1557" t="inlineStr">
        <is>
          <t>GÄVLEBORGS LÄN</t>
        </is>
      </c>
      <c r="E1557" t="inlineStr">
        <is>
          <t>SANDVIKEN</t>
        </is>
      </c>
      <c r="F1557" t="inlineStr">
        <is>
          <t>Bergvik skog öst AB</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51573-2020</t>
        </is>
      </c>
      <c r="B1558" s="1" t="n">
        <v>44113</v>
      </c>
      <c r="C1558" s="1" t="n">
        <v>45883</v>
      </c>
      <c r="D1558" t="inlineStr">
        <is>
          <t>GÄVLEBORGS LÄN</t>
        </is>
      </c>
      <c r="E1558" t="inlineStr">
        <is>
          <t>SANDVIKEN</t>
        </is>
      </c>
      <c r="G1558" t="n">
        <v>10.1</v>
      </c>
      <c r="H1558" t="n">
        <v>0</v>
      </c>
      <c r="I1558" t="n">
        <v>0</v>
      </c>
      <c r="J1558" t="n">
        <v>0</v>
      </c>
      <c r="K1558" t="n">
        <v>0</v>
      </c>
      <c r="L1558" t="n">
        <v>0</v>
      </c>
      <c r="M1558" t="n">
        <v>0</v>
      </c>
      <c r="N1558" t="n">
        <v>0</v>
      </c>
      <c r="O1558" t="n">
        <v>0</v>
      </c>
      <c r="P1558" t="n">
        <v>0</v>
      </c>
      <c r="Q1558" t="n">
        <v>0</v>
      </c>
      <c r="R1558" s="2" t="inlineStr"/>
    </row>
    <row r="1559" ht="15" customHeight="1">
      <c r="A1559" t="inlineStr">
        <is>
          <t>A 36563-2022</t>
        </is>
      </c>
      <c r="B1559" s="1" t="n">
        <v>44804.59276620371</v>
      </c>
      <c r="C1559" s="1" t="n">
        <v>45883</v>
      </c>
      <c r="D1559" t="inlineStr">
        <is>
          <t>GÄVLEBORGS LÄN</t>
        </is>
      </c>
      <c r="E1559" t="inlineStr">
        <is>
          <t>LJUSDAL</t>
        </is>
      </c>
      <c r="F1559" t="inlineStr">
        <is>
          <t>Holmen skog AB</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32238-2022</t>
        </is>
      </c>
      <c r="B1560" s="1" t="n">
        <v>44781</v>
      </c>
      <c r="C1560" s="1" t="n">
        <v>45883</v>
      </c>
      <c r="D1560" t="inlineStr">
        <is>
          <t>GÄVLEBORGS LÄN</t>
        </is>
      </c>
      <c r="E1560" t="inlineStr">
        <is>
          <t>LJUSDAL</t>
        </is>
      </c>
      <c r="F1560" t="inlineStr">
        <is>
          <t>Holmen skog AB</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5614-2022</t>
        </is>
      </c>
      <c r="B1561" s="1" t="n">
        <v>44595</v>
      </c>
      <c r="C1561" s="1" t="n">
        <v>45883</v>
      </c>
      <c r="D1561" t="inlineStr">
        <is>
          <t>GÄVLEBORGS LÄN</t>
        </is>
      </c>
      <c r="E1561" t="inlineStr">
        <is>
          <t>LJUSDAL</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64423-2021</t>
        </is>
      </c>
      <c r="B1562" s="1" t="n">
        <v>44511.46030092592</v>
      </c>
      <c r="C1562" s="1" t="n">
        <v>45883</v>
      </c>
      <c r="D1562" t="inlineStr">
        <is>
          <t>GÄVLEBORGS LÄN</t>
        </is>
      </c>
      <c r="E1562" t="inlineStr">
        <is>
          <t>LJUSDAL</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30779-2022</t>
        </is>
      </c>
      <c r="B1563" s="1" t="n">
        <v>44764.59569444445</v>
      </c>
      <c r="C1563" s="1" t="n">
        <v>45883</v>
      </c>
      <c r="D1563" t="inlineStr">
        <is>
          <t>GÄVLEBORGS LÄN</t>
        </is>
      </c>
      <c r="E1563" t="inlineStr">
        <is>
          <t>NORDANSTIG</t>
        </is>
      </c>
      <c r="F1563" t="inlineStr">
        <is>
          <t>Holmen skog AB</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6891-2025</t>
        </is>
      </c>
      <c r="B1564" s="1" t="n">
        <v>45701</v>
      </c>
      <c r="C1564" s="1" t="n">
        <v>45883</v>
      </c>
      <c r="D1564" t="inlineStr">
        <is>
          <t>GÄVLEBORGS LÄN</t>
        </is>
      </c>
      <c r="E1564" t="inlineStr">
        <is>
          <t>OCKELBO</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21871-2022</t>
        </is>
      </c>
      <c r="B1565" s="1" t="n">
        <v>44711.39554398148</v>
      </c>
      <c r="C1565" s="1" t="n">
        <v>45883</v>
      </c>
      <c r="D1565" t="inlineStr">
        <is>
          <t>GÄVLEBORGS LÄN</t>
        </is>
      </c>
      <c r="E1565" t="inlineStr">
        <is>
          <t>NORDANSTIG</t>
        </is>
      </c>
      <c r="G1565" t="n">
        <v>8.800000000000001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21877-2022</t>
        </is>
      </c>
      <c r="B1566" s="1" t="n">
        <v>44711</v>
      </c>
      <c r="C1566" s="1" t="n">
        <v>45883</v>
      </c>
      <c r="D1566" t="inlineStr">
        <is>
          <t>GÄVLEBORGS LÄN</t>
        </is>
      </c>
      <c r="E1566" t="inlineStr">
        <is>
          <t>HUDIKSVALL</t>
        </is>
      </c>
      <c r="F1566" t="inlineStr">
        <is>
          <t>Holmen skog AB</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35890-2022</t>
        </is>
      </c>
      <c r="B1567" s="1" t="n">
        <v>44802.47668981482</v>
      </c>
      <c r="C1567" s="1" t="n">
        <v>45883</v>
      </c>
      <c r="D1567" t="inlineStr">
        <is>
          <t>GÄVLEBORGS LÄN</t>
        </is>
      </c>
      <c r="E1567" t="inlineStr">
        <is>
          <t>LJUSDAL</t>
        </is>
      </c>
      <c r="F1567" t="inlineStr">
        <is>
          <t>Bergvik skog väst AB</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29480-2021</t>
        </is>
      </c>
      <c r="B1568" s="1" t="n">
        <v>44361.63996527778</v>
      </c>
      <c r="C1568" s="1" t="n">
        <v>45883</v>
      </c>
      <c r="D1568" t="inlineStr">
        <is>
          <t>GÄVLEBORGS LÄN</t>
        </is>
      </c>
      <c r="E1568" t="inlineStr">
        <is>
          <t>LJUSDAL</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67573-2021</t>
        </is>
      </c>
      <c r="B1569" s="1" t="n">
        <v>44524</v>
      </c>
      <c r="C1569" s="1" t="n">
        <v>45883</v>
      </c>
      <c r="D1569" t="inlineStr">
        <is>
          <t>GÄVLEBORGS LÄN</t>
        </is>
      </c>
      <c r="E1569" t="inlineStr">
        <is>
          <t>SANDVIKEN</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36210-2024</t>
        </is>
      </c>
      <c r="B1570" s="1" t="n">
        <v>45534.45524305556</v>
      </c>
      <c r="C1570" s="1" t="n">
        <v>45883</v>
      </c>
      <c r="D1570" t="inlineStr">
        <is>
          <t>GÄVLEBORGS LÄN</t>
        </is>
      </c>
      <c r="E1570" t="inlineStr">
        <is>
          <t>OCKELBO</t>
        </is>
      </c>
      <c r="F1570" t="inlineStr">
        <is>
          <t>Kyrkan</t>
        </is>
      </c>
      <c r="G1570" t="n">
        <v>4.4</v>
      </c>
      <c r="H1570" t="n">
        <v>0</v>
      </c>
      <c r="I1570" t="n">
        <v>0</v>
      </c>
      <c r="J1570" t="n">
        <v>0</v>
      </c>
      <c r="K1570" t="n">
        <v>0</v>
      </c>
      <c r="L1570" t="n">
        <v>0</v>
      </c>
      <c r="M1570" t="n">
        <v>0</v>
      </c>
      <c r="N1570" t="n">
        <v>0</v>
      </c>
      <c r="O1570" t="n">
        <v>0</v>
      </c>
      <c r="P1570" t="n">
        <v>0</v>
      </c>
      <c r="Q1570" t="n">
        <v>0</v>
      </c>
      <c r="R1570" s="2" t="inlineStr"/>
    </row>
    <row r="1571" ht="15" customHeight="1">
      <c r="A1571" t="inlineStr">
        <is>
          <t>A 29437-2021</t>
        </is>
      </c>
      <c r="B1571" s="1" t="n">
        <v>44361.58487268518</v>
      </c>
      <c r="C1571" s="1" t="n">
        <v>45883</v>
      </c>
      <c r="D1571" t="inlineStr">
        <is>
          <t>GÄVLEBORGS LÄN</t>
        </is>
      </c>
      <c r="E1571" t="inlineStr">
        <is>
          <t>OCKELBO</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29450-2021</t>
        </is>
      </c>
      <c r="B1572" s="1" t="n">
        <v>44361</v>
      </c>
      <c r="C1572" s="1" t="n">
        <v>45883</v>
      </c>
      <c r="D1572" t="inlineStr">
        <is>
          <t>GÄVLEBORGS LÄN</t>
        </is>
      </c>
      <c r="E1572" t="inlineStr">
        <is>
          <t>HUDIKSVALL</t>
        </is>
      </c>
      <c r="F1572" t="inlineStr">
        <is>
          <t>Holmen skog AB</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50571-2020</t>
        </is>
      </c>
      <c r="B1573" s="1" t="n">
        <v>44110</v>
      </c>
      <c r="C1573" s="1" t="n">
        <v>45883</v>
      </c>
      <c r="D1573" t="inlineStr">
        <is>
          <t>GÄVLEBORGS LÄN</t>
        </is>
      </c>
      <c r="E1573" t="inlineStr">
        <is>
          <t>BOLLNÄS</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32970-2021</t>
        </is>
      </c>
      <c r="B1574" s="1" t="n">
        <v>44376</v>
      </c>
      <c r="C1574" s="1" t="n">
        <v>45883</v>
      </c>
      <c r="D1574" t="inlineStr">
        <is>
          <t>GÄVLEBORGS LÄN</t>
        </is>
      </c>
      <c r="E1574" t="inlineStr">
        <is>
          <t>GÄVLE</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7441-2025</t>
        </is>
      </c>
      <c r="B1575" s="1" t="n">
        <v>45705.40342592593</v>
      </c>
      <c r="C1575" s="1" t="n">
        <v>45883</v>
      </c>
      <c r="D1575" t="inlineStr">
        <is>
          <t>GÄVLEBORGS LÄN</t>
        </is>
      </c>
      <c r="E1575" t="inlineStr">
        <is>
          <t>GÄVLE</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8642-2025</t>
        </is>
      </c>
      <c r="B1576" s="1" t="n">
        <v>45712.27693287037</v>
      </c>
      <c r="C1576" s="1" t="n">
        <v>45883</v>
      </c>
      <c r="D1576" t="inlineStr">
        <is>
          <t>GÄVLEBORGS LÄN</t>
        </is>
      </c>
      <c r="E1576" t="inlineStr">
        <is>
          <t>HUDIKSVALL</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44904-2020</t>
        </is>
      </c>
      <c r="B1577" s="1" t="n">
        <v>44088</v>
      </c>
      <c r="C1577" s="1" t="n">
        <v>45883</v>
      </c>
      <c r="D1577" t="inlineStr">
        <is>
          <t>GÄVLEBORGS LÄN</t>
        </is>
      </c>
      <c r="E1577" t="inlineStr">
        <is>
          <t>LJUSDAL</t>
        </is>
      </c>
      <c r="F1577" t="inlineStr">
        <is>
          <t>Sveaskog</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63621-2021</t>
        </is>
      </c>
      <c r="B1578" s="1" t="n">
        <v>44509</v>
      </c>
      <c r="C1578" s="1" t="n">
        <v>45883</v>
      </c>
      <c r="D1578" t="inlineStr">
        <is>
          <t>GÄVLEBORGS LÄN</t>
        </is>
      </c>
      <c r="E1578" t="inlineStr">
        <is>
          <t>SANDVIKEN</t>
        </is>
      </c>
      <c r="F1578" t="inlineStr">
        <is>
          <t>Kommuner</t>
        </is>
      </c>
      <c r="G1578" t="n">
        <v>18.3</v>
      </c>
      <c r="H1578" t="n">
        <v>0</v>
      </c>
      <c r="I1578" t="n">
        <v>0</v>
      </c>
      <c r="J1578" t="n">
        <v>0</v>
      </c>
      <c r="K1578" t="n">
        <v>0</v>
      </c>
      <c r="L1578" t="n">
        <v>0</v>
      </c>
      <c r="M1578" t="n">
        <v>0</v>
      </c>
      <c r="N1578" t="n">
        <v>0</v>
      </c>
      <c r="O1578" t="n">
        <v>0</v>
      </c>
      <c r="P1578" t="n">
        <v>0</v>
      </c>
      <c r="Q1578" t="n">
        <v>0</v>
      </c>
      <c r="R1578" s="2" t="inlineStr"/>
    </row>
    <row r="1579" ht="15" customHeight="1">
      <c r="A1579" t="inlineStr">
        <is>
          <t>A 47718-2022</t>
        </is>
      </c>
      <c r="B1579" s="1" t="n">
        <v>44854.60716435185</v>
      </c>
      <c r="C1579" s="1" t="n">
        <v>45883</v>
      </c>
      <c r="D1579" t="inlineStr">
        <is>
          <t>GÄVLEBORGS LÄN</t>
        </is>
      </c>
      <c r="E1579" t="inlineStr">
        <is>
          <t>SANDVIKEN</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39524-2020</t>
        </is>
      </c>
      <c r="B1580" s="1" t="n">
        <v>44064</v>
      </c>
      <c r="C1580" s="1" t="n">
        <v>45883</v>
      </c>
      <c r="D1580" t="inlineStr">
        <is>
          <t>GÄVLEBORGS LÄN</t>
        </is>
      </c>
      <c r="E1580" t="inlineStr">
        <is>
          <t>NORDANSTIG</t>
        </is>
      </c>
      <c r="F1580" t="inlineStr">
        <is>
          <t>Holmen skog AB</t>
        </is>
      </c>
      <c r="G1580" t="n">
        <v>4.3</v>
      </c>
      <c r="H1580" t="n">
        <v>0</v>
      </c>
      <c r="I1580" t="n">
        <v>0</v>
      </c>
      <c r="J1580" t="n">
        <v>0</v>
      </c>
      <c r="K1580" t="n">
        <v>0</v>
      </c>
      <c r="L1580" t="n">
        <v>0</v>
      </c>
      <c r="M1580" t="n">
        <v>0</v>
      </c>
      <c r="N1580" t="n">
        <v>0</v>
      </c>
      <c r="O1580" t="n">
        <v>0</v>
      </c>
      <c r="P1580" t="n">
        <v>0</v>
      </c>
      <c r="Q1580" t="n">
        <v>0</v>
      </c>
      <c r="R1580" s="2" t="inlineStr"/>
      <c r="U1580">
        <f>HYPERLINK("https://klasma.github.io/Logging_2132/knärot/A 39524-2020 karta knärot.png", "A 39524-2020")</f>
        <v/>
      </c>
      <c r="V1580">
        <f>HYPERLINK("https://klasma.github.io/Logging_2132/klagomål/A 39524-2020 FSC-klagomål.docx", "A 39524-2020")</f>
        <v/>
      </c>
      <c r="W1580">
        <f>HYPERLINK("https://klasma.github.io/Logging_2132/klagomålsmail/A 39524-2020 FSC-klagomål mail.docx", "A 39524-2020")</f>
        <v/>
      </c>
      <c r="X1580">
        <f>HYPERLINK("https://klasma.github.io/Logging_2132/tillsyn/A 39524-2020 tillsynsbegäran.docx", "A 39524-2020")</f>
        <v/>
      </c>
      <c r="Y1580">
        <f>HYPERLINK("https://klasma.github.io/Logging_2132/tillsynsmail/A 39524-2020 tillsynsbegäran mail.docx", "A 39524-2020")</f>
        <v/>
      </c>
    </row>
    <row r="1581" ht="15" customHeight="1">
      <c r="A1581" t="inlineStr">
        <is>
          <t>A 29953-2024</t>
        </is>
      </c>
      <c r="B1581" s="1" t="n">
        <v>45488.44724537037</v>
      </c>
      <c r="C1581" s="1" t="n">
        <v>45883</v>
      </c>
      <c r="D1581" t="inlineStr">
        <is>
          <t>GÄVLEBORGS LÄN</t>
        </is>
      </c>
      <c r="E1581" t="inlineStr">
        <is>
          <t>OCKELBO</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24885-2023</t>
        </is>
      </c>
      <c r="B1582" s="1" t="n">
        <v>45085</v>
      </c>
      <c r="C1582" s="1" t="n">
        <v>45883</v>
      </c>
      <c r="D1582" t="inlineStr">
        <is>
          <t>GÄVLEBORGS LÄN</t>
        </is>
      </c>
      <c r="E1582" t="inlineStr">
        <is>
          <t>HUDIKSVALL</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61858-2024</t>
        </is>
      </c>
      <c r="B1583" s="1" t="n">
        <v>45649.75841435185</v>
      </c>
      <c r="C1583" s="1" t="n">
        <v>45883</v>
      </c>
      <c r="D1583" t="inlineStr">
        <is>
          <t>GÄVLEBORGS LÄN</t>
        </is>
      </c>
      <c r="E1583" t="inlineStr">
        <is>
          <t>SANDVIKEN</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61859-2024</t>
        </is>
      </c>
      <c r="B1584" s="1" t="n">
        <v>45649</v>
      </c>
      <c r="C1584" s="1" t="n">
        <v>45883</v>
      </c>
      <c r="D1584" t="inlineStr">
        <is>
          <t>GÄVLEBORGS LÄN</t>
        </is>
      </c>
      <c r="E1584" t="inlineStr">
        <is>
          <t>SANDVIKEN</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25632-2022</t>
        </is>
      </c>
      <c r="B1585" s="1" t="n">
        <v>44732.92746527777</v>
      </c>
      <c r="C1585" s="1" t="n">
        <v>45883</v>
      </c>
      <c r="D1585" t="inlineStr">
        <is>
          <t>GÄVLEBORGS LÄN</t>
        </is>
      </c>
      <c r="E1585" t="inlineStr">
        <is>
          <t>BOLLNÄS</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32749-2022</t>
        </is>
      </c>
      <c r="B1586" s="1" t="n">
        <v>44783.73983796296</v>
      </c>
      <c r="C1586" s="1" t="n">
        <v>45883</v>
      </c>
      <c r="D1586" t="inlineStr">
        <is>
          <t>GÄVLEBORGS LÄN</t>
        </is>
      </c>
      <c r="E1586" t="inlineStr">
        <is>
          <t>SÖDERHAMN</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37851-2020</t>
        </is>
      </c>
      <c r="B1587" s="1" t="n">
        <v>44057</v>
      </c>
      <c r="C1587" s="1" t="n">
        <v>45883</v>
      </c>
      <c r="D1587" t="inlineStr">
        <is>
          <t>GÄVLEBORGS LÄN</t>
        </is>
      </c>
      <c r="E1587" t="inlineStr">
        <is>
          <t>HOFORS</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16504-2023</t>
        </is>
      </c>
      <c r="B1588" s="1" t="n">
        <v>45029.62792824074</v>
      </c>
      <c r="C1588" s="1" t="n">
        <v>45883</v>
      </c>
      <c r="D1588" t="inlineStr">
        <is>
          <t>GÄVLEBORGS LÄN</t>
        </is>
      </c>
      <c r="E1588" t="inlineStr">
        <is>
          <t>GÄVLE</t>
        </is>
      </c>
      <c r="F1588" t="inlineStr">
        <is>
          <t>Kyrkan</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31801-2021</t>
        </is>
      </c>
      <c r="B1589" s="1" t="n">
        <v>44370</v>
      </c>
      <c r="C1589" s="1" t="n">
        <v>45883</v>
      </c>
      <c r="D1589" t="inlineStr">
        <is>
          <t>GÄVLEBORGS LÄN</t>
        </is>
      </c>
      <c r="E1589" t="inlineStr">
        <is>
          <t>BOLLNÄS</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53939-2020</t>
        </is>
      </c>
      <c r="B1590" s="1" t="n">
        <v>44125</v>
      </c>
      <c r="C1590" s="1" t="n">
        <v>45883</v>
      </c>
      <c r="D1590" t="inlineStr">
        <is>
          <t>GÄVLEBORGS LÄN</t>
        </is>
      </c>
      <c r="E1590" t="inlineStr">
        <is>
          <t>NORDANSTIG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62829-2020</t>
        </is>
      </c>
      <c r="B1591" s="1" t="n">
        <v>44161</v>
      </c>
      <c r="C1591" s="1" t="n">
        <v>45883</v>
      </c>
      <c r="D1591" t="inlineStr">
        <is>
          <t>GÄVLEBORGS LÄN</t>
        </is>
      </c>
      <c r="E1591" t="inlineStr">
        <is>
          <t>LJUSDAL</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41862-2022</t>
        </is>
      </c>
      <c r="B1592" s="1" t="n">
        <v>44829</v>
      </c>
      <c r="C1592" s="1" t="n">
        <v>45883</v>
      </c>
      <c r="D1592" t="inlineStr">
        <is>
          <t>GÄVLEBORGS LÄN</t>
        </is>
      </c>
      <c r="E1592" t="inlineStr">
        <is>
          <t>SANDVIKEN</t>
        </is>
      </c>
      <c r="F1592" t="inlineStr">
        <is>
          <t>Sveaskog</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31967-2021</t>
        </is>
      </c>
      <c r="B1593" s="1" t="n">
        <v>44370.57430555556</v>
      </c>
      <c r="C1593" s="1" t="n">
        <v>45883</v>
      </c>
      <c r="D1593" t="inlineStr">
        <is>
          <t>GÄVLEBORGS LÄN</t>
        </is>
      </c>
      <c r="E1593" t="inlineStr">
        <is>
          <t>HUDIKSVALL</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8081-2022</t>
        </is>
      </c>
      <c r="B1594" s="1" t="n">
        <v>44609.51679398148</v>
      </c>
      <c r="C1594" s="1" t="n">
        <v>45883</v>
      </c>
      <c r="D1594" t="inlineStr">
        <is>
          <t>GÄVLEBORGS LÄN</t>
        </is>
      </c>
      <c r="E1594" t="inlineStr">
        <is>
          <t>HUDIKSVALL</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331-2022</t>
        </is>
      </c>
      <c r="B1595" s="1" t="n">
        <v>44565.58488425926</v>
      </c>
      <c r="C1595" s="1" t="n">
        <v>45883</v>
      </c>
      <c r="D1595" t="inlineStr">
        <is>
          <t>GÄVLEBORGS LÄN</t>
        </is>
      </c>
      <c r="E1595" t="inlineStr">
        <is>
          <t>LJUSDAL</t>
        </is>
      </c>
      <c r="F1595" t="inlineStr">
        <is>
          <t>Holmen skog AB</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69627-2020</t>
        </is>
      </c>
      <c r="B1596" s="1" t="n">
        <v>44195</v>
      </c>
      <c r="C1596" s="1" t="n">
        <v>45883</v>
      </c>
      <c r="D1596" t="inlineStr">
        <is>
          <t>GÄVLEBORGS LÄN</t>
        </is>
      </c>
      <c r="E1596" t="inlineStr">
        <is>
          <t>BOLLNÄS</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1530-2022</t>
        </is>
      </c>
      <c r="B1597" s="1" t="n">
        <v>44573.57800925926</v>
      </c>
      <c r="C1597" s="1" t="n">
        <v>45883</v>
      </c>
      <c r="D1597" t="inlineStr">
        <is>
          <t>GÄVLEBORGS LÄN</t>
        </is>
      </c>
      <c r="E1597" t="inlineStr">
        <is>
          <t>OVANÅKER</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32282-2021</t>
        </is>
      </c>
      <c r="B1598" s="1" t="n">
        <v>44371.49859953704</v>
      </c>
      <c r="C1598" s="1" t="n">
        <v>45883</v>
      </c>
      <c r="D1598" t="inlineStr">
        <is>
          <t>GÄVLEBORGS LÄN</t>
        </is>
      </c>
      <c r="E1598" t="inlineStr">
        <is>
          <t>OCKELBO</t>
        </is>
      </c>
      <c r="F1598" t="inlineStr">
        <is>
          <t>Bergvik skog väst AB</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56709-2024</t>
        </is>
      </c>
      <c r="B1599" s="1" t="n">
        <v>45627.92614583333</v>
      </c>
      <c r="C1599" s="1" t="n">
        <v>45883</v>
      </c>
      <c r="D1599" t="inlineStr">
        <is>
          <t>GÄVLEBORGS LÄN</t>
        </is>
      </c>
      <c r="E1599" t="inlineStr">
        <is>
          <t>HUDIKSVALL</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21751-2021</t>
        </is>
      </c>
      <c r="B1600" s="1" t="n">
        <v>44322.56486111111</v>
      </c>
      <c r="C1600" s="1" t="n">
        <v>45883</v>
      </c>
      <c r="D1600" t="inlineStr">
        <is>
          <t>GÄVLEBORGS LÄN</t>
        </is>
      </c>
      <c r="E1600" t="inlineStr">
        <is>
          <t>LJUSDAL</t>
        </is>
      </c>
      <c r="F1600" t="inlineStr">
        <is>
          <t>Bergvik skog väst AB</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31927-2021</t>
        </is>
      </c>
      <c r="B1601" s="1" t="n">
        <v>44370.49378472222</v>
      </c>
      <c r="C1601" s="1" t="n">
        <v>45883</v>
      </c>
      <c r="D1601" t="inlineStr">
        <is>
          <t>GÄVLEBORGS LÄN</t>
        </is>
      </c>
      <c r="E1601" t="inlineStr">
        <is>
          <t>SÖDERHAMN</t>
        </is>
      </c>
      <c r="F1601" t="inlineStr">
        <is>
          <t>Bergvik skog väst AB</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13734-2022</t>
        </is>
      </c>
      <c r="B1602" s="1" t="n">
        <v>44649</v>
      </c>
      <c r="C1602" s="1" t="n">
        <v>45883</v>
      </c>
      <c r="D1602" t="inlineStr">
        <is>
          <t>GÄVLEBORGS LÄN</t>
        </is>
      </c>
      <c r="E1602" t="inlineStr">
        <is>
          <t>HUDIKSVALL</t>
        </is>
      </c>
      <c r="G1602" t="n">
        <v>7.7</v>
      </c>
      <c r="H1602" t="n">
        <v>0</v>
      </c>
      <c r="I1602" t="n">
        <v>0</v>
      </c>
      <c r="J1602" t="n">
        <v>0</v>
      </c>
      <c r="K1602" t="n">
        <v>0</v>
      </c>
      <c r="L1602" t="n">
        <v>0</v>
      </c>
      <c r="M1602" t="n">
        <v>0</v>
      </c>
      <c r="N1602" t="n">
        <v>0</v>
      </c>
      <c r="O1602" t="n">
        <v>0</v>
      </c>
      <c r="P1602" t="n">
        <v>0</v>
      </c>
      <c r="Q1602" t="n">
        <v>0</v>
      </c>
      <c r="R1602" s="2" t="inlineStr"/>
    </row>
    <row r="1603" ht="15" customHeight="1">
      <c r="A1603" t="inlineStr">
        <is>
          <t>A 30166-2022</t>
        </is>
      </c>
      <c r="B1603" s="1" t="n">
        <v>44757.56145833333</v>
      </c>
      <c r="C1603" s="1" t="n">
        <v>45883</v>
      </c>
      <c r="D1603" t="inlineStr">
        <is>
          <t>GÄVLEBORGS LÄN</t>
        </is>
      </c>
      <c r="E1603" t="inlineStr">
        <is>
          <t>OVANÅKER</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43625-2020</t>
        </is>
      </c>
      <c r="B1604" s="1" t="n">
        <v>44082</v>
      </c>
      <c r="C1604" s="1" t="n">
        <v>45883</v>
      </c>
      <c r="D1604" t="inlineStr">
        <is>
          <t>GÄVLEBORGS LÄN</t>
        </is>
      </c>
      <c r="E1604" t="inlineStr">
        <is>
          <t>SÖDERHAMN</t>
        </is>
      </c>
      <c r="F1604" t="inlineStr">
        <is>
          <t>Bergvik skog väst AB</t>
        </is>
      </c>
      <c r="G1604" t="n">
        <v>23.2</v>
      </c>
      <c r="H1604" t="n">
        <v>0</v>
      </c>
      <c r="I1604" t="n">
        <v>0</v>
      </c>
      <c r="J1604" t="n">
        <v>0</v>
      </c>
      <c r="K1604" t="n">
        <v>0</v>
      </c>
      <c r="L1604" t="n">
        <v>0</v>
      </c>
      <c r="M1604" t="n">
        <v>0</v>
      </c>
      <c r="N1604" t="n">
        <v>0</v>
      </c>
      <c r="O1604" t="n">
        <v>0</v>
      </c>
      <c r="P1604" t="n">
        <v>0</v>
      </c>
      <c r="Q1604" t="n">
        <v>0</v>
      </c>
      <c r="R1604" s="2" t="inlineStr"/>
    </row>
    <row r="1605" ht="15" customHeight="1">
      <c r="A1605" t="inlineStr">
        <is>
          <t>A 63528-2021</t>
        </is>
      </c>
      <c r="B1605" s="1" t="n">
        <v>44508.65456018518</v>
      </c>
      <c r="C1605" s="1" t="n">
        <v>45883</v>
      </c>
      <c r="D1605" t="inlineStr">
        <is>
          <t>GÄVLEBORGS LÄN</t>
        </is>
      </c>
      <c r="E1605" t="inlineStr">
        <is>
          <t>LJUSDAL</t>
        </is>
      </c>
      <c r="F1605" t="inlineStr">
        <is>
          <t>Holmen skog AB</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10243-2025</t>
        </is>
      </c>
      <c r="B1606" s="1" t="n">
        <v>45720.3500462963</v>
      </c>
      <c r="C1606" s="1" t="n">
        <v>45883</v>
      </c>
      <c r="D1606" t="inlineStr">
        <is>
          <t>GÄVLEBORGS LÄN</t>
        </is>
      </c>
      <c r="E1606" t="inlineStr">
        <is>
          <t>BOLLNÄS</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7237-2025</t>
        </is>
      </c>
      <c r="B1607" s="1" t="n">
        <v>45702.5280787037</v>
      </c>
      <c r="C1607" s="1" t="n">
        <v>45883</v>
      </c>
      <c r="D1607" t="inlineStr">
        <is>
          <t>GÄVLEBORGS LÄN</t>
        </is>
      </c>
      <c r="E1607" t="inlineStr">
        <is>
          <t>HUDIKSVALL</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28403-2021</t>
        </is>
      </c>
      <c r="B1608" s="1" t="n">
        <v>44356</v>
      </c>
      <c r="C1608" s="1" t="n">
        <v>45883</v>
      </c>
      <c r="D1608" t="inlineStr">
        <is>
          <t>GÄVLEBORGS LÄN</t>
        </is>
      </c>
      <c r="E1608" t="inlineStr">
        <is>
          <t>GÄVLE</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68787-2020</t>
        </is>
      </c>
      <c r="B1609" s="1" t="n">
        <v>44187.47744212963</v>
      </c>
      <c r="C1609" s="1" t="n">
        <v>45883</v>
      </c>
      <c r="D1609" t="inlineStr">
        <is>
          <t>GÄVLEBORGS LÄN</t>
        </is>
      </c>
      <c r="E1609" t="inlineStr">
        <is>
          <t>SANDVIKEN</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46925-2020</t>
        </is>
      </c>
      <c r="B1610" s="1" t="n">
        <v>44096</v>
      </c>
      <c r="C1610" s="1" t="n">
        <v>45883</v>
      </c>
      <c r="D1610" t="inlineStr">
        <is>
          <t>GÄVLEBORGS LÄN</t>
        </is>
      </c>
      <c r="E1610" t="inlineStr">
        <is>
          <t>GÄVLE</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46940-2020</t>
        </is>
      </c>
      <c r="B1611" s="1" t="n">
        <v>44096</v>
      </c>
      <c r="C1611" s="1" t="n">
        <v>45883</v>
      </c>
      <c r="D1611" t="inlineStr">
        <is>
          <t>GÄVLEBORGS LÄN</t>
        </is>
      </c>
      <c r="E1611" t="inlineStr">
        <is>
          <t>SANDVIKEN</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8133-2022</t>
        </is>
      </c>
      <c r="B1612" s="1" t="n">
        <v>44609.6027662037</v>
      </c>
      <c r="C1612" s="1" t="n">
        <v>45883</v>
      </c>
      <c r="D1612" t="inlineStr">
        <is>
          <t>GÄVLEBORGS LÄN</t>
        </is>
      </c>
      <c r="E1612" t="inlineStr">
        <is>
          <t>HUDIKSVALL</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43899-2020</t>
        </is>
      </c>
      <c r="B1613" s="1" t="n">
        <v>44083</v>
      </c>
      <c r="C1613" s="1" t="n">
        <v>45883</v>
      </c>
      <c r="D1613" t="inlineStr">
        <is>
          <t>GÄVLEBORGS LÄN</t>
        </is>
      </c>
      <c r="E1613" t="inlineStr">
        <is>
          <t>HUDIKSVALL</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35278-2021</t>
        </is>
      </c>
      <c r="B1614" s="1" t="n">
        <v>44384.64277777778</v>
      </c>
      <c r="C1614" s="1" t="n">
        <v>45883</v>
      </c>
      <c r="D1614" t="inlineStr">
        <is>
          <t>GÄVLEBORGS LÄN</t>
        </is>
      </c>
      <c r="E1614" t="inlineStr">
        <is>
          <t>OVANÅKER</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18887-2023</t>
        </is>
      </c>
      <c r="B1615" s="1" t="n">
        <v>45044.53711805555</v>
      </c>
      <c r="C1615" s="1" t="n">
        <v>45883</v>
      </c>
      <c r="D1615" t="inlineStr">
        <is>
          <t>GÄVLEBORGS LÄN</t>
        </is>
      </c>
      <c r="E1615" t="inlineStr">
        <is>
          <t>HUDIKSVALL</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11393-2021</t>
        </is>
      </c>
      <c r="B1616" s="1" t="n">
        <v>44263.6728125</v>
      </c>
      <c r="C1616" s="1" t="n">
        <v>45883</v>
      </c>
      <c r="D1616" t="inlineStr">
        <is>
          <t>GÄVLEBORGS LÄN</t>
        </is>
      </c>
      <c r="E1616" t="inlineStr">
        <is>
          <t>BOLLNÄS</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45268-2020</t>
        </is>
      </c>
      <c r="B1617" s="1" t="n">
        <v>44089</v>
      </c>
      <c r="C1617" s="1" t="n">
        <v>45883</v>
      </c>
      <c r="D1617" t="inlineStr">
        <is>
          <t>GÄVLEBORGS LÄN</t>
        </is>
      </c>
      <c r="E1617" t="inlineStr">
        <is>
          <t>OVANÅKER</t>
        </is>
      </c>
      <c r="F1617" t="inlineStr">
        <is>
          <t>Sveaskog</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8434-2025</t>
        </is>
      </c>
      <c r="B1618" s="1" t="n">
        <v>45709.43042824074</v>
      </c>
      <c r="C1618" s="1" t="n">
        <v>45883</v>
      </c>
      <c r="D1618" t="inlineStr">
        <is>
          <t>GÄVLEBORGS LÄN</t>
        </is>
      </c>
      <c r="E1618" t="inlineStr">
        <is>
          <t>LJUSDAL</t>
        </is>
      </c>
      <c r="F1618" t="inlineStr">
        <is>
          <t>Holmen skog AB</t>
        </is>
      </c>
      <c r="G1618" t="n">
        <v>17.5</v>
      </c>
      <c r="H1618" t="n">
        <v>0</v>
      </c>
      <c r="I1618" t="n">
        <v>0</v>
      </c>
      <c r="J1618" t="n">
        <v>0</v>
      </c>
      <c r="K1618" t="n">
        <v>0</v>
      </c>
      <c r="L1618" t="n">
        <v>0</v>
      </c>
      <c r="M1618" t="n">
        <v>0</v>
      </c>
      <c r="N1618" t="n">
        <v>0</v>
      </c>
      <c r="O1618" t="n">
        <v>0</v>
      </c>
      <c r="P1618" t="n">
        <v>0</v>
      </c>
      <c r="Q1618" t="n">
        <v>0</v>
      </c>
      <c r="R1618" s="2" t="inlineStr"/>
    </row>
    <row r="1619" ht="15" customHeight="1">
      <c r="A1619" t="inlineStr">
        <is>
          <t>A 10426-2025</t>
        </is>
      </c>
      <c r="B1619" s="1" t="n">
        <v>45720.6534837963</v>
      </c>
      <c r="C1619" s="1" t="n">
        <v>45883</v>
      </c>
      <c r="D1619" t="inlineStr">
        <is>
          <t>GÄVLEBORGS LÄN</t>
        </is>
      </c>
      <c r="E1619" t="inlineStr">
        <is>
          <t>HUDIKSVALL</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29267-2022</t>
        </is>
      </c>
      <c r="B1620" s="1" t="n">
        <v>44750.66155092593</v>
      </c>
      <c r="C1620" s="1" t="n">
        <v>45883</v>
      </c>
      <c r="D1620" t="inlineStr">
        <is>
          <t>GÄVLEBORGS LÄN</t>
        </is>
      </c>
      <c r="E1620" t="inlineStr">
        <is>
          <t>LJUSDAL</t>
        </is>
      </c>
      <c r="F1620" t="inlineStr">
        <is>
          <t>Holmen skog AB</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14029-2023</t>
        </is>
      </c>
      <c r="B1621" s="1" t="n">
        <v>45008.61673611111</v>
      </c>
      <c r="C1621" s="1" t="n">
        <v>45883</v>
      </c>
      <c r="D1621" t="inlineStr">
        <is>
          <t>GÄVLEBORGS LÄN</t>
        </is>
      </c>
      <c r="E1621" t="inlineStr">
        <is>
          <t>SÖDERHAMN</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31694-2021</t>
        </is>
      </c>
      <c r="B1622" s="1" t="n">
        <v>44369.70108796296</v>
      </c>
      <c r="C1622" s="1" t="n">
        <v>45883</v>
      </c>
      <c r="D1622" t="inlineStr">
        <is>
          <t>GÄVLEBORGS LÄN</t>
        </is>
      </c>
      <c r="E1622" t="inlineStr">
        <is>
          <t>BOLLNÄS</t>
        </is>
      </c>
      <c r="F1622" t="inlineStr">
        <is>
          <t>Sveaskog</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47556-2020</t>
        </is>
      </c>
      <c r="B1623" s="1" t="n">
        <v>44098.4515625</v>
      </c>
      <c r="C1623" s="1" t="n">
        <v>45883</v>
      </c>
      <c r="D1623" t="inlineStr">
        <is>
          <t>GÄVLEBORGS LÄN</t>
        </is>
      </c>
      <c r="E1623" t="inlineStr">
        <is>
          <t>HUDIKSVALL</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13806-2025</t>
        </is>
      </c>
      <c r="B1624" s="1" t="n">
        <v>45737.4896875</v>
      </c>
      <c r="C1624" s="1" t="n">
        <v>45883</v>
      </c>
      <c r="D1624" t="inlineStr">
        <is>
          <t>GÄVLEBORGS LÄN</t>
        </is>
      </c>
      <c r="E1624" t="inlineStr">
        <is>
          <t>GÄVLE</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66986-2021</t>
        </is>
      </c>
      <c r="B1625" s="1" t="n">
        <v>44522</v>
      </c>
      <c r="C1625" s="1" t="n">
        <v>45883</v>
      </c>
      <c r="D1625" t="inlineStr">
        <is>
          <t>GÄVLEBORGS LÄN</t>
        </is>
      </c>
      <c r="E1625" t="inlineStr">
        <is>
          <t>BOLLNÄS</t>
        </is>
      </c>
      <c r="F1625" t="inlineStr">
        <is>
          <t>Kommuner</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33799-2021</t>
        </is>
      </c>
      <c r="B1626" s="1" t="n">
        <v>44378</v>
      </c>
      <c r="C1626" s="1" t="n">
        <v>45883</v>
      </c>
      <c r="D1626" t="inlineStr">
        <is>
          <t>GÄVLEBORGS LÄN</t>
        </is>
      </c>
      <c r="E1626" t="inlineStr">
        <is>
          <t>HUDIKSVALL</t>
        </is>
      </c>
      <c r="F1626" t="inlineStr">
        <is>
          <t>Holmen skog AB</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33377-2022</t>
        </is>
      </c>
      <c r="B1627" s="1" t="n">
        <v>44788.54135416666</v>
      </c>
      <c r="C1627" s="1" t="n">
        <v>45883</v>
      </c>
      <c r="D1627" t="inlineStr">
        <is>
          <t>GÄVLEBORGS LÄN</t>
        </is>
      </c>
      <c r="E1627" t="inlineStr">
        <is>
          <t>NORDANSTIG</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44181-2022</t>
        </is>
      </c>
      <c r="B1628" s="1" t="n">
        <v>44839.45443287037</v>
      </c>
      <c r="C1628" s="1" t="n">
        <v>45883</v>
      </c>
      <c r="D1628" t="inlineStr">
        <is>
          <t>GÄVLEBORGS LÄN</t>
        </is>
      </c>
      <c r="E1628" t="inlineStr">
        <is>
          <t>HUDIKSVALL</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40462-2022</t>
        </is>
      </c>
      <c r="B1629" s="1" t="n">
        <v>44823</v>
      </c>
      <c r="C1629" s="1" t="n">
        <v>45883</v>
      </c>
      <c r="D1629" t="inlineStr">
        <is>
          <t>GÄVLEBORGS LÄN</t>
        </is>
      </c>
      <c r="E1629" t="inlineStr">
        <is>
          <t>SÖDERHAMN</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26611-2023</t>
        </is>
      </c>
      <c r="B1630" s="1" t="n">
        <v>45092.69458333333</v>
      </c>
      <c r="C1630" s="1" t="n">
        <v>45883</v>
      </c>
      <c r="D1630" t="inlineStr">
        <is>
          <t>GÄVLEBORGS LÄN</t>
        </is>
      </c>
      <c r="E1630" t="inlineStr">
        <is>
          <t>LJUSDAL</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58912-2024</t>
        </is>
      </c>
      <c r="B1631" s="1" t="n">
        <v>45636.48331018518</v>
      </c>
      <c r="C1631" s="1" t="n">
        <v>45883</v>
      </c>
      <c r="D1631" t="inlineStr">
        <is>
          <t>GÄVLEBORGS LÄN</t>
        </is>
      </c>
      <c r="E1631" t="inlineStr">
        <is>
          <t>NORDANSTIG</t>
        </is>
      </c>
      <c r="F1631" t="inlineStr">
        <is>
          <t>Holmen skog AB</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46646-2020</t>
        </is>
      </c>
      <c r="B1632" s="1" t="n">
        <v>44095</v>
      </c>
      <c r="C1632" s="1" t="n">
        <v>45883</v>
      </c>
      <c r="D1632" t="inlineStr">
        <is>
          <t>GÄVLEBORGS LÄN</t>
        </is>
      </c>
      <c r="E1632" t="inlineStr">
        <is>
          <t>NORDANSTIG</t>
        </is>
      </c>
      <c r="F1632" t="inlineStr">
        <is>
          <t>Holmen skog AB</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3267-2025</t>
        </is>
      </c>
      <c r="B1633" s="1" t="n">
        <v>45679.57982638889</v>
      </c>
      <c r="C1633" s="1" t="n">
        <v>45883</v>
      </c>
      <c r="D1633" t="inlineStr">
        <is>
          <t>GÄVLEBORGS LÄN</t>
        </is>
      </c>
      <c r="E1633" t="inlineStr">
        <is>
          <t>OCKELBO</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3285-2025</t>
        </is>
      </c>
      <c r="B1634" s="1" t="n">
        <v>45679.6203125</v>
      </c>
      <c r="C1634" s="1" t="n">
        <v>45883</v>
      </c>
      <c r="D1634" t="inlineStr">
        <is>
          <t>GÄVLEBORGS LÄN</t>
        </is>
      </c>
      <c r="E1634" t="inlineStr">
        <is>
          <t>SANDVIKEN</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10423-2025</t>
        </is>
      </c>
      <c r="B1635" s="1" t="n">
        <v>45720.64939814815</v>
      </c>
      <c r="C1635" s="1" t="n">
        <v>45883</v>
      </c>
      <c r="D1635" t="inlineStr">
        <is>
          <t>GÄVLEBORGS LÄN</t>
        </is>
      </c>
      <c r="E1635" t="inlineStr">
        <is>
          <t>GÄVLE</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18902-2025</t>
        </is>
      </c>
      <c r="B1636" s="1" t="n">
        <v>45764.45541666666</v>
      </c>
      <c r="C1636" s="1" t="n">
        <v>45883</v>
      </c>
      <c r="D1636" t="inlineStr">
        <is>
          <t>GÄVLEBORGS LÄN</t>
        </is>
      </c>
      <c r="E1636" t="inlineStr">
        <is>
          <t>SÖDERHAMN</t>
        </is>
      </c>
      <c r="F1636" t="inlineStr">
        <is>
          <t>Kommuner</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18905-2025</t>
        </is>
      </c>
      <c r="B1637" s="1" t="n">
        <v>45764.46203703704</v>
      </c>
      <c r="C1637" s="1" t="n">
        <v>45883</v>
      </c>
      <c r="D1637" t="inlineStr">
        <is>
          <t>GÄVLEBORGS LÄN</t>
        </is>
      </c>
      <c r="E1637" t="inlineStr">
        <is>
          <t>SÖDERHAMN</t>
        </is>
      </c>
      <c r="F1637" t="inlineStr">
        <is>
          <t>Kommuner</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50059-2023</t>
        </is>
      </c>
      <c r="B1638" s="1" t="n">
        <v>45215</v>
      </c>
      <c r="C1638" s="1" t="n">
        <v>45883</v>
      </c>
      <c r="D1638" t="inlineStr">
        <is>
          <t>GÄVLEBORGS LÄN</t>
        </is>
      </c>
      <c r="E1638" t="inlineStr">
        <is>
          <t>SÖDERHAMN</t>
        </is>
      </c>
      <c r="G1638" t="n">
        <v>11.2</v>
      </c>
      <c r="H1638" t="n">
        <v>0</v>
      </c>
      <c r="I1638" t="n">
        <v>0</v>
      </c>
      <c r="J1638" t="n">
        <v>0</v>
      </c>
      <c r="K1638" t="n">
        <v>0</v>
      </c>
      <c r="L1638" t="n">
        <v>0</v>
      </c>
      <c r="M1638" t="n">
        <v>0</v>
      </c>
      <c r="N1638" t="n">
        <v>0</v>
      </c>
      <c r="O1638" t="n">
        <v>0</v>
      </c>
      <c r="P1638" t="n">
        <v>0</v>
      </c>
      <c r="Q1638" t="n">
        <v>0</v>
      </c>
      <c r="R1638" s="2" t="inlineStr"/>
    </row>
    <row r="1639" ht="15" customHeight="1">
      <c r="A1639" t="inlineStr">
        <is>
          <t>A 51133-2023</t>
        </is>
      </c>
      <c r="B1639" s="1" t="n">
        <v>45219.33283564815</v>
      </c>
      <c r="C1639" s="1" t="n">
        <v>45883</v>
      </c>
      <c r="D1639" t="inlineStr">
        <is>
          <t>GÄVLEBORGS LÄN</t>
        </is>
      </c>
      <c r="E1639" t="inlineStr">
        <is>
          <t>BOLLNÄS</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23957-2022</t>
        </is>
      </c>
      <c r="B1640" s="1" t="n">
        <v>44722.68072916667</v>
      </c>
      <c r="C1640" s="1" t="n">
        <v>45883</v>
      </c>
      <c r="D1640" t="inlineStr">
        <is>
          <t>GÄVLEBORGS LÄN</t>
        </is>
      </c>
      <c r="E1640" t="inlineStr">
        <is>
          <t>LJUSDAL</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72711-2021</t>
        </is>
      </c>
      <c r="B1641" s="1" t="n">
        <v>44546.67815972222</v>
      </c>
      <c r="C1641" s="1" t="n">
        <v>45883</v>
      </c>
      <c r="D1641" t="inlineStr">
        <is>
          <t>GÄVLEBORGS LÄN</t>
        </is>
      </c>
      <c r="E1641" t="inlineStr">
        <is>
          <t>LJUSDAL</t>
        </is>
      </c>
      <c r="F1641" t="inlineStr">
        <is>
          <t>Sveaskog</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29404-2021</t>
        </is>
      </c>
      <c r="B1642" s="1" t="n">
        <v>44361</v>
      </c>
      <c r="C1642" s="1" t="n">
        <v>45883</v>
      </c>
      <c r="D1642" t="inlineStr">
        <is>
          <t>GÄVLEBORGS LÄN</t>
        </is>
      </c>
      <c r="E1642" t="inlineStr">
        <is>
          <t>LJUSDAL</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9859-2025</t>
        </is>
      </c>
      <c r="B1643" s="1" t="n">
        <v>45716.62736111111</v>
      </c>
      <c r="C1643" s="1" t="n">
        <v>45883</v>
      </c>
      <c r="D1643" t="inlineStr">
        <is>
          <t>GÄVLEBORGS LÄN</t>
        </is>
      </c>
      <c r="E1643" t="inlineStr">
        <is>
          <t>OCKELBO</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52990-2021</t>
        </is>
      </c>
      <c r="B1644" s="1" t="n">
        <v>44467.63489583333</v>
      </c>
      <c r="C1644" s="1" t="n">
        <v>45883</v>
      </c>
      <c r="D1644" t="inlineStr">
        <is>
          <t>GÄVLEBORGS LÄN</t>
        </is>
      </c>
      <c r="E1644" t="inlineStr">
        <is>
          <t>NORDANSTIG</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61879-2024</t>
        </is>
      </c>
      <c r="B1645" s="1" t="n">
        <v>45652.43678240741</v>
      </c>
      <c r="C1645" s="1" t="n">
        <v>45883</v>
      </c>
      <c r="D1645" t="inlineStr">
        <is>
          <t>GÄVLEBORGS LÄN</t>
        </is>
      </c>
      <c r="E1645" t="inlineStr">
        <is>
          <t>GÄVLE</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12610-2025</t>
        </is>
      </c>
      <c r="B1646" s="1" t="n">
        <v>45733.33835648148</v>
      </c>
      <c r="C1646" s="1" t="n">
        <v>45883</v>
      </c>
      <c r="D1646" t="inlineStr">
        <is>
          <t>GÄVLEBORGS LÄN</t>
        </is>
      </c>
      <c r="E1646" t="inlineStr">
        <is>
          <t>SANDVIKEN</t>
        </is>
      </c>
      <c r="F1646" t="inlineStr">
        <is>
          <t>Bergvik skog öst AB</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37646-2021</t>
        </is>
      </c>
      <c r="B1647" s="1" t="n">
        <v>44400.37629629629</v>
      </c>
      <c r="C1647" s="1" t="n">
        <v>45883</v>
      </c>
      <c r="D1647" t="inlineStr">
        <is>
          <t>GÄVLEBORGS LÄN</t>
        </is>
      </c>
      <c r="E1647" t="inlineStr">
        <is>
          <t>LJUSDAL</t>
        </is>
      </c>
      <c r="F1647" t="inlineStr">
        <is>
          <t>Sveaskog</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25133-2022</t>
        </is>
      </c>
      <c r="B1648" s="1" t="n">
        <v>44729.49839120371</v>
      </c>
      <c r="C1648" s="1" t="n">
        <v>45883</v>
      </c>
      <c r="D1648" t="inlineStr">
        <is>
          <t>GÄVLEBORGS LÄN</t>
        </is>
      </c>
      <c r="E1648" t="inlineStr">
        <is>
          <t>OVANÅKER</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24763-2022</t>
        </is>
      </c>
      <c r="B1649" s="1" t="n">
        <v>44728</v>
      </c>
      <c r="C1649" s="1" t="n">
        <v>45883</v>
      </c>
      <c r="D1649" t="inlineStr">
        <is>
          <t>GÄVLEBORGS LÄN</t>
        </is>
      </c>
      <c r="E1649" t="inlineStr">
        <is>
          <t>BOLLNÄS</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33086-2022</t>
        </is>
      </c>
      <c r="B1650" s="1" t="n">
        <v>44785.455</v>
      </c>
      <c r="C1650" s="1" t="n">
        <v>45883</v>
      </c>
      <c r="D1650" t="inlineStr">
        <is>
          <t>GÄVLEBORGS LÄN</t>
        </is>
      </c>
      <c r="E1650" t="inlineStr">
        <is>
          <t>BOLLNÄS</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35094-2021</t>
        </is>
      </c>
      <c r="B1651" s="1" t="n">
        <v>44384.34634259259</v>
      </c>
      <c r="C1651" s="1" t="n">
        <v>45883</v>
      </c>
      <c r="D1651" t="inlineStr">
        <is>
          <t>GÄVLEBORGS LÄN</t>
        </is>
      </c>
      <c r="E1651" t="inlineStr">
        <is>
          <t>OVANÅKER</t>
        </is>
      </c>
      <c r="F1651" t="inlineStr">
        <is>
          <t>Bergvik skog väst AB</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50739-2021</t>
        </is>
      </c>
      <c r="B1652" s="1" t="n">
        <v>44460.39326388889</v>
      </c>
      <c r="C1652" s="1" t="n">
        <v>45883</v>
      </c>
      <c r="D1652" t="inlineStr">
        <is>
          <t>GÄVLEBORGS LÄN</t>
        </is>
      </c>
      <c r="E1652" t="inlineStr">
        <is>
          <t>OCKELBO</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72435-2021</t>
        </is>
      </c>
      <c r="B1653" s="1" t="n">
        <v>44545</v>
      </c>
      <c r="C1653" s="1" t="n">
        <v>45883</v>
      </c>
      <c r="D1653" t="inlineStr">
        <is>
          <t>GÄVLEBORGS LÄN</t>
        </is>
      </c>
      <c r="E1653" t="inlineStr">
        <is>
          <t>NORDANSTIG</t>
        </is>
      </c>
      <c r="G1653" t="n">
        <v>0.1</v>
      </c>
      <c r="H1653" t="n">
        <v>0</v>
      </c>
      <c r="I1653" t="n">
        <v>0</v>
      </c>
      <c r="J1653" t="n">
        <v>0</v>
      </c>
      <c r="K1653" t="n">
        <v>0</v>
      </c>
      <c r="L1653" t="n">
        <v>0</v>
      </c>
      <c r="M1653" t="n">
        <v>0</v>
      </c>
      <c r="N1653" t="n">
        <v>0</v>
      </c>
      <c r="O1653" t="n">
        <v>0</v>
      </c>
      <c r="P1653" t="n">
        <v>0</v>
      </c>
      <c r="Q1653" t="n">
        <v>0</v>
      </c>
      <c r="R1653" s="2" t="inlineStr"/>
    </row>
    <row r="1654" ht="15" customHeight="1">
      <c r="A1654" t="inlineStr">
        <is>
          <t>A 60085-2020</t>
        </is>
      </c>
      <c r="B1654" s="1" t="n">
        <v>44152</v>
      </c>
      <c r="C1654" s="1" t="n">
        <v>45883</v>
      </c>
      <c r="D1654" t="inlineStr">
        <is>
          <t>GÄVLEBORGS LÄN</t>
        </is>
      </c>
      <c r="E1654" t="inlineStr">
        <is>
          <t>NORDANSTIG</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11540-2021</t>
        </is>
      </c>
      <c r="B1655" s="1" t="n">
        <v>44264</v>
      </c>
      <c r="C1655" s="1" t="n">
        <v>45883</v>
      </c>
      <c r="D1655" t="inlineStr">
        <is>
          <t>GÄVLEBORGS LÄN</t>
        </is>
      </c>
      <c r="E1655" t="inlineStr">
        <is>
          <t>OVANÅKER</t>
        </is>
      </c>
      <c r="G1655" t="n">
        <v>0</v>
      </c>
      <c r="H1655" t="n">
        <v>0</v>
      </c>
      <c r="I1655" t="n">
        <v>0</v>
      </c>
      <c r="J1655" t="n">
        <v>0</v>
      </c>
      <c r="K1655" t="n">
        <v>0</v>
      </c>
      <c r="L1655" t="n">
        <v>0</v>
      </c>
      <c r="M1655" t="n">
        <v>0</v>
      </c>
      <c r="N1655" t="n">
        <v>0</v>
      </c>
      <c r="O1655" t="n">
        <v>0</v>
      </c>
      <c r="P1655" t="n">
        <v>0</v>
      </c>
      <c r="Q1655" t="n">
        <v>0</v>
      </c>
      <c r="R1655" s="2" t="inlineStr"/>
    </row>
    <row r="1656" ht="15" customHeight="1">
      <c r="A1656" t="inlineStr">
        <is>
          <t>A 57500-2023</t>
        </is>
      </c>
      <c r="B1656" s="1" t="n">
        <v>45246</v>
      </c>
      <c r="C1656" s="1" t="n">
        <v>45883</v>
      </c>
      <c r="D1656" t="inlineStr">
        <is>
          <t>GÄVLEBORGS LÄN</t>
        </is>
      </c>
      <c r="E1656" t="inlineStr">
        <is>
          <t>SÖDERHAMN</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41246-2022</t>
        </is>
      </c>
      <c r="B1657" s="1" t="n">
        <v>44826</v>
      </c>
      <c r="C1657" s="1" t="n">
        <v>45883</v>
      </c>
      <c r="D1657" t="inlineStr">
        <is>
          <t>GÄVLEBORGS LÄN</t>
        </is>
      </c>
      <c r="E1657" t="inlineStr">
        <is>
          <t>SÖDERHAMN</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9919-2025</t>
        </is>
      </c>
      <c r="B1658" s="1" t="n">
        <v>45717.45646990741</v>
      </c>
      <c r="C1658" s="1" t="n">
        <v>45883</v>
      </c>
      <c r="D1658" t="inlineStr">
        <is>
          <t>GÄVLEBORGS LÄN</t>
        </is>
      </c>
      <c r="E1658" t="inlineStr">
        <is>
          <t>HUDIKSVALL</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10484-2023</t>
        </is>
      </c>
      <c r="B1659" s="1" t="n">
        <v>44987</v>
      </c>
      <c r="C1659" s="1" t="n">
        <v>45883</v>
      </c>
      <c r="D1659" t="inlineStr">
        <is>
          <t>GÄVLEBORGS LÄN</t>
        </is>
      </c>
      <c r="E1659" t="inlineStr">
        <is>
          <t>NORDANSTIG</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56016-2021</t>
        </is>
      </c>
      <c r="B1660" s="1" t="n">
        <v>44477.44796296296</v>
      </c>
      <c r="C1660" s="1" t="n">
        <v>45883</v>
      </c>
      <c r="D1660" t="inlineStr">
        <is>
          <t>GÄVLEBORGS LÄN</t>
        </is>
      </c>
      <c r="E1660" t="inlineStr">
        <is>
          <t>LJUSDAL</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65030-2021</t>
        </is>
      </c>
      <c r="B1661" s="1" t="n">
        <v>44515.32060185185</v>
      </c>
      <c r="C1661" s="1" t="n">
        <v>45883</v>
      </c>
      <c r="D1661" t="inlineStr">
        <is>
          <t>GÄVLEBORGS LÄN</t>
        </is>
      </c>
      <c r="E1661" t="inlineStr">
        <is>
          <t>BOLLNÄS</t>
        </is>
      </c>
      <c r="F1661" t="inlineStr">
        <is>
          <t>Bergvik skog väst AB</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9964-2025</t>
        </is>
      </c>
      <c r="B1662" s="1" t="n">
        <v>45719.37508101852</v>
      </c>
      <c r="C1662" s="1" t="n">
        <v>45883</v>
      </c>
      <c r="D1662" t="inlineStr">
        <is>
          <t>GÄVLEBORGS LÄN</t>
        </is>
      </c>
      <c r="E1662" t="inlineStr">
        <is>
          <t>OCKELBO</t>
        </is>
      </c>
      <c r="F1662" t="inlineStr">
        <is>
          <t>Bergvik skog öst AB</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26833-2021</t>
        </is>
      </c>
      <c r="B1663" s="1" t="n">
        <v>44349.57659722222</v>
      </c>
      <c r="C1663" s="1" t="n">
        <v>45883</v>
      </c>
      <c r="D1663" t="inlineStr">
        <is>
          <t>GÄVLEBORGS LÄN</t>
        </is>
      </c>
      <c r="E1663" t="inlineStr">
        <is>
          <t>NORDANSTIG</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63128-2020</t>
        </is>
      </c>
      <c r="B1664" s="1" t="n">
        <v>44162</v>
      </c>
      <c r="C1664" s="1" t="n">
        <v>45883</v>
      </c>
      <c r="D1664" t="inlineStr">
        <is>
          <t>GÄVLEBORGS LÄN</t>
        </is>
      </c>
      <c r="E1664" t="inlineStr">
        <is>
          <t>OVANÅKER</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13199-2025</t>
        </is>
      </c>
      <c r="B1665" s="1" t="n">
        <v>45735.42756944444</v>
      </c>
      <c r="C1665" s="1" t="n">
        <v>45883</v>
      </c>
      <c r="D1665" t="inlineStr">
        <is>
          <t>GÄVLEBORGS LÄN</t>
        </is>
      </c>
      <c r="E1665" t="inlineStr">
        <is>
          <t>LJUSDAL</t>
        </is>
      </c>
      <c r="F1665" t="inlineStr">
        <is>
          <t>SCA</t>
        </is>
      </c>
      <c r="G1665" t="n">
        <v>9.6</v>
      </c>
      <c r="H1665" t="n">
        <v>0</v>
      </c>
      <c r="I1665" t="n">
        <v>0</v>
      </c>
      <c r="J1665" t="n">
        <v>0</v>
      </c>
      <c r="K1665" t="n">
        <v>0</v>
      </c>
      <c r="L1665" t="n">
        <v>0</v>
      </c>
      <c r="M1665" t="n">
        <v>0</v>
      </c>
      <c r="N1665" t="n">
        <v>0</v>
      </c>
      <c r="O1665" t="n">
        <v>0</v>
      </c>
      <c r="P1665" t="n">
        <v>0</v>
      </c>
      <c r="Q1665" t="n">
        <v>0</v>
      </c>
      <c r="R1665" s="2" t="inlineStr"/>
    </row>
    <row r="1666" ht="15" customHeight="1">
      <c r="A1666" t="inlineStr">
        <is>
          <t>A 13221-2025</t>
        </is>
      </c>
      <c r="B1666" s="1" t="n">
        <v>45735</v>
      </c>
      <c r="C1666" s="1" t="n">
        <v>45883</v>
      </c>
      <c r="D1666" t="inlineStr">
        <is>
          <t>GÄVLEBORGS LÄN</t>
        </is>
      </c>
      <c r="E1666" t="inlineStr">
        <is>
          <t>SÖDERHAMN</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1408-2021</t>
        </is>
      </c>
      <c r="B1667" s="1" t="n">
        <v>44208</v>
      </c>
      <c r="C1667" s="1" t="n">
        <v>45883</v>
      </c>
      <c r="D1667" t="inlineStr">
        <is>
          <t>GÄVLEBORGS LÄN</t>
        </is>
      </c>
      <c r="E1667" t="inlineStr">
        <is>
          <t>BOLLNÄS</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5331-2025</t>
        </is>
      </c>
      <c r="B1668" s="1" t="n">
        <v>45692</v>
      </c>
      <c r="C1668" s="1" t="n">
        <v>45883</v>
      </c>
      <c r="D1668" t="inlineStr">
        <is>
          <t>GÄVLEBORGS LÄN</t>
        </is>
      </c>
      <c r="E1668" t="inlineStr">
        <is>
          <t>OVANÅKER</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5430-2022</t>
        </is>
      </c>
      <c r="B1669" s="1" t="n">
        <v>44595</v>
      </c>
      <c r="C1669" s="1" t="n">
        <v>45883</v>
      </c>
      <c r="D1669" t="inlineStr">
        <is>
          <t>GÄVLEBORGS LÄN</t>
        </is>
      </c>
      <c r="E1669" t="inlineStr">
        <is>
          <t>SANDVIKEN</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34852-2021</t>
        </is>
      </c>
      <c r="B1670" s="1" t="n">
        <v>44383</v>
      </c>
      <c r="C1670" s="1" t="n">
        <v>45883</v>
      </c>
      <c r="D1670" t="inlineStr">
        <is>
          <t>GÄVLEBORGS LÄN</t>
        </is>
      </c>
      <c r="E1670" t="inlineStr">
        <is>
          <t>BOLLNÄS</t>
        </is>
      </c>
      <c r="F1670" t="inlineStr">
        <is>
          <t>Bergvik skog väst AB</t>
        </is>
      </c>
      <c r="G1670" t="n">
        <v>5.9</v>
      </c>
      <c r="H1670" t="n">
        <v>0</v>
      </c>
      <c r="I1670" t="n">
        <v>0</v>
      </c>
      <c r="J1670" t="n">
        <v>0</v>
      </c>
      <c r="K1670" t="n">
        <v>0</v>
      </c>
      <c r="L1670" t="n">
        <v>0</v>
      </c>
      <c r="M1670" t="n">
        <v>0</v>
      </c>
      <c r="N1670" t="n">
        <v>0</v>
      </c>
      <c r="O1670" t="n">
        <v>0</v>
      </c>
      <c r="P1670" t="n">
        <v>0</v>
      </c>
      <c r="Q1670" t="n">
        <v>0</v>
      </c>
      <c r="R1670" s="2" t="inlineStr"/>
    </row>
    <row r="1671" ht="15" customHeight="1">
      <c r="A1671" t="inlineStr">
        <is>
          <t>A 51292-2023</t>
        </is>
      </c>
      <c r="B1671" s="1" t="n">
        <v>45219</v>
      </c>
      <c r="C1671" s="1" t="n">
        <v>45883</v>
      </c>
      <c r="D1671" t="inlineStr">
        <is>
          <t>GÄVLEBORGS LÄN</t>
        </is>
      </c>
      <c r="E1671" t="inlineStr">
        <is>
          <t>SÖDERHAMN</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33974-2022</t>
        </is>
      </c>
      <c r="B1672" s="1" t="n">
        <v>44790</v>
      </c>
      <c r="C1672" s="1" t="n">
        <v>45883</v>
      </c>
      <c r="D1672" t="inlineStr">
        <is>
          <t>GÄVLEBORGS LÄN</t>
        </is>
      </c>
      <c r="E1672" t="inlineStr">
        <is>
          <t>NORDANSTIG</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51337-2023</t>
        </is>
      </c>
      <c r="B1673" s="1" t="n">
        <v>45219.59144675926</v>
      </c>
      <c r="C1673" s="1" t="n">
        <v>45883</v>
      </c>
      <c r="D1673" t="inlineStr">
        <is>
          <t>GÄVLEBORGS LÄN</t>
        </is>
      </c>
      <c r="E1673" t="inlineStr">
        <is>
          <t>HOFORS</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41285-2022</t>
        </is>
      </c>
      <c r="B1674" s="1" t="n">
        <v>44826.42060185185</v>
      </c>
      <c r="C1674" s="1" t="n">
        <v>45883</v>
      </c>
      <c r="D1674" t="inlineStr">
        <is>
          <t>GÄVLEBORGS LÄN</t>
        </is>
      </c>
      <c r="E1674" t="inlineStr">
        <is>
          <t>LJUSDAL</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14864-2025</t>
        </is>
      </c>
      <c r="B1675" s="1" t="n">
        <v>45743.43662037037</v>
      </c>
      <c r="C1675" s="1" t="n">
        <v>45883</v>
      </c>
      <c r="D1675" t="inlineStr">
        <is>
          <t>GÄVLEBORGS LÄN</t>
        </is>
      </c>
      <c r="E1675" t="inlineStr">
        <is>
          <t>BOLLNÄS</t>
        </is>
      </c>
      <c r="G1675" t="n">
        <v>11.7</v>
      </c>
      <c r="H1675" t="n">
        <v>0</v>
      </c>
      <c r="I1675" t="n">
        <v>0</v>
      </c>
      <c r="J1675" t="n">
        <v>0</v>
      </c>
      <c r="K1675" t="n">
        <v>0</v>
      </c>
      <c r="L1675" t="n">
        <v>0</v>
      </c>
      <c r="M1675" t="n">
        <v>0</v>
      </c>
      <c r="N1675" t="n">
        <v>0</v>
      </c>
      <c r="O1675" t="n">
        <v>0</v>
      </c>
      <c r="P1675" t="n">
        <v>0</v>
      </c>
      <c r="Q1675" t="n">
        <v>0</v>
      </c>
      <c r="R1675" s="2" t="inlineStr"/>
    </row>
    <row r="1676" ht="15" customHeight="1">
      <c r="A1676" t="inlineStr">
        <is>
          <t>A 52772-2023</t>
        </is>
      </c>
      <c r="B1676" s="1" t="n">
        <v>45226.33118055556</v>
      </c>
      <c r="C1676" s="1" t="n">
        <v>45883</v>
      </c>
      <c r="D1676" t="inlineStr">
        <is>
          <t>GÄVLEBORGS LÄN</t>
        </is>
      </c>
      <c r="E1676" t="inlineStr">
        <is>
          <t>SANDVIKEN</t>
        </is>
      </c>
      <c r="F1676" t="inlineStr">
        <is>
          <t>Bergvik skog öst AB</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51247-2023</t>
        </is>
      </c>
      <c r="B1677" s="1" t="n">
        <v>45219.4821875</v>
      </c>
      <c r="C1677" s="1" t="n">
        <v>45883</v>
      </c>
      <c r="D1677" t="inlineStr">
        <is>
          <t>GÄVLEBORGS LÄN</t>
        </is>
      </c>
      <c r="E1677" t="inlineStr">
        <is>
          <t>BOLLNÄS</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13473-2024</t>
        </is>
      </c>
      <c r="B1678" s="1" t="n">
        <v>45387.5827662037</v>
      </c>
      <c r="C1678" s="1" t="n">
        <v>45883</v>
      </c>
      <c r="D1678" t="inlineStr">
        <is>
          <t>GÄVLEBORGS LÄN</t>
        </is>
      </c>
      <c r="E1678" t="inlineStr">
        <is>
          <t>HOFORS</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12648-2021</t>
        </is>
      </c>
      <c r="B1679" s="1" t="n">
        <v>44270.48195601852</v>
      </c>
      <c r="C1679" s="1" t="n">
        <v>45883</v>
      </c>
      <c r="D1679" t="inlineStr">
        <is>
          <t>GÄVLEBORGS LÄN</t>
        </is>
      </c>
      <c r="E1679" t="inlineStr">
        <is>
          <t>LJUSDAL</t>
        </is>
      </c>
      <c r="G1679" t="n">
        <v>4.4</v>
      </c>
      <c r="H1679" t="n">
        <v>0</v>
      </c>
      <c r="I1679" t="n">
        <v>0</v>
      </c>
      <c r="J1679" t="n">
        <v>0</v>
      </c>
      <c r="K1679" t="n">
        <v>0</v>
      </c>
      <c r="L1679" t="n">
        <v>0</v>
      </c>
      <c r="M1679" t="n">
        <v>0</v>
      </c>
      <c r="N1679" t="n">
        <v>0</v>
      </c>
      <c r="O1679" t="n">
        <v>0</v>
      </c>
      <c r="P1679" t="n">
        <v>0</v>
      </c>
      <c r="Q1679" t="n">
        <v>0</v>
      </c>
      <c r="R1679" s="2" t="inlineStr"/>
    </row>
    <row r="1680" ht="15" customHeight="1">
      <c r="A1680" t="inlineStr">
        <is>
          <t>A 51256-2020</t>
        </is>
      </c>
      <c r="B1680" s="1" t="n">
        <v>44112</v>
      </c>
      <c r="C1680" s="1" t="n">
        <v>45883</v>
      </c>
      <c r="D1680" t="inlineStr">
        <is>
          <t>GÄVLEBORGS LÄN</t>
        </is>
      </c>
      <c r="E1680" t="inlineStr">
        <is>
          <t>LJUSDAL</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5711-2024</t>
        </is>
      </c>
      <c r="B1681" s="1" t="n">
        <v>45334</v>
      </c>
      <c r="C1681" s="1" t="n">
        <v>45883</v>
      </c>
      <c r="D1681" t="inlineStr">
        <is>
          <t>GÄVLEBORGS LÄN</t>
        </is>
      </c>
      <c r="E1681" t="inlineStr">
        <is>
          <t>HUDIKSVALL</t>
        </is>
      </c>
      <c r="F1681" t="inlineStr">
        <is>
          <t>Holmen skog AB</t>
        </is>
      </c>
      <c r="G1681" t="n">
        <v>14.5</v>
      </c>
      <c r="H1681" t="n">
        <v>0</v>
      </c>
      <c r="I1681" t="n">
        <v>0</v>
      </c>
      <c r="J1681" t="n">
        <v>0</v>
      </c>
      <c r="K1681" t="n">
        <v>0</v>
      </c>
      <c r="L1681" t="n">
        <v>0</v>
      </c>
      <c r="M1681" t="n">
        <v>0</v>
      </c>
      <c r="N1681" t="n">
        <v>0</v>
      </c>
      <c r="O1681" t="n">
        <v>0</v>
      </c>
      <c r="P1681" t="n">
        <v>0</v>
      </c>
      <c r="Q1681" t="n">
        <v>0</v>
      </c>
      <c r="R1681" s="2" t="inlineStr"/>
    </row>
    <row r="1682" ht="15" customHeight="1">
      <c r="A1682" t="inlineStr">
        <is>
          <t>A 8157-2025</t>
        </is>
      </c>
      <c r="B1682" s="1" t="n">
        <v>45708</v>
      </c>
      <c r="C1682" s="1" t="n">
        <v>45883</v>
      </c>
      <c r="D1682" t="inlineStr">
        <is>
          <t>GÄVLEBORGS LÄN</t>
        </is>
      </c>
      <c r="E1682" t="inlineStr">
        <is>
          <t>HUDIKSVALL</t>
        </is>
      </c>
      <c r="G1682" t="n">
        <v>7.7</v>
      </c>
      <c r="H1682" t="n">
        <v>0</v>
      </c>
      <c r="I1682" t="n">
        <v>0</v>
      </c>
      <c r="J1682" t="n">
        <v>0</v>
      </c>
      <c r="K1682" t="n">
        <v>0</v>
      </c>
      <c r="L1682" t="n">
        <v>0</v>
      </c>
      <c r="M1682" t="n">
        <v>0</v>
      </c>
      <c r="N1682" t="n">
        <v>0</v>
      </c>
      <c r="O1682" t="n">
        <v>0</v>
      </c>
      <c r="P1682" t="n">
        <v>0</v>
      </c>
      <c r="Q1682" t="n">
        <v>0</v>
      </c>
      <c r="R1682" s="2" t="inlineStr"/>
    </row>
    <row r="1683" ht="15" customHeight="1">
      <c r="A1683" t="inlineStr">
        <is>
          <t>A 14463-2021</t>
        </is>
      </c>
      <c r="B1683" s="1" t="n">
        <v>44279.54775462963</v>
      </c>
      <c r="C1683" s="1" t="n">
        <v>45883</v>
      </c>
      <c r="D1683" t="inlineStr">
        <is>
          <t>GÄVLEBORGS LÄN</t>
        </is>
      </c>
      <c r="E1683" t="inlineStr">
        <is>
          <t>OCKELBO</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10137-2024</t>
        </is>
      </c>
      <c r="B1684" s="1" t="n">
        <v>45364.60462962963</v>
      </c>
      <c r="C1684" s="1" t="n">
        <v>45883</v>
      </c>
      <c r="D1684" t="inlineStr">
        <is>
          <t>GÄVLEBORGS LÄN</t>
        </is>
      </c>
      <c r="E1684" t="inlineStr">
        <is>
          <t>NORDANSTIG</t>
        </is>
      </c>
      <c r="F1684" t="inlineStr">
        <is>
          <t>Holmen skog AB</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48925-2023</t>
        </is>
      </c>
      <c r="B1685" s="1" t="n">
        <v>45209.55549768519</v>
      </c>
      <c r="C1685" s="1" t="n">
        <v>45883</v>
      </c>
      <c r="D1685" t="inlineStr">
        <is>
          <t>GÄVLEBORGS LÄN</t>
        </is>
      </c>
      <c r="E1685" t="inlineStr">
        <is>
          <t>LJUSDAL</t>
        </is>
      </c>
      <c r="F1685" t="inlineStr">
        <is>
          <t>Bergvik skog väst AB</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43723-2022</t>
        </is>
      </c>
      <c r="B1686" s="1" t="n">
        <v>44837.67238425926</v>
      </c>
      <c r="C1686" s="1" t="n">
        <v>45883</v>
      </c>
      <c r="D1686" t="inlineStr">
        <is>
          <t>GÄVLEBORGS LÄN</t>
        </is>
      </c>
      <c r="E1686" t="inlineStr">
        <is>
          <t>SÖDERHAMN</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35859-2021</t>
        </is>
      </c>
      <c r="B1687" s="1" t="n">
        <v>44386</v>
      </c>
      <c r="C1687" s="1" t="n">
        <v>45883</v>
      </c>
      <c r="D1687" t="inlineStr">
        <is>
          <t>GÄVLEBORGS LÄN</t>
        </is>
      </c>
      <c r="E1687" t="inlineStr">
        <is>
          <t>NORDANSTIG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70473-2021</t>
        </is>
      </c>
      <c r="B1688" s="1" t="n">
        <v>44536</v>
      </c>
      <c r="C1688" s="1" t="n">
        <v>45883</v>
      </c>
      <c r="D1688" t="inlineStr">
        <is>
          <t>GÄVLEBORGS LÄN</t>
        </is>
      </c>
      <c r="E1688" t="inlineStr">
        <is>
          <t>BOLLNÄS</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34709-2022</t>
        </is>
      </c>
      <c r="B1689" s="1" t="n">
        <v>44795.57931712963</v>
      </c>
      <c r="C1689" s="1" t="n">
        <v>45883</v>
      </c>
      <c r="D1689" t="inlineStr">
        <is>
          <t>GÄVLEBORGS LÄN</t>
        </is>
      </c>
      <c r="E1689" t="inlineStr">
        <is>
          <t>OCKELBO</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49713-2023</t>
        </is>
      </c>
      <c r="B1690" s="1" t="n">
        <v>45212.43078703704</v>
      </c>
      <c r="C1690" s="1" t="n">
        <v>45883</v>
      </c>
      <c r="D1690" t="inlineStr">
        <is>
          <t>GÄVLEBORGS LÄN</t>
        </is>
      </c>
      <c r="E1690" t="inlineStr">
        <is>
          <t>BOLLNÄS</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66458-2020</t>
        </is>
      </c>
      <c r="B1691" s="1" t="n">
        <v>44176.70523148148</v>
      </c>
      <c r="C1691" s="1" t="n">
        <v>45883</v>
      </c>
      <c r="D1691" t="inlineStr">
        <is>
          <t>GÄVLEBORGS LÄN</t>
        </is>
      </c>
      <c r="E1691" t="inlineStr">
        <is>
          <t>SÖDERHAMN</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47674-2023</t>
        </is>
      </c>
      <c r="B1692" s="1" t="n">
        <v>45203.60052083333</v>
      </c>
      <c r="C1692" s="1" t="n">
        <v>45883</v>
      </c>
      <c r="D1692" t="inlineStr">
        <is>
          <t>GÄVLEBORGS LÄN</t>
        </is>
      </c>
      <c r="E1692" t="inlineStr">
        <is>
          <t>OCKELBO</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35115-2022</t>
        </is>
      </c>
      <c r="B1693" s="1" t="n">
        <v>44797.45246527778</v>
      </c>
      <c r="C1693" s="1" t="n">
        <v>45883</v>
      </c>
      <c r="D1693" t="inlineStr">
        <is>
          <t>GÄVLEBORGS LÄN</t>
        </is>
      </c>
      <c r="E1693" t="inlineStr">
        <is>
          <t>NORDANSTIG</t>
        </is>
      </c>
      <c r="F1693" t="inlineStr">
        <is>
          <t>Holmen skog AB</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73725-2021</t>
        </is>
      </c>
      <c r="B1694" s="1" t="n">
        <v>44552.54694444445</v>
      </c>
      <c r="C1694" s="1" t="n">
        <v>45883</v>
      </c>
      <c r="D1694" t="inlineStr">
        <is>
          <t>GÄVLEBORGS LÄN</t>
        </is>
      </c>
      <c r="E1694" t="inlineStr">
        <is>
          <t>NORDANSTIG</t>
        </is>
      </c>
      <c r="F1694" t="inlineStr">
        <is>
          <t>Holmen skog AB</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46854-2021</t>
        </is>
      </c>
      <c r="B1695" s="1" t="n">
        <v>44446.38486111111</v>
      </c>
      <c r="C1695" s="1" t="n">
        <v>45883</v>
      </c>
      <c r="D1695" t="inlineStr">
        <is>
          <t>GÄVLEBORGS LÄN</t>
        </is>
      </c>
      <c r="E1695" t="inlineStr">
        <is>
          <t>SANDVIKEN</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20117-2025</t>
        </is>
      </c>
      <c r="B1696" s="1" t="n">
        <v>45772.48638888889</v>
      </c>
      <c r="C1696" s="1" t="n">
        <v>45883</v>
      </c>
      <c r="D1696" t="inlineStr">
        <is>
          <t>GÄVLEBORGS LÄN</t>
        </is>
      </c>
      <c r="E1696" t="inlineStr">
        <is>
          <t>OVANÅKER</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31348-2022</t>
        </is>
      </c>
      <c r="B1697" s="1" t="n">
        <v>44774.54951388889</v>
      </c>
      <c r="C1697" s="1" t="n">
        <v>45883</v>
      </c>
      <c r="D1697" t="inlineStr">
        <is>
          <t>GÄVLEBORGS LÄN</t>
        </is>
      </c>
      <c r="E1697" t="inlineStr">
        <is>
          <t>LJUSDAL</t>
        </is>
      </c>
      <c r="F1697" t="inlineStr">
        <is>
          <t>Holmen skog AB</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50326-2023</t>
        </is>
      </c>
      <c r="B1698" s="1" t="n">
        <v>45216.55601851852</v>
      </c>
      <c r="C1698" s="1" t="n">
        <v>45883</v>
      </c>
      <c r="D1698" t="inlineStr">
        <is>
          <t>GÄVLEBORGS LÄN</t>
        </is>
      </c>
      <c r="E1698" t="inlineStr">
        <is>
          <t>NORDANSTIG</t>
        </is>
      </c>
      <c r="F1698" t="inlineStr">
        <is>
          <t>Holmen skog AB</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35172-2021</t>
        </is>
      </c>
      <c r="B1699" s="1" t="n">
        <v>44384</v>
      </c>
      <c r="C1699" s="1" t="n">
        <v>45883</v>
      </c>
      <c r="D1699" t="inlineStr">
        <is>
          <t>GÄVLEBORGS LÄN</t>
        </is>
      </c>
      <c r="E1699" t="inlineStr">
        <is>
          <t>SÖDERHAMN</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56494-2024</t>
        </is>
      </c>
      <c r="B1700" s="1" t="n">
        <v>45625</v>
      </c>
      <c r="C1700" s="1" t="n">
        <v>45883</v>
      </c>
      <c r="D1700" t="inlineStr">
        <is>
          <t>GÄVLEBORGS LÄN</t>
        </is>
      </c>
      <c r="E1700" t="inlineStr">
        <is>
          <t>NORDANSTIG</t>
        </is>
      </c>
      <c r="G1700" t="n">
        <v>10.1</v>
      </c>
      <c r="H1700" t="n">
        <v>0</v>
      </c>
      <c r="I1700" t="n">
        <v>0</v>
      </c>
      <c r="J1700" t="n">
        <v>0</v>
      </c>
      <c r="K1700" t="n">
        <v>0</v>
      </c>
      <c r="L1700" t="n">
        <v>0</v>
      </c>
      <c r="M1700" t="n">
        <v>0</v>
      </c>
      <c r="N1700" t="n">
        <v>0</v>
      </c>
      <c r="O1700" t="n">
        <v>0</v>
      </c>
      <c r="P1700" t="n">
        <v>0</v>
      </c>
      <c r="Q1700" t="n">
        <v>0</v>
      </c>
      <c r="R1700" s="2" t="inlineStr"/>
    </row>
    <row r="1701" ht="15" customHeight="1">
      <c r="A1701" t="inlineStr">
        <is>
          <t>A 43185-2020</t>
        </is>
      </c>
      <c r="B1701" s="1" t="n">
        <v>44081</v>
      </c>
      <c r="C1701" s="1" t="n">
        <v>45883</v>
      </c>
      <c r="D1701" t="inlineStr">
        <is>
          <t>GÄVLEBORGS LÄN</t>
        </is>
      </c>
      <c r="E1701" t="inlineStr">
        <is>
          <t>GÄVLE</t>
        </is>
      </c>
      <c r="F1701" t="inlineStr">
        <is>
          <t>Bergvik skog öst AB</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8805-2025</t>
        </is>
      </c>
      <c r="B1702" s="1" t="n">
        <v>45712.66641203704</v>
      </c>
      <c r="C1702" s="1" t="n">
        <v>45883</v>
      </c>
      <c r="D1702" t="inlineStr">
        <is>
          <t>GÄVLEBORGS LÄN</t>
        </is>
      </c>
      <c r="E1702" t="inlineStr">
        <is>
          <t>NORDANSTIG</t>
        </is>
      </c>
      <c r="F1702" t="inlineStr">
        <is>
          <t>Holmen skog AB</t>
        </is>
      </c>
      <c r="G1702" t="n">
        <v>5.8</v>
      </c>
      <c r="H1702" t="n">
        <v>0</v>
      </c>
      <c r="I1702" t="n">
        <v>0</v>
      </c>
      <c r="J1702" t="n">
        <v>0</v>
      </c>
      <c r="K1702" t="n">
        <v>0</v>
      </c>
      <c r="L1702" t="n">
        <v>0</v>
      </c>
      <c r="M1702" t="n">
        <v>0</v>
      </c>
      <c r="N1702" t="n">
        <v>0</v>
      </c>
      <c r="O1702" t="n">
        <v>0</v>
      </c>
      <c r="P1702" t="n">
        <v>0</v>
      </c>
      <c r="Q1702" t="n">
        <v>0</v>
      </c>
      <c r="R1702" s="2" t="inlineStr"/>
    </row>
    <row r="1703" ht="15" customHeight="1">
      <c r="A1703" t="inlineStr">
        <is>
          <t>A 35205-2024</t>
        </is>
      </c>
      <c r="B1703" s="1" t="n">
        <v>45530</v>
      </c>
      <c r="C1703" s="1" t="n">
        <v>45883</v>
      </c>
      <c r="D1703" t="inlineStr">
        <is>
          <t>GÄVLEBORGS LÄN</t>
        </is>
      </c>
      <c r="E1703" t="inlineStr">
        <is>
          <t>GÄVLE</t>
        </is>
      </c>
      <c r="F1703" t="inlineStr">
        <is>
          <t>Bergvik skog öst AB</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36278-2024</t>
        </is>
      </c>
      <c r="B1704" s="1" t="n">
        <v>45534.58508101852</v>
      </c>
      <c r="C1704" s="1" t="n">
        <v>45883</v>
      </c>
      <c r="D1704" t="inlineStr">
        <is>
          <t>GÄVLEBORGS LÄN</t>
        </is>
      </c>
      <c r="E1704" t="inlineStr">
        <is>
          <t>HOFORS</t>
        </is>
      </c>
      <c r="F1704" t="inlineStr">
        <is>
          <t>Sveaskog</t>
        </is>
      </c>
      <c r="G1704" t="n">
        <v>8.699999999999999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33626-2022</t>
        </is>
      </c>
      <c r="B1705" s="1" t="n">
        <v>44789</v>
      </c>
      <c r="C1705" s="1" t="n">
        <v>45883</v>
      </c>
      <c r="D1705" t="inlineStr">
        <is>
          <t>GÄVLEBORGS LÄN</t>
        </is>
      </c>
      <c r="E1705" t="inlineStr">
        <is>
          <t>LJUSDAL</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19776-2021</t>
        </is>
      </c>
      <c r="B1706" s="1" t="n">
        <v>44313</v>
      </c>
      <c r="C1706" s="1" t="n">
        <v>45883</v>
      </c>
      <c r="D1706" t="inlineStr">
        <is>
          <t>GÄVLEBORGS LÄN</t>
        </is>
      </c>
      <c r="E1706" t="inlineStr">
        <is>
          <t>OCKELBO</t>
        </is>
      </c>
      <c r="F1706" t="inlineStr">
        <is>
          <t>Bergvik skog väst AB</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48205-2022</t>
        </is>
      </c>
      <c r="B1707" s="1" t="n">
        <v>44858.42241898148</v>
      </c>
      <c r="C1707" s="1" t="n">
        <v>45883</v>
      </c>
      <c r="D1707" t="inlineStr">
        <is>
          <t>GÄVLEBORGS LÄN</t>
        </is>
      </c>
      <c r="E1707" t="inlineStr">
        <is>
          <t>OCKELBO</t>
        </is>
      </c>
      <c r="F1707" t="inlineStr">
        <is>
          <t>Bergvik skog väst AB</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14754-2025</t>
        </is>
      </c>
      <c r="B1708" s="1" t="n">
        <v>45742.66208333334</v>
      </c>
      <c r="C1708" s="1" t="n">
        <v>45883</v>
      </c>
      <c r="D1708" t="inlineStr">
        <is>
          <t>GÄVLEBORGS LÄN</t>
        </is>
      </c>
      <c r="E1708" t="inlineStr">
        <is>
          <t>NORDANSTIG</t>
        </is>
      </c>
      <c r="F1708" t="inlineStr">
        <is>
          <t>Holmen skog AB</t>
        </is>
      </c>
      <c r="G1708" t="n">
        <v>6</v>
      </c>
      <c r="H1708" t="n">
        <v>0</v>
      </c>
      <c r="I1708" t="n">
        <v>0</v>
      </c>
      <c r="J1708" t="n">
        <v>0</v>
      </c>
      <c r="K1708" t="n">
        <v>0</v>
      </c>
      <c r="L1708" t="n">
        <v>0</v>
      </c>
      <c r="M1708" t="n">
        <v>0</v>
      </c>
      <c r="N1708" t="n">
        <v>0</v>
      </c>
      <c r="O1708" t="n">
        <v>0</v>
      </c>
      <c r="P1708" t="n">
        <v>0</v>
      </c>
      <c r="Q1708" t="n">
        <v>0</v>
      </c>
      <c r="R1708" s="2" t="inlineStr"/>
    </row>
    <row r="1709" ht="15" customHeight="1">
      <c r="A1709" t="inlineStr">
        <is>
          <t>A 42308-2020</t>
        </is>
      </c>
      <c r="B1709" s="1" t="n">
        <v>44076</v>
      </c>
      <c r="C1709" s="1" t="n">
        <v>45883</v>
      </c>
      <c r="D1709" t="inlineStr">
        <is>
          <t>GÄVLEBORGS LÄN</t>
        </is>
      </c>
      <c r="E1709" t="inlineStr">
        <is>
          <t>BOLLNÄS</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43907-2020</t>
        </is>
      </c>
      <c r="B1710" s="1" t="n">
        <v>44083</v>
      </c>
      <c r="C1710" s="1" t="n">
        <v>45883</v>
      </c>
      <c r="D1710" t="inlineStr">
        <is>
          <t>GÄVLEBORGS LÄN</t>
        </is>
      </c>
      <c r="E1710" t="inlineStr">
        <is>
          <t>HOFORS</t>
        </is>
      </c>
      <c r="F1710" t="inlineStr">
        <is>
          <t>Sveaskog</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54661-2020</t>
        </is>
      </c>
      <c r="B1711" s="1" t="n">
        <v>44127.4087037037</v>
      </c>
      <c r="C1711" s="1" t="n">
        <v>45883</v>
      </c>
      <c r="D1711" t="inlineStr">
        <is>
          <t>GÄVLEBORGS LÄN</t>
        </is>
      </c>
      <c r="E1711" t="inlineStr">
        <is>
          <t>NORDANSTIG</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54704-2020</t>
        </is>
      </c>
      <c r="B1712" s="1" t="n">
        <v>44127</v>
      </c>
      <c r="C1712" s="1" t="n">
        <v>45883</v>
      </c>
      <c r="D1712" t="inlineStr">
        <is>
          <t>GÄVLEBORGS LÄN</t>
        </is>
      </c>
      <c r="E1712" t="inlineStr">
        <is>
          <t>BOLLNÄS</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32018-2021</t>
        </is>
      </c>
      <c r="B1713" s="1" t="n">
        <v>44370.63998842592</v>
      </c>
      <c r="C1713" s="1" t="n">
        <v>45883</v>
      </c>
      <c r="D1713" t="inlineStr">
        <is>
          <t>GÄVLEBORGS LÄN</t>
        </is>
      </c>
      <c r="E1713" t="inlineStr">
        <is>
          <t>GÄVLE</t>
        </is>
      </c>
      <c r="F1713" t="inlineStr">
        <is>
          <t>Bergvik skog öst AB</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13740-2022</t>
        </is>
      </c>
      <c r="B1714" s="1" t="n">
        <v>44649.38474537037</v>
      </c>
      <c r="C1714" s="1" t="n">
        <v>45883</v>
      </c>
      <c r="D1714" t="inlineStr">
        <is>
          <t>GÄVLEBORGS LÄN</t>
        </is>
      </c>
      <c r="E1714" t="inlineStr">
        <is>
          <t>HUDIKSVALL</t>
        </is>
      </c>
      <c r="G1714" t="n">
        <v>5</v>
      </c>
      <c r="H1714" t="n">
        <v>0</v>
      </c>
      <c r="I1714" t="n">
        <v>0</v>
      </c>
      <c r="J1714" t="n">
        <v>0</v>
      </c>
      <c r="K1714" t="n">
        <v>0</v>
      </c>
      <c r="L1714" t="n">
        <v>0</v>
      </c>
      <c r="M1714" t="n">
        <v>0</v>
      </c>
      <c r="N1714" t="n">
        <v>0</v>
      </c>
      <c r="O1714" t="n">
        <v>0</v>
      </c>
      <c r="P1714" t="n">
        <v>0</v>
      </c>
      <c r="Q1714" t="n">
        <v>0</v>
      </c>
      <c r="R1714" s="2" t="inlineStr"/>
    </row>
    <row r="1715" ht="15" customHeight="1">
      <c r="A1715" t="inlineStr">
        <is>
          <t>A 11706-2022</t>
        </is>
      </c>
      <c r="B1715" s="1" t="n">
        <v>44634.41484953704</v>
      </c>
      <c r="C1715" s="1" t="n">
        <v>45883</v>
      </c>
      <c r="D1715" t="inlineStr">
        <is>
          <t>GÄVLEBORGS LÄN</t>
        </is>
      </c>
      <c r="E1715" t="inlineStr">
        <is>
          <t>NORDANSTIG</t>
        </is>
      </c>
      <c r="F1715" t="inlineStr">
        <is>
          <t>Holmen skog AB</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29454-2021</t>
        </is>
      </c>
      <c r="B1716" s="1" t="n">
        <v>44361</v>
      </c>
      <c r="C1716" s="1" t="n">
        <v>45883</v>
      </c>
      <c r="D1716" t="inlineStr">
        <is>
          <t>GÄVLEBORGS LÄN</t>
        </is>
      </c>
      <c r="E1716" t="inlineStr">
        <is>
          <t>HUDIKSVALL</t>
        </is>
      </c>
      <c r="F1716" t="inlineStr">
        <is>
          <t>Holmen skog AB</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26076-2023</t>
        </is>
      </c>
      <c r="B1717" s="1" t="n">
        <v>45091.37141203704</v>
      </c>
      <c r="C1717" s="1" t="n">
        <v>45883</v>
      </c>
      <c r="D1717" t="inlineStr">
        <is>
          <t>GÄVLEBORGS LÄN</t>
        </is>
      </c>
      <c r="E1717" t="inlineStr">
        <is>
          <t>OVANÅKER</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6025-2022</t>
        </is>
      </c>
      <c r="B1718" s="1" t="n">
        <v>44599</v>
      </c>
      <c r="C1718" s="1" t="n">
        <v>45883</v>
      </c>
      <c r="D1718" t="inlineStr">
        <is>
          <t>GÄVLEBORGS LÄN</t>
        </is>
      </c>
      <c r="E1718" t="inlineStr">
        <is>
          <t>GÄVLE</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48151-2021</t>
        </is>
      </c>
      <c r="B1719" s="1" t="n">
        <v>44449</v>
      </c>
      <c r="C1719" s="1" t="n">
        <v>45883</v>
      </c>
      <c r="D1719" t="inlineStr">
        <is>
          <t>GÄVLEBORGS LÄN</t>
        </is>
      </c>
      <c r="E1719" t="inlineStr">
        <is>
          <t>OVANÅKER</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42979-2023</t>
        </is>
      </c>
      <c r="B1720" s="1" t="n">
        <v>45182.60753472222</v>
      </c>
      <c r="C1720" s="1" t="n">
        <v>45883</v>
      </c>
      <c r="D1720" t="inlineStr">
        <is>
          <t>GÄVLEBORGS LÄN</t>
        </is>
      </c>
      <c r="E1720" t="inlineStr">
        <is>
          <t>LJUSDAL</t>
        </is>
      </c>
      <c r="G1720" t="n">
        <v>13.2</v>
      </c>
      <c r="H1720" t="n">
        <v>0</v>
      </c>
      <c r="I1720" t="n">
        <v>0</v>
      </c>
      <c r="J1720" t="n">
        <v>0</v>
      </c>
      <c r="K1720" t="n">
        <v>0</v>
      </c>
      <c r="L1720" t="n">
        <v>0</v>
      </c>
      <c r="M1720" t="n">
        <v>0</v>
      </c>
      <c r="N1720" t="n">
        <v>0</v>
      </c>
      <c r="O1720" t="n">
        <v>0</v>
      </c>
      <c r="P1720" t="n">
        <v>0</v>
      </c>
      <c r="Q1720" t="n">
        <v>0</v>
      </c>
      <c r="R1720" s="2" t="inlineStr"/>
    </row>
    <row r="1721" ht="15" customHeight="1">
      <c r="A1721" t="inlineStr">
        <is>
          <t>A 31848-2021</t>
        </is>
      </c>
      <c r="B1721" s="1" t="n">
        <v>44370</v>
      </c>
      <c r="C1721" s="1" t="n">
        <v>45883</v>
      </c>
      <c r="D1721" t="inlineStr">
        <is>
          <t>GÄVLEBORGS LÄN</t>
        </is>
      </c>
      <c r="E1721" t="inlineStr">
        <is>
          <t>BOLLNÄS</t>
        </is>
      </c>
      <c r="F1721" t="inlineStr">
        <is>
          <t>Bergvik skog väst AB</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43397-2020</t>
        </is>
      </c>
      <c r="B1722" s="1" t="n">
        <v>44077</v>
      </c>
      <c r="C1722" s="1" t="n">
        <v>45883</v>
      </c>
      <c r="D1722" t="inlineStr">
        <is>
          <t>GÄVLEBORGS LÄN</t>
        </is>
      </c>
      <c r="E1722" t="inlineStr">
        <is>
          <t>HUDIKSVALL</t>
        </is>
      </c>
      <c r="G1722" t="n">
        <v>8</v>
      </c>
      <c r="H1722" t="n">
        <v>0</v>
      </c>
      <c r="I1722" t="n">
        <v>0</v>
      </c>
      <c r="J1722" t="n">
        <v>0</v>
      </c>
      <c r="K1722" t="n">
        <v>0</v>
      </c>
      <c r="L1722" t="n">
        <v>0</v>
      </c>
      <c r="M1722" t="n">
        <v>0</v>
      </c>
      <c r="N1722" t="n">
        <v>0</v>
      </c>
      <c r="O1722" t="n">
        <v>0</v>
      </c>
      <c r="P1722" t="n">
        <v>0</v>
      </c>
      <c r="Q1722" t="n">
        <v>0</v>
      </c>
      <c r="R1722" s="2" t="inlineStr"/>
    </row>
    <row r="1723" ht="15" customHeight="1">
      <c r="A1723" t="inlineStr">
        <is>
          <t>A 9482-2025</t>
        </is>
      </c>
      <c r="B1723" s="1" t="n">
        <v>45715.48484953704</v>
      </c>
      <c r="C1723" s="1" t="n">
        <v>45883</v>
      </c>
      <c r="D1723" t="inlineStr">
        <is>
          <t>GÄVLEBORGS LÄN</t>
        </is>
      </c>
      <c r="E1723" t="inlineStr">
        <is>
          <t>HUDIKSVALL</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5942-2025</t>
        </is>
      </c>
      <c r="B1724" s="1" t="n">
        <v>45695.46841435185</v>
      </c>
      <c r="C1724" s="1" t="n">
        <v>45883</v>
      </c>
      <c r="D1724" t="inlineStr">
        <is>
          <t>GÄVLEBORGS LÄN</t>
        </is>
      </c>
      <c r="E1724" t="inlineStr">
        <is>
          <t>HUDIKSVALL</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7538-2025</t>
        </is>
      </c>
      <c r="B1725" s="1" t="n">
        <v>45705.56700231481</v>
      </c>
      <c r="C1725" s="1" t="n">
        <v>45883</v>
      </c>
      <c r="D1725" t="inlineStr">
        <is>
          <t>GÄVLEBORGS LÄN</t>
        </is>
      </c>
      <c r="E1725" t="inlineStr">
        <is>
          <t>HUDIKSVALL</t>
        </is>
      </c>
      <c r="F1725" t="inlineStr">
        <is>
          <t>Holmen skog AB</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7557-2025</t>
        </is>
      </c>
      <c r="B1726" s="1" t="n">
        <v>45705.58114583333</v>
      </c>
      <c r="C1726" s="1" t="n">
        <v>45883</v>
      </c>
      <c r="D1726" t="inlineStr">
        <is>
          <t>GÄVLEBORGS LÄN</t>
        </is>
      </c>
      <c r="E1726" t="inlineStr">
        <is>
          <t>BOLLNÄS</t>
        </is>
      </c>
      <c r="G1726" t="n">
        <v>13.9</v>
      </c>
      <c r="H1726" t="n">
        <v>0</v>
      </c>
      <c r="I1726" t="n">
        <v>0</v>
      </c>
      <c r="J1726" t="n">
        <v>0</v>
      </c>
      <c r="K1726" t="n">
        <v>0</v>
      </c>
      <c r="L1726" t="n">
        <v>0</v>
      </c>
      <c r="M1726" t="n">
        <v>0</v>
      </c>
      <c r="N1726" t="n">
        <v>0</v>
      </c>
      <c r="O1726" t="n">
        <v>0</v>
      </c>
      <c r="P1726" t="n">
        <v>0</v>
      </c>
      <c r="Q1726" t="n">
        <v>0</v>
      </c>
      <c r="R1726" s="2" t="inlineStr"/>
    </row>
    <row r="1727" ht="15" customHeight="1">
      <c r="A1727" t="inlineStr">
        <is>
          <t>A 32579-2024</t>
        </is>
      </c>
      <c r="B1727" s="1" t="n">
        <v>45513</v>
      </c>
      <c r="C1727" s="1" t="n">
        <v>45883</v>
      </c>
      <c r="D1727" t="inlineStr">
        <is>
          <t>GÄVLEBORGS LÄN</t>
        </is>
      </c>
      <c r="E1727" t="inlineStr">
        <is>
          <t>LJUSDAL</t>
        </is>
      </c>
      <c r="F1727" t="inlineStr">
        <is>
          <t>Sveaskog</t>
        </is>
      </c>
      <c r="G1727" t="n">
        <v>33.7</v>
      </c>
      <c r="H1727" t="n">
        <v>0</v>
      </c>
      <c r="I1727" t="n">
        <v>0</v>
      </c>
      <c r="J1727" t="n">
        <v>0</v>
      </c>
      <c r="K1727" t="n">
        <v>0</v>
      </c>
      <c r="L1727" t="n">
        <v>0</v>
      </c>
      <c r="M1727" t="n">
        <v>0</v>
      </c>
      <c r="N1727" t="n">
        <v>0</v>
      </c>
      <c r="O1727" t="n">
        <v>0</v>
      </c>
      <c r="P1727" t="n">
        <v>0</v>
      </c>
      <c r="Q1727" t="n">
        <v>0</v>
      </c>
      <c r="R1727" s="2" t="inlineStr"/>
    </row>
    <row r="1728" ht="15" customHeight="1">
      <c r="A1728" t="inlineStr">
        <is>
          <t>A 19957-2025</t>
        </is>
      </c>
      <c r="B1728" s="1" t="n">
        <v>45771.66318287037</v>
      </c>
      <c r="C1728" s="1" t="n">
        <v>45883</v>
      </c>
      <c r="D1728" t="inlineStr">
        <is>
          <t>GÄVLEBORGS LÄN</t>
        </is>
      </c>
      <c r="E1728" t="inlineStr">
        <is>
          <t>OVANÅKER</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32630-2024</t>
        </is>
      </c>
      <c r="B1729" s="1" t="n">
        <v>45513.84513888889</v>
      </c>
      <c r="C1729" s="1" t="n">
        <v>45883</v>
      </c>
      <c r="D1729" t="inlineStr">
        <is>
          <t>GÄVLEBORGS LÄN</t>
        </is>
      </c>
      <c r="E1729" t="inlineStr">
        <is>
          <t>HUDIKSVALL</t>
        </is>
      </c>
      <c r="F1729" t="inlineStr">
        <is>
          <t>Holmen skog AB</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51798-2023</t>
        </is>
      </c>
      <c r="B1730" s="1" t="n">
        <v>45222</v>
      </c>
      <c r="C1730" s="1" t="n">
        <v>45883</v>
      </c>
      <c r="D1730" t="inlineStr">
        <is>
          <t>GÄVLEBORGS LÄN</t>
        </is>
      </c>
      <c r="E1730" t="inlineStr">
        <is>
          <t>LJUSDAL</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51983-2020</t>
        </is>
      </c>
      <c r="B1731" s="1" t="n">
        <v>44116.62378472222</v>
      </c>
      <c r="C1731" s="1" t="n">
        <v>45883</v>
      </c>
      <c r="D1731" t="inlineStr">
        <is>
          <t>GÄVLEBORGS LÄN</t>
        </is>
      </c>
      <c r="E1731" t="inlineStr">
        <is>
          <t>OVANÅKER</t>
        </is>
      </c>
      <c r="G1731" t="n">
        <v>26.7</v>
      </c>
      <c r="H1731" t="n">
        <v>0</v>
      </c>
      <c r="I1731" t="n">
        <v>0</v>
      </c>
      <c r="J1731" t="n">
        <v>0</v>
      </c>
      <c r="K1731" t="n">
        <v>0</v>
      </c>
      <c r="L1731" t="n">
        <v>0</v>
      </c>
      <c r="M1731" t="n">
        <v>0</v>
      </c>
      <c r="N1731" t="n">
        <v>0</v>
      </c>
      <c r="O1731" t="n">
        <v>0</v>
      </c>
      <c r="P1731" t="n">
        <v>0</v>
      </c>
      <c r="Q1731" t="n">
        <v>0</v>
      </c>
      <c r="R1731" s="2" t="inlineStr"/>
    </row>
    <row r="1732" ht="15" customHeight="1">
      <c r="A1732" t="inlineStr">
        <is>
          <t>A 44084-2023</t>
        </is>
      </c>
      <c r="B1732" s="1" t="n">
        <v>45188.4264699074</v>
      </c>
      <c r="C1732" s="1" t="n">
        <v>45883</v>
      </c>
      <c r="D1732" t="inlineStr">
        <is>
          <t>GÄVLEBORGS LÄN</t>
        </is>
      </c>
      <c r="E1732" t="inlineStr">
        <is>
          <t>HUDIKSVALL</t>
        </is>
      </c>
      <c r="F1732" t="inlineStr">
        <is>
          <t>Holmen skog AB</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44101-2023</t>
        </is>
      </c>
      <c r="B1733" s="1" t="n">
        <v>45188.43148148148</v>
      </c>
      <c r="C1733" s="1" t="n">
        <v>45883</v>
      </c>
      <c r="D1733" t="inlineStr">
        <is>
          <t>GÄVLEBORGS LÄN</t>
        </is>
      </c>
      <c r="E1733" t="inlineStr">
        <is>
          <t>SANDVIKEN</t>
        </is>
      </c>
      <c r="F1733" t="inlineStr">
        <is>
          <t>Bergvik skog öst AB</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3871-2024</t>
        </is>
      </c>
      <c r="B1734" s="1" t="n">
        <v>45322</v>
      </c>
      <c r="C1734" s="1" t="n">
        <v>45883</v>
      </c>
      <c r="D1734" t="inlineStr">
        <is>
          <t>GÄVLEBORGS LÄN</t>
        </is>
      </c>
      <c r="E1734" t="inlineStr">
        <is>
          <t>OVANÅKER</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38122-2024</t>
        </is>
      </c>
      <c r="B1735" s="1" t="n">
        <v>45545</v>
      </c>
      <c r="C1735" s="1" t="n">
        <v>45883</v>
      </c>
      <c r="D1735" t="inlineStr">
        <is>
          <t>GÄVLEBORGS LÄN</t>
        </is>
      </c>
      <c r="E1735" t="inlineStr">
        <is>
          <t>BOLLNÄS</t>
        </is>
      </c>
      <c r="F1735" t="inlineStr">
        <is>
          <t>Bergvik skog väst AB</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4511-2024</t>
        </is>
      </c>
      <c r="B1736" s="1" t="n">
        <v>45327.6296412037</v>
      </c>
      <c r="C1736" s="1" t="n">
        <v>45883</v>
      </c>
      <c r="D1736" t="inlineStr">
        <is>
          <t>GÄVLEBORGS LÄN</t>
        </is>
      </c>
      <c r="E1736" t="inlineStr">
        <is>
          <t>SANDVIKEN</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49305-2023</t>
        </is>
      </c>
      <c r="B1737" s="1" t="n">
        <v>45210</v>
      </c>
      <c r="C1737" s="1" t="n">
        <v>45883</v>
      </c>
      <c r="D1737" t="inlineStr">
        <is>
          <t>GÄVLEBORGS LÄN</t>
        </is>
      </c>
      <c r="E1737" t="inlineStr">
        <is>
          <t>SÖDERHAMN</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49306-2023</t>
        </is>
      </c>
      <c r="B1738" s="1" t="n">
        <v>45210</v>
      </c>
      <c r="C1738" s="1" t="n">
        <v>45883</v>
      </c>
      <c r="D1738" t="inlineStr">
        <is>
          <t>GÄVLEBORGS LÄN</t>
        </is>
      </c>
      <c r="E1738" t="inlineStr">
        <is>
          <t>SÖDERHAMN</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10333-2025</t>
        </is>
      </c>
      <c r="B1739" s="1" t="n">
        <v>45720.48692129629</v>
      </c>
      <c r="C1739" s="1" t="n">
        <v>45883</v>
      </c>
      <c r="D1739" t="inlineStr">
        <is>
          <t>GÄVLEBORGS LÄN</t>
        </is>
      </c>
      <c r="E1739" t="inlineStr">
        <is>
          <t>GÄVLE</t>
        </is>
      </c>
      <c r="F1739" t="inlineStr">
        <is>
          <t>Bergvik skog öst AB</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40148-2022</t>
        </is>
      </c>
      <c r="B1740" s="1" t="n">
        <v>44820.55082175926</v>
      </c>
      <c r="C1740" s="1" t="n">
        <v>45883</v>
      </c>
      <c r="D1740" t="inlineStr">
        <is>
          <t>GÄVLEBORGS LÄN</t>
        </is>
      </c>
      <c r="E1740" t="inlineStr">
        <is>
          <t>SÖDERHAMN</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43538-2023</t>
        </is>
      </c>
      <c r="B1741" s="1" t="n">
        <v>45184</v>
      </c>
      <c r="C1741" s="1" t="n">
        <v>45883</v>
      </c>
      <c r="D1741" t="inlineStr">
        <is>
          <t>GÄVLEBORGS LÄN</t>
        </is>
      </c>
      <c r="E1741" t="inlineStr">
        <is>
          <t>OCKELBO</t>
        </is>
      </c>
      <c r="F1741" t="inlineStr">
        <is>
          <t>Bergvik skog väst AB</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54967-2020</t>
        </is>
      </c>
      <c r="B1742" s="1" t="n">
        <v>44123</v>
      </c>
      <c r="C1742" s="1" t="n">
        <v>45883</v>
      </c>
      <c r="D1742" t="inlineStr">
        <is>
          <t>GÄVLEBORGS LÄN</t>
        </is>
      </c>
      <c r="E1742" t="inlineStr">
        <is>
          <t>SÖDERHAMN</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2889-2025</t>
        </is>
      </c>
      <c r="B1743" s="1" t="n">
        <v>45677.72552083333</v>
      </c>
      <c r="C1743" s="1" t="n">
        <v>45883</v>
      </c>
      <c r="D1743" t="inlineStr">
        <is>
          <t>GÄVLEBORGS LÄN</t>
        </is>
      </c>
      <c r="E1743" t="inlineStr">
        <is>
          <t>HUDIKSVALL</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4255-2024</t>
        </is>
      </c>
      <c r="B1744" s="1" t="n">
        <v>45324.48376157408</v>
      </c>
      <c r="C1744" s="1" t="n">
        <v>45883</v>
      </c>
      <c r="D1744" t="inlineStr">
        <is>
          <t>GÄVLEBORGS LÄN</t>
        </is>
      </c>
      <c r="E1744" t="inlineStr">
        <is>
          <t>NORDANSTIG</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57815-2023</t>
        </is>
      </c>
      <c r="B1745" s="1" t="n">
        <v>45247.34409722222</v>
      </c>
      <c r="C1745" s="1" t="n">
        <v>45883</v>
      </c>
      <c r="D1745" t="inlineStr">
        <is>
          <t>GÄVLEBORGS LÄN</t>
        </is>
      </c>
      <c r="E1745" t="inlineStr">
        <is>
          <t>HUDIKSVALL</t>
        </is>
      </c>
      <c r="F1745" t="inlineStr">
        <is>
          <t>Holmen skog AB</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1193-2025</t>
        </is>
      </c>
      <c r="B1746" s="1" t="n">
        <v>45667.37422453704</v>
      </c>
      <c r="C1746" s="1" t="n">
        <v>45883</v>
      </c>
      <c r="D1746" t="inlineStr">
        <is>
          <t>GÄVLEBORGS LÄN</t>
        </is>
      </c>
      <c r="E1746" t="inlineStr">
        <is>
          <t>OVANÅKER</t>
        </is>
      </c>
      <c r="F1746" t="inlineStr">
        <is>
          <t>Bergvik skog väst AB</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1222-2025</t>
        </is>
      </c>
      <c r="B1747" s="1" t="n">
        <v>45667</v>
      </c>
      <c r="C1747" s="1" t="n">
        <v>45883</v>
      </c>
      <c r="D1747" t="inlineStr">
        <is>
          <t>GÄVLEBORGS LÄN</t>
        </is>
      </c>
      <c r="E1747" t="inlineStr">
        <is>
          <t>LJUSDAL</t>
        </is>
      </c>
      <c r="F1747" t="inlineStr">
        <is>
          <t>Bergvik skog väst AB</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970-2025</t>
        </is>
      </c>
      <c r="B1748" s="1" t="n">
        <v>45666.39425925926</v>
      </c>
      <c r="C1748" s="1" t="n">
        <v>45883</v>
      </c>
      <c r="D1748" t="inlineStr">
        <is>
          <t>GÄVLEBORGS LÄN</t>
        </is>
      </c>
      <c r="E1748" t="inlineStr">
        <is>
          <t>SANDVIKEN</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2662-2025</t>
        </is>
      </c>
      <c r="B1749" s="1" t="n">
        <v>45676.87431712963</v>
      </c>
      <c r="C1749" s="1" t="n">
        <v>45883</v>
      </c>
      <c r="D1749" t="inlineStr">
        <is>
          <t>GÄVLEBORGS LÄN</t>
        </is>
      </c>
      <c r="E1749" t="inlineStr">
        <is>
          <t>HUDIKSVALL</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2666-2025</t>
        </is>
      </c>
      <c r="B1750" s="1" t="n">
        <v>45677.27112268518</v>
      </c>
      <c r="C1750" s="1" t="n">
        <v>45883</v>
      </c>
      <c r="D1750" t="inlineStr">
        <is>
          <t>GÄVLEBORGS LÄN</t>
        </is>
      </c>
      <c r="E1750" t="inlineStr">
        <is>
          <t>BOLLNÄS</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57891-2023</t>
        </is>
      </c>
      <c r="B1751" s="1" t="n">
        <v>45247.48177083334</v>
      </c>
      <c r="C1751" s="1" t="n">
        <v>45883</v>
      </c>
      <c r="D1751" t="inlineStr">
        <is>
          <t>GÄVLEBORGS LÄN</t>
        </is>
      </c>
      <c r="E1751" t="inlineStr">
        <is>
          <t>HUDIKSVALL</t>
        </is>
      </c>
      <c r="F1751" t="inlineStr">
        <is>
          <t>Holmen skog AB</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50567-2022</t>
        </is>
      </c>
      <c r="B1752" s="1" t="n">
        <v>44866.63675925926</v>
      </c>
      <c r="C1752" s="1" t="n">
        <v>45883</v>
      </c>
      <c r="D1752" t="inlineStr">
        <is>
          <t>GÄVLEBORGS LÄN</t>
        </is>
      </c>
      <c r="E1752" t="inlineStr">
        <is>
          <t>LJUSDAL</t>
        </is>
      </c>
      <c r="F1752" t="inlineStr">
        <is>
          <t>Holmen skog AB</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15353-2025</t>
        </is>
      </c>
      <c r="B1753" s="1" t="n">
        <v>45747.38574074074</v>
      </c>
      <c r="C1753" s="1" t="n">
        <v>45883</v>
      </c>
      <c r="D1753" t="inlineStr">
        <is>
          <t>GÄVLEBORGS LÄN</t>
        </is>
      </c>
      <c r="E1753" t="inlineStr">
        <is>
          <t>BOLLNÄS</t>
        </is>
      </c>
      <c r="G1753" t="n">
        <v>5.1</v>
      </c>
      <c r="H1753" t="n">
        <v>0</v>
      </c>
      <c r="I1753" t="n">
        <v>0</v>
      </c>
      <c r="J1753" t="n">
        <v>0</v>
      </c>
      <c r="K1753" t="n">
        <v>0</v>
      </c>
      <c r="L1753" t="n">
        <v>0</v>
      </c>
      <c r="M1753" t="n">
        <v>0</v>
      </c>
      <c r="N1753" t="n">
        <v>0</v>
      </c>
      <c r="O1753" t="n">
        <v>0</v>
      </c>
      <c r="P1753" t="n">
        <v>0</v>
      </c>
      <c r="Q1753" t="n">
        <v>0</v>
      </c>
      <c r="R1753" s="2" t="inlineStr"/>
    </row>
    <row r="1754" ht="15" customHeight="1">
      <c r="A1754" t="inlineStr">
        <is>
          <t>A 6175-2025</t>
        </is>
      </c>
      <c r="B1754" s="1" t="n">
        <v>45698.44600694445</v>
      </c>
      <c r="C1754" s="1" t="n">
        <v>45883</v>
      </c>
      <c r="D1754" t="inlineStr">
        <is>
          <t>GÄVLEBORGS LÄN</t>
        </is>
      </c>
      <c r="E1754" t="inlineStr">
        <is>
          <t>SÖDERHAMN</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44256-2021</t>
        </is>
      </c>
      <c r="B1755" s="1" t="n">
        <v>44435.24907407408</v>
      </c>
      <c r="C1755" s="1" t="n">
        <v>45883</v>
      </c>
      <c r="D1755" t="inlineStr">
        <is>
          <t>GÄVLEBORGS LÄN</t>
        </is>
      </c>
      <c r="E1755" t="inlineStr">
        <is>
          <t>LJUSDAL</t>
        </is>
      </c>
      <c r="F1755" t="inlineStr">
        <is>
          <t>Sveaskog</t>
        </is>
      </c>
      <c r="G1755" t="n">
        <v>6.1</v>
      </c>
      <c r="H1755" t="n">
        <v>0</v>
      </c>
      <c r="I1755" t="n">
        <v>0</v>
      </c>
      <c r="J1755" t="n">
        <v>0</v>
      </c>
      <c r="K1755" t="n">
        <v>0</v>
      </c>
      <c r="L1755" t="n">
        <v>0</v>
      </c>
      <c r="M1755" t="n">
        <v>0</v>
      </c>
      <c r="N1755" t="n">
        <v>0</v>
      </c>
      <c r="O1755" t="n">
        <v>0</v>
      </c>
      <c r="P1755" t="n">
        <v>0</v>
      </c>
      <c r="Q1755" t="n">
        <v>0</v>
      </c>
      <c r="R1755" s="2" t="inlineStr"/>
    </row>
    <row r="1756" ht="15" customHeight="1">
      <c r="A1756" t="inlineStr">
        <is>
          <t>A 8732-2023</t>
        </is>
      </c>
      <c r="B1756" s="1" t="n">
        <v>44978</v>
      </c>
      <c r="C1756" s="1" t="n">
        <v>45883</v>
      </c>
      <c r="D1756" t="inlineStr">
        <is>
          <t>GÄVLEBORGS LÄN</t>
        </is>
      </c>
      <c r="E1756" t="inlineStr">
        <is>
          <t>HUDIKSVALL</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26336-2022</t>
        </is>
      </c>
      <c r="B1757" s="1" t="n">
        <v>44735.61905092592</v>
      </c>
      <c r="C1757" s="1" t="n">
        <v>45883</v>
      </c>
      <c r="D1757" t="inlineStr">
        <is>
          <t>GÄVLEBORGS LÄN</t>
        </is>
      </c>
      <c r="E1757" t="inlineStr">
        <is>
          <t>GÄVLE</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7461-2025</t>
        </is>
      </c>
      <c r="B1758" s="1" t="n">
        <v>45705.4404050926</v>
      </c>
      <c r="C1758" s="1" t="n">
        <v>45883</v>
      </c>
      <c r="D1758" t="inlineStr">
        <is>
          <t>GÄVLEBORGS LÄN</t>
        </is>
      </c>
      <c r="E1758" t="inlineStr">
        <is>
          <t>LJUSDAL</t>
        </is>
      </c>
      <c r="G1758" t="n">
        <v>26.4</v>
      </c>
      <c r="H1758" t="n">
        <v>0</v>
      </c>
      <c r="I1758" t="n">
        <v>0</v>
      </c>
      <c r="J1758" t="n">
        <v>0</v>
      </c>
      <c r="K1758" t="n">
        <v>0</v>
      </c>
      <c r="L1758" t="n">
        <v>0</v>
      </c>
      <c r="M1758" t="n">
        <v>0</v>
      </c>
      <c r="N1758" t="n">
        <v>0</v>
      </c>
      <c r="O1758" t="n">
        <v>0</v>
      </c>
      <c r="P1758" t="n">
        <v>0</v>
      </c>
      <c r="Q1758" t="n">
        <v>0</v>
      </c>
      <c r="R1758" s="2" t="inlineStr"/>
    </row>
    <row r="1759" ht="15" customHeight="1">
      <c r="A1759" t="inlineStr">
        <is>
          <t>A 43936-2022</t>
        </is>
      </c>
      <c r="B1759" s="1" t="n">
        <v>44838</v>
      </c>
      <c r="C1759" s="1" t="n">
        <v>45883</v>
      </c>
      <c r="D1759" t="inlineStr">
        <is>
          <t>GÄVLEBORGS LÄN</t>
        </is>
      </c>
      <c r="E1759" t="inlineStr">
        <is>
          <t>SÖDERHAMN</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7473-2025</t>
        </is>
      </c>
      <c r="B1760" s="1" t="n">
        <v>45702</v>
      </c>
      <c r="C1760" s="1" t="n">
        <v>45883</v>
      </c>
      <c r="D1760" t="inlineStr">
        <is>
          <t>GÄVLEBORGS LÄN</t>
        </is>
      </c>
      <c r="E1760" t="inlineStr">
        <is>
          <t>HUDIKSVALL</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7533-2025</t>
        </is>
      </c>
      <c r="B1761" s="1" t="n">
        <v>45705.5609375</v>
      </c>
      <c r="C1761" s="1" t="n">
        <v>45883</v>
      </c>
      <c r="D1761" t="inlineStr">
        <is>
          <t>GÄVLEBORGS LÄN</t>
        </is>
      </c>
      <c r="E1761" t="inlineStr">
        <is>
          <t>SÖDERHAMN</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32002-2024</t>
        </is>
      </c>
      <c r="B1762" s="1" t="n">
        <v>45510.60306712963</v>
      </c>
      <c r="C1762" s="1" t="n">
        <v>45883</v>
      </c>
      <c r="D1762" t="inlineStr">
        <is>
          <t>GÄVLEBORGS LÄN</t>
        </is>
      </c>
      <c r="E1762" t="inlineStr">
        <is>
          <t>SANDVIKEN</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21772-2023</t>
        </is>
      </c>
      <c r="B1763" s="1" t="n">
        <v>45065.9262962963</v>
      </c>
      <c r="C1763" s="1" t="n">
        <v>45883</v>
      </c>
      <c r="D1763" t="inlineStr">
        <is>
          <t>GÄVLEBORGS LÄN</t>
        </is>
      </c>
      <c r="E1763" t="inlineStr">
        <is>
          <t>HUDIKSVALL</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48718-2021</t>
        </is>
      </c>
      <c r="B1764" s="1" t="n">
        <v>44452</v>
      </c>
      <c r="C1764" s="1" t="n">
        <v>45883</v>
      </c>
      <c r="D1764" t="inlineStr">
        <is>
          <t>GÄVLEBORGS LÄN</t>
        </is>
      </c>
      <c r="E1764" t="inlineStr">
        <is>
          <t>BOLLNÄS</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61760-2020</t>
        </is>
      </c>
      <c r="B1765" s="1" t="n">
        <v>44158</v>
      </c>
      <c r="C1765" s="1" t="n">
        <v>45883</v>
      </c>
      <c r="D1765" t="inlineStr">
        <is>
          <t>GÄVLEBORGS LÄN</t>
        </is>
      </c>
      <c r="E1765" t="inlineStr">
        <is>
          <t>SANDVIKEN</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34964-2021</t>
        </is>
      </c>
      <c r="B1766" s="1" t="n">
        <v>44383.60237268519</v>
      </c>
      <c r="C1766" s="1" t="n">
        <v>45883</v>
      </c>
      <c r="D1766" t="inlineStr">
        <is>
          <t>GÄVLEBORGS LÄN</t>
        </is>
      </c>
      <c r="E1766" t="inlineStr">
        <is>
          <t>HUDIKSVALL</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58122-2020</t>
        </is>
      </c>
      <c r="B1767" s="1" t="n">
        <v>44144</v>
      </c>
      <c r="C1767" s="1" t="n">
        <v>45883</v>
      </c>
      <c r="D1767" t="inlineStr">
        <is>
          <t>GÄVLEBORGS LÄN</t>
        </is>
      </c>
      <c r="E1767" t="inlineStr">
        <is>
          <t>LJUSDAL</t>
        </is>
      </c>
      <c r="F1767" t="inlineStr">
        <is>
          <t>Bergvik skog väst AB</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19442-2021</t>
        </is>
      </c>
      <c r="B1768" s="1" t="n">
        <v>44310</v>
      </c>
      <c r="C1768" s="1" t="n">
        <v>45883</v>
      </c>
      <c r="D1768" t="inlineStr">
        <is>
          <t>GÄVLEBORGS LÄN</t>
        </is>
      </c>
      <c r="E1768" t="inlineStr">
        <is>
          <t>OVANÅKER</t>
        </is>
      </c>
      <c r="F1768" t="inlineStr">
        <is>
          <t>Bergvik skog väst AB</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33559-2022</t>
        </is>
      </c>
      <c r="B1769" s="1" t="n">
        <v>44789</v>
      </c>
      <c r="C1769" s="1" t="n">
        <v>45883</v>
      </c>
      <c r="D1769" t="inlineStr">
        <is>
          <t>GÄVLEBORGS LÄN</t>
        </is>
      </c>
      <c r="E1769" t="inlineStr">
        <is>
          <t>NORDANSTIG</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41622-2021</t>
        </is>
      </c>
      <c r="B1770" s="1" t="n">
        <v>44425</v>
      </c>
      <c r="C1770" s="1" t="n">
        <v>45883</v>
      </c>
      <c r="D1770" t="inlineStr">
        <is>
          <t>GÄVLEBORGS LÄN</t>
        </is>
      </c>
      <c r="E1770" t="inlineStr">
        <is>
          <t>OCKELBO</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51708-2021</t>
        </is>
      </c>
      <c r="B1771" s="1" t="n">
        <v>44462</v>
      </c>
      <c r="C1771" s="1" t="n">
        <v>45883</v>
      </c>
      <c r="D1771" t="inlineStr">
        <is>
          <t>GÄVLEBORGS LÄN</t>
        </is>
      </c>
      <c r="E1771" t="inlineStr">
        <is>
          <t>OCKELBO</t>
        </is>
      </c>
      <c r="F1771" t="inlineStr">
        <is>
          <t>Bergvik skog väst AB</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30798-2022</t>
        </is>
      </c>
      <c r="B1772" s="1" t="n">
        <v>44764.71993055556</v>
      </c>
      <c r="C1772" s="1" t="n">
        <v>45883</v>
      </c>
      <c r="D1772" t="inlineStr">
        <is>
          <t>GÄVLEBORGS LÄN</t>
        </is>
      </c>
      <c r="E1772" t="inlineStr">
        <is>
          <t>SANDVIKEN</t>
        </is>
      </c>
      <c r="F1772" t="inlineStr">
        <is>
          <t>Sveaskog</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30816-2022</t>
        </is>
      </c>
      <c r="B1773" s="1" t="n">
        <v>44765.52364583333</v>
      </c>
      <c r="C1773" s="1" t="n">
        <v>45883</v>
      </c>
      <c r="D1773" t="inlineStr">
        <is>
          <t>GÄVLEBORGS LÄN</t>
        </is>
      </c>
      <c r="E1773" t="inlineStr">
        <is>
          <t>NORDANSTIG</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18638-2023</t>
        </is>
      </c>
      <c r="B1774" s="1" t="n">
        <v>45043.49929398148</v>
      </c>
      <c r="C1774" s="1" t="n">
        <v>45883</v>
      </c>
      <c r="D1774" t="inlineStr">
        <is>
          <t>GÄVLEBORGS LÄN</t>
        </is>
      </c>
      <c r="E1774" t="inlineStr">
        <is>
          <t>NORDANSTIG</t>
        </is>
      </c>
      <c r="G1774" t="n">
        <v>11.3</v>
      </c>
      <c r="H1774" t="n">
        <v>0</v>
      </c>
      <c r="I1774" t="n">
        <v>0</v>
      </c>
      <c r="J1774" t="n">
        <v>0</v>
      </c>
      <c r="K1774" t="n">
        <v>0</v>
      </c>
      <c r="L1774" t="n">
        <v>0</v>
      </c>
      <c r="M1774" t="n">
        <v>0</v>
      </c>
      <c r="N1774" t="n">
        <v>0</v>
      </c>
      <c r="O1774" t="n">
        <v>0</v>
      </c>
      <c r="P1774" t="n">
        <v>0</v>
      </c>
      <c r="Q1774" t="n">
        <v>0</v>
      </c>
      <c r="R1774" s="2" t="inlineStr"/>
    </row>
    <row r="1775" ht="15" customHeight="1">
      <c r="A1775" t="inlineStr">
        <is>
          <t>A 9391-2025</t>
        </is>
      </c>
      <c r="B1775" s="1" t="n">
        <v>45715.35465277778</v>
      </c>
      <c r="C1775" s="1" t="n">
        <v>45883</v>
      </c>
      <c r="D1775" t="inlineStr">
        <is>
          <t>GÄVLEBORGS LÄN</t>
        </is>
      </c>
      <c r="E1775" t="inlineStr">
        <is>
          <t>GÄVLE</t>
        </is>
      </c>
      <c r="F1775" t="inlineStr">
        <is>
          <t>Bergvik skog öst AB</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9419-2025</t>
        </is>
      </c>
      <c r="B1776" s="1" t="n">
        <v>45715.39568287037</v>
      </c>
      <c r="C1776" s="1" t="n">
        <v>45883</v>
      </c>
      <c r="D1776" t="inlineStr">
        <is>
          <t>GÄVLEBORGS LÄN</t>
        </is>
      </c>
      <c r="E1776" t="inlineStr">
        <is>
          <t>GÄVLE</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9422-2025</t>
        </is>
      </c>
      <c r="B1777" s="1" t="n">
        <v>45715.39962962963</v>
      </c>
      <c r="C1777" s="1" t="n">
        <v>45883</v>
      </c>
      <c r="D1777" t="inlineStr">
        <is>
          <t>GÄVLEBORGS LÄN</t>
        </is>
      </c>
      <c r="E1777" t="inlineStr">
        <is>
          <t>GÄVLE</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60249-2020</t>
        </is>
      </c>
      <c r="B1778" s="1" t="n">
        <v>44152</v>
      </c>
      <c r="C1778" s="1" t="n">
        <v>45883</v>
      </c>
      <c r="D1778" t="inlineStr">
        <is>
          <t>GÄVLEBORGS LÄN</t>
        </is>
      </c>
      <c r="E1778" t="inlineStr">
        <is>
          <t>GÄVLE</t>
        </is>
      </c>
      <c r="F1778" t="inlineStr">
        <is>
          <t>Bergvik skog öst AB</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43578-2022</t>
        </is>
      </c>
      <c r="B1779" s="1" t="n">
        <v>44837.45850694444</v>
      </c>
      <c r="C1779" s="1" t="n">
        <v>45883</v>
      </c>
      <c r="D1779" t="inlineStr">
        <is>
          <t>GÄVLEBORGS LÄN</t>
        </is>
      </c>
      <c r="E1779" t="inlineStr">
        <is>
          <t>HUDIKSVALL</t>
        </is>
      </c>
      <c r="F1779" t="inlineStr">
        <is>
          <t>Holmen skog AB</t>
        </is>
      </c>
      <c r="G1779" t="n">
        <v>8.1</v>
      </c>
      <c r="H1779" t="n">
        <v>0</v>
      </c>
      <c r="I1779" t="n">
        <v>0</v>
      </c>
      <c r="J1779" t="n">
        <v>0</v>
      </c>
      <c r="K1779" t="n">
        <v>0</v>
      </c>
      <c r="L1779" t="n">
        <v>0</v>
      </c>
      <c r="M1779" t="n">
        <v>0</v>
      </c>
      <c r="N1779" t="n">
        <v>0</v>
      </c>
      <c r="O1779" t="n">
        <v>0</v>
      </c>
      <c r="P1779" t="n">
        <v>0</v>
      </c>
      <c r="Q1779" t="n">
        <v>0</v>
      </c>
      <c r="R1779" s="2" t="inlineStr"/>
    </row>
    <row r="1780" ht="15" customHeight="1">
      <c r="A1780" t="inlineStr">
        <is>
          <t>A 42549-2024</t>
        </is>
      </c>
      <c r="B1780" s="1" t="n">
        <v>45565.60444444444</v>
      </c>
      <c r="C1780" s="1" t="n">
        <v>45883</v>
      </c>
      <c r="D1780" t="inlineStr">
        <is>
          <t>GÄVLEBORGS LÄN</t>
        </is>
      </c>
      <c r="E1780" t="inlineStr">
        <is>
          <t>SÖDERHAMN</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55409-2021</t>
        </is>
      </c>
      <c r="B1781" s="1" t="n">
        <v>44475</v>
      </c>
      <c r="C1781" s="1" t="n">
        <v>45883</v>
      </c>
      <c r="D1781" t="inlineStr">
        <is>
          <t>GÄVLEBORGS LÄN</t>
        </is>
      </c>
      <c r="E1781" t="inlineStr">
        <is>
          <t>LJUSDAL</t>
        </is>
      </c>
      <c r="F1781" t="inlineStr">
        <is>
          <t>Holmen skog AB</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18311-2023</t>
        </is>
      </c>
      <c r="B1782" s="1" t="n">
        <v>45041.59797453704</v>
      </c>
      <c r="C1782" s="1" t="n">
        <v>45883</v>
      </c>
      <c r="D1782" t="inlineStr">
        <is>
          <t>GÄVLEBORGS LÄN</t>
        </is>
      </c>
      <c r="E1782" t="inlineStr">
        <is>
          <t>BOLLNÄS</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17959-2021</t>
        </is>
      </c>
      <c r="B1783" s="1" t="n">
        <v>44301</v>
      </c>
      <c r="C1783" s="1" t="n">
        <v>45883</v>
      </c>
      <c r="D1783" t="inlineStr">
        <is>
          <t>GÄVLEBORGS LÄN</t>
        </is>
      </c>
      <c r="E1783" t="inlineStr">
        <is>
          <t>OVANÅKER</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32353-2024</t>
        </is>
      </c>
      <c r="B1784" s="1" t="n">
        <v>45512.54998842593</v>
      </c>
      <c r="C1784" s="1" t="n">
        <v>45883</v>
      </c>
      <c r="D1784" t="inlineStr">
        <is>
          <t>GÄVLEBORGS LÄN</t>
        </is>
      </c>
      <c r="E1784" t="inlineStr">
        <is>
          <t>HUDIKSVALL</t>
        </is>
      </c>
      <c r="F1784" t="inlineStr">
        <is>
          <t>Holmen skog AB</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61352-2021</t>
        </is>
      </c>
      <c r="B1785" s="1" t="n">
        <v>44498.84503472222</v>
      </c>
      <c r="C1785" s="1" t="n">
        <v>45883</v>
      </c>
      <c r="D1785" t="inlineStr">
        <is>
          <t>GÄVLEBORGS LÄN</t>
        </is>
      </c>
      <c r="E1785" t="inlineStr">
        <is>
          <t>GÄVLE</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25408-2025</t>
        </is>
      </c>
      <c r="B1786" s="1" t="n">
        <v>45800.66018518519</v>
      </c>
      <c r="C1786" s="1" t="n">
        <v>45883</v>
      </c>
      <c r="D1786" t="inlineStr">
        <is>
          <t>GÄVLEBORGS LÄN</t>
        </is>
      </c>
      <c r="E1786" t="inlineStr">
        <is>
          <t>OVANÅKER</t>
        </is>
      </c>
      <c r="F1786" t="inlineStr">
        <is>
          <t>Bergvik skog öst AB</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52497-2023</t>
        </is>
      </c>
      <c r="B1787" s="1" t="n">
        <v>45225.45953703704</v>
      </c>
      <c r="C1787" s="1" t="n">
        <v>45883</v>
      </c>
      <c r="D1787" t="inlineStr">
        <is>
          <t>GÄVLEBORGS LÄN</t>
        </is>
      </c>
      <c r="E1787" t="inlineStr">
        <is>
          <t>LJUSDAL</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18431-2021</t>
        </is>
      </c>
      <c r="B1788" s="1" t="n">
        <v>44305</v>
      </c>
      <c r="C1788" s="1" t="n">
        <v>45883</v>
      </c>
      <c r="D1788" t="inlineStr">
        <is>
          <t>GÄVLEBORGS LÄN</t>
        </is>
      </c>
      <c r="E1788" t="inlineStr">
        <is>
          <t>GÄVLE</t>
        </is>
      </c>
      <c r="F1788" t="inlineStr">
        <is>
          <t>Bergvik skog öst AB</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36713-2021</t>
        </is>
      </c>
      <c r="B1789" s="1" t="n">
        <v>44392.53925925926</v>
      </c>
      <c r="C1789" s="1" t="n">
        <v>45883</v>
      </c>
      <c r="D1789" t="inlineStr">
        <is>
          <t>GÄVLEBORGS LÄN</t>
        </is>
      </c>
      <c r="E1789" t="inlineStr">
        <is>
          <t>LJUSDAL</t>
        </is>
      </c>
      <c r="F1789" t="inlineStr">
        <is>
          <t>Holmen skog AB</t>
        </is>
      </c>
      <c r="G1789" t="n">
        <v>5.6</v>
      </c>
      <c r="H1789" t="n">
        <v>0</v>
      </c>
      <c r="I1789" t="n">
        <v>0</v>
      </c>
      <c r="J1789" t="n">
        <v>0</v>
      </c>
      <c r="K1789" t="n">
        <v>0</v>
      </c>
      <c r="L1789" t="n">
        <v>0</v>
      </c>
      <c r="M1789" t="n">
        <v>0</v>
      </c>
      <c r="N1789" t="n">
        <v>0</v>
      </c>
      <c r="O1789" t="n">
        <v>0</v>
      </c>
      <c r="P1789" t="n">
        <v>0</v>
      </c>
      <c r="Q1789" t="n">
        <v>0</v>
      </c>
      <c r="R1789" s="2" t="inlineStr"/>
    </row>
    <row r="1790" ht="15" customHeight="1">
      <c r="A1790" t="inlineStr">
        <is>
          <t>A 5725-2024</t>
        </is>
      </c>
      <c r="B1790" s="1" t="n">
        <v>45334.92503472222</v>
      </c>
      <c r="C1790" s="1" t="n">
        <v>45883</v>
      </c>
      <c r="D1790" t="inlineStr">
        <is>
          <t>GÄVLEBORGS LÄN</t>
        </is>
      </c>
      <c r="E1790" t="inlineStr">
        <is>
          <t>HUDIKSVALL</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5836-2024</t>
        </is>
      </c>
      <c r="B1791" s="1" t="n">
        <v>45335</v>
      </c>
      <c r="C1791" s="1" t="n">
        <v>45883</v>
      </c>
      <c r="D1791" t="inlineStr">
        <is>
          <t>GÄVLEBORGS LÄN</t>
        </is>
      </c>
      <c r="E1791" t="inlineStr">
        <is>
          <t>BOLLNÄS</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5838-2024</t>
        </is>
      </c>
      <c r="B1792" s="1" t="n">
        <v>45335.59482638889</v>
      </c>
      <c r="C1792" s="1" t="n">
        <v>45883</v>
      </c>
      <c r="D1792" t="inlineStr">
        <is>
          <t>GÄVLEBORGS LÄN</t>
        </is>
      </c>
      <c r="E1792" t="inlineStr">
        <is>
          <t>BOLLNÄS</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58375-2020</t>
        </is>
      </c>
      <c r="B1793" s="1" t="n">
        <v>44144</v>
      </c>
      <c r="C1793" s="1" t="n">
        <v>45883</v>
      </c>
      <c r="D1793" t="inlineStr">
        <is>
          <t>GÄVLEBORGS LÄN</t>
        </is>
      </c>
      <c r="E1793" t="inlineStr">
        <is>
          <t>HUDIKSVALL</t>
        </is>
      </c>
      <c r="G1793" t="n">
        <v>5.4</v>
      </c>
      <c r="H1793" t="n">
        <v>0</v>
      </c>
      <c r="I1793" t="n">
        <v>0</v>
      </c>
      <c r="J1793" t="n">
        <v>0</v>
      </c>
      <c r="K1793" t="n">
        <v>0</v>
      </c>
      <c r="L1793" t="n">
        <v>0</v>
      </c>
      <c r="M1793" t="n">
        <v>0</v>
      </c>
      <c r="N1793" t="n">
        <v>0</v>
      </c>
      <c r="O1793" t="n">
        <v>0</v>
      </c>
      <c r="P1793" t="n">
        <v>0</v>
      </c>
      <c r="Q1793" t="n">
        <v>0</v>
      </c>
      <c r="R1793" s="2" t="inlineStr"/>
    </row>
    <row r="1794" ht="15" customHeight="1">
      <c r="A1794" t="inlineStr">
        <is>
          <t>A 10704-2021</t>
        </is>
      </c>
      <c r="B1794" s="1" t="n">
        <v>44258</v>
      </c>
      <c r="C1794" s="1" t="n">
        <v>45883</v>
      </c>
      <c r="D1794" t="inlineStr">
        <is>
          <t>GÄVLEBORGS LÄN</t>
        </is>
      </c>
      <c r="E1794" t="inlineStr">
        <is>
          <t>GÄVLE</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12775-2021</t>
        </is>
      </c>
      <c r="B1795" s="1" t="n">
        <v>44270.69513888889</v>
      </c>
      <c r="C1795" s="1" t="n">
        <v>45883</v>
      </c>
      <c r="D1795" t="inlineStr">
        <is>
          <t>GÄVLEBORGS LÄN</t>
        </is>
      </c>
      <c r="E1795" t="inlineStr">
        <is>
          <t>GÄVLE</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56446-2023</t>
        </is>
      </c>
      <c r="B1796" s="1" t="n">
        <v>45243.47311342593</v>
      </c>
      <c r="C1796" s="1" t="n">
        <v>45883</v>
      </c>
      <c r="D1796" t="inlineStr">
        <is>
          <t>GÄVLEBORGS LÄN</t>
        </is>
      </c>
      <c r="E1796" t="inlineStr">
        <is>
          <t>GÄVLE</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5057-2025</t>
        </is>
      </c>
      <c r="B1797" s="1" t="n">
        <v>45691.46682870371</v>
      </c>
      <c r="C1797" s="1" t="n">
        <v>45883</v>
      </c>
      <c r="D1797" t="inlineStr">
        <is>
          <t>GÄVLEBORGS LÄN</t>
        </is>
      </c>
      <c r="E1797" t="inlineStr">
        <is>
          <t>OVANÅKER</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20934-2021</t>
        </is>
      </c>
      <c r="B1798" s="1" t="n">
        <v>44319.48326388889</v>
      </c>
      <c r="C1798" s="1" t="n">
        <v>45883</v>
      </c>
      <c r="D1798" t="inlineStr">
        <is>
          <t>GÄVLEBORGS LÄN</t>
        </is>
      </c>
      <c r="E1798" t="inlineStr">
        <is>
          <t>SANDVIKEN</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63882-2021</t>
        </is>
      </c>
      <c r="B1799" s="1" t="n">
        <v>44509</v>
      </c>
      <c r="C1799" s="1" t="n">
        <v>45883</v>
      </c>
      <c r="D1799" t="inlineStr">
        <is>
          <t>GÄVLEBORGS LÄN</t>
        </is>
      </c>
      <c r="E1799" t="inlineStr">
        <is>
          <t>BOLLNÄS</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47320-2023</t>
        </is>
      </c>
      <c r="B1800" s="1" t="n">
        <v>45202.50706018518</v>
      </c>
      <c r="C1800" s="1" t="n">
        <v>45883</v>
      </c>
      <c r="D1800" t="inlineStr">
        <is>
          <t>GÄVLEBORGS LÄN</t>
        </is>
      </c>
      <c r="E1800" t="inlineStr">
        <is>
          <t>HUDIKSVALL</t>
        </is>
      </c>
      <c r="F1800" t="inlineStr">
        <is>
          <t>Holmen skog AB</t>
        </is>
      </c>
      <c r="G1800" t="n">
        <v>6</v>
      </c>
      <c r="H1800" t="n">
        <v>0</v>
      </c>
      <c r="I1800" t="n">
        <v>0</v>
      </c>
      <c r="J1800" t="n">
        <v>0</v>
      </c>
      <c r="K1800" t="n">
        <v>0</v>
      </c>
      <c r="L1800" t="n">
        <v>0</v>
      </c>
      <c r="M1800" t="n">
        <v>0</v>
      </c>
      <c r="N1800" t="n">
        <v>0</v>
      </c>
      <c r="O1800" t="n">
        <v>0</v>
      </c>
      <c r="P1800" t="n">
        <v>0</v>
      </c>
      <c r="Q1800" t="n">
        <v>0</v>
      </c>
      <c r="R1800" s="2" t="inlineStr"/>
    </row>
    <row r="1801" ht="15" customHeight="1">
      <c r="A1801" t="inlineStr">
        <is>
          <t>A 47335-2023</t>
        </is>
      </c>
      <c r="B1801" s="1" t="n">
        <v>45202.53678240741</v>
      </c>
      <c r="C1801" s="1" t="n">
        <v>45883</v>
      </c>
      <c r="D1801" t="inlineStr">
        <is>
          <t>GÄVLEBORGS LÄN</t>
        </is>
      </c>
      <c r="E1801" t="inlineStr">
        <is>
          <t>HUDIKSVALL</t>
        </is>
      </c>
      <c r="F1801" t="inlineStr">
        <is>
          <t>Holmen skog AB</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34464-2021</t>
        </is>
      </c>
      <c r="B1802" s="1" t="n">
        <v>44381</v>
      </c>
      <c r="C1802" s="1" t="n">
        <v>45883</v>
      </c>
      <c r="D1802" t="inlineStr">
        <is>
          <t>GÄVLEBORGS LÄN</t>
        </is>
      </c>
      <c r="E1802" t="inlineStr">
        <is>
          <t>BOLLNÄS</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15101-2022</t>
        </is>
      </c>
      <c r="B1803" s="1" t="n">
        <v>44658</v>
      </c>
      <c r="C1803" s="1" t="n">
        <v>45883</v>
      </c>
      <c r="D1803" t="inlineStr">
        <is>
          <t>GÄVLEBORGS LÄN</t>
        </is>
      </c>
      <c r="E1803" t="inlineStr">
        <is>
          <t>GÄVLE</t>
        </is>
      </c>
      <c r="F1803" t="inlineStr">
        <is>
          <t>Bergvik skog öst AB</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404-2021</t>
        </is>
      </c>
      <c r="B1804" s="1" t="n">
        <v>44201</v>
      </c>
      <c r="C1804" s="1" t="n">
        <v>45883</v>
      </c>
      <c r="D1804" t="inlineStr">
        <is>
          <t>GÄVLEBORGS LÄN</t>
        </is>
      </c>
      <c r="E1804" t="inlineStr">
        <is>
          <t>HUDIKSVALL</t>
        </is>
      </c>
      <c r="G1804" t="n">
        <v>5.3</v>
      </c>
      <c r="H1804" t="n">
        <v>0</v>
      </c>
      <c r="I1804" t="n">
        <v>0</v>
      </c>
      <c r="J1804" t="n">
        <v>0</v>
      </c>
      <c r="K1804" t="n">
        <v>0</v>
      </c>
      <c r="L1804" t="n">
        <v>0</v>
      </c>
      <c r="M1804" t="n">
        <v>0</v>
      </c>
      <c r="N1804" t="n">
        <v>0</v>
      </c>
      <c r="O1804" t="n">
        <v>0</v>
      </c>
      <c r="P1804" t="n">
        <v>0</v>
      </c>
      <c r="Q1804" t="n">
        <v>0</v>
      </c>
      <c r="R1804" s="2" t="inlineStr"/>
    </row>
    <row r="1805" ht="15" customHeight="1">
      <c r="A1805" t="inlineStr">
        <is>
          <t>A 15750-2022</t>
        </is>
      </c>
      <c r="B1805" s="1" t="n">
        <v>44663</v>
      </c>
      <c r="C1805" s="1" t="n">
        <v>45883</v>
      </c>
      <c r="D1805" t="inlineStr">
        <is>
          <t>GÄVLEBORGS LÄN</t>
        </is>
      </c>
      <c r="E1805" t="inlineStr">
        <is>
          <t>LJUSDAL</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34562-2021</t>
        </is>
      </c>
      <c r="B1806" s="1" t="n">
        <v>44382</v>
      </c>
      <c r="C1806" s="1" t="n">
        <v>45883</v>
      </c>
      <c r="D1806" t="inlineStr">
        <is>
          <t>GÄVLEBORGS LÄN</t>
        </is>
      </c>
      <c r="E1806" t="inlineStr">
        <is>
          <t>BOLLNÄS</t>
        </is>
      </c>
      <c r="F1806" t="inlineStr">
        <is>
          <t>Bergvik skog väst AB</t>
        </is>
      </c>
      <c r="G1806" t="n">
        <v>8.800000000000001</v>
      </c>
      <c r="H1806" t="n">
        <v>0</v>
      </c>
      <c r="I1806" t="n">
        <v>0</v>
      </c>
      <c r="J1806" t="n">
        <v>0</v>
      </c>
      <c r="K1806" t="n">
        <v>0</v>
      </c>
      <c r="L1806" t="n">
        <v>0</v>
      </c>
      <c r="M1806" t="n">
        <v>0</v>
      </c>
      <c r="N1806" t="n">
        <v>0</v>
      </c>
      <c r="O1806" t="n">
        <v>0</v>
      </c>
      <c r="P1806" t="n">
        <v>0</v>
      </c>
      <c r="Q1806" t="n">
        <v>0</v>
      </c>
      <c r="R1806" s="2" t="inlineStr"/>
    </row>
    <row r="1807" ht="15" customHeight="1">
      <c r="A1807" t="inlineStr">
        <is>
          <t>A 63361-2020</t>
        </is>
      </c>
      <c r="B1807" s="1" t="n">
        <v>44165</v>
      </c>
      <c r="C1807" s="1" t="n">
        <v>45883</v>
      </c>
      <c r="D1807" t="inlineStr">
        <is>
          <t>GÄVLEBORGS LÄN</t>
        </is>
      </c>
      <c r="E1807" t="inlineStr">
        <is>
          <t>BOLLNÄS</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58397-2021</t>
        </is>
      </c>
      <c r="B1808" s="1" t="n">
        <v>44488</v>
      </c>
      <c r="C1808" s="1" t="n">
        <v>45883</v>
      </c>
      <c r="D1808" t="inlineStr">
        <is>
          <t>GÄVLEBORGS LÄN</t>
        </is>
      </c>
      <c r="E1808" t="inlineStr">
        <is>
          <t>LJUSDAL</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41266-2023</t>
        </is>
      </c>
      <c r="B1809" s="1" t="n">
        <v>45174.54631944445</v>
      </c>
      <c r="C1809" s="1" t="n">
        <v>45883</v>
      </c>
      <c r="D1809" t="inlineStr">
        <is>
          <t>GÄVLEBORGS LÄN</t>
        </is>
      </c>
      <c r="E1809" t="inlineStr">
        <is>
          <t>BOLLNÄS</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56615-2024</t>
        </is>
      </c>
      <c r="B1810" s="1" t="n">
        <v>45625.65038194445</v>
      </c>
      <c r="C1810" s="1" t="n">
        <v>45883</v>
      </c>
      <c r="D1810" t="inlineStr">
        <is>
          <t>GÄVLEBORGS LÄN</t>
        </is>
      </c>
      <c r="E1810" t="inlineStr">
        <is>
          <t>OCKELBO</t>
        </is>
      </c>
      <c r="F1810" t="inlineStr">
        <is>
          <t>Bergvik skog öst AB</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5558-2024</t>
        </is>
      </c>
      <c r="B1811" s="1" t="n">
        <v>45334.4608912037</v>
      </c>
      <c r="C1811" s="1" t="n">
        <v>45883</v>
      </c>
      <c r="D1811" t="inlineStr">
        <is>
          <t>GÄVLEBORGS LÄN</t>
        </is>
      </c>
      <c r="E1811" t="inlineStr">
        <is>
          <t>OCKELBO</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63128-2021</t>
        </is>
      </c>
      <c r="B1812" s="1" t="n">
        <v>44505.66327546296</v>
      </c>
      <c r="C1812" s="1" t="n">
        <v>45883</v>
      </c>
      <c r="D1812" t="inlineStr">
        <is>
          <t>GÄVLEBORGS LÄN</t>
        </is>
      </c>
      <c r="E1812" t="inlineStr">
        <is>
          <t>BOLLNÄS</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56481-2021</t>
        </is>
      </c>
      <c r="B1813" s="1" t="n">
        <v>44480</v>
      </c>
      <c r="C1813" s="1" t="n">
        <v>45883</v>
      </c>
      <c r="D1813" t="inlineStr">
        <is>
          <t>GÄVLEBORGS LÄN</t>
        </is>
      </c>
      <c r="E1813" t="inlineStr">
        <is>
          <t>BOLLNÄS</t>
        </is>
      </c>
      <c r="F1813" t="inlineStr">
        <is>
          <t>Bergvik skog väst AB</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9884-2023</t>
        </is>
      </c>
      <c r="B1814" s="1" t="n">
        <v>44985.29388888889</v>
      </c>
      <c r="C1814" s="1" t="n">
        <v>45883</v>
      </c>
      <c r="D1814" t="inlineStr">
        <is>
          <t>GÄVLEBORGS LÄN</t>
        </is>
      </c>
      <c r="E1814" t="inlineStr">
        <is>
          <t>NORDANSTIG</t>
        </is>
      </c>
      <c r="F1814" t="inlineStr">
        <is>
          <t>Holmen skog AB</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35302-2024</t>
        </is>
      </c>
      <c r="B1815" s="1" t="n">
        <v>45530.66972222222</v>
      </c>
      <c r="C1815" s="1" t="n">
        <v>45883</v>
      </c>
      <c r="D1815" t="inlineStr">
        <is>
          <t>GÄVLEBORGS LÄN</t>
        </is>
      </c>
      <c r="E1815" t="inlineStr">
        <is>
          <t>HUDIKSVALL</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17185-2025</t>
        </is>
      </c>
      <c r="B1816" s="1" t="n">
        <v>45755</v>
      </c>
      <c r="C1816" s="1" t="n">
        <v>45883</v>
      </c>
      <c r="D1816" t="inlineStr">
        <is>
          <t>GÄVLEBORGS LÄN</t>
        </is>
      </c>
      <c r="E1816" t="inlineStr">
        <is>
          <t>HOFORS</t>
        </is>
      </c>
      <c r="F1816" t="inlineStr">
        <is>
          <t>Bergvik skog väst AB</t>
        </is>
      </c>
      <c r="G1816" t="n">
        <v>10.3</v>
      </c>
      <c r="H1816" t="n">
        <v>0</v>
      </c>
      <c r="I1816" t="n">
        <v>0</v>
      </c>
      <c r="J1816" t="n">
        <v>0</v>
      </c>
      <c r="K1816" t="n">
        <v>0</v>
      </c>
      <c r="L1816" t="n">
        <v>0</v>
      </c>
      <c r="M1816" t="n">
        <v>0</v>
      </c>
      <c r="N1816" t="n">
        <v>0</v>
      </c>
      <c r="O1816" t="n">
        <v>0</v>
      </c>
      <c r="P1816" t="n">
        <v>0</v>
      </c>
      <c r="Q1816" t="n">
        <v>0</v>
      </c>
      <c r="R1816" s="2" t="inlineStr"/>
    </row>
    <row r="1817" ht="15" customHeight="1">
      <c r="A1817" t="inlineStr">
        <is>
          <t>A 69580-2021</t>
        </is>
      </c>
      <c r="B1817" s="1" t="n">
        <v>44532.35103009259</v>
      </c>
      <c r="C1817" s="1" t="n">
        <v>45883</v>
      </c>
      <c r="D1817" t="inlineStr">
        <is>
          <t>GÄVLEBORGS LÄN</t>
        </is>
      </c>
      <c r="E1817" t="inlineStr">
        <is>
          <t>OCKELBO</t>
        </is>
      </c>
      <c r="F1817" t="inlineStr">
        <is>
          <t>Bergvik skog väst AB</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53694-2022</t>
        </is>
      </c>
      <c r="B1818" s="1" t="n">
        <v>44880.33703703704</v>
      </c>
      <c r="C1818" s="1" t="n">
        <v>45883</v>
      </c>
      <c r="D1818" t="inlineStr">
        <is>
          <t>GÄVLEBORGS LÄN</t>
        </is>
      </c>
      <c r="E1818" t="inlineStr">
        <is>
          <t>OVANÅKER</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17206-2025</t>
        </is>
      </c>
      <c r="B1819" s="1" t="n">
        <v>45756.42607638889</v>
      </c>
      <c r="C1819" s="1" t="n">
        <v>45883</v>
      </c>
      <c r="D1819" t="inlineStr">
        <is>
          <t>GÄVLEBORGS LÄN</t>
        </is>
      </c>
      <c r="E1819" t="inlineStr">
        <is>
          <t>HUDIKSVALL</t>
        </is>
      </c>
      <c r="F1819" t="inlineStr">
        <is>
          <t>Holmen skog AB</t>
        </is>
      </c>
      <c r="G1819" t="n">
        <v>15.7</v>
      </c>
      <c r="H1819" t="n">
        <v>0</v>
      </c>
      <c r="I1819" t="n">
        <v>0</v>
      </c>
      <c r="J1819" t="n">
        <v>0</v>
      </c>
      <c r="K1819" t="n">
        <v>0</v>
      </c>
      <c r="L1819" t="n">
        <v>0</v>
      </c>
      <c r="M1819" t="n">
        <v>0</v>
      </c>
      <c r="N1819" t="n">
        <v>0</v>
      </c>
      <c r="O1819" t="n">
        <v>0</v>
      </c>
      <c r="P1819" t="n">
        <v>0</v>
      </c>
      <c r="Q1819" t="n">
        <v>0</v>
      </c>
      <c r="R1819" s="2" t="inlineStr"/>
    </row>
    <row r="1820" ht="15" customHeight="1">
      <c r="A1820" t="inlineStr">
        <is>
          <t>A 52792-2021</t>
        </is>
      </c>
      <c r="B1820" s="1" t="n">
        <v>44467</v>
      </c>
      <c r="C1820" s="1" t="n">
        <v>45883</v>
      </c>
      <c r="D1820" t="inlineStr">
        <is>
          <t>GÄVLEBORGS LÄN</t>
        </is>
      </c>
      <c r="E1820" t="inlineStr">
        <is>
          <t>BOLLNÄS</t>
        </is>
      </c>
      <c r="F1820" t="inlineStr">
        <is>
          <t>Sveaskog</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59270-2021</t>
        </is>
      </c>
      <c r="B1821" s="1" t="n">
        <v>44490</v>
      </c>
      <c r="C1821" s="1" t="n">
        <v>45883</v>
      </c>
      <c r="D1821" t="inlineStr">
        <is>
          <t>GÄVLEBORGS LÄN</t>
        </is>
      </c>
      <c r="E1821" t="inlineStr">
        <is>
          <t>NORDANSTIG</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32577-2021</t>
        </is>
      </c>
      <c r="B1822" s="1" t="n">
        <v>44375.35237268519</v>
      </c>
      <c r="C1822" s="1" t="n">
        <v>45883</v>
      </c>
      <c r="D1822" t="inlineStr">
        <is>
          <t>GÄVLEBORGS LÄN</t>
        </is>
      </c>
      <c r="E1822" t="inlineStr">
        <is>
          <t>HUDIKSVALL</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4557-2024</t>
        </is>
      </c>
      <c r="B1823" s="1" t="n">
        <v>45327</v>
      </c>
      <c r="C1823" s="1" t="n">
        <v>45883</v>
      </c>
      <c r="D1823" t="inlineStr">
        <is>
          <t>GÄVLEBORGS LÄN</t>
        </is>
      </c>
      <c r="E1823" t="inlineStr">
        <is>
          <t>SÖDERHAMN</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25460-2022</t>
        </is>
      </c>
      <c r="B1824" s="1" t="n">
        <v>44732.51826388889</v>
      </c>
      <c r="C1824" s="1" t="n">
        <v>45883</v>
      </c>
      <c r="D1824" t="inlineStr">
        <is>
          <t>GÄVLEBORGS LÄN</t>
        </is>
      </c>
      <c r="E1824" t="inlineStr">
        <is>
          <t>NORDANSTIG</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2906-2025</t>
        </is>
      </c>
      <c r="B1825" s="1" t="n">
        <v>45677.79960648148</v>
      </c>
      <c r="C1825" s="1" t="n">
        <v>45883</v>
      </c>
      <c r="D1825" t="inlineStr">
        <is>
          <t>GÄVLEBORGS LÄN</t>
        </is>
      </c>
      <c r="E1825" t="inlineStr">
        <is>
          <t>HUDIKSVALL</t>
        </is>
      </c>
      <c r="F1825" t="inlineStr">
        <is>
          <t>Holmen skog AB</t>
        </is>
      </c>
      <c r="G1825" t="n">
        <v>22.5</v>
      </c>
      <c r="H1825" t="n">
        <v>0</v>
      </c>
      <c r="I1825" t="n">
        <v>0</v>
      </c>
      <c r="J1825" t="n">
        <v>0</v>
      </c>
      <c r="K1825" t="n">
        <v>0</v>
      </c>
      <c r="L1825" t="n">
        <v>0</v>
      </c>
      <c r="M1825" t="n">
        <v>0</v>
      </c>
      <c r="N1825" t="n">
        <v>0</v>
      </c>
      <c r="O1825" t="n">
        <v>0</v>
      </c>
      <c r="P1825" t="n">
        <v>0</v>
      </c>
      <c r="Q1825" t="n">
        <v>0</v>
      </c>
      <c r="R1825" s="2" t="inlineStr"/>
    </row>
    <row r="1826" ht="15" customHeight="1">
      <c r="A1826" t="inlineStr">
        <is>
          <t>A 2937-2025</t>
        </is>
      </c>
      <c r="B1826" s="1" t="n">
        <v>45678.38020833334</v>
      </c>
      <c r="C1826" s="1" t="n">
        <v>45883</v>
      </c>
      <c r="D1826" t="inlineStr">
        <is>
          <t>GÄVLEBORGS LÄN</t>
        </is>
      </c>
      <c r="E1826" t="inlineStr">
        <is>
          <t>LJUSDAL</t>
        </is>
      </c>
      <c r="F1826" t="inlineStr">
        <is>
          <t>Holmen skog AB</t>
        </is>
      </c>
      <c r="G1826" t="n">
        <v>20.2</v>
      </c>
      <c r="H1826" t="n">
        <v>0</v>
      </c>
      <c r="I1826" t="n">
        <v>0</v>
      </c>
      <c r="J1826" t="n">
        <v>0</v>
      </c>
      <c r="K1826" t="n">
        <v>0</v>
      </c>
      <c r="L1826" t="n">
        <v>0</v>
      </c>
      <c r="M1826" t="n">
        <v>0</v>
      </c>
      <c r="N1826" t="n">
        <v>0</v>
      </c>
      <c r="O1826" t="n">
        <v>0</v>
      </c>
      <c r="P1826" t="n">
        <v>0</v>
      </c>
      <c r="Q1826" t="n">
        <v>0</v>
      </c>
      <c r="R1826" s="2" t="inlineStr"/>
    </row>
    <row r="1827" ht="15" customHeight="1">
      <c r="A1827" t="inlineStr">
        <is>
          <t>A 48179-2022</t>
        </is>
      </c>
      <c r="B1827" s="1" t="n">
        <v>44858.39075231482</v>
      </c>
      <c r="C1827" s="1" t="n">
        <v>45883</v>
      </c>
      <c r="D1827" t="inlineStr">
        <is>
          <t>GÄVLEBORGS LÄN</t>
        </is>
      </c>
      <c r="E1827" t="inlineStr">
        <is>
          <t>NORDANSTIG</t>
        </is>
      </c>
      <c r="F1827" t="inlineStr">
        <is>
          <t>Holmen skog AB</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26554-2022</t>
        </is>
      </c>
      <c r="B1828" s="1" t="n">
        <v>44739.47634259259</v>
      </c>
      <c r="C1828" s="1" t="n">
        <v>45883</v>
      </c>
      <c r="D1828" t="inlineStr">
        <is>
          <t>GÄVLEBORGS LÄN</t>
        </is>
      </c>
      <c r="E1828" t="inlineStr">
        <is>
          <t>SÖDERHAMN</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22198-2022</t>
        </is>
      </c>
      <c r="B1829" s="1" t="n">
        <v>44712</v>
      </c>
      <c r="C1829" s="1" t="n">
        <v>45883</v>
      </c>
      <c r="D1829" t="inlineStr">
        <is>
          <t>GÄVLEBORGS LÄN</t>
        </is>
      </c>
      <c r="E1829" t="inlineStr">
        <is>
          <t>HUDIKSVALL</t>
        </is>
      </c>
      <c r="F1829" t="inlineStr">
        <is>
          <t>Holmen skog AB</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25001-2022</t>
        </is>
      </c>
      <c r="B1830" s="1" t="n">
        <v>44728</v>
      </c>
      <c r="C1830" s="1" t="n">
        <v>45883</v>
      </c>
      <c r="D1830" t="inlineStr">
        <is>
          <t>GÄVLEBORGS LÄN</t>
        </is>
      </c>
      <c r="E1830" t="inlineStr">
        <is>
          <t>NORDANSTIG</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9635-2022</t>
        </is>
      </c>
      <c r="B1831" s="1" t="n">
        <v>44617</v>
      </c>
      <c r="C1831" s="1" t="n">
        <v>45883</v>
      </c>
      <c r="D1831" t="inlineStr">
        <is>
          <t>GÄVLEBORGS LÄN</t>
        </is>
      </c>
      <c r="E1831" t="inlineStr">
        <is>
          <t>OVANÅKER</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4580-2024</t>
        </is>
      </c>
      <c r="B1832" s="1" t="n">
        <v>45327</v>
      </c>
      <c r="C1832" s="1" t="n">
        <v>45883</v>
      </c>
      <c r="D1832" t="inlineStr">
        <is>
          <t>GÄVLEBORGS LÄN</t>
        </is>
      </c>
      <c r="E1832" t="inlineStr">
        <is>
          <t>LJUSDAL</t>
        </is>
      </c>
      <c r="G1832" t="n">
        <v>4.4</v>
      </c>
      <c r="H1832" t="n">
        <v>0</v>
      </c>
      <c r="I1832" t="n">
        <v>0</v>
      </c>
      <c r="J1832" t="n">
        <v>0</v>
      </c>
      <c r="K1832" t="n">
        <v>0</v>
      </c>
      <c r="L1832" t="n">
        <v>0</v>
      </c>
      <c r="M1832" t="n">
        <v>0</v>
      </c>
      <c r="N1832" t="n">
        <v>0</v>
      </c>
      <c r="O1832" t="n">
        <v>0</v>
      </c>
      <c r="P1832" t="n">
        <v>0</v>
      </c>
      <c r="Q1832" t="n">
        <v>0</v>
      </c>
      <c r="R1832" s="2" t="inlineStr"/>
    </row>
    <row r="1833" ht="15" customHeight="1">
      <c r="A1833" t="inlineStr">
        <is>
          <t>A 49771-2022</t>
        </is>
      </c>
      <c r="B1833" s="1" t="n">
        <v>44862.61767361111</v>
      </c>
      <c r="C1833" s="1" t="n">
        <v>45883</v>
      </c>
      <c r="D1833" t="inlineStr">
        <is>
          <t>GÄVLEBORGS LÄN</t>
        </is>
      </c>
      <c r="E1833" t="inlineStr">
        <is>
          <t>GÄVLE</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17246-2022</t>
        </is>
      </c>
      <c r="B1834" s="1" t="n">
        <v>44678.38255787037</v>
      </c>
      <c r="C1834" s="1" t="n">
        <v>45883</v>
      </c>
      <c r="D1834" t="inlineStr">
        <is>
          <t>GÄVLEBORGS LÄN</t>
        </is>
      </c>
      <c r="E1834" t="inlineStr">
        <is>
          <t>LJUSDAL</t>
        </is>
      </c>
      <c r="F1834" t="inlineStr">
        <is>
          <t>Holmen skog AB</t>
        </is>
      </c>
      <c r="G1834" t="n">
        <v>6.6</v>
      </c>
      <c r="H1834" t="n">
        <v>0</v>
      </c>
      <c r="I1834" t="n">
        <v>0</v>
      </c>
      <c r="J1834" t="n">
        <v>0</v>
      </c>
      <c r="K1834" t="n">
        <v>0</v>
      </c>
      <c r="L1834" t="n">
        <v>0</v>
      </c>
      <c r="M1834" t="n">
        <v>0</v>
      </c>
      <c r="N1834" t="n">
        <v>0</v>
      </c>
      <c r="O1834" t="n">
        <v>0</v>
      </c>
      <c r="P1834" t="n">
        <v>0</v>
      </c>
      <c r="Q1834" t="n">
        <v>0</v>
      </c>
      <c r="R1834" s="2" t="inlineStr"/>
    </row>
    <row r="1835" ht="15" customHeight="1">
      <c r="A1835" t="inlineStr">
        <is>
          <t>A 12987-2022</t>
        </is>
      </c>
      <c r="B1835" s="1" t="n">
        <v>44643.42163194445</v>
      </c>
      <c r="C1835" s="1" t="n">
        <v>45883</v>
      </c>
      <c r="D1835" t="inlineStr">
        <is>
          <t>GÄVLEBORGS LÄN</t>
        </is>
      </c>
      <c r="E1835" t="inlineStr">
        <is>
          <t>OCKELBO</t>
        </is>
      </c>
      <c r="G1835" t="n">
        <v>7.6</v>
      </c>
      <c r="H1835" t="n">
        <v>0</v>
      </c>
      <c r="I1835" t="n">
        <v>0</v>
      </c>
      <c r="J1835" t="n">
        <v>0</v>
      </c>
      <c r="K1835" t="n">
        <v>0</v>
      </c>
      <c r="L1835" t="n">
        <v>0</v>
      </c>
      <c r="M1835" t="n">
        <v>0</v>
      </c>
      <c r="N1835" t="n">
        <v>0</v>
      </c>
      <c r="O1835" t="n">
        <v>0</v>
      </c>
      <c r="P1835" t="n">
        <v>0</v>
      </c>
      <c r="Q1835" t="n">
        <v>0</v>
      </c>
      <c r="R1835" s="2" t="inlineStr"/>
    </row>
    <row r="1836" ht="15" customHeight="1">
      <c r="A1836" t="inlineStr">
        <is>
          <t>A 13404-2021</t>
        </is>
      </c>
      <c r="B1836" s="1" t="n">
        <v>44273.47614583333</v>
      </c>
      <c r="C1836" s="1" t="n">
        <v>45883</v>
      </c>
      <c r="D1836" t="inlineStr">
        <is>
          <t>GÄVLEBORGS LÄN</t>
        </is>
      </c>
      <c r="E1836" t="inlineStr">
        <is>
          <t>OVANÅKER</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34871-2022</t>
        </is>
      </c>
      <c r="B1837" s="1" t="n">
        <v>44796.46392361111</v>
      </c>
      <c r="C1837" s="1" t="n">
        <v>45883</v>
      </c>
      <c r="D1837" t="inlineStr">
        <is>
          <t>GÄVLEBORGS LÄN</t>
        </is>
      </c>
      <c r="E1837" t="inlineStr">
        <is>
          <t>GÄVLE</t>
        </is>
      </c>
      <c r="F1837" t="inlineStr">
        <is>
          <t>Bergvik skog öst AB</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20602-2022</t>
        </is>
      </c>
      <c r="B1838" s="1" t="n">
        <v>44700</v>
      </c>
      <c r="C1838" s="1" t="n">
        <v>45883</v>
      </c>
      <c r="D1838" t="inlineStr">
        <is>
          <t>GÄVLEBORGS LÄN</t>
        </is>
      </c>
      <c r="E1838" t="inlineStr">
        <is>
          <t>HUDIKSVALL</t>
        </is>
      </c>
      <c r="F1838" t="inlineStr">
        <is>
          <t>Holmen skog AB</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7775-2025</t>
        </is>
      </c>
      <c r="B1839" s="1" t="n">
        <v>45706.57550925926</v>
      </c>
      <c r="C1839" s="1" t="n">
        <v>45883</v>
      </c>
      <c r="D1839" t="inlineStr">
        <is>
          <t>GÄVLEBORGS LÄN</t>
        </is>
      </c>
      <c r="E1839" t="inlineStr">
        <is>
          <t>LJUSDAL</t>
        </is>
      </c>
      <c r="F1839" t="inlineStr">
        <is>
          <t>Övriga Aktiebolag</t>
        </is>
      </c>
      <c r="G1839" t="n">
        <v>8.6</v>
      </c>
      <c r="H1839" t="n">
        <v>0</v>
      </c>
      <c r="I1839" t="n">
        <v>0</v>
      </c>
      <c r="J1839" t="n">
        <v>0</v>
      </c>
      <c r="K1839" t="n">
        <v>0</v>
      </c>
      <c r="L1839" t="n">
        <v>0</v>
      </c>
      <c r="M1839" t="n">
        <v>0</v>
      </c>
      <c r="N1839" t="n">
        <v>0</v>
      </c>
      <c r="O1839" t="n">
        <v>0</v>
      </c>
      <c r="P1839" t="n">
        <v>0</v>
      </c>
      <c r="Q1839" t="n">
        <v>0</v>
      </c>
      <c r="R1839" s="2" t="inlineStr"/>
    </row>
    <row r="1840" ht="15" customHeight="1">
      <c r="A1840" t="inlineStr">
        <is>
          <t>A 10632-2021</t>
        </is>
      </c>
      <c r="B1840" s="1" t="n">
        <v>44258</v>
      </c>
      <c r="C1840" s="1" t="n">
        <v>45883</v>
      </c>
      <c r="D1840" t="inlineStr">
        <is>
          <t>GÄVLEBORGS LÄN</t>
        </is>
      </c>
      <c r="E1840" t="inlineStr">
        <is>
          <t>OVANÅKER</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58716-2023</t>
        </is>
      </c>
      <c r="B1841" s="1" t="n">
        <v>45251</v>
      </c>
      <c r="C1841" s="1" t="n">
        <v>45883</v>
      </c>
      <c r="D1841" t="inlineStr">
        <is>
          <t>GÄVLEBORGS LÄN</t>
        </is>
      </c>
      <c r="E1841" t="inlineStr">
        <is>
          <t>BOLLNÄS</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15864-2025</t>
        </is>
      </c>
      <c r="B1842" s="1" t="n">
        <v>45749.35642361111</v>
      </c>
      <c r="C1842" s="1" t="n">
        <v>45883</v>
      </c>
      <c r="D1842" t="inlineStr">
        <is>
          <t>GÄVLEBORGS LÄN</t>
        </is>
      </c>
      <c r="E1842" t="inlineStr">
        <is>
          <t>LJUSDAL</t>
        </is>
      </c>
      <c r="F1842" t="inlineStr">
        <is>
          <t>SCA</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25088-2022</t>
        </is>
      </c>
      <c r="B1843" s="1" t="n">
        <v>44729</v>
      </c>
      <c r="C1843" s="1" t="n">
        <v>45883</v>
      </c>
      <c r="D1843" t="inlineStr">
        <is>
          <t>GÄVLEBORGS LÄN</t>
        </is>
      </c>
      <c r="E1843" t="inlineStr">
        <is>
          <t>BOLLNÄS</t>
        </is>
      </c>
      <c r="F1843" t="inlineStr">
        <is>
          <t>Bergvik skog väst AB</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15881-2025</t>
        </is>
      </c>
      <c r="B1844" s="1" t="n">
        <v>45749.39025462963</v>
      </c>
      <c r="C1844" s="1" t="n">
        <v>45883</v>
      </c>
      <c r="D1844" t="inlineStr">
        <is>
          <t>GÄVLEBORGS LÄN</t>
        </is>
      </c>
      <c r="E1844" t="inlineStr">
        <is>
          <t>SÖDERHAMN</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44805-2020</t>
        </is>
      </c>
      <c r="B1845" s="1" t="n">
        <v>44085</v>
      </c>
      <c r="C1845" s="1" t="n">
        <v>45883</v>
      </c>
      <c r="D1845" t="inlineStr">
        <is>
          <t>GÄVLEBORGS LÄN</t>
        </is>
      </c>
      <c r="E1845" t="inlineStr">
        <is>
          <t>LJUSDAL</t>
        </is>
      </c>
      <c r="G1845" t="n">
        <v>3.6</v>
      </c>
      <c r="H1845" t="n">
        <v>0</v>
      </c>
      <c r="I1845" t="n">
        <v>0</v>
      </c>
      <c r="J1845" t="n">
        <v>0</v>
      </c>
      <c r="K1845" t="n">
        <v>0</v>
      </c>
      <c r="L1845" t="n">
        <v>0</v>
      </c>
      <c r="M1845" t="n">
        <v>0</v>
      </c>
      <c r="N1845" t="n">
        <v>0</v>
      </c>
      <c r="O1845" t="n">
        <v>0</v>
      </c>
      <c r="P1845" t="n">
        <v>0</v>
      </c>
      <c r="Q1845" t="n">
        <v>0</v>
      </c>
      <c r="R1845" s="2" t="inlineStr"/>
    </row>
    <row r="1846" ht="15" customHeight="1">
      <c r="A1846" t="inlineStr">
        <is>
          <t>A 15939-2025</t>
        </is>
      </c>
      <c r="B1846" s="1" t="n">
        <v>45749.48018518519</v>
      </c>
      <c r="C1846" s="1" t="n">
        <v>45883</v>
      </c>
      <c r="D1846" t="inlineStr">
        <is>
          <t>GÄVLEBORGS LÄN</t>
        </is>
      </c>
      <c r="E1846" t="inlineStr">
        <is>
          <t>GÄVLE</t>
        </is>
      </c>
      <c r="F1846" t="inlineStr">
        <is>
          <t>Bergvik skog öst AB</t>
        </is>
      </c>
      <c r="G1846" t="n">
        <v>7</v>
      </c>
      <c r="H1846" t="n">
        <v>0</v>
      </c>
      <c r="I1846" t="n">
        <v>0</v>
      </c>
      <c r="J1846" t="n">
        <v>0</v>
      </c>
      <c r="K1846" t="n">
        <v>0</v>
      </c>
      <c r="L1846" t="n">
        <v>0</v>
      </c>
      <c r="M1846" t="n">
        <v>0</v>
      </c>
      <c r="N1846" t="n">
        <v>0</v>
      </c>
      <c r="O1846" t="n">
        <v>0</v>
      </c>
      <c r="P1846" t="n">
        <v>0</v>
      </c>
      <c r="Q1846" t="n">
        <v>0</v>
      </c>
      <c r="R1846" s="2" t="inlineStr"/>
    </row>
    <row r="1847" ht="15" customHeight="1">
      <c r="A1847" t="inlineStr">
        <is>
          <t>A 43983-2024</t>
        </is>
      </c>
      <c r="B1847" s="1" t="n">
        <v>45572.50067129629</v>
      </c>
      <c r="C1847" s="1" t="n">
        <v>45883</v>
      </c>
      <c r="D1847" t="inlineStr">
        <is>
          <t>GÄVLEBORGS LÄN</t>
        </is>
      </c>
      <c r="E1847" t="inlineStr">
        <is>
          <t>LJUSDAL</t>
        </is>
      </c>
      <c r="G1847" t="n">
        <v>5</v>
      </c>
      <c r="H1847" t="n">
        <v>0</v>
      </c>
      <c r="I1847" t="n">
        <v>0</v>
      </c>
      <c r="J1847" t="n">
        <v>0</v>
      </c>
      <c r="K1847" t="n">
        <v>0</v>
      </c>
      <c r="L1847" t="n">
        <v>0</v>
      </c>
      <c r="M1847" t="n">
        <v>0</v>
      </c>
      <c r="N1847" t="n">
        <v>0</v>
      </c>
      <c r="O1847" t="n">
        <v>0</v>
      </c>
      <c r="P1847" t="n">
        <v>0</v>
      </c>
      <c r="Q1847" t="n">
        <v>0</v>
      </c>
      <c r="R1847" s="2" t="inlineStr"/>
    </row>
    <row r="1848" ht="15" customHeight="1">
      <c r="A1848" t="inlineStr">
        <is>
          <t>A 22558-2023</t>
        </is>
      </c>
      <c r="B1848" s="1" t="n">
        <v>45071</v>
      </c>
      <c r="C1848" s="1" t="n">
        <v>45883</v>
      </c>
      <c r="D1848" t="inlineStr">
        <is>
          <t>GÄVLEBORGS LÄN</t>
        </is>
      </c>
      <c r="E1848" t="inlineStr">
        <is>
          <t>LJUSDAL</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25829-2024</t>
        </is>
      </c>
      <c r="B1849" s="1" t="n">
        <v>45467.40538194445</v>
      </c>
      <c r="C1849" s="1" t="n">
        <v>45883</v>
      </c>
      <c r="D1849" t="inlineStr">
        <is>
          <t>GÄVLEBORGS LÄN</t>
        </is>
      </c>
      <c r="E1849" t="inlineStr">
        <is>
          <t>GÄVLE</t>
        </is>
      </c>
      <c r="F1849" t="inlineStr">
        <is>
          <t>Bergvik skog öst AB</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44310-2022</t>
        </is>
      </c>
      <c r="B1850" s="1" t="n">
        <v>44839.6370949074</v>
      </c>
      <c r="C1850" s="1" t="n">
        <v>45883</v>
      </c>
      <c r="D1850" t="inlineStr">
        <is>
          <t>GÄVLEBORGS LÄN</t>
        </is>
      </c>
      <c r="E1850" t="inlineStr">
        <is>
          <t>OVANÅKER</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31011-2024</t>
        </is>
      </c>
      <c r="B1851" s="1" t="n">
        <v>45499.67101851852</v>
      </c>
      <c r="C1851" s="1" t="n">
        <v>45883</v>
      </c>
      <c r="D1851" t="inlineStr">
        <is>
          <t>GÄVLEBORGS LÄN</t>
        </is>
      </c>
      <c r="E1851" t="inlineStr">
        <is>
          <t>LJUSDAL</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9980-2022</t>
        </is>
      </c>
      <c r="B1852" s="1" t="n">
        <v>44621</v>
      </c>
      <c r="C1852" s="1" t="n">
        <v>45883</v>
      </c>
      <c r="D1852" t="inlineStr">
        <is>
          <t>GÄVLEBORGS LÄN</t>
        </is>
      </c>
      <c r="E1852" t="inlineStr">
        <is>
          <t>OVANÅKER</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59311-2020</t>
        </is>
      </c>
      <c r="B1853" s="1" t="n">
        <v>44147</v>
      </c>
      <c r="C1853" s="1" t="n">
        <v>45883</v>
      </c>
      <c r="D1853" t="inlineStr">
        <is>
          <t>GÄVLEBORGS LÄN</t>
        </is>
      </c>
      <c r="E1853" t="inlineStr">
        <is>
          <t>BOLLNÄS</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10126-2025</t>
        </is>
      </c>
      <c r="B1854" s="1" t="n">
        <v>45719.60510416667</v>
      </c>
      <c r="C1854" s="1" t="n">
        <v>45883</v>
      </c>
      <c r="D1854" t="inlineStr">
        <is>
          <t>GÄVLEBORGS LÄN</t>
        </is>
      </c>
      <c r="E1854" t="inlineStr">
        <is>
          <t>GÄVLE</t>
        </is>
      </c>
      <c r="F1854" t="inlineStr">
        <is>
          <t>Bergvik skog öst AB</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15525-2025</t>
        </is>
      </c>
      <c r="B1855" s="1" t="n">
        <v>45747</v>
      </c>
      <c r="C1855" s="1" t="n">
        <v>45883</v>
      </c>
      <c r="D1855" t="inlineStr">
        <is>
          <t>GÄVLEBORGS LÄN</t>
        </is>
      </c>
      <c r="E1855" t="inlineStr">
        <is>
          <t>BOLLNÄS</t>
        </is>
      </c>
      <c r="F1855" t="inlineStr">
        <is>
          <t>Kyrkan</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59331-2022</t>
        </is>
      </c>
      <c r="B1856" s="1" t="n">
        <v>44904.6508912037</v>
      </c>
      <c r="C1856" s="1" t="n">
        <v>45883</v>
      </c>
      <c r="D1856" t="inlineStr">
        <is>
          <t>GÄVLEBORGS LÄN</t>
        </is>
      </c>
      <c r="E1856" t="inlineStr">
        <is>
          <t>BOLLNÄS</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64384-2020</t>
        </is>
      </c>
      <c r="B1857" s="1" t="n">
        <v>44168.60664351852</v>
      </c>
      <c r="C1857" s="1" t="n">
        <v>45883</v>
      </c>
      <c r="D1857" t="inlineStr">
        <is>
          <t>GÄVLEBORGS LÄN</t>
        </is>
      </c>
      <c r="E1857" t="inlineStr">
        <is>
          <t>GÄVLE</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29219-2024</t>
        </is>
      </c>
      <c r="B1858" s="1" t="n">
        <v>45482.70034722222</v>
      </c>
      <c r="C1858" s="1" t="n">
        <v>45883</v>
      </c>
      <c r="D1858" t="inlineStr">
        <is>
          <t>GÄVLEBORGS LÄN</t>
        </is>
      </c>
      <c r="E1858" t="inlineStr">
        <is>
          <t>BOLLNÄS</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37680-2022</t>
        </is>
      </c>
      <c r="B1859" s="1" t="n">
        <v>44810</v>
      </c>
      <c r="C1859" s="1" t="n">
        <v>45883</v>
      </c>
      <c r="D1859" t="inlineStr">
        <is>
          <t>GÄVLEBORGS LÄN</t>
        </is>
      </c>
      <c r="E1859" t="inlineStr">
        <is>
          <t>HOFORS</t>
        </is>
      </c>
      <c r="G1859" t="n">
        <v>6.6</v>
      </c>
      <c r="H1859" t="n">
        <v>0</v>
      </c>
      <c r="I1859" t="n">
        <v>0</v>
      </c>
      <c r="J1859" t="n">
        <v>0</v>
      </c>
      <c r="K1859" t="n">
        <v>0</v>
      </c>
      <c r="L1859" t="n">
        <v>0</v>
      </c>
      <c r="M1859" t="n">
        <v>0</v>
      </c>
      <c r="N1859" t="n">
        <v>0</v>
      </c>
      <c r="O1859" t="n">
        <v>0</v>
      </c>
      <c r="P1859" t="n">
        <v>0</v>
      </c>
      <c r="Q1859" t="n">
        <v>0</v>
      </c>
      <c r="R1859" s="2" t="inlineStr"/>
    </row>
    <row r="1860" ht="15" customHeight="1">
      <c r="A1860" t="inlineStr">
        <is>
          <t>A 14913-2025</t>
        </is>
      </c>
      <c r="B1860" s="1" t="n">
        <v>45743.52796296297</v>
      </c>
      <c r="C1860" s="1" t="n">
        <v>45883</v>
      </c>
      <c r="D1860" t="inlineStr">
        <is>
          <t>GÄVLEBORGS LÄN</t>
        </is>
      </c>
      <c r="E1860" t="inlineStr">
        <is>
          <t>BOLLNÄS</t>
        </is>
      </c>
      <c r="F1860" t="inlineStr">
        <is>
          <t>Bergvik skog väst AB</t>
        </is>
      </c>
      <c r="G1860" t="n">
        <v>9.199999999999999</v>
      </c>
      <c r="H1860" t="n">
        <v>0</v>
      </c>
      <c r="I1860" t="n">
        <v>0</v>
      </c>
      <c r="J1860" t="n">
        <v>0</v>
      </c>
      <c r="K1860" t="n">
        <v>0</v>
      </c>
      <c r="L1860" t="n">
        <v>0</v>
      </c>
      <c r="M1860" t="n">
        <v>0</v>
      </c>
      <c r="N1860" t="n">
        <v>0</v>
      </c>
      <c r="O1860" t="n">
        <v>0</v>
      </c>
      <c r="P1860" t="n">
        <v>0</v>
      </c>
      <c r="Q1860" t="n">
        <v>0</v>
      </c>
      <c r="R1860" s="2" t="inlineStr"/>
    </row>
    <row r="1861" ht="15" customHeight="1">
      <c r="A1861" t="inlineStr">
        <is>
          <t>A 57196-2022</t>
        </is>
      </c>
      <c r="B1861" s="1" t="n">
        <v>44895.63180555555</v>
      </c>
      <c r="C1861" s="1" t="n">
        <v>45883</v>
      </c>
      <c r="D1861" t="inlineStr">
        <is>
          <t>GÄVLEBORGS LÄN</t>
        </is>
      </c>
      <c r="E1861" t="inlineStr">
        <is>
          <t>NORDANSTIG</t>
        </is>
      </c>
      <c r="F1861" t="inlineStr">
        <is>
          <t>Holmen skog AB</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25645-2023</t>
        </is>
      </c>
      <c r="B1862" s="1" t="n">
        <v>45089.77170138889</v>
      </c>
      <c r="C1862" s="1" t="n">
        <v>45883</v>
      </c>
      <c r="D1862" t="inlineStr">
        <is>
          <t>GÄVLEBORGS LÄN</t>
        </is>
      </c>
      <c r="E1862" t="inlineStr">
        <is>
          <t>GÄVLE</t>
        </is>
      </c>
      <c r="F1862" t="inlineStr">
        <is>
          <t>Bergvik skog öst AB</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7616-2025</t>
        </is>
      </c>
      <c r="B1863" s="1" t="n">
        <v>45705</v>
      </c>
      <c r="C1863" s="1" t="n">
        <v>45883</v>
      </c>
      <c r="D1863" t="inlineStr">
        <is>
          <t>GÄVLEBORGS LÄN</t>
        </is>
      </c>
      <c r="E1863" t="inlineStr">
        <is>
          <t>SANDVIKEN</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14693-2025</t>
        </is>
      </c>
      <c r="B1864" s="1" t="n">
        <v>45742.58847222223</v>
      </c>
      <c r="C1864" s="1" t="n">
        <v>45883</v>
      </c>
      <c r="D1864" t="inlineStr">
        <is>
          <t>GÄVLEBORGS LÄN</t>
        </is>
      </c>
      <c r="E1864" t="inlineStr">
        <is>
          <t>OVANÅKER</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10542-2021</t>
        </is>
      </c>
      <c r="B1865" s="1" t="n">
        <v>44258.39831018518</v>
      </c>
      <c r="C1865" s="1" t="n">
        <v>45883</v>
      </c>
      <c r="D1865" t="inlineStr">
        <is>
          <t>GÄVLEBORGS LÄN</t>
        </is>
      </c>
      <c r="E1865" t="inlineStr">
        <is>
          <t>OVANÅKER</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43381-2023</t>
        </is>
      </c>
      <c r="B1866" s="1" t="n">
        <v>45183.80868055556</v>
      </c>
      <c r="C1866" s="1" t="n">
        <v>45883</v>
      </c>
      <c r="D1866" t="inlineStr">
        <is>
          <t>GÄVLEBORGS LÄN</t>
        </is>
      </c>
      <c r="E1866" t="inlineStr">
        <is>
          <t>NORDANSTIG</t>
        </is>
      </c>
      <c r="F1866" t="inlineStr">
        <is>
          <t>Holmen skog AB</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43395-2023</t>
        </is>
      </c>
      <c r="B1867" s="1" t="n">
        <v>45183.92149305555</v>
      </c>
      <c r="C1867" s="1" t="n">
        <v>45883</v>
      </c>
      <c r="D1867" t="inlineStr">
        <is>
          <t>GÄVLEBORGS LÄN</t>
        </is>
      </c>
      <c r="E1867" t="inlineStr">
        <is>
          <t>SÖDERHAMN</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43400-2023</t>
        </is>
      </c>
      <c r="B1868" s="1" t="n">
        <v>45183.92178240741</v>
      </c>
      <c r="C1868" s="1" t="n">
        <v>45883</v>
      </c>
      <c r="D1868" t="inlineStr">
        <is>
          <t>GÄVLEBORGS LÄN</t>
        </is>
      </c>
      <c r="E1868" t="inlineStr">
        <is>
          <t>NORDANSTIG</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48102-2022</t>
        </is>
      </c>
      <c r="B1869" s="1" t="n">
        <v>44856.47353009259</v>
      </c>
      <c r="C1869" s="1" t="n">
        <v>45883</v>
      </c>
      <c r="D1869" t="inlineStr">
        <is>
          <t>GÄVLEBORGS LÄN</t>
        </is>
      </c>
      <c r="E1869" t="inlineStr">
        <is>
          <t>SÖDERHAMN</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40811-2022</t>
        </is>
      </c>
      <c r="B1870" s="1" t="n">
        <v>44824</v>
      </c>
      <c r="C1870" s="1" t="n">
        <v>45883</v>
      </c>
      <c r="D1870" t="inlineStr">
        <is>
          <t>GÄVLEBORGS LÄN</t>
        </is>
      </c>
      <c r="E1870" t="inlineStr">
        <is>
          <t>SÖDERHAMN</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6219-2025</t>
        </is>
      </c>
      <c r="B1871" s="1" t="n">
        <v>45698.53550925926</v>
      </c>
      <c r="C1871" s="1" t="n">
        <v>45883</v>
      </c>
      <c r="D1871" t="inlineStr">
        <is>
          <t>GÄVLEBORGS LÄN</t>
        </is>
      </c>
      <c r="E1871" t="inlineStr">
        <is>
          <t>BOLLNÄS</t>
        </is>
      </c>
      <c r="G1871" t="n">
        <v>3.7</v>
      </c>
      <c r="H1871" t="n">
        <v>0</v>
      </c>
      <c r="I1871" t="n">
        <v>0</v>
      </c>
      <c r="J1871" t="n">
        <v>0</v>
      </c>
      <c r="K1871" t="n">
        <v>0</v>
      </c>
      <c r="L1871" t="n">
        <v>0</v>
      </c>
      <c r="M1871" t="n">
        <v>0</v>
      </c>
      <c r="N1871" t="n">
        <v>0</v>
      </c>
      <c r="O1871" t="n">
        <v>0</v>
      </c>
      <c r="P1871" t="n">
        <v>0</v>
      </c>
      <c r="Q1871" t="n">
        <v>0</v>
      </c>
      <c r="R1871" s="2" t="inlineStr"/>
    </row>
    <row r="1872" ht="15" customHeight="1">
      <c r="A1872" t="inlineStr">
        <is>
          <t>A 11111-2025</t>
        </is>
      </c>
      <c r="B1872" s="1" t="n">
        <v>45723.61883101852</v>
      </c>
      <c r="C1872" s="1" t="n">
        <v>45883</v>
      </c>
      <c r="D1872" t="inlineStr">
        <is>
          <t>GÄVLEBORGS LÄN</t>
        </is>
      </c>
      <c r="E1872" t="inlineStr">
        <is>
          <t>OCKELBO</t>
        </is>
      </c>
      <c r="G1872" t="n">
        <v>10</v>
      </c>
      <c r="H1872" t="n">
        <v>0</v>
      </c>
      <c r="I1872" t="n">
        <v>0</v>
      </c>
      <c r="J1872" t="n">
        <v>0</v>
      </c>
      <c r="K1872" t="n">
        <v>0</v>
      </c>
      <c r="L1872" t="n">
        <v>0</v>
      </c>
      <c r="M1872" t="n">
        <v>0</v>
      </c>
      <c r="N1872" t="n">
        <v>0</v>
      </c>
      <c r="O1872" t="n">
        <v>0</v>
      </c>
      <c r="P1872" t="n">
        <v>0</v>
      </c>
      <c r="Q1872" t="n">
        <v>0</v>
      </c>
      <c r="R1872" s="2" t="inlineStr"/>
    </row>
    <row r="1873" ht="15" customHeight="1">
      <c r="A1873" t="inlineStr">
        <is>
          <t>A 20407-2023</t>
        </is>
      </c>
      <c r="B1873" s="1" t="n">
        <v>45056.63667824074</v>
      </c>
      <c r="C1873" s="1" t="n">
        <v>45883</v>
      </c>
      <c r="D1873" t="inlineStr">
        <is>
          <t>GÄVLEBORGS LÄN</t>
        </is>
      </c>
      <c r="E1873" t="inlineStr">
        <is>
          <t>OCKELBO</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42118-2022</t>
        </is>
      </c>
      <c r="B1874" s="1" t="n">
        <v>44830.5665162037</v>
      </c>
      <c r="C1874" s="1" t="n">
        <v>45883</v>
      </c>
      <c r="D1874" t="inlineStr">
        <is>
          <t>GÄVLEBORGS LÄN</t>
        </is>
      </c>
      <c r="E1874" t="inlineStr">
        <is>
          <t>NORDANSTIG</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34944-2024</t>
        </is>
      </c>
      <c r="B1875" s="1" t="n">
        <v>45527.46929398148</v>
      </c>
      <c r="C1875" s="1" t="n">
        <v>45883</v>
      </c>
      <c r="D1875" t="inlineStr">
        <is>
          <t>GÄVLEBORGS LÄN</t>
        </is>
      </c>
      <c r="E1875" t="inlineStr">
        <is>
          <t>OCKELBO</t>
        </is>
      </c>
      <c r="F1875" t="inlineStr">
        <is>
          <t>Bergvik skog väst AB</t>
        </is>
      </c>
      <c r="G1875" t="n">
        <v>12.2</v>
      </c>
      <c r="H1875" t="n">
        <v>0</v>
      </c>
      <c r="I1875" t="n">
        <v>0</v>
      </c>
      <c r="J1875" t="n">
        <v>0</v>
      </c>
      <c r="K1875" t="n">
        <v>0</v>
      </c>
      <c r="L1875" t="n">
        <v>0</v>
      </c>
      <c r="M1875" t="n">
        <v>0</v>
      </c>
      <c r="N1875" t="n">
        <v>0</v>
      </c>
      <c r="O1875" t="n">
        <v>0</v>
      </c>
      <c r="P1875" t="n">
        <v>0</v>
      </c>
      <c r="Q1875" t="n">
        <v>0</v>
      </c>
      <c r="R1875" s="2" t="inlineStr"/>
    </row>
    <row r="1876" ht="15" customHeight="1">
      <c r="A1876" t="inlineStr">
        <is>
          <t>A 6194-2025</t>
        </is>
      </c>
      <c r="B1876" s="1" t="n">
        <v>45698.46994212963</v>
      </c>
      <c r="C1876" s="1" t="n">
        <v>45883</v>
      </c>
      <c r="D1876" t="inlineStr">
        <is>
          <t>GÄVLEBORGS LÄN</t>
        </is>
      </c>
      <c r="E1876" t="inlineStr">
        <is>
          <t>OCKELBO</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66490-2020</t>
        </is>
      </c>
      <c r="B1877" s="1" t="n">
        <v>44177</v>
      </c>
      <c r="C1877" s="1" t="n">
        <v>45883</v>
      </c>
      <c r="D1877" t="inlineStr">
        <is>
          <t>GÄVLEBORGS LÄN</t>
        </is>
      </c>
      <c r="E1877" t="inlineStr">
        <is>
          <t>HUDIKSVALL</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20312-2025</t>
        </is>
      </c>
      <c r="B1878" s="1" t="n">
        <v>45775.30450231482</v>
      </c>
      <c r="C1878" s="1" t="n">
        <v>45883</v>
      </c>
      <c r="D1878" t="inlineStr">
        <is>
          <t>GÄVLEBORGS LÄN</t>
        </is>
      </c>
      <c r="E1878" t="inlineStr">
        <is>
          <t>SÖDERHAMN</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25583-2021</t>
        </is>
      </c>
      <c r="B1879" s="1" t="n">
        <v>44343</v>
      </c>
      <c r="C1879" s="1" t="n">
        <v>45883</v>
      </c>
      <c r="D1879" t="inlineStr">
        <is>
          <t>GÄVLEBORGS LÄN</t>
        </is>
      </c>
      <c r="E1879" t="inlineStr">
        <is>
          <t>OCKELBO</t>
        </is>
      </c>
      <c r="F1879" t="inlineStr">
        <is>
          <t>Bergvik skog väst AB</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52320-2022</t>
        </is>
      </c>
      <c r="B1880" s="1" t="n">
        <v>44873</v>
      </c>
      <c r="C1880" s="1" t="n">
        <v>45883</v>
      </c>
      <c r="D1880" t="inlineStr">
        <is>
          <t>GÄVLEBORGS LÄN</t>
        </is>
      </c>
      <c r="E1880" t="inlineStr">
        <is>
          <t>HOFORS</t>
        </is>
      </c>
      <c r="G1880" t="n">
        <v>6.1</v>
      </c>
      <c r="H1880" t="n">
        <v>0</v>
      </c>
      <c r="I1880" t="n">
        <v>0</v>
      </c>
      <c r="J1880" t="n">
        <v>0</v>
      </c>
      <c r="K1880" t="n">
        <v>0</v>
      </c>
      <c r="L1880" t="n">
        <v>0</v>
      </c>
      <c r="M1880" t="n">
        <v>0</v>
      </c>
      <c r="N1880" t="n">
        <v>0</v>
      </c>
      <c r="O1880" t="n">
        <v>0</v>
      </c>
      <c r="P1880" t="n">
        <v>0</v>
      </c>
      <c r="Q1880" t="n">
        <v>0</v>
      </c>
      <c r="R1880" s="2" t="inlineStr"/>
    </row>
    <row r="1881" ht="15" customHeight="1">
      <c r="A1881" t="inlineStr">
        <is>
          <t>A 28649-2022</t>
        </is>
      </c>
      <c r="B1881" s="1" t="n">
        <v>44748</v>
      </c>
      <c r="C1881" s="1" t="n">
        <v>45883</v>
      </c>
      <c r="D1881" t="inlineStr">
        <is>
          <t>GÄVLEBORGS LÄN</t>
        </is>
      </c>
      <c r="E1881" t="inlineStr">
        <is>
          <t>SÖDERHAMN</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36408-2024</t>
        </is>
      </c>
      <c r="B1882" s="1" t="n">
        <v>45535.83627314815</v>
      </c>
      <c r="C1882" s="1" t="n">
        <v>45883</v>
      </c>
      <c r="D1882" t="inlineStr">
        <is>
          <t>GÄVLEBORGS LÄN</t>
        </is>
      </c>
      <c r="E1882" t="inlineStr">
        <is>
          <t>HUDIKSVALL</t>
        </is>
      </c>
      <c r="F1882" t="inlineStr">
        <is>
          <t>Holmen skog AB</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57337-2021</t>
        </is>
      </c>
      <c r="B1883" s="1" t="n">
        <v>44483.4696875</v>
      </c>
      <c r="C1883" s="1" t="n">
        <v>45883</v>
      </c>
      <c r="D1883" t="inlineStr">
        <is>
          <t>GÄVLEBORGS LÄN</t>
        </is>
      </c>
      <c r="E1883" t="inlineStr">
        <is>
          <t>BOLLNÄS</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4813-2022</t>
        </is>
      </c>
      <c r="B1884" s="1" t="n">
        <v>44592</v>
      </c>
      <c r="C1884" s="1" t="n">
        <v>45883</v>
      </c>
      <c r="D1884" t="inlineStr">
        <is>
          <t>GÄVLEBORGS LÄN</t>
        </is>
      </c>
      <c r="E1884" t="inlineStr">
        <is>
          <t>LJUSDAL</t>
        </is>
      </c>
      <c r="F1884" t="inlineStr">
        <is>
          <t>Sveaskog</t>
        </is>
      </c>
      <c r="G1884" t="n">
        <v>0.1</v>
      </c>
      <c r="H1884" t="n">
        <v>0</v>
      </c>
      <c r="I1884" t="n">
        <v>0</v>
      </c>
      <c r="J1884" t="n">
        <v>0</v>
      </c>
      <c r="K1884" t="n">
        <v>0</v>
      </c>
      <c r="L1884" t="n">
        <v>0</v>
      </c>
      <c r="M1884" t="n">
        <v>0</v>
      </c>
      <c r="N1884" t="n">
        <v>0</v>
      </c>
      <c r="O1884" t="n">
        <v>0</v>
      </c>
      <c r="P1884" t="n">
        <v>0</v>
      </c>
      <c r="Q1884" t="n">
        <v>0</v>
      </c>
      <c r="R1884" s="2" t="inlineStr"/>
    </row>
    <row r="1885" ht="15" customHeight="1">
      <c r="A1885" t="inlineStr">
        <is>
          <t>A 30422-2023</t>
        </is>
      </c>
      <c r="B1885" s="1" t="n">
        <v>45111.53038194445</v>
      </c>
      <c r="C1885" s="1" t="n">
        <v>45883</v>
      </c>
      <c r="D1885" t="inlineStr">
        <is>
          <t>GÄVLEBORGS LÄN</t>
        </is>
      </c>
      <c r="E1885" t="inlineStr">
        <is>
          <t>OCKELBO</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50347-2022</t>
        </is>
      </c>
      <c r="B1886" s="1" t="n">
        <v>44866.29783564815</v>
      </c>
      <c r="C1886" s="1" t="n">
        <v>45883</v>
      </c>
      <c r="D1886" t="inlineStr">
        <is>
          <t>GÄVLEBORGS LÄN</t>
        </is>
      </c>
      <c r="E1886" t="inlineStr">
        <is>
          <t>LJUSDAL</t>
        </is>
      </c>
      <c r="F1886" t="inlineStr">
        <is>
          <t>Holmen skog AB</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42351-2020</t>
        </is>
      </c>
      <c r="B1887" s="1" t="n">
        <v>44076</v>
      </c>
      <c r="C1887" s="1" t="n">
        <v>45883</v>
      </c>
      <c r="D1887" t="inlineStr">
        <is>
          <t>GÄVLEBORGS LÄN</t>
        </is>
      </c>
      <c r="E1887" t="inlineStr">
        <is>
          <t>GÄVLE</t>
        </is>
      </c>
      <c r="G1887" t="n">
        <v>10.6</v>
      </c>
      <c r="H1887" t="n">
        <v>0</v>
      </c>
      <c r="I1887" t="n">
        <v>0</v>
      </c>
      <c r="J1887" t="n">
        <v>0</v>
      </c>
      <c r="K1887" t="n">
        <v>0</v>
      </c>
      <c r="L1887" t="n">
        <v>0</v>
      </c>
      <c r="M1887" t="n">
        <v>0</v>
      </c>
      <c r="N1887" t="n">
        <v>0</v>
      </c>
      <c r="O1887" t="n">
        <v>0</v>
      </c>
      <c r="P1887" t="n">
        <v>0</v>
      </c>
      <c r="Q1887" t="n">
        <v>0</v>
      </c>
      <c r="R1887" s="2" t="inlineStr"/>
    </row>
    <row r="1888" ht="15" customHeight="1">
      <c r="A1888" t="inlineStr">
        <is>
          <t>A 58874-2021</t>
        </is>
      </c>
      <c r="B1888" s="1" t="n">
        <v>44489</v>
      </c>
      <c r="C1888" s="1" t="n">
        <v>45883</v>
      </c>
      <c r="D1888" t="inlineStr">
        <is>
          <t>GÄVLEBORGS LÄN</t>
        </is>
      </c>
      <c r="E1888" t="inlineStr">
        <is>
          <t>LJUSDAL</t>
        </is>
      </c>
      <c r="F1888" t="inlineStr">
        <is>
          <t>Holmen skog AB</t>
        </is>
      </c>
      <c r="G1888" t="n">
        <v>17.2</v>
      </c>
      <c r="H1888" t="n">
        <v>0</v>
      </c>
      <c r="I1888" t="n">
        <v>0</v>
      </c>
      <c r="J1888" t="n">
        <v>0</v>
      </c>
      <c r="K1888" t="n">
        <v>0</v>
      </c>
      <c r="L1888" t="n">
        <v>0</v>
      </c>
      <c r="M1888" t="n">
        <v>0</v>
      </c>
      <c r="N1888" t="n">
        <v>0</v>
      </c>
      <c r="O1888" t="n">
        <v>0</v>
      </c>
      <c r="P1888" t="n">
        <v>0</v>
      </c>
      <c r="Q1888" t="n">
        <v>0</v>
      </c>
      <c r="R1888" s="2" t="inlineStr"/>
    </row>
    <row r="1889" ht="15" customHeight="1">
      <c r="A1889" t="inlineStr">
        <is>
          <t>A 59773-2023</t>
        </is>
      </c>
      <c r="B1889" s="1" t="n">
        <v>45257.42979166667</v>
      </c>
      <c r="C1889" s="1" t="n">
        <v>45883</v>
      </c>
      <c r="D1889" t="inlineStr">
        <is>
          <t>GÄVLEBORGS LÄN</t>
        </is>
      </c>
      <c r="E1889" t="inlineStr">
        <is>
          <t>HUDIKSVALL</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6792-2024</t>
        </is>
      </c>
      <c r="B1890" s="1" t="n">
        <v>45342</v>
      </c>
      <c r="C1890" s="1" t="n">
        <v>45883</v>
      </c>
      <c r="D1890" t="inlineStr">
        <is>
          <t>GÄVLEBORGS LÄN</t>
        </is>
      </c>
      <c r="E1890" t="inlineStr">
        <is>
          <t>SÖDERHAMN</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6872-2024</t>
        </is>
      </c>
      <c r="B1891" s="1" t="n">
        <v>45342</v>
      </c>
      <c r="C1891" s="1" t="n">
        <v>45883</v>
      </c>
      <c r="D1891" t="inlineStr">
        <is>
          <t>GÄVLEBORGS LÄN</t>
        </is>
      </c>
      <c r="E1891" t="inlineStr">
        <is>
          <t>HUDIKSVALL</t>
        </is>
      </c>
      <c r="F1891" t="inlineStr">
        <is>
          <t>Holmen skog AB</t>
        </is>
      </c>
      <c r="G1891" t="n">
        <v>8.300000000000001</v>
      </c>
      <c r="H1891" t="n">
        <v>0</v>
      </c>
      <c r="I1891" t="n">
        <v>0</v>
      </c>
      <c r="J1891" t="n">
        <v>0</v>
      </c>
      <c r="K1891" t="n">
        <v>0</v>
      </c>
      <c r="L1891" t="n">
        <v>0</v>
      </c>
      <c r="M1891" t="n">
        <v>0</v>
      </c>
      <c r="N1891" t="n">
        <v>0</v>
      </c>
      <c r="O1891" t="n">
        <v>0</v>
      </c>
      <c r="P1891" t="n">
        <v>0</v>
      </c>
      <c r="Q1891" t="n">
        <v>0</v>
      </c>
      <c r="R1891" s="2" t="inlineStr"/>
    </row>
    <row r="1892" ht="15" customHeight="1">
      <c r="A1892" t="inlineStr">
        <is>
          <t>A 40027-2020</t>
        </is>
      </c>
      <c r="B1892" s="1" t="n">
        <v>44067</v>
      </c>
      <c r="C1892" s="1" t="n">
        <v>45883</v>
      </c>
      <c r="D1892" t="inlineStr">
        <is>
          <t>GÄVLEBORGS LÄN</t>
        </is>
      </c>
      <c r="E1892" t="inlineStr">
        <is>
          <t>SANDVIKEN</t>
        </is>
      </c>
      <c r="F1892" t="inlineStr">
        <is>
          <t>Sveaskog</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40034-2020</t>
        </is>
      </c>
      <c r="B1893" s="1" t="n">
        <v>44067</v>
      </c>
      <c r="C1893" s="1" t="n">
        <v>45883</v>
      </c>
      <c r="D1893" t="inlineStr">
        <is>
          <t>GÄVLEBORGS LÄN</t>
        </is>
      </c>
      <c r="E1893" t="inlineStr">
        <is>
          <t>SANDVIKEN</t>
        </is>
      </c>
      <c r="F1893" t="inlineStr">
        <is>
          <t>Sveaskog</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67931-2021</t>
        </is>
      </c>
      <c r="B1894" s="1" t="n">
        <v>44525.61733796296</v>
      </c>
      <c r="C1894" s="1" t="n">
        <v>45883</v>
      </c>
      <c r="D1894" t="inlineStr">
        <is>
          <t>GÄVLEBORGS LÄN</t>
        </is>
      </c>
      <c r="E1894" t="inlineStr">
        <is>
          <t>NORDANSTIG</t>
        </is>
      </c>
      <c r="F1894" t="inlineStr">
        <is>
          <t>Holmen skog AB</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68728-2020</t>
        </is>
      </c>
      <c r="B1895" s="1" t="n">
        <v>44187</v>
      </c>
      <c r="C1895" s="1" t="n">
        <v>45883</v>
      </c>
      <c r="D1895" t="inlineStr">
        <is>
          <t>GÄVLEBORGS LÄN</t>
        </is>
      </c>
      <c r="E1895" t="inlineStr">
        <is>
          <t>HUDIKSVALL</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612-2024</t>
        </is>
      </c>
      <c r="B1896" s="1" t="n">
        <v>45299.65355324074</v>
      </c>
      <c r="C1896" s="1" t="n">
        <v>45883</v>
      </c>
      <c r="D1896" t="inlineStr">
        <is>
          <t>GÄVLEBORGS LÄN</t>
        </is>
      </c>
      <c r="E1896" t="inlineStr">
        <is>
          <t>LJUSDAL</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31773-2022</t>
        </is>
      </c>
      <c r="B1897" s="1" t="n">
        <v>44776</v>
      </c>
      <c r="C1897" s="1" t="n">
        <v>45883</v>
      </c>
      <c r="D1897" t="inlineStr">
        <is>
          <t>GÄVLEBORGS LÄN</t>
        </is>
      </c>
      <c r="E1897" t="inlineStr">
        <is>
          <t>GÄVLE</t>
        </is>
      </c>
      <c r="F1897" t="inlineStr">
        <is>
          <t>Bergvik skog väst AB</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23400-2022</t>
        </is>
      </c>
      <c r="B1898" s="1" t="n">
        <v>44720</v>
      </c>
      <c r="C1898" s="1" t="n">
        <v>45883</v>
      </c>
      <c r="D1898" t="inlineStr">
        <is>
          <t>GÄVLEBORGS LÄN</t>
        </is>
      </c>
      <c r="E1898" t="inlineStr">
        <is>
          <t>GÄVLE</t>
        </is>
      </c>
      <c r="F1898" t="inlineStr">
        <is>
          <t>Bergvik skog väst AB</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22129-2023</t>
        </is>
      </c>
      <c r="B1899" s="1" t="n">
        <v>45069</v>
      </c>
      <c r="C1899" s="1" t="n">
        <v>45883</v>
      </c>
      <c r="D1899" t="inlineStr">
        <is>
          <t>GÄVLEBORGS LÄN</t>
        </is>
      </c>
      <c r="E1899" t="inlineStr">
        <is>
          <t>HOFORS</t>
        </is>
      </c>
      <c r="F1899" t="inlineStr">
        <is>
          <t>Sveaskog</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2962-2025</t>
        </is>
      </c>
      <c r="B1900" s="1" t="n">
        <v>45678.45496527778</v>
      </c>
      <c r="C1900" s="1" t="n">
        <v>45883</v>
      </c>
      <c r="D1900" t="inlineStr">
        <is>
          <t>GÄVLEBORGS LÄN</t>
        </is>
      </c>
      <c r="E1900" t="inlineStr">
        <is>
          <t>NORDANSTIG</t>
        </is>
      </c>
      <c r="F1900" t="inlineStr">
        <is>
          <t>Holmen skog AB</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23125-2021</t>
        </is>
      </c>
      <c r="B1901" s="1" t="n">
        <v>44330.69190972222</v>
      </c>
      <c r="C1901" s="1" t="n">
        <v>45883</v>
      </c>
      <c r="D1901" t="inlineStr">
        <is>
          <t>GÄVLEBORGS LÄN</t>
        </is>
      </c>
      <c r="E1901" t="inlineStr">
        <is>
          <t>SÖDERHAMN</t>
        </is>
      </c>
      <c r="G1901" t="n">
        <v>9.5</v>
      </c>
      <c r="H1901" t="n">
        <v>0</v>
      </c>
      <c r="I1901" t="n">
        <v>0</v>
      </c>
      <c r="J1901" t="n">
        <v>0</v>
      </c>
      <c r="K1901" t="n">
        <v>0</v>
      </c>
      <c r="L1901" t="n">
        <v>0</v>
      </c>
      <c r="M1901" t="n">
        <v>0</v>
      </c>
      <c r="N1901" t="n">
        <v>0</v>
      </c>
      <c r="O1901" t="n">
        <v>0</v>
      </c>
      <c r="P1901" t="n">
        <v>0</v>
      </c>
      <c r="Q1901" t="n">
        <v>0</v>
      </c>
      <c r="R1901" s="2" t="inlineStr"/>
    </row>
    <row r="1902" ht="15" customHeight="1">
      <c r="A1902" t="inlineStr">
        <is>
          <t>A 34930-2021</t>
        </is>
      </c>
      <c r="B1902" s="1" t="n">
        <v>44383.56744212963</v>
      </c>
      <c r="C1902" s="1" t="n">
        <v>45883</v>
      </c>
      <c r="D1902" t="inlineStr">
        <is>
          <t>GÄVLEBORGS LÄN</t>
        </is>
      </c>
      <c r="E1902" t="inlineStr">
        <is>
          <t>SANDVIKEN</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62123-2024</t>
        </is>
      </c>
      <c r="B1903" s="1" t="n">
        <v>45646</v>
      </c>
      <c r="C1903" s="1" t="n">
        <v>45883</v>
      </c>
      <c r="D1903" t="inlineStr">
        <is>
          <t>GÄVLEBORGS LÄN</t>
        </is>
      </c>
      <c r="E1903" t="inlineStr">
        <is>
          <t>BOLLNÄS</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52763-2022</t>
        </is>
      </c>
      <c r="B1904" s="1" t="n">
        <v>44875.32665509259</v>
      </c>
      <c r="C1904" s="1" t="n">
        <v>45883</v>
      </c>
      <c r="D1904" t="inlineStr">
        <is>
          <t>GÄVLEBORGS LÄN</t>
        </is>
      </c>
      <c r="E1904" t="inlineStr">
        <is>
          <t>SANDVIKEN</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52765-2022</t>
        </is>
      </c>
      <c r="B1905" s="1" t="n">
        <v>44875</v>
      </c>
      <c r="C1905" s="1" t="n">
        <v>45883</v>
      </c>
      <c r="D1905" t="inlineStr">
        <is>
          <t>GÄVLEBORGS LÄN</t>
        </is>
      </c>
      <c r="E1905" t="inlineStr">
        <is>
          <t>SANDVIKEN</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3427-2021</t>
        </is>
      </c>
      <c r="B1906" s="1" t="n">
        <v>44218</v>
      </c>
      <c r="C1906" s="1" t="n">
        <v>45883</v>
      </c>
      <c r="D1906" t="inlineStr">
        <is>
          <t>GÄVLEBORGS LÄN</t>
        </is>
      </c>
      <c r="E1906" t="inlineStr">
        <is>
          <t>SÖDERHAMN</t>
        </is>
      </c>
      <c r="G1906" t="n">
        <v>5.9</v>
      </c>
      <c r="H1906" t="n">
        <v>0</v>
      </c>
      <c r="I1906" t="n">
        <v>0</v>
      </c>
      <c r="J1906" t="n">
        <v>0</v>
      </c>
      <c r="K1906" t="n">
        <v>0</v>
      </c>
      <c r="L1906" t="n">
        <v>0</v>
      </c>
      <c r="M1906" t="n">
        <v>0</v>
      </c>
      <c r="N1906" t="n">
        <v>0</v>
      </c>
      <c r="O1906" t="n">
        <v>0</v>
      </c>
      <c r="P1906" t="n">
        <v>0</v>
      </c>
      <c r="Q1906" t="n">
        <v>0</v>
      </c>
      <c r="R1906" s="2" t="inlineStr"/>
    </row>
    <row r="1907" ht="15" customHeight="1">
      <c r="A1907" t="inlineStr">
        <is>
          <t>A 3456-2021</t>
        </is>
      </c>
      <c r="B1907" s="1" t="n">
        <v>44218.56082175926</v>
      </c>
      <c r="C1907" s="1" t="n">
        <v>45883</v>
      </c>
      <c r="D1907" t="inlineStr">
        <is>
          <t>GÄVLEBORGS LÄN</t>
        </is>
      </c>
      <c r="E1907" t="inlineStr">
        <is>
          <t>NORDANSTIG</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6617-2025</t>
        </is>
      </c>
      <c r="B1908" s="1" t="n">
        <v>45700</v>
      </c>
      <c r="C1908" s="1" t="n">
        <v>45883</v>
      </c>
      <c r="D1908" t="inlineStr">
        <is>
          <t>GÄVLEBORGS LÄN</t>
        </is>
      </c>
      <c r="E1908" t="inlineStr">
        <is>
          <t>OCKELBO</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8027-2024</t>
        </is>
      </c>
      <c r="B1909" s="1" t="n">
        <v>45350</v>
      </c>
      <c r="C1909" s="1" t="n">
        <v>45883</v>
      </c>
      <c r="D1909" t="inlineStr">
        <is>
          <t>GÄVLEBORGS LÄN</t>
        </is>
      </c>
      <c r="E1909" t="inlineStr">
        <is>
          <t>HUDIKSVALL</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16849-2023</t>
        </is>
      </c>
      <c r="B1910" s="1" t="n">
        <v>45033</v>
      </c>
      <c r="C1910" s="1" t="n">
        <v>45883</v>
      </c>
      <c r="D1910" t="inlineStr">
        <is>
          <t>GÄVLEBORGS LÄN</t>
        </is>
      </c>
      <c r="E1910" t="inlineStr">
        <is>
          <t>HUDIKSVALL</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1887-2025</t>
        </is>
      </c>
      <c r="B1911" s="1" t="n">
        <v>45671.63185185185</v>
      </c>
      <c r="C1911" s="1" t="n">
        <v>45883</v>
      </c>
      <c r="D1911" t="inlineStr">
        <is>
          <t>GÄVLEBORGS LÄN</t>
        </is>
      </c>
      <c r="E1911" t="inlineStr">
        <is>
          <t>HUDIKSVALL</t>
        </is>
      </c>
      <c r="F1911" t="inlineStr">
        <is>
          <t>Holmen skog AB</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48139-2023</t>
        </is>
      </c>
      <c r="B1912" s="1" t="n">
        <v>45205.3875</v>
      </c>
      <c r="C1912" s="1" t="n">
        <v>45883</v>
      </c>
      <c r="D1912" t="inlineStr">
        <is>
          <t>GÄVLEBORGS LÄN</t>
        </is>
      </c>
      <c r="E1912" t="inlineStr">
        <is>
          <t>SÖDERHAMN</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48148-2023</t>
        </is>
      </c>
      <c r="B1913" s="1" t="n">
        <v>45205.40086805556</v>
      </c>
      <c r="C1913" s="1" t="n">
        <v>45883</v>
      </c>
      <c r="D1913" t="inlineStr">
        <is>
          <t>GÄVLEBORGS LÄN</t>
        </is>
      </c>
      <c r="E1913" t="inlineStr">
        <is>
          <t>OCKELBO</t>
        </is>
      </c>
      <c r="F1913" t="inlineStr">
        <is>
          <t>Kyrkan</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12471-2025</t>
        </is>
      </c>
      <c r="B1914" s="1" t="n">
        <v>45730.54971064815</v>
      </c>
      <c r="C1914" s="1" t="n">
        <v>45883</v>
      </c>
      <c r="D1914" t="inlineStr">
        <is>
          <t>GÄVLEBORGS LÄN</t>
        </is>
      </c>
      <c r="E1914" t="inlineStr">
        <is>
          <t>GÄVLE</t>
        </is>
      </c>
      <c r="F1914" t="inlineStr">
        <is>
          <t>Bergvik skog öst AB</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4235-2025</t>
        </is>
      </c>
      <c r="B1915" s="1" t="n">
        <v>45685.56496527778</v>
      </c>
      <c r="C1915" s="1" t="n">
        <v>45883</v>
      </c>
      <c r="D1915" t="inlineStr">
        <is>
          <t>GÄVLEBORGS LÄN</t>
        </is>
      </c>
      <c r="E1915" t="inlineStr">
        <is>
          <t>GÄVLE</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37686-2024</t>
        </is>
      </c>
      <c r="B1916" s="1" t="n">
        <v>45541.59466435185</v>
      </c>
      <c r="C1916" s="1" t="n">
        <v>45883</v>
      </c>
      <c r="D1916" t="inlineStr">
        <is>
          <t>GÄVLEBORGS LÄN</t>
        </is>
      </c>
      <c r="E1916" t="inlineStr">
        <is>
          <t>NORDANSTIG</t>
        </is>
      </c>
      <c r="F1916" t="inlineStr">
        <is>
          <t>Holmen skog AB</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49493-2022</t>
        </is>
      </c>
      <c r="B1917" s="1" t="n">
        <v>44861</v>
      </c>
      <c r="C1917" s="1" t="n">
        <v>45883</v>
      </c>
      <c r="D1917" t="inlineStr">
        <is>
          <t>GÄVLEBORGS LÄN</t>
        </is>
      </c>
      <c r="E1917" t="inlineStr">
        <is>
          <t>SANDVIKEN</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9412-2025</t>
        </is>
      </c>
      <c r="B1918" s="1" t="n">
        <v>45715.39028935185</v>
      </c>
      <c r="C1918" s="1" t="n">
        <v>45883</v>
      </c>
      <c r="D1918" t="inlineStr">
        <is>
          <t>GÄVLEBORGS LÄN</t>
        </is>
      </c>
      <c r="E1918" t="inlineStr">
        <is>
          <t>GÄVLE</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29285-2021</t>
        </is>
      </c>
      <c r="B1919" s="1" t="n">
        <v>44361.37318287037</v>
      </c>
      <c r="C1919" s="1" t="n">
        <v>45883</v>
      </c>
      <c r="D1919" t="inlineStr">
        <is>
          <t>GÄVLEBORGS LÄN</t>
        </is>
      </c>
      <c r="E1919" t="inlineStr">
        <is>
          <t>LJUSDAL</t>
        </is>
      </c>
      <c r="G1919" t="n">
        <v>6</v>
      </c>
      <c r="H1919" t="n">
        <v>0</v>
      </c>
      <c r="I1919" t="n">
        <v>0</v>
      </c>
      <c r="J1919" t="n">
        <v>0</v>
      </c>
      <c r="K1919" t="n">
        <v>0</v>
      </c>
      <c r="L1919" t="n">
        <v>0</v>
      </c>
      <c r="M1919" t="n">
        <v>0</v>
      </c>
      <c r="N1919" t="n">
        <v>0</v>
      </c>
      <c r="O1919" t="n">
        <v>0</v>
      </c>
      <c r="P1919" t="n">
        <v>0</v>
      </c>
      <c r="Q1919" t="n">
        <v>0</v>
      </c>
      <c r="R1919" s="2" t="inlineStr"/>
    </row>
    <row r="1920" ht="15" customHeight="1">
      <c r="A1920" t="inlineStr">
        <is>
          <t>A 38305-2020</t>
        </is>
      </c>
      <c r="B1920" s="1" t="n">
        <v>44060</v>
      </c>
      <c r="C1920" s="1" t="n">
        <v>45883</v>
      </c>
      <c r="D1920" t="inlineStr">
        <is>
          <t>GÄVLEBORGS LÄN</t>
        </is>
      </c>
      <c r="E1920" t="inlineStr">
        <is>
          <t>GÄVLE</t>
        </is>
      </c>
      <c r="F1920" t="inlineStr">
        <is>
          <t>Bergvik skog öst AB</t>
        </is>
      </c>
      <c r="G1920" t="n">
        <v>10</v>
      </c>
      <c r="H1920" t="n">
        <v>0</v>
      </c>
      <c r="I1920" t="n">
        <v>0</v>
      </c>
      <c r="J1920" t="n">
        <v>0</v>
      </c>
      <c r="K1920" t="n">
        <v>0</v>
      </c>
      <c r="L1920" t="n">
        <v>0</v>
      </c>
      <c r="M1920" t="n">
        <v>0</v>
      </c>
      <c r="N1920" t="n">
        <v>0</v>
      </c>
      <c r="O1920" t="n">
        <v>0</v>
      </c>
      <c r="P1920" t="n">
        <v>0</v>
      </c>
      <c r="Q1920" t="n">
        <v>0</v>
      </c>
      <c r="R1920" s="2" t="inlineStr"/>
    </row>
    <row r="1921" ht="15" customHeight="1">
      <c r="A1921" t="inlineStr">
        <is>
          <t>A 29326-2021</t>
        </is>
      </c>
      <c r="B1921" s="1" t="n">
        <v>44361</v>
      </c>
      <c r="C1921" s="1" t="n">
        <v>45883</v>
      </c>
      <c r="D1921" t="inlineStr">
        <is>
          <t>GÄVLEBORGS LÄN</t>
        </is>
      </c>
      <c r="E1921" t="inlineStr">
        <is>
          <t>LJUSDAL</t>
        </is>
      </c>
      <c r="G1921" t="n">
        <v>7.9</v>
      </c>
      <c r="H1921" t="n">
        <v>0</v>
      </c>
      <c r="I1921" t="n">
        <v>0</v>
      </c>
      <c r="J1921" t="n">
        <v>0</v>
      </c>
      <c r="K1921" t="n">
        <v>0</v>
      </c>
      <c r="L1921" t="n">
        <v>0</v>
      </c>
      <c r="M1921" t="n">
        <v>0</v>
      </c>
      <c r="N1921" t="n">
        <v>0</v>
      </c>
      <c r="O1921" t="n">
        <v>0</v>
      </c>
      <c r="P1921" t="n">
        <v>0</v>
      </c>
      <c r="Q1921" t="n">
        <v>0</v>
      </c>
      <c r="R1921" s="2" t="inlineStr"/>
    </row>
    <row r="1922" ht="15" customHeight="1">
      <c r="A1922" t="inlineStr">
        <is>
          <t>A 9427-2024</t>
        </is>
      </c>
      <c r="B1922" s="1" t="n">
        <v>45359.46438657407</v>
      </c>
      <c r="C1922" s="1" t="n">
        <v>45883</v>
      </c>
      <c r="D1922" t="inlineStr">
        <is>
          <t>GÄVLEBORGS LÄN</t>
        </is>
      </c>
      <c r="E1922" t="inlineStr">
        <is>
          <t>HUDIKSVALL</t>
        </is>
      </c>
      <c r="F1922" t="inlineStr">
        <is>
          <t>Holmen skog AB</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9452-2025</t>
        </is>
      </c>
      <c r="B1923" s="1" t="n">
        <v>45715.42872685185</v>
      </c>
      <c r="C1923" s="1" t="n">
        <v>45883</v>
      </c>
      <c r="D1923" t="inlineStr">
        <is>
          <t>GÄVLEBORGS LÄN</t>
        </is>
      </c>
      <c r="E1923" t="inlineStr">
        <is>
          <t>GÄVLE</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9459-2025</t>
        </is>
      </c>
      <c r="B1924" s="1" t="n">
        <v>45715.44862268519</v>
      </c>
      <c r="C1924" s="1" t="n">
        <v>45883</v>
      </c>
      <c r="D1924" t="inlineStr">
        <is>
          <t>GÄVLEBORGS LÄN</t>
        </is>
      </c>
      <c r="E1924" t="inlineStr">
        <is>
          <t>OCKELBO</t>
        </is>
      </c>
      <c r="F1924" t="inlineStr">
        <is>
          <t>Bergvik skog öst AB</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12178-2025</t>
        </is>
      </c>
      <c r="B1925" s="1" t="n">
        <v>45729.45340277778</v>
      </c>
      <c r="C1925" s="1" t="n">
        <v>45883</v>
      </c>
      <c r="D1925" t="inlineStr">
        <is>
          <t>GÄVLEBORGS LÄN</t>
        </is>
      </c>
      <c r="E1925" t="inlineStr">
        <is>
          <t>BOLLNÄS</t>
        </is>
      </c>
      <c r="F1925" t="inlineStr">
        <is>
          <t>Kyrkan</t>
        </is>
      </c>
      <c r="G1925" t="n">
        <v>7</v>
      </c>
      <c r="H1925" t="n">
        <v>0</v>
      </c>
      <c r="I1925" t="n">
        <v>0</v>
      </c>
      <c r="J1925" t="n">
        <v>0</v>
      </c>
      <c r="K1925" t="n">
        <v>0</v>
      </c>
      <c r="L1925" t="n">
        <v>0</v>
      </c>
      <c r="M1925" t="n">
        <v>0</v>
      </c>
      <c r="N1925" t="n">
        <v>0</v>
      </c>
      <c r="O1925" t="n">
        <v>0</v>
      </c>
      <c r="P1925" t="n">
        <v>0</v>
      </c>
      <c r="Q1925" t="n">
        <v>0</v>
      </c>
      <c r="R1925" s="2" t="inlineStr"/>
    </row>
    <row r="1926" ht="15" customHeight="1">
      <c r="A1926" t="inlineStr">
        <is>
          <t>A 5968-2025</t>
        </is>
      </c>
      <c r="B1926" s="1" t="n">
        <v>45695.49866898148</v>
      </c>
      <c r="C1926" s="1" t="n">
        <v>45883</v>
      </c>
      <c r="D1926" t="inlineStr">
        <is>
          <t>GÄVLEBORGS LÄN</t>
        </is>
      </c>
      <c r="E1926" t="inlineStr">
        <is>
          <t>NORDANSTIG</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5979-2025</t>
        </is>
      </c>
      <c r="B1927" s="1" t="n">
        <v>45695.54638888889</v>
      </c>
      <c r="C1927" s="1" t="n">
        <v>45883</v>
      </c>
      <c r="D1927" t="inlineStr">
        <is>
          <t>GÄVLEBORGS LÄN</t>
        </is>
      </c>
      <c r="E1927" t="inlineStr">
        <is>
          <t>OVANÅKER</t>
        </is>
      </c>
      <c r="G1927" t="n">
        <v>8.4</v>
      </c>
      <c r="H1927" t="n">
        <v>0</v>
      </c>
      <c r="I1927" t="n">
        <v>0</v>
      </c>
      <c r="J1927" t="n">
        <v>0</v>
      </c>
      <c r="K1927" t="n">
        <v>0</v>
      </c>
      <c r="L1927" t="n">
        <v>0</v>
      </c>
      <c r="M1927" t="n">
        <v>0</v>
      </c>
      <c r="N1927" t="n">
        <v>0</v>
      </c>
      <c r="O1927" t="n">
        <v>0</v>
      </c>
      <c r="P1927" t="n">
        <v>0</v>
      </c>
      <c r="Q1927" t="n">
        <v>0</v>
      </c>
      <c r="R1927" s="2" t="inlineStr"/>
    </row>
    <row r="1928" ht="15" customHeight="1">
      <c r="A1928" t="inlineStr">
        <is>
          <t>A 16731-2025</t>
        </is>
      </c>
      <c r="B1928" s="1" t="n">
        <v>45754.53108796296</v>
      </c>
      <c r="C1928" s="1" t="n">
        <v>45883</v>
      </c>
      <c r="D1928" t="inlineStr">
        <is>
          <t>GÄVLEBORGS LÄN</t>
        </is>
      </c>
      <c r="E1928" t="inlineStr">
        <is>
          <t>SÖDERHAMN</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16737-2025</t>
        </is>
      </c>
      <c r="B1929" s="1" t="n">
        <v>45754.54491898148</v>
      </c>
      <c r="C1929" s="1" t="n">
        <v>45883</v>
      </c>
      <c r="D1929" t="inlineStr">
        <is>
          <t>GÄVLEBORGS LÄN</t>
        </is>
      </c>
      <c r="E1929" t="inlineStr">
        <is>
          <t>OCKELBO</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30330-2021</t>
        </is>
      </c>
      <c r="B1930" s="1" t="n">
        <v>44364.38038194444</v>
      </c>
      <c r="C1930" s="1" t="n">
        <v>45883</v>
      </c>
      <c r="D1930" t="inlineStr">
        <is>
          <t>GÄVLEBORGS LÄN</t>
        </is>
      </c>
      <c r="E1930" t="inlineStr">
        <is>
          <t>GÄVLE</t>
        </is>
      </c>
      <c r="F1930" t="inlineStr">
        <is>
          <t>Bergvik skog öst AB</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54207-2023</t>
        </is>
      </c>
      <c r="B1931" s="1" t="n">
        <v>45232.56643518519</v>
      </c>
      <c r="C1931" s="1" t="n">
        <v>45883</v>
      </c>
      <c r="D1931" t="inlineStr">
        <is>
          <t>GÄVLEBORGS LÄN</t>
        </is>
      </c>
      <c r="E1931" t="inlineStr">
        <is>
          <t>GÄVLE</t>
        </is>
      </c>
      <c r="F1931" t="inlineStr">
        <is>
          <t>Bergvik skog väst AB</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54209-2023</t>
        </is>
      </c>
      <c r="B1932" s="1" t="n">
        <v>45232.56831018518</v>
      </c>
      <c r="C1932" s="1" t="n">
        <v>45883</v>
      </c>
      <c r="D1932" t="inlineStr">
        <is>
          <t>GÄVLEBORGS LÄN</t>
        </is>
      </c>
      <c r="E1932" t="inlineStr">
        <is>
          <t>BOLLNÄS</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26711-2022</t>
        </is>
      </c>
      <c r="B1933" s="1" t="n">
        <v>44739.83524305555</v>
      </c>
      <c r="C1933" s="1" t="n">
        <v>45883</v>
      </c>
      <c r="D1933" t="inlineStr">
        <is>
          <t>GÄVLEBORGS LÄN</t>
        </is>
      </c>
      <c r="E1933" t="inlineStr">
        <is>
          <t>SANDVIKEN</t>
        </is>
      </c>
      <c r="F1933" t="inlineStr">
        <is>
          <t>Sveaskog</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29705-2022</t>
        </is>
      </c>
      <c r="B1934" s="1" t="n">
        <v>44755.40092592593</v>
      </c>
      <c r="C1934" s="1" t="n">
        <v>45883</v>
      </c>
      <c r="D1934" t="inlineStr">
        <is>
          <t>GÄVLEBORGS LÄN</t>
        </is>
      </c>
      <c r="E1934" t="inlineStr">
        <is>
          <t>SANDVIKEN</t>
        </is>
      </c>
      <c r="F1934" t="inlineStr">
        <is>
          <t>Sveaskog</t>
        </is>
      </c>
      <c r="G1934" t="n">
        <v>5.3</v>
      </c>
      <c r="H1934" t="n">
        <v>0</v>
      </c>
      <c r="I1934" t="n">
        <v>0</v>
      </c>
      <c r="J1934" t="n">
        <v>0</v>
      </c>
      <c r="K1934" t="n">
        <v>0</v>
      </c>
      <c r="L1934" t="n">
        <v>0</v>
      </c>
      <c r="M1934" t="n">
        <v>0</v>
      </c>
      <c r="N1934" t="n">
        <v>0</v>
      </c>
      <c r="O1934" t="n">
        <v>0</v>
      </c>
      <c r="P1934" t="n">
        <v>0</v>
      </c>
      <c r="Q1934" t="n">
        <v>0</v>
      </c>
      <c r="R1934" s="2" t="inlineStr"/>
    </row>
    <row r="1935" ht="15" customHeight="1">
      <c r="A1935" t="inlineStr">
        <is>
          <t>A 20351-2025</t>
        </is>
      </c>
      <c r="B1935" s="1" t="n">
        <v>45775.38898148148</v>
      </c>
      <c r="C1935" s="1" t="n">
        <v>45883</v>
      </c>
      <c r="D1935" t="inlineStr">
        <is>
          <t>GÄVLEBORGS LÄN</t>
        </is>
      </c>
      <c r="E1935" t="inlineStr">
        <is>
          <t>LJUSDAL</t>
        </is>
      </c>
      <c r="F1935" t="inlineStr">
        <is>
          <t>Holmen skog AB</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13227-2024</t>
        </is>
      </c>
      <c r="B1936" s="1" t="n">
        <v>45386</v>
      </c>
      <c r="C1936" s="1" t="n">
        <v>45883</v>
      </c>
      <c r="D1936" t="inlineStr">
        <is>
          <t>GÄVLEBORGS LÄN</t>
        </is>
      </c>
      <c r="E1936" t="inlineStr">
        <is>
          <t>GÄVLE</t>
        </is>
      </c>
      <c r="F1936" t="inlineStr">
        <is>
          <t>Övriga statliga verk och myndigheter</t>
        </is>
      </c>
      <c r="G1936" t="n">
        <v>5.9</v>
      </c>
      <c r="H1936" t="n">
        <v>0</v>
      </c>
      <c r="I1936" t="n">
        <v>0</v>
      </c>
      <c r="J1936" t="n">
        <v>0</v>
      </c>
      <c r="K1936" t="n">
        <v>0</v>
      </c>
      <c r="L1936" t="n">
        <v>0</v>
      </c>
      <c r="M1936" t="n">
        <v>0</v>
      </c>
      <c r="N1936" t="n">
        <v>0</v>
      </c>
      <c r="O1936" t="n">
        <v>0</v>
      </c>
      <c r="P1936" t="n">
        <v>0</v>
      </c>
      <c r="Q1936" t="n">
        <v>0</v>
      </c>
      <c r="R1936" s="2" t="inlineStr"/>
    </row>
    <row r="1937" ht="15" customHeight="1">
      <c r="A1937" t="inlineStr">
        <is>
          <t>A 49780-2021</t>
        </is>
      </c>
      <c r="B1937" s="1" t="n">
        <v>44455.57879629629</v>
      </c>
      <c r="C1937" s="1" t="n">
        <v>45883</v>
      </c>
      <c r="D1937" t="inlineStr">
        <is>
          <t>GÄVLEBORGS LÄN</t>
        </is>
      </c>
      <c r="E1937" t="inlineStr">
        <is>
          <t>LJUSDAL</t>
        </is>
      </c>
      <c r="F1937" t="inlineStr">
        <is>
          <t>Holmen skog AB</t>
        </is>
      </c>
      <c r="G1937" t="n">
        <v>5</v>
      </c>
      <c r="H1937" t="n">
        <v>0</v>
      </c>
      <c r="I1937" t="n">
        <v>0</v>
      </c>
      <c r="J1937" t="n">
        <v>0</v>
      </c>
      <c r="K1937" t="n">
        <v>0</v>
      </c>
      <c r="L1937" t="n">
        <v>0</v>
      </c>
      <c r="M1937" t="n">
        <v>0</v>
      </c>
      <c r="N1937" t="n">
        <v>0</v>
      </c>
      <c r="O1937" t="n">
        <v>0</v>
      </c>
      <c r="P1937" t="n">
        <v>0</v>
      </c>
      <c r="Q1937" t="n">
        <v>0</v>
      </c>
      <c r="R1937" s="2" t="inlineStr"/>
    </row>
    <row r="1938" ht="15" customHeight="1">
      <c r="A1938" t="inlineStr">
        <is>
          <t>A 1649-2025</t>
        </is>
      </c>
      <c r="B1938" s="1" t="n">
        <v>45670.6528587963</v>
      </c>
      <c r="C1938" s="1" t="n">
        <v>45883</v>
      </c>
      <c r="D1938" t="inlineStr">
        <is>
          <t>GÄVLEBORGS LÄN</t>
        </is>
      </c>
      <c r="E1938" t="inlineStr">
        <is>
          <t>SÖDERHAMN</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44425-2022</t>
        </is>
      </c>
      <c r="B1939" s="1" t="n">
        <v>44839.92886574074</v>
      </c>
      <c r="C1939" s="1" t="n">
        <v>45883</v>
      </c>
      <c r="D1939" t="inlineStr">
        <is>
          <t>GÄVLEBORGS LÄN</t>
        </is>
      </c>
      <c r="E1939" t="inlineStr">
        <is>
          <t>HUDIKSVALL</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11842-2024</t>
        </is>
      </c>
      <c r="B1940" s="1" t="n">
        <v>45376.3809837963</v>
      </c>
      <c r="C1940" s="1" t="n">
        <v>45883</v>
      </c>
      <c r="D1940" t="inlineStr">
        <is>
          <t>GÄVLEBORGS LÄN</t>
        </is>
      </c>
      <c r="E1940" t="inlineStr">
        <is>
          <t>HUDIKSVALL</t>
        </is>
      </c>
      <c r="G1940" t="n">
        <v>5.1</v>
      </c>
      <c r="H1940" t="n">
        <v>0</v>
      </c>
      <c r="I1940" t="n">
        <v>0</v>
      </c>
      <c r="J1940" t="n">
        <v>0</v>
      </c>
      <c r="K1940" t="n">
        <v>0</v>
      </c>
      <c r="L1940" t="n">
        <v>0</v>
      </c>
      <c r="M1940" t="n">
        <v>0</v>
      </c>
      <c r="N1940" t="n">
        <v>0</v>
      </c>
      <c r="O1940" t="n">
        <v>0</v>
      </c>
      <c r="P1940" t="n">
        <v>0</v>
      </c>
      <c r="Q1940" t="n">
        <v>0</v>
      </c>
      <c r="R1940" s="2" t="inlineStr"/>
    </row>
    <row r="1941" ht="15" customHeight="1">
      <c r="A1941" t="inlineStr">
        <is>
          <t>A 1675-2025</t>
        </is>
      </c>
      <c r="B1941" s="1" t="n">
        <v>45670</v>
      </c>
      <c r="C1941" s="1" t="n">
        <v>45883</v>
      </c>
      <c r="D1941" t="inlineStr">
        <is>
          <t>GÄVLEBORGS LÄN</t>
        </is>
      </c>
      <c r="E1941" t="inlineStr">
        <is>
          <t>SANDVIKEN</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8927-2022</t>
        </is>
      </c>
      <c r="B1942" s="1" t="n">
        <v>44614.67208333333</v>
      </c>
      <c r="C1942" s="1" t="n">
        <v>45883</v>
      </c>
      <c r="D1942" t="inlineStr">
        <is>
          <t>GÄVLEBORGS LÄN</t>
        </is>
      </c>
      <c r="E1942" t="inlineStr">
        <is>
          <t>OVANÅKER</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5190-2025</t>
        </is>
      </c>
      <c r="B1943" s="1" t="n">
        <v>45691.64688657408</v>
      </c>
      <c r="C1943" s="1" t="n">
        <v>45883</v>
      </c>
      <c r="D1943" t="inlineStr">
        <is>
          <t>GÄVLEBORGS LÄN</t>
        </is>
      </c>
      <c r="E1943" t="inlineStr">
        <is>
          <t>HUDIKSVALL</t>
        </is>
      </c>
      <c r="G1943" t="n">
        <v>8.699999999999999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25564-2023</t>
        </is>
      </c>
      <c r="B1944" s="1" t="n">
        <v>45089.60670138889</v>
      </c>
      <c r="C1944" s="1" t="n">
        <v>45883</v>
      </c>
      <c r="D1944" t="inlineStr">
        <is>
          <t>GÄVLEBORGS LÄN</t>
        </is>
      </c>
      <c r="E1944" t="inlineStr">
        <is>
          <t>LJUSDAL</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9989-2025</t>
        </is>
      </c>
      <c r="B1945" s="1" t="n">
        <v>45719.42958333333</v>
      </c>
      <c r="C1945" s="1" t="n">
        <v>45883</v>
      </c>
      <c r="D1945" t="inlineStr">
        <is>
          <t>GÄVLEBORGS LÄN</t>
        </is>
      </c>
      <c r="E1945" t="inlineStr">
        <is>
          <t>HUDIKSVALL</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17256-2024</t>
        </is>
      </c>
      <c r="B1946" s="1" t="n">
        <v>45414.41319444445</v>
      </c>
      <c r="C1946" s="1" t="n">
        <v>45883</v>
      </c>
      <c r="D1946" t="inlineStr">
        <is>
          <t>GÄVLEBORGS LÄN</t>
        </is>
      </c>
      <c r="E1946" t="inlineStr">
        <is>
          <t>SANDVIKEN</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7804-2021</t>
        </is>
      </c>
      <c r="B1947" s="1" t="n">
        <v>44242</v>
      </c>
      <c r="C1947" s="1" t="n">
        <v>45883</v>
      </c>
      <c r="D1947" t="inlineStr">
        <is>
          <t>GÄVLEBORGS LÄN</t>
        </is>
      </c>
      <c r="E1947" t="inlineStr">
        <is>
          <t>NORDANSTIG</t>
        </is>
      </c>
      <c r="F1947" t="inlineStr">
        <is>
          <t>Holmen skog AB</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67180-2021</t>
        </is>
      </c>
      <c r="B1948" s="1" t="n">
        <v>44523.44119212963</v>
      </c>
      <c r="C1948" s="1" t="n">
        <v>45883</v>
      </c>
      <c r="D1948" t="inlineStr">
        <is>
          <t>GÄVLEBORGS LÄN</t>
        </is>
      </c>
      <c r="E1948" t="inlineStr">
        <is>
          <t>SANDVIKEN</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30078-2024</t>
        </is>
      </c>
      <c r="B1949" s="1" t="n">
        <v>45489</v>
      </c>
      <c r="C1949" s="1" t="n">
        <v>45883</v>
      </c>
      <c r="D1949" t="inlineStr">
        <is>
          <t>GÄVLEBORGS LÄN</t>
        </is>
      </c>
      <c r="E1949" t="inlineStr">
        <is>
          <t>NORDANSTIG</t>
        </is>
      </c>
      <c r="F1949" t="inlineStr">
        <is>
          <t>Holmen skog AB</t>
        </is>
      </c>
      <c r="G1949" t="n">
        <v>4.7</v>
      </c>
      <c r="H1949" t="n">
        <v>0</v>
      </c>
      <c r="I1949" t="n">
        <v>0</v>
      </c>
      <c r="J1949" t="n">
        <v>0</v>
      </c>
      <c r="K1949" t="n">
        <v>0</v>
      </c>
      <c r="L1949" t="n">
        <v>0</v>
      </c>
      <c r="M1949" t="n">
        <v>0</v>
      </c>
      <c r="N1949" t="n">
        <v>0</v>
      </c>
      <c r="O1949" t="n">
        <v>0</v>
      </c>
      <c r="P1949" t="n">
        <v>0</v>
      </c>
      <c r="Q1949" t="n">
        <v>0</v>
      </c>
      <c r="R1949" s="2" t="inlineStr"/>
    </row>
    <row r="1950" ht="15" customHeight="1">
      <c r="A1950" t="inlineStr">
        <is>
          <t>A 30104-2024</t>
        </is>
      </c>
      <c r="B1950" s="1" t="n">
        <v>45485</v>
      </c>
      <c r="C1950" s="1" t="n">
        <v>45883</v>
      </c>
      <c r="D1950" t="inlineStr">
        <is>
          <t>GÄVLEBORGS LÄN</t>
        </is>
      </c>
      <c r="E1950" t="inlineStr">
        <is>
          <t>GÄVLE</t>
        </is>
      </c>
      <c r="F1950" t="inlineStr">
        <is>
          <t>Bergvik skog väst AB</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30116-2024</t>
        </is>
      </c>
      <c r="B1951" s="1" t="n">
        <v>45489</v>
      </c>
      <c r="C1951" s="1" t="n">
        <v>45883</v>
      </c>
      <c r="D1951" t="inlineStr">
        <is>
          <t>GÄVLEBORGS LÄN</t>
        </is>
      </c>
      <c r="E1951" t="inlineStr">
        <is>
          <t>HUDIKSVALL</t>
        </is>
      </c>
      <c r="F1951" t="inlineStr">
        <is>
          <t>Holmen skog AB</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43016-2022</t>
        </is>
      </c>
      <c r="B1952" s="1" t="n">
        <v>44833</v>
      </c>
      <c r="C1952" s="1" t="n">
        <v>45883</v>
      </c>
      <c r="D1952" t="inlineStr">
        <is>
          <t>GÄVLEBORGS LÄN</t>
        </is>
      </c>
      <c r="E1952" t="inlineStr">
        <is>
          <t>LJUSDAL</t>
        </is>
      </c>
      <c r="F1952" t="inlineStr">
        <is>
          <t>Naturvårdsverket</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26301-2022</t>
        </is>
      </c>
      <c r="B1953" s="1" t="n">
        <v>44735.5850462963</v>
      </c>
      <c r="C1953" s="1" t="n">
        <v>45883</v>
      </c>
      <c r="D1953" t="inlineStr">
        <is>
          <t>GÄVLEBORGS LÄN</t>
        </is>
      </c>
      <c r="E1953" t="inlineStr">
        <is>
          <t>BOLLNÄS</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43491-2020</t>
        </is>
      </c>
      <c r="B1954" s="1" t="n">
        <v>44082</v>
      </c>
      <c r="C1954" s="1" t="n">
        <v>45883</v>
      </c>
      <c r="D1954" t="inlineStr">
        <is>
          <t>GÄVLEBORGS LÄN</t>
        </is>
      </c>
      <c r="E1954" t="inlineStr">
        <is>
          <t>LJUSDAL</t>
        </is>
      </c>
      <c r="F1954" t="inlineStr">
        <is>
          <t>Sveaskog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18431-2025</t>
        </is>
      </c>
      <c r="B1955" s="1" t="n">
        <v>45762.63586805556</v>
      </c>
      <c r="C1955" s="1" t="n">
        <v>45883</v>
      </c>
      <c r="D1955" t="inlineStr">
        <is>
          <t>GÄVLEBORGS LÄN</t>
        </is>
      </c>
      <c r="E1955" t="inlineStr">
        <is>
          <t>SÖDERHAMN</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226-2025</t>
        </is>
      </c>
      <c r="B1956" s="1" t="n">
        <v>45660</v>
      </c>
      <c r="C1956" s="1" t="n">
        <v>45883</v>
      </c>
      <c r="D1956" t="inlineStr">
        <is>
          <t>GÄVLEBORGS LÄN</t>
        </is>
      </c>
      <c r="E1956" t="inlineStr">
        <is>
          <t>BOLLNÄS</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232-2025</t>
        </is>
      </c>
      <c r="B1957" s="1" t="n">
        <v>45660.37127314815</v>
      </c>
      <c r="C1957" s="1" t="n">
        <v>45883</v>
      </c>
      <c r="D1957" t="inlineStr">
        <is>
          <t>GÄVLEBORGS LÄN</t>
        </is>
      </c>
      <c r="E1957" t="inlineStr">
        <is>
          <t>GÄVLE</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18112-2021</t>
        </is>
      </c>
      <c r="B1958" s="1" t="n">
        <v>44302</v>
      </c>
      <c r="C1958" s="1" t="n">
        <v>45883</v>
      </c>
      <c r="D1958" t="inlineStr">
        <is>
          <t>GÄVLEBORGS LÄN</t>
        </is>
      </c>
      <c r="E1958" t="inlineStr">
        <is>
          <t>SÖDERHAMN</t>
        </is>
      </c>
      <c r="F1958" t="inlineStr">
        <is>
          <t>Kyrkan</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45128-2020</t>
        </is>
      </c>
      <c r="B1959" s="1" t="n">
        <v>44088</v>
      </c>
      <c r="C1959" s="1" t="n">
        <v>45883</v>
      </c>
      <c r="D1959" t="inlineStr">
        <is>
          <t>GÄVLEBORGS LÄN</t>
        </is>
      </c>
      <c r="E1959" t="inlineStr">
        <is>
          <t>BOLLNÄS</t>
        </is>
      </c>
      <c r="F1959" t="inlineStr">
        <is>
          <t>Bergvik skog väst AB</t>
        </is>
      </c>
      <c r="G1959" t="n">
        <v>27.9</v>
      </c>
      <c r="H1959" t="n">
        <v>0</v>
      </c>
      <c r="I1959" t="n">
        <v>0</v>
      </c>
      <c r="J1959" t="n">
        <v>0</v>
      </c>
      <c r="K1959" t="n">
        <v>0</v>
      </c>
      <c r="L1959" t="n">
        <v>0</v>
      </c>
      <c r="M1959" t="n">
        <v>0</v>
      </c>
      <c r="N1959" t="n">
        <v>0</v>
      </c>
      <c r="O1959" t="n">
        <v>0</v>
      </c>
      <c r="P1959" t="n">
        <v>0</v>
      </c>
      <c r="Q1959" t="n">
        <v>0</v>
      </c>
      <c r="R1959" s="2" t="inlineStr"/>
    </row>
    <row r="1960" ht="15" customHeight="1">
      <c r="A1960" t="inlineStr">
        <is>
          <t>A 250-2025</t>
        </is>
      </c>
      <c r="B1960" s="1" t="n">
        <v>45660.42574074074</v>
      </c>
      <c r="C1960" s="1" t="n">
        <v>45883</v>
      </c>
      <c r="D1960" t="inlineStr">
        <is>
          <t>GÄVLEBORGS LÄN</t>
        </is>
      </c>
      <c r="E1960" t="inlineStr">
        <is>
          <t>GÄVLE</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23854-2021</t>
        </is>
      </c>
      <c r="B1961" s="1" t="n">
        <v>44335</v>
      </c>
      <c r="C1961" s="1" t="n">
        <v>45883</v>
      </c>
      <c r="D1961" t="inlineStr">
        <is>
          <t>GÄVLEBORGS LÄN</t>
        </is>
      </c>
      <c r="E1961" t="inlineStr">
        <is>
          <t>SANDVIKEN</t>
        </is>
      </c>
      <c r="G1961" t="n">
        <v>5.4</v>
      </c>
      <c r="H1961" t="n">
        <v>0</v>
      </c>
      <c r="I1961" t="n">
        <v>0</v>
      </c>
      <c r="J1961" t="n">
        <v>0</v>
      </c>
      <c r="K1961" t="n">
        <v>0</v>
      </c>
      <c r="L1961" t="n">
        <v>0</v>
      </c>
      <c r="M1961" t="n">
        <v>0</v>
      </c>
      <c r="N1961" t="n">
        <v>0</v>
      </c>
      <c r="O1961" t="n">
        <v>0</v>
      </c>
      <c r="P1961" t="n">
        <v>0</v>
      </c>
      <c r="Q1961" t="n">
        <v>0</v>
      </c>
      <c r="R1961" s="2" t="inlineStr"/>
    </row>
    <row r="1962" ht="15" customHeight="1">
      <c r="A1962" t="inlineStr">
        <is>
          <t>A 20916-2022</t>
        </is>
      </c>
      <c r="B1962" s="1" t="n">
        <v>44701.62305555555</v>
      </c>
      <c r="C1962" s="1" t="n">
        <v>45883</v>
      </c>
      <c r="D1962" t="inlineStr">
        <is>
          <t>GÄVLEBORGS LÄN</t>
        </is>
      </c>
      <c r="E1962" t="inlineStr">
        <is>
          <t>LJUSDAL</t>
        </is>
      </c>
      <c r="F1962" t="inlineStr">
        <is>
          <t>Sveaskog</t>
        </is>
      </c>
      <c r="G1962" t="n">
        <v>8.800000000000001</v>
      </c>
      <c r="H1962" t="n">
        <v>0</v>
      </c>
      <c r="I1962" t="n">
        <v>0</v>
      </c>
      <c r="J1962" t="n">
        <v>0</v>
      </c>
      <c r="K1962" t="n">
        <v>0</v>
      </c>
      <c r="L1962" t="n">
        <v>0</v>
      </c>
      <c r="M1962" t="n">
        <v>0</v>
      </c>
      <c r="N1962" t="n">
        <v>0</v>
      </c>
      <c r="O1962" t="n">
        <v>0</v>
      </c>
      <c r="P1962" t="n">
        <v>0</v>
      </c>
      <c r="Q1962" t="n">
        <v>0</v>
      </c>
      <c r="R1962" s="2" t="inlineStr"/>
    </row>
    <row r="1963" ht="15" customHeight="1">
      <c r="A1963" t="inlineStr">
        <is>
          <t>A 57561-2021</t>
        </is>
      </c>
      <c r="B1963" s="1" t="n">
        <v>44483</v>
      </c>
      <c r="C1963" s="1" t="n">
        <v>45883</v>
      </c>
      <c r="D1963" t="inlineStr">
        <is>
          <t>GÄVLEBORGS LÄN</t>
        </is>
      </c>
      <c r="E1963" t="inlineStr">
        <is>
          <t>LJUSDAL</t>
        </is>
      </c>
      <c r="F1963" t="inlineStr">
        <is>
          <t>SCA</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66902-2020</t>
        </is>
      </c>
      <c r="B1964" s="1" t="n">
        <v>44180</v>
      </c>
      <c r="C1964" s="1" t="n">
        <v>45883</v>
      </c>
      <c r="D1964" t="inlineStr">
        <is>
          <t>GÄVLEBORGS LÄN</t>
        </is>
      </c>
      <c r="E1964" t="inlineStr">
        <is>
          <t>SANDVIKEN</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59583-2021</t>
        </is>
      </c>
      <c r="B1965" s="1" t="n">
        <v>44491.63751157407</v>
      </c>
      <c r="C1965" s="1" t="n">
        <v>45883</v>
      </c>
      <c r="D1965" t="inlineStr">
        <is>
          <t>GÄVLEBORGS LÄN</t>
        </is>
      </c>
      <c r="E1965" t="inlineStr">
        <is>
          <t>NORDANSTIG</t>
        </is>
      </c>
      <c r="F1965" t="inlineStr">
        <is>
          <t>Holmen skog AB</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49855-2023</t>
        </is>
      </c>
      <c r="B1966" s="1" t="n">
        <v>45212.92893518518</v>
      </c>
      <c r="C1966" s="1" t="n">
        <v>45883</v>
      </c>
      <c r="D1966" t="inlineStr">
        <is>
          <t>GÄVLEBORGS LÄN</t>
        </is>
      </c>
      <c r="E1966" t="inlineStr">
        <is>
          <t>LJUSDAL</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45102-2022</t>
        </is>
      </c>
      <c r="B1967" s="1" t="n">
        <v>44843.47506944444</v>
      </c>
      <c r="C1967" s="1" t="n">
        <v>45883</v>
      </c>
      <c r="D1967" t="inlineStr">
        <is>
          <t>GÄVLEBORGS LÄN</t>
        </is>
      </c>
      <c r="E1967" t="inlineStr">
        <is>
          <t>SANDVIKEN</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59216-2021</t>
        </is>
      </c>
      <c r="B1968" s="1" t="n">
        <v>44490.61769675926</v>
      </c>
      <c r="C1968" s="1" t="n">
        <v>45883</v>
      </c>
      <c r="D1968" t="inlineStr">
        <is>
          <t>GÄVLEBORGS LÄN</t>
        </is>
      </c>
      <c r="E1968" t="inlineStr">
        <is>
          <t>SÖDERHAMN</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55411-2022</t>
        </is>
      </c>
      <c r="B1969" s="1" t="n">
        <v>44887.58847222223</v>
      </c>
      <c r="C1969" s="1" t="n">
        <v>45883</v>
      </c>
      <c r="D1969" t="inlineStr">
        <is>
          <t>GÄVLEBORGS LÄN</t>
        </is>
      </c>
      <c r="E1969" t="inlineStr">
        <is>
          <t>SANDVIKEN</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19839-2025</t>
        </is>
      </c>
      <c r="B1970" s="1" t="n">
        <v>45771.47800925926</v>
      </c>
      <c r="C1970" s="1" t="n">
        <v>45883</v>
      </c>
      <c r="D1970" t="inlineStr">
        <is>
          <t>GÄVLEBORGS LÄN</t>
        </is>
      </c>
      <c r="E1970" t="inlineStr">
        <is>
          <t>NORDANSTIG</t>
        </is>
      </c>
      <c r="F1970" t="inlineStr">
        <is>
          <t>Holmen skog AB</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19894-2025</t>
        </is>
      </c>
      <c r="B1971" s="1" t="n">
        <v>45771.57770833333</v>
      </c>
      <c r="C1971" s="1" t="n">
        <v>45883</v>
      </c>
      <c r="D1971" t="inlineStr">
        <is>
          <t>GÄVLEBORGS LÄN</t>
        </is>
      </c>
      <c r="E1971" t="inlineStr">
        <is>
          <t>HUDIKSVALL</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19897-2025</t>
        </is>
      </c>
      <c r="B1972" s="1" t="n">
        <v>45771.58528935185</v>
      </c>
      <c r="C1972" s="1" t="n">
        <v>45883</v>
      </c>
      <c r="D1972" t="inlineStr">
        <is>
          <t>GÄVLEBORGS LÄN</t>
        </is>
      </c>
      <c r="E1972" t="inlineStr">
        <is>
          <t>LJUSDAL</t>
        </is>
      </c>
      <c r="G1972" t="n">
        <v>11.3</v>
      </c>
      <c r="H1972" t="n">
        <v>0</v>
      </c>
      <c r="I1972" t="n">
        <v>0</v>
      </c>
      <c r="J1972" t="n">
        <v>0</v>
      </c>
      <c r="K1972" t="n">
        <v>0</v>
      </c>
      <c r="L1972" t="n">
        <v>0</v>
      </c>
      <c r="M1972" t="n">
        <v>0</v>
      </c>
      <c r="N1972" t="n">
        <v>0</v>
      </c>
      <c r="O1972" t="n">
        <v>0</v>
      </c>
      <c r="P1972" t="n">
        <v>0</v>
      </c>
      <c r="Q1972" t="n">
        <v>0</v>
      </c>
      <c r="R1972" s="2" t="inlineStr"/>
    </row>
    <row r="1973" ht="15" customHeight="1">
      <c r="A1973" t="inlineStr">
        <is>
          <t>A 12300-2021</t>
        </is>
      </c>
      <c r="B1973" s="1" t="n">
        <v>44267.34975694444</v>
      </c>
      <c r="C1973" s="1" t="n">
        <v>45883</v>
      </c>
      <c r="D1973" t="inlineStr">
        <is>
          <t>GÄVLEBORGS LÄN</t>
        </is>
      </c>
      <c r="E1973" t="inlineStr">
        <is>
          <t>LJUSDAL</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52046-2021</t>
        </is>
      </c>
      <c r="B1974" s="1" t="n">
        <v>44463.36844907407</v>
      </c>
      <c r="C1974" s="1" t="n">
        <v>45883</v>
      </c>
      <c r="D1974" t="inlineStr">
        <is>
          <t>GÄVLEBORGS LÄN</t>
        </is>
      </c>
      <c r="E1974" t="inlineStr">
        <is>
          <t>OVANÅKER</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3400-2021</t>
        </is>
      </c>
      <c r="B1975" s="1" t="n">
        <v>44218.42019675926</v>
      </c>
      <c r="C1975" s="1" t="n">
        <v>45883</v>
      </c>
      <c r="D1975" t="inlineStr">
        <is>
          <t>GÄVLEBORGS LÄN</t>
        </is>
      </c>
      <c r="E1975" t="inlineStr">
        <is>
          <t>BOLLNÄS</t>
        </is>
      </c>
      <c r="G1975" t="n">
        <v>6</v>
      </c>
      <c r="H1975" t="n">
        <v>0</v>
      </c>
      <c r="I1975" t="n">
        <v>0</v>
      </c>
      <c r="J1975" t="n">
        <v>0</v>
      </c>
      <c r="K1975" t="n">
        <v>0</v>
      </c>
      <c r="L1975" t="n">
        <v>0</v>
      </c>
      <c r="M1975" t="n">
        <v>0</v>
      </c>
      <c r="N1975" t="n">
        <v>0</v>
      </c>
      <c r="O1975" t="n">
        <v>0</v>
      </c>
      <c r="P1975" t="n">
        <v>0</v>
      </c>
      <c r="Q1975" t="n">
        <v>0</v>
      </c>
      <c r="R1975" s="2" t="inlineStr"/>
    </row>
    <row r="1976" ht="15" customHeight="1">
      <c r="A1976" t="inlineStr">
        <is>
          <t>A 3411-2021</t>
        </is>
      </c>
      <c r="B1976" s="1" t="n">
        <v>44218</v>
      </c>
      <c r="C1976" s="1" t="n">
        <v>45883</v>
      </c>
      <c r="D1976" t="inlineStr">
        <is>
          <t>GÄVLEBORGS LÄN</t>
        </is>
      </c>
      <c r="E1976" t="inlineStr">
        <is>
          <t>BOLLNÄS</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45807-2022</t>
        </is>
      </c>
      <c r="B1977" s="1" t="n">
        <v>44846</v>
      </c>
      <c r="C1977" s="1" t="n">
        <v>45883</v>
      </c>
      <c r="D1977" t="inlineStr">
        <is>
          <t>GÄVLEBORGS LÄN</t>
        </is>
      </c>
      <c r="E1977" t="inlineStr">
        <is>
          <t>SÖDERHAMN</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17515-2025</t>
        </is>
      </c>
      <c r="B1978" s="1" t="n">
        <v>45757.57398148148</v>
      </c>
      <c r="C1978" s="1" t="n">
        <v>45883</v>
      </c>
      <c r="D1978" t="inlineStr">
        <is>
          <t>GÄVLEBORGS LÄN</t>
        </is>
      </c>
      <c r="E1978" t="inlineStr">
        <is>
          <t>LJUSDAL</t>
        </is>
      </c>
      <c r="F1978" t="inlineStr">
        <is>
          <t>Bergvik skog väst AB</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29337-2024</t>
        </is>
      </c>
      <c r="B1979" s="1" t="n">
        <v>45483</v>
      </c>
      <c r="C1979" s="1" t="n">
        <v>45883</v>
      </c>
      <c r="D1979" t="inlineStr">
        <is>
          <t>GÄVLEBORGS LÄN</t>
        </is>
      </c>
      <c r="E1979" t="inlineStr">
        <is>
          <t>HUDIKSVALL</t>
        </is>
      </c>
      <c r="F1979" t="inlineStr">
        <is>
          <t>Holmen skog AB</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30523-2021</t>
        </is>
      </c>
      <c r="B1980" s="1" t="n">
        <v>44364</v>
      </c>
      <c r="C1980" s="1" t="n">
        <v>45883</v>
      </c>
      <c r="D1980" t="inlineStr">
        <is>
          <t>GÄVLEBORGS LÄN</t>
        </is>
      </c>
      <c r="E1980" t="inlineStr">
        <is>
          <t>BOLLNÄS</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4035-2021</t>
        </is>
      </c>
      <c r="B1981" s="1" t="n">
        <v>44218</v>
      </c>
      <c r="C1981" s="1" t="n">
        <v>45883</v>
      </c>
      <c r="D1981" t="inlineStr">
        <is>
          <t>GÄVLEBORGS LÄN</t>
        </is>
      </c>
      <c r="E1981" t="inlineStr">
        <is>
          <t>SÖDERHAMN</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41708-2023</t>
        </is>
      </c>
      <c r="B1982" s="1" t="n">
        <v>45176</v>
      </c>
      <c r="C1982" s="1" t="n">
        <v>45883</v>
      </c>
      <c r="D1982" t="inlineStr">
        <is>
          <t>GÄVLEBORGS LÄN</t>
        </is>
      </c>
      <c r="E1982" t="inlineStr">
        <is>
          <t>GÄVLE</t>
        </is>
      </c>
      <c r="G1982" t="n">
        <v>6.5</v>
      </c>
      <c r="H1982" t="n">
        <v>0</v>
      </c>
      <c r="I1982" t="n">
        <v>0</v>
      </c>
      <c r="J1982" t="n">
        <v>0</v>
      </c>
      <c r="K1982" t="n">
        <v>0</v>
      </c>
      <c r="L1982" t="n">
        <v>0</v>
      </c>
      <c r="M1982" t="n">
        <v>0</v>
      </c>
      <c r="N1982" t="n">
        <v>0</v>
      </c>
      <c r="O1982" t="n">
        <v>0</v>
      </c>
      <c r="P1982" t="n">
        <v>0</v>
      </c>
      <c r="Q1982" t="n">
        <v>0</v>
      </c>
      <c r="R1982" s="2" t="inlineStr"/>
    </row>
    <row r="1983" ht="15" customHeight="1">
      <c r="A1983" t="inlineStr">
        <is>
          <t>A 41712-2023</t>
        </is>
      </c>
      <c r="B1983" s="1" t="n">
        <v>45176</v>
      </c>
      <c r="C1983" s="1" t="n">
        <v>45883</v>
      </c>
      <c r="D1983" t="inlineStr">
        <is>
          <t>GÄVLEBORGS LÄN</t>
        </is>
      </c>
      <c r="E1983" t="inlineStr">
        <is>
          <t>GÄVLE</t>
        </is>
      </c>
      <c r="G1983" t="n">
        <v>7.8</v>
      </c>
      <c r="H1983" t="n">
        <v>0</v>
      </c>
      <c r="I1983" t="n">
        <v>0</v>
      </c>
      <c r="J1983" t="n">
        <v>0</v>
      </c>
      <c r="K1983" t="n">
        <v>0</v>
      </c>
      <c r="L1983" t="n">
        <v>0</v>
      </c>
      <c r="M1983" t="n">
        <v>0</v>
      </c>
      <c r="N1983" t="n">
        <v>0</v>
      </c>
      <c r="O1983" t="n">
        <v>0</v>
      </c>
      <c r="P1983" t="n">
        <v>0</v>
      </c>
      <c r="Q1983" t="n">
        <v>0</v>
      </c>
      <c r="R1983" s="2" t="inlineStr"/>
    </row>
    <row r="1984" ht="15" customHeight="1">
      <c r="A1984" t="inlineStr">
        <is>
          <t>A 20282-2025</t>
        </is>
      </c>
      <c r="B1984" s="1" t="n">
        <v>45774.49193287037</v>
      </c>
      <c r="C1984" s="1" t="n">
        <v>45883</v>
      </c>
      <c r="D1984" t="inlineStr">
        <is>
          <t>GÄVLEBORGS LÄN</t>
        </is>
      </c>
      <c r="E1984" t="inlineStr">
        <is>
          <t>BOLLNÄS</t>
        </is>
      </c>
      <c r="F1984" t="inlineStr">
        <is>
          <t>Bergvik skog väst AB</t>
        </is>
      </c>
      <c r="G1984" t="n">
        <v>5.3</v>
      </c>
      <c r="H1984" t="n">
        <v>0</v>
      </c>
      <c r="I1984" t="n">
        <v>0</v>
      </c>
      <c r="J1984" t="n">
        <v>0</v>
      </c>
      <c r="K1984" t="n">
        <v>0</v>
      </c>
      <c r="L1984" t="n">
        <v>0</v>
      </c>
      <c r="M1984" t="n">
        <v>0</v>
      </c>
      <c r="N1984" t="n">
        <v>0</v>
      </c>
      <c r="O1984" t="n">
        <v>0</v>
      </c>
      <c r="P1984" t="n">
        <v>0</v>
      </c>
      <c r="Q1984" t="n">
        <v>0</v>
      </c>
      <c r="R1984" s="2" t="inlineStr"/>
    </row>
    <row r="1985" ht="15" customHeight="1">
      <c r="A1985" t="inlineStr">
        <is>
          <t>A 41735-2023</t>
        </is>
      </c>
      <c r="B1985" s="1" t="n">
        <v>45176</v>
      </c>
      <c r="C1985" s="1" t="n">
        <v>45883</v>
      </c>
      <c r="D1985" t="inlineStr">
        <is>
          <t>GÄVLEBORGS LÄN</t>
        </is>
      </c>
      <c r="E1985" t="inlineStr">
        <is>
          <t>HUDIKSVALL</t>
        </is>
      </c>
      <c r="F1985" t="inlineStr">
        <is>
          <t>Holmen skog AB</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41745-2023</t>
        </is>
      </c>
      <c r="B1986" s="1" t="n">
        <v>45176.42905092592</v>
      </c>
      <c r="C1986" s="1" t="n">
        <v>45883</v>
      </c>
      <c r="D1986" t="inlineStr">
        <is>
          <t>GÄVLEBORGS LÄN</t>
        </is>
      </c>
      <c r="E1986" t="inlineStr">
        <is>
          <t>HUDIKSVALL</t>
        </is>
      </c>
      <c r="F1986" t="inlineStr">
        <is>
          <t>Holmen skog AB</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472-2024</t>
        </is>
      </c>
      <c r="B1987" s="1" t="n">
        <v>45297.71927083333</v>
      </c>
      <c r="C1987" s="1" t="n">
        <v>45883</v>
      </c>
      <c r="D1987" t="inlineStr">
        <is>
          <t>GÄVLEBORGS LÄN</t>
        </is>
      </c>
      <c r="E1987" t="inlineStr">
        <is>
          <t>NORDANSTIG</t>
        </is>
      </c>
      <c r="F1987" t="inlineStr">
        <is>
          <t>Holmen skog AB</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9462-2025</t>
        </is>
      </c>
      <c r="B1988" s="1" t="n">
        <v>45715.45438657407</v>
      </c>
      <c r="C1988" s="1" t="n">
        <v>45883</v>
      </c>
      <c r="D1988" t="inlineStr">
        <is>
          <t>GÄVLEBORGS LÄN</t>
        </is>
      </c>
      <c r="E1988" t="inlineStr">
        <is>
          <t>HUDIKSVALL</t>
        </is>
      </c>
      <c r="F1988" t="inlineStr">
        <is>
          <t>Holmen skog AB</t>
        </is>
      </c>
      <c r="G1988" t="n">
        <v>24.3</v>
      </c>
      <c r="H1988" t="n">
        <v>0</v>
      </c>
      <c r="I1988" t="n">
        <v>0</v>
      </c>
      <c r="J1988" t="n">
        <v>0</v>
      </c>
      <c r="K1988" t="n">
        <v>0</v>
      </c>
      <c r="L1988" t="n">
        <v>0</v>
      </c>
      <c r="M1988" t="n">
        <v>0</v>
      </c>
      <c r="N1988" t="n">
        <v>0</v>
      </c>
      <c r="O1988" t="n">
        <v>0</v>
      </c>
      <c r="P1988" t="n">
        <v>0</v>
      </c>
      <c r="Q1988" t="n">
        <v>0</v>
      </c>
      <c r="R1988" s="2" t="inlineStr"/>
    </row>
    <row r="1989" ht="15" customHeight="1">
      <c r="A1989" t="inlineStr">
        <is>
          <t>A 4689-2025</t>
        </is>
      </c>
      <c r="B1989" s="1" t="n">
        <v>45688.33554398148</v>
      </c>
      <c r="C1989" s="1" t="n">
        <v>45883</v>
      </c>
      <c r="D1989" t="inlineStr">
        <is>
          <t>GÄVLEBORGS LÄN</t>
        </is>
      </c>
      <c r="E1989" t="inlineStr">
        <is>
          <t>OVANÅKER</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4704-2025</t>
        </is>
      </c>
      <c r="B1990" s="1" t="n">
        <v>45688.37835648148</v>
      </c>
      <c r="C1990" s="1" t="n">
        <v>45883</v>
      </c>
      <c r="D1990" t="inlineStr">
        <is>
          <t>GÄVLEBORGS LÄN</t>
        </is>
      </c>
      <c r="E1990" t="inlineStr">
        <is>
          <t>OVANÅKER</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4751-2025</t>
        </is>
      </c>
      <c r="B1991" s="1" t="n">
        <v>45688.46480324074</v>
      </c>
      <c r="C1991" s="1" t="n">
        <v>45883</v>
      </c>
      <c r="D1991" t="inlineStr">
        <is>
          <t>GÄVLEBORGS LÄN</t>
        </is>
      </c>
      <c r="E1991" t="inlineStr">
        <is>
          <t>OVANÅKER</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1031-2022</t>
        </is>
      </c>
      <c r="B1992" s="1" t="n">
        <v>44571</v>
      </c>
      <c r="C1992" s="1" t="n">
        <v>45883</v>
      </c>
      <c r="D1992" t="inlineStr">
        <is>
          <t>GÄVLEBORGS LÄN</t>
        </is>
      </c>
      <c r="E1992" t="inlineStr">
        <is>
          <t>GÄVLE</t>
        </is>
      </c>
      <c r="G1992" t="n">
        <v>12.2</v>
      </c>
      <c r="H1992" t="n">
        <v>0</v>
      </c>
      <c r="I1992" t="n">
        <v>0</v>
      </c>
      <c r="J1992" t="n">
        <v>0</v>
      </c>
      <c r="K1992" t="n">
        <v>0</v>
      </c>
      <c r="L1992" t="n">
        <v>0</v>
      </c>
      <c r="M1992" t="n">
        <v>0</v>
      </c>
      <c r="N1992" t="n">
        <v>0</v>
      </c>
      <c r="O1992" t="n">
        <v>0</v>
      </c>
      <c r="P1992" t="n">
        <v>0</v>
      </c>
      <c r="Q1992" t="n">
        <v>0</v>
      </c>
      <c r="R1992" s="2" t="inlineStr"/>
    </row>
    <row r="1993" ht="15" customHeight="1">
      <c r="A1993" t="inlineStr">
        <is>
          <t>A 10147-2025</t>
        </is>
      </c>
      <c r="B1993" s="1" t="n">
        <v>45719.63846064815</v>
      </c>
      <c r="C1993" s="1" t="n">
        <v>45883</v>
      </c>
      <c r="D1993" t="inlineStr">
        <is>
          <t>GÄVLEBORGS LÄN</t>
        </is>
      </c>
      <c r="E1993" t="inlineStr">
        <is>
          <t>OCKELBO</t>
        </is>
      </c>
      <c r="G1993" t="n">
        <v>15.8</v>
      </c>
      <c r="H1993" t="n">
        <v>0</v>
      </c>
      <c r="I1993" t="n">
        <v>0</v>
      </c>
      <c r="J1993" t="n">
        <v>0</v>
      </c>
      <c r="K1993" t="n">
        <v>0</v>
      </c>
      <c r="L1993" t="n">
        <v>0</v>
      </c>
      <c r="M1993" t="n">
        <v>0</v>
      </c>
      <c r="N1993" t="n">
        <v>0</v>
      </c>
      <c r="O1993" t="n">
        <v>0</v>
      </c>
      <c r="P1993" t="n">
        <v>0</v>
      </c>
      <c r="Q1993" t="n">
        <v>0</v>
      </c>
      <c r="R1993" s="2" t="inlineStr"/>
    </row>
    <row r="1994" ht="15" customHeight="1">
      <c r="A1994" t="inlineStr">
        <is>
          <t>A 5861-2025</t>
        </is>
      </c>
      <c r="B1994" s="1" t="n">
        <v>45695.34664351852</v>
      </c>
      <c r="C1994" s="1" t="n">
        <v>45883</v>
      </c>
      <c r="D1994" t="inlineStr">
        <is>
          <t>GÄVLEBORGS LÄN</t>
        </is>
      </c>
      <c r="E1994" t="inlineStr">
        <is>
          <t>HUDIKSVALL</t>
        </is>
      </c>
      <c r="F1994" t="inlineStr">
        <is>
          <t>Holmen skog AB</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73447-2021</t>
        </is>
      </c>
      <c r="B1995" s="1" t="n">
        <v>44551.56446759259</v>
      </c>
      <c r="C1995" s="1" t="n">
        <v>45883</v>
      </c>
      <c r="D1995" t="inlineStr">
        <is>
          <t>GÄVLEBORGS LÄN</t>
        </is>
      </c>
      <c r="E1995" t="inlineStr">
        <is>
          <t>SÖDERHAMN</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46539-2021</t>
        </is>
      </c>
      <c r="B1996" s="1" t="n">
        <v>44445.46751157408</v>
      </c>
      <c r="C1996" s="1" t="n">
        <v>45883</v>
      </c>
      <c r="D1996" t="inlineStr">
        <is>
          <t>GÄVLEBORGS LÄN</t>
        </is>
      </c>
      <c r="E1996" t="inlineStr">
        <is>
          <t>GÄVLE</t>
        </is>
      </c>
      <c r="F1996" t="inlineStr">
        <is>
          <t>Bergvik skog väst AB</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46733-2021</t>
        </is>
      </c>
      <c r="B1997" s="1" t="n">
        <v>44445.67016203704</v>
      </c>
      <c r="C1997" s="1" t="n">
        <v>45883</v>
      </c>
      <c r="D1997" t="inlineStr">
        <is>
          <t>GÄVLEBORGS LÄN</t>
        </is>
      </c>
      <c r="E1997" t="inlineStr">
        <is>
          <t>OVANÅKER</t>
        </is>
      </c>
      <c r="F1997" t="inlineStr">
        <is>
          <t>Sveaskog</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48191-2020</t>
        </is>
      </c>
      <c r="B1998" s="1" t="n">
        <v>44102</v>
      </c>
      <c r="C1998" s="1" t="n">
        <v>45883</v>
      </c>
      <c r="D1998" t="inlineStr">
        <is>
          <t>GÄVLEBORGS LÄN</t>
        </is>
      </c>
      <c r="E1998" t="inlineStr">
        <is>
          <t>HUDIKSVALL</t>
        </is>
      </c>
      <c r="F1998" t="inlineStr">
        <is>
          <t>Holmen skog AB</t>
        </is>
      </c>
      <c r="G1998" t="n">
        <v>6.2</v>
      </c>
      <c r="H1998" t="n">
        <v>0</v>
      </c>
      <c r="I1998" t="n">
        <v>0</v>
      </c>
      <c r="J1998" t="n">
        <v>0</v>
      </c>
      <c r="K1998" t="n">
        <v>0</v>
      </c>
      <c r="L1998" t="n">
        <v>0</v>
      </c>
      <c r="M1998" t="n">
        <v>0</v>
      </c>
      <c r="N1998" t="n">
        <v>0</v>
      </c>
      <c r="O1998" t="n">
        <v>0</v>
      </c>
      <c r="P1998" t="n">
        <v>0</v>
      </c>
      <c r="Q1998" t="n">
        <v>0</v>
      </c>
      <c r="R1998" s="2" t="inlineStr"/>
    </row>
    <row r="1999" ht="15" customHeight="1">
      <c r="A1999" t="inlineStr">
        <is>
          <t>A 57949-2022</t>
        </is>
      </c>
      <c r="B1999" s="1" t="n">
        <v>44900.41127314815</v>
      </c>
      <c r="C1999" s="1" t="n">
        <v>45883</v>
      </c>
      <c r="D1999" t="inlineStr">
        <is>
          <t>GÄVLEBORGS LÄN</t>
        </is>
      </c>
      <c r="E1999" t="inlineStr">
        <is>
          <t>LJUSDAL</t>
        </is>
      </c>
      <c r="F1999" t="inlineStr">
        <is>
          <t>Holmen skog AB</t>
        </is>
      </c>
      <c r="G1999" t="n">
        <v>6.4</v>
      </c>
      <c r="H1999" t="n">
        <v>0</v>
      </c>
      <c r="I1999" t="n">
        <v>0</v>
      </c>
      <c r="J1999" t="n">
        <v>0</v>
      </c>
      <c r="K1999" t="n">
        <v>0</v>
      </c>
      <c r="L1999" t="n">
        <v>0</v>
      </c>
      <c r="M1999" t="n">
        <v>0</v>
      </c>
      <c r="N1999" t="n">
        <v>0</v>
      </c>
      <c r="O1999" t="n">
        <v>0</v>
      </c>
      <c r="P1999" t="n">
        <v>0</v>
      </c>
      <c r="Q1999" t="n">
        <v>0</v>
      </c>
      <c r="R1999" s="2" t="inlineStr"/>
    </row>
    <row r="2000" ht="15" customHeight="1">
      <c r="A2000" t="inlineStr">
        <is>
          <t>A 28878-2021</t>
        </is>
      </c>
      <c r="B2000" s="1" t="n">
        <v>44357</v>
      </c>
      <c r="C2000" s="1" t="n">
        <v>45883</v>
      </c>
      <c r="D2000" t="inlineStr">
        <is>
          <t>GÄVLEBORGS LÄN</t>
        </is>
      </c>
      <c r="E2000" t="inlineStr">
        <is>
          <t>NORDANSTIG</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7578-2023</t>
        </is>
      </c>
      <c r="B2001" s="1" t="n">
        <v>44972.38614583333</v>
      </c>
      <c r="C2001" s="1" t="n">
        <v>45883</v>
      </c>
      <c r="D2001" t="inlineStr">
        <is>
          <t>GÄVLEBORGS LÄN</t>
        </is>
      </c>
      <c r="E2001" t="inlineStr">
        <is>
          <t>LJUSDAL</t>
        </is>
      </c>
      <c r="F2001" t="inlineStr">
        <is>
          <t>Kommuner</t>
        </is>
      </c>
      <c r="G2001" t="n">
        <v>4.5</v>
      </c>
      <c r="H2001" t="n">
        <v>0</v>
      </c>
      <c r="I2001" t="n">
        <v>0</v>
      </c>
      <c r="J2001" t="n">
        <v>0</v>
      </c>
      <c r="K2001" t="n">
        <v>0</v>
      </c>
      <c r="L2001" t="n">
        <v>0</v>
      </c>
      <c r="M2001" t="n">
        <v>0</v>
      </c>
      <c r="N2001" t="n">
        <v>0</v>
      </c>
      <c r="O2001" t="n">
        <v>0</v>
      </c>
      <c r="P2001" t="n">
        <v>0</v>
      </c>
      <c r="Q2001" t="n">
        <v>0</v>
      </c>
      <c r="R2001" s="2" t="inlineStr"/>
    </row>
    <row r="2002" ht="15" customHeight="1">
      <c r="A2002" t="inlineStr">
        <is>
          <t>A 50937-2022</t>
        </is>
      </c>
      <c r="B2002" s="1" t="n">
        <v>44867.65224537037</v>
      </c>
      <c r="C2002" s="1" t="n">
        <v>45883</v>
      </c>
      <c r="D2002" t="inlineStr">
        <is>
          <t>GÄVLEBORGS LÄN</t>
        </is>
      </c>
      <c r="E2002" t="inlineStr">
        <is>
          <t>OVANÅKER</t>
        </is>
      </c>
      <c r="F2002" t="inlineStr">
        <is>
          <t>Bergvik skog väst AB</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60879-2023</t>
        </is>
      </c>
      <c r="B2003" s="1" t="n">
        <v>45261</v>
      </c>
      <c r="C2003" s="1" t="n">
        <v>45883</v>
      </c>
      <c r="D2003" t="inlineStr">
        <is>
          <t>GÄVLEBORGS LÄN</t>
        </is>
      </c>
      <c r="E2003" t="inlineStr">
        <is>
          <t>GÄVLE</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50243-2020</t>
        </is>
      </c>
      <c r="B2004" s="1" t="n">
        <v>44109</v>
      </c>
      <c r="C2004" s="1" t="n">
        <v>45883</v>
      </c>
      <c r="D2004" t="inlineStr">
        <is>
          <t>GÄVLEBORGS LÄN</t>
        </is>
      </c>
      <c r="E2004" t="inlineStr">
        <is>
          <t>OVANÅKER</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3718-2025</t>
        </is>
      </c>
      <c r="B2005" s="1" t="n">
        <v>45681.5280787037</v>
      </c>
      <c r="C2005" s="1" t="n">
        <v>45883</v>
      </c>
      <c r="D2005" t="inlineStr">
        <is>
          <t>GÄVLEBORGS LÄN</t>
        </is>
      </c>
      <c r="E2005" t="inlineStr">
        <is>
          <t>GÄVLE</t>
        </is>
      </c>
      <c r="F2005" t="inlineStr">
        <is>
          <t>Bergvik skog öst AB</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67768-2021</t>
        </is>
      </c>
      <c r="B2006" s="1" t="n">
        <v>44525.3771412037</v>
      </c>
      <c r="C2006" s="1" t="n">
        <v>45883</v>
      </c>
      <c r="D2006" t="inlineStr">
        <is>
          <t>GÄVLEBORGS LÄN</t>
        </is>
      </c>
      <c r="E2006" t="inlineStr">
        <is>
          <t>OCKELBO</t>
        </is>
      </c>
      <c r="F2006" t="inlineStr">
        <is>
          <t>Bergvik skog väst AB</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29568-2021</t>
        </is>
      </c>
      <c r="B2007" s="1" t="n">
        <v>44361.91872685185</v>
      </c>
      <c r="C2007" s="1" t="n">
        <v>45883</v>
      </c>
      <c r="D2007" t="inlineStr">
        <is>
          <t>GÄVLEBORGS LÄN</t>
        </is>
      </c>
      <c r="E2007" t="inlineStr">
        <is>
          <t>LJUSDAL</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8031-2024</t>
        </is>
      </c>
      <c r="B2008" s="1" t="n">
        <v>45350.95267361111</v>
      </c>
      <c r="C2008" s="1" t="n">
        <v>45883</v>
      </c>
      <c r="D2008" t="inlineStr">
        <is>
          <t>GÄVLEBORGS LÄN</t>
        </is>
      </c>
      <c r="E2008" t="inlineStr">
        <is>
          <t>GÄVLE</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8040-2024</t>
        </is>
      </c>
      <c r="B2009" s="1" t="n">
        <v>45350</v>
      </c>
      <c r="C2009" s="1" t="n">
        <v>45883</v>
      </c>
      <c r="D2009" t="inlineStr">
        <is>
          <t>GÄVLEBORGS LÄN</t>
        </is>
      </c>
      <c r="E2009" t="inlineStr">
        <is>
          <t>NORDANSTIG</t>
        </is>
      </c>
      <c r="F2009" t="inlineStr">
        <is>
          <t>SCA</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65221-2020</t>
        </is>
      </c>
      <c r="B2010" s="1" t="n">
        <v>44172</v>
      </c>
      <c r="C2010" s="1" t="n">
        <v>45883</v>
      </c>
      <c r="D2010" t="inlineStr">
        <is>
          <t>GÄVLEBORGS LÄN</t>
        </is>
      </c>
      <c r="E2010" t="inlineStr">
        <is>
          <t>SÖDERHAMN</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33535-2022</t>
        </is>
      </c>
      <c r="B2011" s="1" t="n">
        <v>44789.34496527778</v>
      </c>
      <c r="C2011" s="1" t="n">
        <v>45883</v>
      </c>
      <c r="D2011" t="inlineStr">
        <is>
          <t>GÄVLEBORGS LÄN</t>
        </is>
      </c>
      <c r="E2011" t="inlineStr">
        <is>
          <t>NORDANSTIG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7792-2023</t>
        </is>
      </c>
      <c r="B2012" s="1" t="n">
        <v>44973.42633101852</v>
      </c>
      <c r="C2012" s="1" t="n">
        <v>45883</v>
      </c>
      <c r="D2012" t="inlineStr">
        <is>
          <t>GÄVLEBORGS LÄN</t>
        </is>
      </c>
      <c r="E2012" t="inlineStr">
        <is>
          <t>GÄVLE</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17529-2025</t>
        </is>
      </c>
      <c r="B2013" s="1" t="n">
        <v>45757.58861111111</v>
      </c>
      <c r="C2013" s="1" t="n">
        <v>45883</v>
      </c>
      <c r="D2013" t="inlineStr">
        <is>
          <t>GÄVLEBORGS LÄN</t>
        </is>
      </c>
      <c r="E2013" t="inlineStr">
        <is>
          <t>OCKELBO</t>
        </is>
      </c>
      <c r="F2013" t="inlineStr">
        <is>
          <t>Bergvik skog väst AB</t>
        </is>
      </c>
      <c r="G2013" t="n">
        <v>5.8</v>
      </c>
      <c r="H2013" t="n">
        <v>0</v>
      </c>
      <c r="I2013" t="n">
        <v>0</v>
      </c>
      <c r="J2013" t="n">
        <v>0</v>
      </c>
      <c r="K2013" t="n">
        <v>0</v>
      </c>
      <c r="L2013" t="n">
        <v>0</v>
      </c>
      <c r="M2013" t="n">
        <v>0</v>
      </c>
      <c r="N2013" t="n">
        <v>0</v>
      </c>
      <c r="O2013" t="n">
        <v>0</v>
      </c>
      <c r="P2013" t="n">
        <v>0</v>
      </c>
      <c r="Q2013" t="n">
        <v>0</v>
      </c>
      <c r="R2013" s="2" t="inlineStr"/>
    </row>
    <row r="2014" ht="15" customHeight="1">
      <c r="A2014" t="inlineStr">
        <is>
          <t>A 4482-2022</t>
        </is>
      </c>
      <c r="B2014" s="1" t="n">
        <v>44589</v>
      </c>
      <c r="C2014" s="1" t="n">
        <v>45883</v>
      </c>
      <c r="D2014" t="inlineStr">
        <is>
          <t>GÄVLEBORGS LÄN</t>
        </is>
      </c>
      <c r="E2014" t="inlineStr">
        <is>
          <t>GÄVLE</t>
        </is>
      </c>
      <c r="F2014" t="inlineStr">
        <is>
          <t>Bergvik skog öst AB</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35465-2024</t>
        </is>
      </c>
      <c r="B2015" s="1" t="n">
        <v>45531.46347222223</v>
      </c>
      <c r="C2015" s="1" t="n">
        <v>45883</v>
      </c>
      <c r="D2015" t="inlineStr">
        <is>
          <t>GÄVLEBORGS LÄN</t>
        </is>
      </c>
      <c r="E2015" t="inlineStr">
        <is>
          <t>LJUSDAL</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35505-2024</t>
        </is>
      </c>
      <c r="B2016" s="1" t="n">
        <v>45531.53869212963</v>
      </c>
      <c r="C2016" s="1" t="n">
        <v>45883</v>
      </c>
      <c r="D2016" t="inlineStr">
        <is>
          <t>GÄVLEBORGS LÄN</t>
        </is>
      </c>
      <c r="E2016" t="inlineStr">
        <is>
          <t>HOFORS</t>
        </is>
      </c>
      <c r="F2016" t="inlineStr">
        <is>
          <t>Sveaskog</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35514-2024</t>
        </is>
      </c>
      <c r="B2017" s="1" t="n">
        <v>45531.56472222223</v>
      </c>
      <c r="C2017" s="1" t="n">
        <v>45883</v>
      </c>
      <c r="D2017" t="inlineStr">
        <is>
          <t>GÄVLEBORGS LÄN</t>
        </is>
      </c>
      <c r="E2017" t="inlineStr">
        <is>
          <t>HOFORS</t>
        </is>
      </c>
      <c r="F2017" t="inlineStr">
        <is>
          <t>Sveaskog</t>
        </is>
      </c>
      <c r="G2017" t="n">
        <v>6.5</v>
      </c>
      <c r="H2017" t="n">
        <v>0</v>
      </c>
      <c r="I2017" t="n">
        <v>0</v>
      </c>
      <c r="J2017" t="n">
        <v>0</v>
      </c>
      <c r="K2017" t="n">
        <v>0</v>
      </c>
      <c r="L2017" t="n">
        <v>0</v>
      </c>
      <c r="M2017" t="n">
        <v>0</v>
      </c>
      <c r="N2017" t="n">
        <v>0</v>
      </c>
      <c r="O2017" t="n">
        <v>0</v>
      </c>
      <c r="P2017" t="n">
        <v>0</v>
      </c>
      <c r="Q2017" t="n">
        <v>0</v>
      </c>
      <c r="R2017" s="2" t="inlineStr"/>
    </row>
    <row r="2018" ht="15" customHeight="1">
      <c r="A2018" t="inlineStr">
        <is>
          <t>A 45352-2021</t>
        </is>
      </c>
      <c r="B2018" s="1" t="n">
        <v>44439</v>
      </c>
      <c r="C2018" s="1" t="n">
        <v>45883</v>
      </c>
      <c r="D2018" t="inlineStr">
        <is>
          <t>GÄVLEBORGS LÄN</t>
        </is>
      </c>
      <c r="E2018" t="inlineStr">
        <is>
          <t>HUDIKSVALL</t>
        </is>
      </c>
      <c r="G2018" t="n">
        <v>7.3</v>
      </c>
      <c r="H2018" t="n">
        <v>0</v>
      </c>
      <c r="I2018" t="n">
        <v>0</v>
      </c>
      <c r="J2018" t="n">
        <v>0</v>
      </c>
      <c r="K2018" t="n">
        <v>0</v>
      </c>
      <c r="L2018" t="n">
        <v>0</v>
      </c>
      <c r="M2018" t="n">
        <v>0</v>
      </c>
      <c r="N2018" t="n">
        <v>0</v>
      </c>
      <c r="O2018" t="n">
        <v>0</v>
      </c>
      <c r="P2018" t="n">
        <v>0</v>
      </c>
      <c r="Q2018" t="n">
        <v>0</v>
      </c>
      <c r="R2018" s="2" t="inlineStr"/>
    </row>
    <row r="2019" ht="15" customHeight="1">
      <c r="A2019" t="inlineStr">
        <is>
          <t>A 42504-2020</t>
        </is>
      </c>
      <c r="B2019" s="1" t="n">
        <v>44077.37575231482</v>
      </c>
      <c r="C2019" s="1" t="n">
        <v>45883</v>
      </c>
      <c r="D2019" t="inlineStr">
        <is>
          <t>GÄVLEBORGS LÄN</t>
        </is>
      </c>
      <c r="E2019" t="inlineStr">
        <is>
          <t>LJUSDAL</t>
        </is>
      </c>
      <c r="F2019" t="inlineStr">
        <is>
          <t>Holmen skog AB</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2935-2023</t>
        </is>
      </c>
      <c r="B2020" s="1" t="n">
        <v>44944</v>
      </c>
      <c r="C2020" s="1" t="n">
        <v>45883</v>
      </c>
      <c r="D2020" t="inlineStr">
        <is>
          <t>GÄVLEBORGS LÄN</t>
        </is>
      </c>
      <c r="E2020" t="inlineStr">
        <is>
          <t>BOLLNÄS</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7679-2025</t>
        </is>
      </c>
      <c r="B2021" s="1" t="n">
        <v>45706.36291666667</v>
      </c>
      <c r="C2021" s="1" t="n">
        <v>45883</v>
      </c>
      <c r="D2021" t="inlineStr">
        <is>
          <t>GÄVLEBORGS LÄN</t>
        </is>
      </c>
      <c r="E2021" t="inlineStr">
        <is>
          <t>SANDVIKEN</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68342-2021</t>
        </is>
      </c>
      <c r="B2022" s="1" t="n">
        <v>44528.64484953704</v>
      </c>
      <c r="C2022" s="1" t="n">
        <v>45883</v>
      </c>
      <c r="D2022" t="inlineStr">
        <is>
          <t>GÄVLEBORGS LÄN</t>
        </is>
      </c>
      <c r="E2022" t="inlineStr">
        <is>
          <t>HUDIKSVALL</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16020-2024</t>
        </is>
      </c>
      <c r="B2023" s="1" t="n">
        <v>45405</v>
      </c>
      <c r="C2023" s="1" t="n">
        <v>45883</v>
      </c>
      <c r="D2023" t="inlineStr">
        <is>
          <t>GÄVLEBORGS LÄN</t>
        </is>
      </c>
      <c r="E2023" t="inlineStr">
        <is>
          <t>BOLLNÄS</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18235-2022</t>
        </is>
      </c>
      <c r="B2024" s="1" t="n">
        <v>44685</v>
      </c>
      <c r="C2024" s="1" t="n">
        <v>45883</v>
      </c>
      <c r="D2024" t="inlineStr">
        <is>
          <t>GÄVLEBORGS LÄN</t>
        </is>
      </c>
      <c r="E2024" t="inlineStr">
        <is>
          <t>HUDIKSVALL</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25200-2022</t>
        </is>
      </c>
      <c r="B2025" s="1" t="n">
        <v>44729.65466435185</v>
      </c>
      <c r="C2025" s="1" t="n">
        <v>45883</v>
      </c>
      <c r="D2025" t="inlineStr">
        <is>
          <t>GÄVLEBORGS LÄN</t>
        </is>
      </c>
      <c r="E2025" t="inlineStr">
        <is>
          <t>NORDANSTIG</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28708-2021</t>
        </is>
      </c>
      <c r="B2026" s="1" t="n">
        <v>44357</v>
      </c>
      <c r="C2026" s="1" t="n">
        <v>45883</v>
      </c>
      <c r="D2026" t="inlineStr">
        <is>
          <t>GÄVLEBORGS LÄN</t>
        </is>
      </c>
      <c r="E2026" t="inlineStr">
        <is>
          <t>HUDIKSVALL</t>
        </is>
      </c>
      <c r="G2026" t="n">
        <v>5.5</v>
      </c>
      <c r="H2026" t="n">
        <v>0</v>
      </c>
      <c r="I2026" t="n">
        <v>0</v>
      </c>
      <c r="J2026" t="n">
        <v>0</v>
      </c>
      <c r="K2026" t="n">
        <v>0</v>
      </c>
      <c r="L2026" t="n">
        <v>0</v>
      </c>
      <c r="M2026" t="n">
        <v>0</v>
      </c>
      <c r="N2026" t="n">
        <v>0</v>
      </c>
      <c r="O2026" t="n">
        <v>0</v>
      </c>
      <c r="P2026" t="n">
        <v>0</v>
      </c>
      <c r="Q2026" t="n">
        <v>0</v>
      </c>
      <c r="R2026" s="2" t="inlineStr"/>
    </row>
    <row r="2027" ht="15" customHeight="1">
      <c r="A2027" t="inlineStr">
        <is>
          <t>A 43490-2022</t>
        </is>
      </c>
      <c r="B2027" s="1" t="n">
        <v>44837.31979166667</v>
      </c>
      <c r="C2027" s="1" t="n">
        <v>45883</v>
      </c>
      <c r="D2027" t="inlineStr">
        <is>
          <t>GÄVLEBORGS LÄN</t>
        </is>
      </c>
      <c r="E2027" t="inlineStr">
        <is>
          <t>SÖDERHAMN</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72082-2021</t>
        </is>
      </c>
      <c r="B2028" s="1" t="n">
        <v>44544.51834490741</v>
      </c>
      <c r="C2028" s="1" t="n">
        <v>45883</v>
      </c>
      <c r="D2028" t="inlineStr">
        <is>
          <t>GÄVLEBORGS LÄN</t>
        </is>
      </c>
      <c r="E2028" t="inlineStr">
        <is>
          <t>NORDANSTIG</t>
        </is>
      </c>
      <c r="F2028" t="inlineStr">
        <is>
          <t>Holmen skog AB</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68659-2021</t>
        </is>
      </c>
      <c r="B2029" s="1" t="n">
        <v>44529</v>
      </c>
      <c r="C2029" s="1" t="n">
        <v>45883</v>
      </c>
      <c r="D2029" t="inlineStr">
        <is>
          <t>GÄVLEBORGS LÄN</t>
        </is>
      </c>
      <c r="E2029" t="inlineStr">
        <is>
          <t>HUDIKSVALL</t>
        </is>
      </c>
      <c r="F2029" t="inlineStr">
        <is>
          <t>Holmen skog AB</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45260-2023</t>
        </is>
      </c>
      <c r="B2030" s="1" t="n">
        <v>45191.62356481481</v>
      </c>
      <c r="C2030" s="1" t="n">
        <v>45883</v>
      </c>
      <c r="D2030" t="inlineStr">
        <is>
          <t>GÄVLEBORGS LÄN</t>
        </is>
      </c>
      <c r="E2030" t="inlineStr">
        <is>
          <t>LJUSDAL</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45279-2023</t>
        </is>
      </c>
      <c r="B2031" s="1" t="n">
        <v>45191</v>
      </c>
      <c r="C2031" s="1" t="n">
        <v>45883</v>
      </c>
      <c r="D2031" t="inlineStr">
        <is>
          <t>GÄVLEBORGS LÄN</t>
        </is>
      </c>
      <c r="E2031" t="inlineStr">
        <is>
          <t>SANDVIKEN</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2742-2025</t>
        </is>
      </c>
      <c r="B2032" s="1" t="n">
        <v>45677.45900462963</v>
      </c>
      <c r="C2032" s="1" t="n">
        <v>45883</v>
      </c>
      <c r="D2032" t="inlineStr">
        <is>
          <t>GÄVLEBORGS LÄN</t>
        </is>
      </c>
      <c r="E2032" t="inlineStr">
        <is>
          <t>HUDIKSVALL</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2750-2025</t>
        </is>
      </c>
      <c r="B2033" s="1" t="n">
        <v>45677.46671296296</v>
      </c>
      <c r="C2033" s="1" t="n">
        <v>45883</v>
      </c>
      <c r="D2033" t="inlineStr">
        <is>
          <t>GÄVLEBORGS LÄN</t>
        </is>
      </c>
      <c r="E2033" t="inlineStr">
        <is>
          <t>HUDIKSVALL</t>
        </is>
      </c>
      <c r="G2033" t="n">
        <v>5.6</v>
      </c>
      <c r="H2033" t="n">
        <v>0</v>
      </c>
      <c r="I2033" t="n">
        <v>0</v>
      </c>
      <c r="J2033" t="n">
        <v>0</v>
      </c>
      <c r="K2033" t="n">
        <v>0</v>
      </c>
      <c r="L2033" t="n">
        <v>0</v>
      </c>
      <c r="M2033" t="n">
        <v>0</v>
      </c>
      <c r="N2033" t="n">
        <v>0</v>
      </c>
      <c r="O2033" t="n">
        <v>0</v>
      </c>
      <c r="P2033" t="n">
        <v>0</v>
      </c>
      <c r="Q2033" t="n">
        <v>0</v>
      </c>
      <c r="R2033" s="2" t="inlineStr"/>
    </row>
    <row r="2034" ht="15" customHeight="1">
      <c r="A2034" t="inlineStr">
        <is>
          <t>A 2754-2025</t>
        </is>
      </c>
      <c r="B2034" s="1" t="n">
        <v>45677.47336805556</v>
      </c>
      <c r="C2034" s="1" t="n">
        <v>45883</v>
      </c>
      <c r="D2034" t="inlineStr">
        <is>
          <t>GÄVLEBORGS LÄN</t>
        </is>
      </c>
      <c r="E2034" t="inlineStr">
        <is>
          <t>HUDIKSVALL</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2798-2025</t>
        </is>
      </c>
      <c r="B2035" s="1" t="n">
        <v>45677.57865740741</v>
      </c>
      <c r="C2035" s="1" t="n">
        <v>45883</v>
      </c>
      <c r="D2035" t="inlineStr">
        <is>
          <t>GÄVLEBORGS LÄN</t>
        </is>
      </c>
      <c r="E2035" t="inlineStr">
        <is>
          <t>BOLLNÄS</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18082-2021</t>
        </is>
      </c>
      <c r="B2036" s="1" t="n">
        <v>44302.45612268519</v>
      </c>
      <c r="C2036" s="1" t="n">
        <v>45883</v>
      </c>
      <c r="D2036" t="inlineStr">
        <is>
          <t>GÄVLEBORGS LÄN</t>
        </is>
      </c>
      <c r="E2036" t="inlineStr">
        <is>
          <t>HUDIKSVALL</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5131-2024</t>
        </is>
      </c>
      <c r="B2037" s="1" t="n">
        <v>45330.44824074074</v>
      </c>
      <c r="C2037" s="1" t="n">
        <v>45883</v>
      </c>
      <c r="D2037" t="inlineStr">
        <is>
          <t>GÄVLEBORGS LÄN</t>
        </is>
      </c>
      <c r="E2037" t="inlineStr">
        <is>
          <t>OCKELBO</t>
        </is>
      </c>
      <c r="F2037" t="inlineStr">
        <is>
          <t>Bergvik skog väst AB</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2873-2025</t>
        </is>
      </c>
      <c r="B2038" s="1" t="n">
        <v>45677.68695601852</v>
      </c>
      <c r="C2038" s="1" t="n">
        <v>45883</v>
      </c>
      <c r="D2038" t="inlineStr">
        <is>
          <t>GÄVLEBORGS LÄN</t>
        </is>
      </c>
      <c r="E2038" t="inlineStr">
        <is>
          <t>SÖDERHAMN</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40498-2024</t>
        </is>
      </c>
      <c r="B2039" s="1" t="n">
        <v>45555.57181712963</v>
      </c>
      <c r="C2039" s="1" t="n">
        <v>45883</v>
      </c>
      <c r="D2039" t="inlineStr">
        <is>
          <t>GÄVLEBORGS LÄN</t>
        </is>
      </c>
      <c r="E2039" t="inlineStr">
        <is>
          <t>NORDANSTIG</t>
        </is>
      </c>
      <c r="G2039" t="n">
        <v>12.5</v>
      </c>
      <c r="H2039" t="n">
        <v>0</v>
      </c>
      <c r="I2039" t="n">
        <v>0</v>
      </c>
      <c r="J2039" t="n">
        <v>0</v>
      </c>
      <c r="K2039" t="n">
        <v>0</v>
      </c>
      <c r="L2039" t="n">
        <v>0</v>
      </c>
      <c r="M2039" t="n">
        <v>0</v>
      </c>
      <c r="N2039" t="n">
        <v>0</v>
      </c>
      <c r="O2039" t="n">
        <v>0</v>
      </c>
      <c r="P2039" t="n">
        <v>0</v>
      </c>
      <c r="Q2039" t="n">
        <v>0</v>
      </c>
      <c r="R2039" s="2" t="inlineStr"/>
    </row>
    <row r="2040" ht="15" customHeight="1">
      <c r="A2040" t="inlineStr">
        <is>
          <t>A 16093-2024</t>
        </is>
      </c>
      <c r="B2040" s="1" t="n">
        <v>45406.41305555555</v>
      </c>
      <c r="C2040" s="1" t="n">
        <v>45883</v>
      </c>
      <c r="D2040" t="inlineStr">
        <is>
          <t>GÄVLEBORGS LÄN</t>
        </is>
      </c>
      <c r="E2040" t="inlineStr">
        <is>
          <t>HUDIKSVALL</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18352-2025</t>
        </is>
      </c>
      <c r="B2041" s="1" t="n">
        <v>45762.55030092593</v>
      </c>
      <c r="C2041" s="1" t="n">
        <v>45883</v>
      </c>
      <c r="D2041" t="inlineStr">
        <is>
          <t>GÄVLEBORGS LÄN</t>
        </is>
      </c>
      <c r="E2041" t="inlineStr">
        <is>
          <t>SANDVIKEN</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13663-2025</t>
        </is>
      </c>
      <c r="B2042" s="1" t="n">
        <v>45736.78520833333</v>
      </c>
      <c r="C2042" s="1" t="n">
        <v>45883</v>
      </c>
      <c r="D2042" t="inlineStr">
        <is>
          <t>GÄVLEBORGS LÄN</t>
        </is>
      </c>
      <c r="E2042" t="inlineStr">
        <is>
          <t>HUDIKSVALL</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42469-2022</t>
        </is>
      </c>
      <c r="B2043" s="1" t="n">
        <v>44831.5209837963</v>
      </c>
      <c r="C2043" s="1" t="n">
        <v>45883</v>
      </c>
      <c r="D2043" t="inlineStr">
        <is>
          <t>GÄVLEBORGS LÄN</t>
        </is>
      </c>
      <c r="E2043" t="inlineStr">
        <is>
          <t>NORDANSTIG</t>
        </is>
      </c>
      <c r="F2043" t="inlineStr">
        <is>
          <t>Holmen skog AB</t>
        </is>
      </c>
      <c r="G2043" t="n">
        <v>13.2</v>
      </c>
      <c r="H2043" t="n">
        <v>0</v>
      </c>
      <c r="I2043" t="n">
        <v>0</v>
      </c>
      <c r="J2043" t="n">
        <v>0</v>
      </c>
      <c r="K2043" t="n">
        <v>0</v>
      </c>
      <c r="L2043" t="n">
        <v>0</v>
      </c>
      <c r="M2043" t="n">
        <v>0</v>
      </c>
      <c r="N2043" t="n">
        <v>0</v>
      </c>
      <c r="O2043" t="n">
        <v>0</v>
      </c>
      <c r="P2043" t="n">
        <v>0</v>
      </c>
      <c r="Q2043" t="n">
        <v>0</v>
      </c>
      <c r="R2043" s="2" t="inlineStr"/>
    </row>
    <row r="2044" ht="15" customHeight="1">
      <c r="A2044" t="inlineStr">
        <is>
          <t>A 42519-2022</t>
        </is>
      </c>
      <c r="B2044" s="1" t="n">
        <v>44831.60743055555</v>
      </c>
      <c r="C2044" s="1" t="n">
        <v>45883</v>
      </c>
      <c r="D2044" t="inlineStr">
        <is>
          <t>GÄVLEBORGS LÄN</t>
        </is>
      </c>
      <c r="E2044" t="inlineStr">
        <is>
          <t>BOLLNÄS</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39114-2022</t>
        </is>
      </c>
      <c r="B2045" s="1" t="n">
        <v>44817</v>
      </c>
      <c r="C2045" s="1" t="n">
        <v>45883</v>
      </c>
      <c r="D2045" t="inlineStr">
        <is>
          <t>GÄVLEBORGS LÄN</t>
        </is>
      </c>
      <c r="E2045" t="inlineStr">
        <is>
          <t>HUDIKSVALL</t>
        </is>
      </c>
      <c r="F2045" t="inlineStr">
        <is>
          <t>Holmen skog AB</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54173-2023</t>
        </is>
      </c>
      <c r="B2046" s="1" t="n">
        <v>45232</v>
      </c>
      <c r="C2046" s="1" t="n">
        <v>45883</v>
      </c>
      <c r="D2046" t="inlineStr">
        <is>
          <t>GÄVLEBORGS LÄN</t>
        </is>
      </c>
      <c r="E2046" t="inlineStr">
        <is>
          <t>HUDIKSVALL</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16768-2024</t>
        </is>
      </c>
      <c r="B2047" s="1" t="n">
        <v>45411.38644675926</v>
      </c>
      <c r="C2047" s="1" t="n">
        <v>45883</v>
      </c>
      <c r="D2047" t="inlineStr">
        <is>
          <t>GÄVLEBORGS LÄN</t>
        </is>
      </c>
      <c r="E2047" t="inlineStr">
        <is>
          <t>HUDIKSVALL</t>
        </is>
      </c>
      <c r="F2047" t="inlineStr">
        <is>
          <t>Holmen skog AB</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59186-2022</t>
        </is>
      </c>
      <c r="B2048" s="1" t="n">
        <v>44904.49101851852</v>
      </c>
      <c r="C2048" s="1" t="n">
        <v>45883</v>
      </c>
      <c r="D2048" t="inlineStr">
        <is>
          <t>GÄVLEBORGS LÄN</t>
        </is>
      </c>
      <c r="E2048" t="inlineStr">
        <is>
          <t>OVANÅKER</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16827-2024</t>
        </is>
      </c>
      <c r="B2049" s="1" t="n">
        <v>45411.47578703704</v>
      </c>
      <c r="C2049" s="1" t="n">
        <v>45883</v>
      </c>
      <c r="D2049" t="inlineStr">
        <is>
          <t>GÄVLEBORGS LÄN</t>
        </is>
      </c>
      <c r="E2049" t="inlineStr">
        <is>
          <t>HUDIKSVALL</t>
        </is>
      </c>
      <c r="F2049" t="inlineStr">
        <is>
          <t>Holmen skog AB</t>
        </is>
      </c>
      <c r="G2049" t="n">
        <v>5.9</v>
      </c>
      <c r="H2049" t="n">
        <v>0</v>
      </c>
      <c r="I2049" t="n">
        <v>0</v>
      </c>
      <c r="J2049" t="n">
        <v>0</v>
      </c>
      <c r="K2049" t="n">
        <v>0</v>
      </c>
      <c r="L2049" t="n">
        <v>0</v>
      </c>
      <c r="M2049" t="n">
        <v>0</v>
      </c>
      <c r="N2049" t="n">
        <v>0</v>
      </c>
      <c r="O2049" t="n">
        <v>0</v>
      </c>
      <c r="P2049" t="n">
        <v>0</v>
      </c>
      <c r="Q2049" t="n">
        <v>0</v>
      </c>
      <c r="R2049" s="2" t="inlineStr"/>
    </row>
    <row r="2050" ht="15" customHeight="1">
      <c r="A2050" t="inlineStr">
        <is>
          <t>A 14449-2021</t>
        </is>
      </c>
      <c r="B2050" s="1" t="n">
        <v>44279.49376157407</v>
      </c>
      <c r="C2050" s="1" t="n">
        <v>45883</v>
      </c>
      <c r="D2050" t="inlineStr">
        <is>
          <t>GÄVLEBORGS LÄN</t>
        </is>
      </c>
      <c r="E2050" t="inlineStr">
        <is>
          <t>GÄVLE</t>
        </is>
      </c>
      <c r="F2050" t="inlineStr">
        <is>
          <t>Bergvik skog öst AB</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42981-2022</t>
        </is>
      </c>
      <c r="B2051" s="1" t="n">
        <v>44833.46821759259</v>
      </c>
      <c r="C2051" s="1" t="n">
        <v>45883</v>
      </c>
      <c r="D2051" t="inlineStr">
        <is>
          <t>GÄVLEBORGS LÄN</t>
        </is>
      </c>
      <c r="E2051" t="inlineStr">
        <is>
          <t>HUDIKSVALL</t>
        </is>
      </c>
      <c r="F2051" t="inlineStr">
        <is>
          <t>Holmen skog AB</t>
        </is>
      </c>
      <c r="G2051" t="n">
        <v>4.3</v>
      </c>
      <c r="H2051" t="n">
        <v>0</v>
      </c>
      <c r="I2051" t="n">
        <v>0</v>
      </c>
      <c r="J2051" t="n">
        <v>0</v>
      </c>
      <c r="K2051" t="n">
        <v>0</v>
      </c>
      <c r="L2051" t="n">
        <v>0</v>
      </c>
      <c r="M2051" t="n">
        <v>0</v>
      </c>
      <c r="N2051" t="n">
        <v>0</v>
      </c>
      <c r="O2051" t="n">
        <v>0</v>
      </c>
      <c r="P2051" t="n">
        <v>0</v>
      </c>
      <c r="Q2051" t="n">
        <v>0</v>
      </c>
      <c r="R2051" s="2" t="inlineStr"/>
    </row>
    <row r="2052" ht="15" customHeight="1">
      <c r="A2052" t="inlineStr">
        <is>
          <t>A 33280-2022</t>
        </is>
      </c>
      <c r="B2052" s="1" t="n">
        <v>44788.34717592593</v>
      </c>
      <c r="C2052" s="1" t="n">
        <v>45883</v>
      </c>
      <c r="D2052" t="inlineStr">
        <is>
          <t>GÄVLEBORGS LÄN</t>
        </is>
      </c>
      <c r="E2052" t="inlineStr">
        <is>
          <t>GÄVLE</t>
        </is>
      </c>
      <c r="F2052" t="inlineStr">
        <is>
          <t>Bergvik skog öst AB</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12474-2021</t>
        </is>
      </c>
      <c r="B2053" s="1" t="n">
        <v>44267</v>
      </c>
      <c r="C2053" s="1" t="n">
        <v>45883</v>
      </c>
      <c r="D2053" t="inlineStr">
        <is>
          <t>GÄVLEBORGS LÄN</t>
        </is>
      </c>
      <c r="E2053" t="inlineStr">
        <is>
          <t>BOLLNÄS</t>
        </is>
      </c>
      <c r="G2053" t="n">
        <v>0.1</v>
      </c>
      <c r="H2053" t="n">
        <v>0</v>
      </c>
      <c r="I2053" t="n">
        <v>0</v>
      </c>
      <c r="J2053" t="n">
        <v>0</v>
      </c>
      <c r="K2053" t="n">
        <v>0</v>
      </c>
      <c r="L2053" t="n">
        <v>0</v>
      </c>
      <c r="M2053" t="n">
        <v>0</v>
      </c>
      <c r="N2053" t="n">
        <v>0</v>
      </c>
      <c r="O2053" t="n">
        <v>0</v>
      </c>
      <c r="P2053" t="n">
        <v>0</v>
      </c>
      <c r="Q2053" t="n">
        <v>0</v>
      </c>
      <c r="R2053" s="2" t="inlineStr"/>
    </row>
    <row r="2054" ht="15" customHeight="1">
      <c r="A2054" t="inlineStr">
        <is>
          <t>A 39374-2021</t>
        </is>
      </c>
      <c r="B2054" s="1" t="n">
        <v>44414</v>
      </c>
      <c r="C2054" s="1" t="n">
        <v>45883</v>
      </c>
      <c r="D2054" t="inlineStr">
        <is>
          <t>GÄVLEBORGS LÄN</t>
        </is>
      </c>
      <c r="E2054" t="inlineStr">
        <is>
          <t>GÄVLE</t>
        </is>
      </c>
      <c r="F2054" t="inlineStr">
        <is>
          <t>Kyrkan</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54519-2024</t>
        </is>
      </c>
      <c r="B2055" s="1" t="n">
        <v>45617</v>
      </c>
      <c r="C2055" s="1" t="n">
        <v>45883</v>
      </c>
      <c r="D2055" t="inlineStr">
        <is>
          <t>GÄVLEBORGS LÄN</t>
        </is>
      </c>
      <c r="E2055" t="inlineStr">
        <is>
          <t>NORDANSTIG</t>
        </is>
      </c>
      <c r="F2055" t="inlineStr">
        <is>
          <t>Holmen skog AB</t>
        </is>
      </c>
      <c r="G2055" t="n">
        <v>5.8</v>
      </c>
      <c r="H2055" t="n">
        <v>0</v>
      </c>
      <c r="I2055" t="n">
        <v>0</v>
      </c>
      <c r="J2055" t="n">
        <v>0</v>
      </c>
      <c r="K2055" t="n">
        <v>0</v>
      </c>
      <c r="L2055" t="n">
        <v>0</v>
      </c>
      <c r="M2055" t="n">
        <v>0</v>
      </c>
      <c r="N2055" t="n">
        <v>0</v>
      </c>
      <c r="O2055" t="n">
        <v>0</v>
      </c>
      <c r="P2055" t="n">
        <v>0</v>
      </c>
      <c r="Q2055" t="n">
        <v>0</v>
      </c>
      <c r="R2055" s="2" t="inlineStr"/>
    </row>
    <row r="2056" ht="15" customHeight="1">
      <c r="A2056" t="inlineStr">
        <is>
          <t>A 54203-2023</t>
        </is>
      </c>
      <c r="B2056" s="1" t="n">
        <v>45232.56078703704</v>
      </c>
      <c r="C2056" s="1" t="n">
        <v>45883</v>
      </c>
      <c r="D2056" t="inlineStr">
        <is>
          <t>GÄVLEBORGS LÄN</t>
        </is>
      </c>
      <c r="E2056" t="inlineStr">
        <is>
          <t>BOLLNÄS</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14206-2025</t>
        </is>
      </c>
      <c r="B2057" s="1" t="n">
        <v>45740.57578703704</v>
      </c>
      <c r="C2057" s="1" t="n">
        <v>45883</v>
      </c>
      <c r="D2057" t="inlineStr">
        <is>
          <t>GÄVLEBORGS LÄN</t>
        </is>
      </c>
      <c r="E2057" t="inlineStr">
        <is>
          <t>SANDVIKEN</t>
        </is>
      </c>
      <c r="F2057" t="inlineStr">
        <is>
          <t>Bergvik skog öst AB</t>
        </is>
      </c>
      <c r="G2057" t="n">
        <v>11.3</v>
      </c>
      <c r="H2057" t="n">
        <v>0</v>
      </c>
      <c r="I2057" t="n">
        <v>0</v>
      </c>
      <c r="J2057" t="n">
        <v>0</v>
      </c>
      <c r="K2057" t="n">
        <v>0</v>
      </c>
      <c r="L2057" t="n">
        <v>0</v>
      </c>
      <c r="M2057" t="n">
        <v>0</v>
      </c>
      <c r="N2057" t="n">
        <v>0</v>
      </c>
      <c r="O2057" t="n">
        <v>0</v>
      </c>
      <c r="P2057" t="n">
        <v>0</v>
      </c>
      <c r="Q2057" t="n">
        <v>0</v>
      </c>
      <c r="R2057" s="2" t="inlineStr"/>
    </row>
    <row r="2058" ht="15" customHeight="1">
      <c r="A2058" t="inlineStr">
        <is>
          <t>A 43799-2022</t>
        </is>
      </c>
      <c r="B2058" s="1" t="n">
        <v>44838</v>
      </c>
      <c r="C2058" s="1" t="n">
        <v>45883</v>
      </c>
      <c r="D2058" t="inlineStr">
        <is>
          <t>GÄVLEBORGS LÄN</t>
        </is>
      </c>
      <c r="E2058" t="inlineStr">
        <is>
          <t>OCKELBO</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9309-2022</t>
        </is>
      </c>
      <c r="B2059" s="1" t="n">
        <v>44616.50363425926</v>
      </c>
      <c r="C2059" s="1" t="n">
        <v>45883</v>
      </c>
      <c r="D2059" t="inlineStr">
        <is>
          <t>GÄVLEBORGS LÄN</t>
        </is>
      </c>
      <c r="E2059" t="inlineStr">
        <is>
          <t>HUDIKSVALL</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7600-2025</t>
        </is>
      </c>
      <c r="B2060" s="1" t="n">
        <v>45705.65464120371</v>
      </c>
      <c r="C2060" s="1" t="n">
        <v>45883</v>
      </c>
      <c r="D2060" t="inlineStr">
        <is>
          <t>GÄVLEBORGS LÄN</t>
        </is>
      </c>
      <c r="E2060" t="inlineStr">
        <is>
          <t>LJUSDAL</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54676-2024</t>
        </is>
      </c>
      <c r="B2061" s="1" t="n">
        <v>45618.34304398148</v>
      </c>
      <c r="C2061" s="1" t="n">
        <v>45883</v>
      </c>
      <c r="D2061" t="inlineStr">
        <is>
          <t>GÄVLEBORGS LÄN</t>
        </is>
      </c>
      <c r="E2061" t="inlineStr">
        <is>
          <t>HUDIKSVALL</t>
        </is>
      </c>
      <c r="F2061" t="inlineStr">
        <is>
          <t>Holmen skog AB</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31397-2022</t>
        </is>
      </c>
      <c r="B2062" s="1" t="n">
        <v>44774</v>
      </c>
      <c r="C2062" s="1" t="n">
        <v>45883</v>
      </c>
      <c r="D2062" t="inlineStr">
        <is>
          <t>GÄVLEBORGS LÄN</t>
        </is>
      </c>
      <c r="E2062" t="inlineStr">
        <is>
          <t>LJUSDAL</t>
        </is>
      </c>
      <c r="F2062" t="inlineStr">
        <is>
          <t>Holmen skog AB</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57977-2022</t>
        </is>
      </c>
      <c r="B2063" s="1" t="n">
        <v>44900.45950231481</v>
      </c>
      <c r="C2063" s="1" t="n">
        <v>45883</v>
      </c>
      <c r="D2063" t="inlineStr">
        <is>
          <t>GÄVLEBORGS LÄN</t>
        </is>
      </c>
      <c r="E2063" t="inlineStr">
        <is>
          <t>LJUSDAL</t>
        </is>
      </c>
      <c r="F2063" t="inlineStr">
        <is>
          <t>Holmen skog AB</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10095-2025</t>
        </is>
      </c>
      <c r="B2064" s="1" t="n">
        <v>45719</v>
      </c>
      <c r="C2064" s="1" t="n">
        <v>45883</v>
      </c>
      <c r="D2064" t="inlineStr">
        <is>
          <t>GÄVLEBORGS LÄN</t>
        </is>
      </c>
      <c r="E2064" t="inlineStr">
        <is>
          <t>GÄVLE</t>
        </is>
      </c>
      <c r="F2064" t="inlineStr">
        <is>
          <t>Bergvik skog öst AB</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4300-2024</t>
        </is>
      </c>
      <c r="B2065" s="1" t="n">
        <v>45324.62636574074</v>
      </c>
      <c r="C2065" s="1" t="n">
        <v>45883</v>
      </c>
      <c r="D2065" t="inlineStr">
        <is>
          <t>GÄVLEBORGS LÄN</t>
        </is>
      </c>
      <c r="E2065" t="inlineStr">
        <is>
          <t>HUDIKSVALL</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39566-2022</t>
        </is>
      </c>
      <c r="B2066" s="1" t="n">
        <v>44818.57881944445</v>
      </c>
      <c r="C2066" s="1" t="n">
        <v>45883</v>
      </c>
      <c r="D2066" t="inlineStr">
        <is>
          <t>GÄVLEBORGS LÄN</t>
        </is>
      </c>
      <c r="E2066" t="inlineStr">
        <is>
          <t>SANDVIKEN</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56487-2023</t>
        </is>
      </c>
      <c r="B2067" s="1" t="n">
        <v>45243</v>
      </c>
      <c r="C2067" s="1" t="n">
        <v>45883</v>
      </c>
      <c r="D2067" t="inlineStr">
        <is>
          <t>GÄVLEBORGS LÄN</t>
        </is>
      </c>
      <c r="E2067" t="inlineStr">
        <is>
          <t>GÄVLE</t>
        </is>
      </c>
      <c r="G2067" t="n">
        <v>8.699999999999999</v>
      </c>
      <c r="H2067" t="n">
        <v>0</v>
      </c>
      <c r="I2067" t="n">
        <v>0</v>
      </c>
      <c r="J2067" t="n">
        <v>0</v>
      </c>
      <c r="K2067" t="n">
        <v>0</v>
      </c>
      <c r="L2067" t="n">
        <v>0</v>
      </c>
      <c r="M2067" t="n">
        <v>0</v>
      </c>
      <c r="N2067" t="n">
        <v>0</v>
      </c>
      <c r="O2067" t="n">
        <v>0</v>
      </c>
      <c r="P2067" t="n">
        <v>0</v>
      </c>
      <c r="Q2067" t="n">
        <v>0</v>
      </c>
      <c r="R2067" s="2" t="inlineStr"/>
    </row>
    <row r="2068" ht="15" customHeight="1">
      <c r="A2068" t="inlineStr">
        <is>
          <t>A 56500-2023</t>
        </is>
      </c>
      <c r="B2068" s="1" t="n">
        <v>45243</v>
      </c>
      <c r="C2068" s="1" t="n">
        <v>45883</v>
      </c>
      <c r="D2068" t="inlineStr">
        <is>
          <t>GÄVLEBORGS LÄN</t>
        </is>
      </c>
      <c r="E2068" t="inlineStr">
        <is>
          <t>SÖDERHAMN</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34363-2022</t>
        </is>
      </c>
      <c r="B2069" s="1" t="n">
        <v>44792.46133101852</v>
      </c>
      <c r="C2069" s="1" t="n">
        <v>45883</v>
      </c>
      <c r="D2069" t="inlineStr">
        <is>
          <t>GÄVLEBORGS LÄN</t>
        </is>
      </c>
      <c r="E2069" t="inlineStr">
        <is>
          <t>HUDIKSVALL</t>
        </is>
      </c>
      <c r="F2069" t="inlineStr">
        <is>
          <t>Holmen skog AB</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56631-2022</t>
        </is>
      </c>
      <c r="B2070" s="1" t="n">
        <v>44893.61184027778</v>
      </c>
      <c r="C2070" s="1" t="n">
        <v>45883</v>
      </c>
      <c r="D2070" t="inlineStr">
        <is>
          <t>GÄVLEBORGS LÄN</t>
        </is>
      </c>
      <c r="E2070" t="inlineStr">
        <is>
          <t>OCKELBO</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30349-2023</t>
        </is>
      </c>
      <c r="B2071" s="1" t="n">
        <v>45111.39857638889</v>
      </c>
      <c r="C2071" s="1" t="n">
        <v>45883</v>
      </c>
      <c r="D2071" t="inlineStr">
        <is>
          <t>GÄVLEBORGS LÄN</t>
        </is>
      </c>
      <c r="E2071" t="inlineStr">
        <is>
          <t>OCKELBO</t>
        </is>
      </c>
      <c r="G2071" t="n">
        <v>5.3</v>
      </c>
      <c r="H2071" t="n">
        <v>0</v>
      </c>
      <c r="I2071" t="n">
        <v>0</v>
      </c>
      <c r="J2071" t="n">
        <v>0</v>
      </c>
      <c r="K2071" t="n">
        <v>0</v>
      </c>
      <c r="L2071" t="n">
        <v>0</v>
      </c>
      <c r="M2071" t="n">
        <v>0</v>
      </c>
      <c r="N2071" t="n">
        <v>0</v>
      </c>
      <c r="O2071" t="n">
        <v>0</v>
      </c>
      <c r="P2071" t="n">
        <v>0</v>
      </c>
      <c r="Q2071" t="n">
        <v>0</v>
      </c>
      <c r="R2071" s="2" t="inlineStr"/>
    </row>
    <row r="2072" ht="15" customHeight="1">
      <c r="A2072" t="inlineStr">
        <is>
          <t>A 56637-2022</t>
        </is>
      </c>
      <c r="B2072" s="1" t="n">
        <v>44893.61770833333</v>
      </c>
      <c r="C2072" s="1" t="n">
        <v>45883</v>
      </c>
      <c r="D2072" t="inlineStr">
        <is>
          <t>GÄVLEBORGS LÄN</t>
        </is>
      </c>
      <c r="E2072" t="inlineStr">
        <is>
          <t>HUDIKSVALL</t>
        </is>
      </c>
      <c r="F2072" t="inlineStr">
        <is>
          <t>Holmen skog AB</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24551-2024</t>
        </is>
      </c>
      <c r="B2073" s="1" t="n">
        <v>45460.40803240741</v>
      </c>
      <c r="C2073" s="1" t="n">
        <v>45883</v>
      </c>
      <c r="D2073" t="inlineStr">
        <is>
          <t>GÄVLEBORGS LÄN</t>
        </is>
      </c>
      <c r="E2073" t="inlineStr">
        <is>
          <t>BOLLNÄS</t>
        </is>
      </c>
      <c r="G2073" t="n">
        <v>6.8</v>
      </c>
      <c r="H2073" t="n">
        <v>0</v>
      </c>
      <c r="I2073" t="n">
        <v>0</v>
      </c>
      <c r="J2073" t="n">
        <v>0</v>
      </c>
      <c r="K2073" t="n">
        <v>0</v>
      </c>
      <c r="L2073" t="n">
        <v>0</v>
      </c>
      <c r="M2073" t="n">
        <v>0</v>
      </c>
      <c r="N2073" t="n">
        <v>0</v>
      </c>
      <c r="O2073" t="n">
        <v>0</v>
      </c>
      <c r="P2073" t="n">
        <v>0</v>
      </c>
      <c r="Q2073" t="n">
        <v>0</v>
      </c>
      <c r="R2073" s="2" t="inlineStr"/>
    </row>
    <row r="2074" ht="15" customHeight="1">
      <c r="A2074" t="inlineStr">
        <is>
          <t>A 10238-2024</t>
        </is>
      </c>
      <c r="B2074" s="1" t="n">
        <v>45365.36416666667</v>
      </c>
      <c r="C2074" s="1" t="n">
        <v>45883</v>
      </c>
      <c r="D2074" t="inlineStr">
        <is>
          <t>GÄVLEBORGS LÄN</t>
        </is>
      </c>
      <c r="E2074" t="inlineStr">
        <is>
          <t>OCKELBO</t>
        </is>
      </c>
      <c r="F2074" t="inlineStr">
        <is>
          <t>Kyrkan</t>
        </is>
      </c>
      <c r="G2074" t="n">
        <v>4.1</v>
      </c>
      <c r="H2074" t="n">
        <v>0</v>
      </c>
      <c r="I2074" t="n">
        <v>0</v>
      </c>
      <c r="J2074" t="n">
        <v>0</v>
      </c>
      <c r="K2074" t="n">
        <v>0</v>
      </c>
      <c r="L2074" t="n">
        <v>0</v>
      </c>
      <c r="M2074" t="n">
        <v>0</v>
      </c>
      <c r="N2074" t="n">
        <v>0</v>
      </c>
      <c r="O2074" t="n">
        <v>0</v>
      </c>
      <c r="P2074" t="n">
        <v>0</v>
      </c>
      <c r="Q2074" t="n">
        <v>0</v>
      </c>
      <c r="R2074" s="2" t="inlineStr"/>
    </row>
    <row r="2075" ht="15" customHeight="1">
      <c r="A2075" t="inlineStr">
        <is>
          <t>A 55411-2024</t>
        </is>
      </c>
      <c r="B2075" s="1" t="n">
        <v>45622.36931712963</v>
      </c>
      <c r="C2075" s="1" t="n">
        <v>45883</v>
      </c>
      <c r="D2075" t="inlineStr">
        <is>
          <t>GÄVLEBORGS LÄN</t>
        </is>
      </c>
      <c r="E2075" t="inlineStr">
        <is>
          <t>OVANÅKER</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61130-2024</t>
        </is>
      </c>
      <c r="B2076" s="1" t="n">
        <v>45645.58069444444</v>
      </c>
      <c r="C2076" s="1" t="n">
        <v>45883</v>
      </c>
      <c r="D2076" t="inlineStr">
        <is>
          <t>GÄVLEBORGS LÄN</t>
        </is>
      </c>
      <c r="E2076" t="inlineStr">
        <is>
          <t>GÄVLE</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61133-2024</t>
        </is>
      </c>
      <c r="B2077" s="1" t="n">
        <v>45645.58238425926</v>
      </c>
      <c r="C2077" s="1" t="n">
        <v>45883</v>
      </c>
      <c r="D2077" t="inlineStr">
        <is>
          <t>GÄVLEBORGS LÄN</t>
        </is>
      </c>
      <c r="E2077" t="inlineStr">
        <is>
          <t>GÄVLE</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10260-2024</t>
        </is>
      </c>
      <c r="B2078" s="1" t="n">
        <v>45365.42304398148</v>
      </c>
      <c r="C2078" s="1" t="n">
        <v>45883</v>
      </c>
      <c r="D2078" t="inlineStr">
        <is>
          <t>GÄVLEBORGS LÄN</t>
        </is>
      </c>
      <c r="E2078" t="inlineStr">
        <is>
          <t>SANDVIKEN</t>
        </is>
      </c>
      <c r="F2078" t="inlineStr">
        <is>
          <t>Kommuner</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18195-2023</t>
        </is>
      </c>
      <c r="B2079" s="1" t="n">
        <v>45041.3624537037</v>
      </c>
      <c r="C2079" s="1" t="n">
        <v>45883</v>
      </c>
      <c r="D2079" t="inlineStr">
        <is>
          <t>GÄVLEBORGS LÄN</t>
        </is>
      </c>
      <c r="E2079" t="inlineStr">
        <is>
          <t>SÖDERHAMN</t>
        </is>
      </c>
      <c r="F2079" t="inlineStr">
        <is>
          <t>Bergvik skog väst AB</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62196-2023</t>
        </is>
      </c>
      <c r="B2080" s="1" t="n">
        <v>45267.46763888889</v>
      </c>
      <c r="C2080" s="1" t="n">
        <v>45883</v>
      </c>
      <c r="D2080" t="inlineStr">
        <is>
          <t>GÄVLEBORGS LÄN</t>
        </is>
      </c>
      <c r="E2080" t="inlineStr">
        <is>
          <t>OVANÅKER</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63145-2023</t>
        </is>
      </c>
      <c r="B2081" s="1" t="n">
        <v>45273</v>
      </c>
      <c r="C2081" s="1" t="n">
        <v>45883</v>
      </c>
      <c r="D2081" t="inlineStr">
        <is>
          <t>GÄVLEBORGS LÄN</t>
        </is>
      </c>
      <c r="E2081" t="inlineStr">
        <is>
          <t>NORDANSTIG</t>
        </is>
      </c>
      <c r="F2081" t="inlineStr">
        <is>
          <t>Holmen skog AB</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6833-2023</t>
        </is>
      </c>
      <c r="B2082" s="1" t="n">
        <v>44967</v>
      </c>
      <c r="C2082" s="1" t="n">
        <v>45883</v>
      </c>
      <c r="D2082" t="inlineStr">
        <is>
          <t>GÄVLEBORGS LÄN</t>
        </is>
      </c>
      <c r="E2082" t="inlineStr">
        <is>
          <t>BOLLNÄS</t>
        </is>
      </c>
      <c r="G2082" t="n">
        <v>11.1</v>
      </c>
      <c r="H2082" t="n">
        <v>0</v>
      </c>
      <c r="I2082" t="n">
        <v>0</v>
      </c>
      <c r="J2082" t="n">
        <v>0</v>
      </c>
      <c r="K2082" t="n">
        <v>0</v>
      </c>
      <c r="L2082" t="n">
        <v>0</v>
      </c>
      <c r="M2082" t="n">
        <v>0</v>
      </c>
      <c r="N2082" t="n">
        <v>0</v>
      </c>
      <c r="O2082" t="n">
        <v>0</v>
      </c>
      <c r="P2082" t="n">
        <v>0</v>
      </c>
      <c r="Q2082" t="n">
        <v>0</v>
      </c>
      <c r="R2082" s="2" t="inlineStr"/>
    </row>
    <row r="2083" ht="15" customHeight="1">
      <c r="A2083" t="inlineStr">
        <is>
          <t>A 60356-2024</t>
        </is>
      </c>
      <c r="B2083" s="1" t="n">
        <v>45643.44497685185</v>
      </c>
      <c r="C2083" s="1" t="n">
        <v>45883</v>
      </c>
      <c r="D2083" t="inlineStr">
        <is>
          <t>GÄVLEBORGS LÄN</t>
        </is>
      </c>
      <c r="E2083" t="inlineStr">
        <is>
          <t>HUDIKSVALL</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28367-2024</t>
        </is>
      </c>
      <c r="B2084" s="1" t="n">
        <v>45477.57800925926</v>
      </c>
      <c r="C2084" s="1" t="n">
        <v>45883</v>
      </c>
      <c r="D2084" t="inlineStr">
        <is>
          <t>GÄVLEBORGS LÄN</t>
        </is>
      </c>
      <c r="E2084" t="inlineStr">
        <is>
          <t>HUDIKSVALL</t>
        </is>
      </c>
      <c r="F2084" t="inlineStr">
        <is>
          <t>Holmen skog AB</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5034-2025</t>
        </is>
      </c>
      <c r="B2085" s="1" t="n">
        <v>45691.42743055556</v>
      </c>
      <c r="C2085" s="1" t="n">
        <v>45883</v>
      </c>
      <c r="D2085" t="inlineStr">
        <is>
          <t>GÄVLEBORGS LÄN</t>
        </is>
      </c>
      <c r="E2085" t="inlineStr">
        <is>
          <t>LJUSDAL</t>
        </is>
      </c>
      <c r="F2085" t="inlineStr">
        <is>
          <t>SCA</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40073-2024</t>
        </is>
      </c>
      <c r="B2086" s="1" t="n">
        <v>45554</v>
      </c>
      <c r="C2086" s="1" t="n">
        <v>45883</v>
      </c>
      <c r="D2086" t="inlineStr">
        <is>
          <t>GÄVLEBORGS LÄN</t>
        </is>
      </c>
      <c r="E2086" t="inlineStr">
        <is>
          <t>HUDIKSVALL</t>
        </is>
      </c>
      <c r="F2086" t="inlineStr">
        <is>
          <t>Naturvårdsverket</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40078-2024</t>
        </is>
      </c>
      <c r="B2087" s="1" t="n">
        <v>45554.34570601852</v>
      </c>
      <c r="C2087" s="1" t="n">
        <v>45883</v>
      </c>
      <c r="D2087" t="inlineStr">
        <is>
          <t>GÄVLEBORGS LÄN</t>
        </is>
      </c>
      <c r="E2087" t="inlineStr">
        <is>
          <t>NORDANSTIG</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34233-2023</t>
        </is>
      </c>
      <c r="B2088" s="1" t="n">
        <v>45138.52274305555</v>
      </c>
      <c r="C2088" s="1" t="n">
        <v>45883</v>
      </c>
      <c r="D2088" t="inlineStr">
        <is>
          <t>GÄVLEBORGS LÄN</t>
        </is>
      </c>
      <c r="E2088" t="inlineStr">
        <is>
          <t>GÄVLE</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14771-2025</t>
        </is>
      </c>
      <c r="B2089" s="1" t="n">
        <v>45742.68819444445</v>
      </c>
      <c r="C2089" s="1" t="n">
        <v>45883</v>
      </c>
      <c r="D2089" t="inlineStr">
        <is>
          <t>GÄVLEBORGS LÄN</t>
        </is>
      </c>
      <c r="E2089" t="inlineStr">
        <is>
          <t>HUDIKSVALL</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8754-2023</t>
        </is>
      </c>
      <c r="B2090" s="1" t="n">
        <v>44978</v>
      </c>
      <c r="C2090" s="1" t="n">
        <v>45883</v>
      </c>
      <c r="D2090" t="inlineStr">
        <is>
          <t>GÄVLEBORGS LÄN</t>
        </is>
      </c>
      <c r="E2090" t="inlineStr">
        <is>
          <t>HUDIKSVALL</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14415-2025</t>
        </is>
      </c>
      <c r="B2091" s="1" t="n">
        <v>45741.47692129629</v>
      </c>
      <c r="C2091" s="1" t="n">
        <v>45883</v>
      </c>
      <c r="D2091" t="inlineStr">
        <is>
          <t>GÄVLEBORGS LÄN</t>
        </is>
      </c>
      <c r="E2091" t="inlineStr">
        <is>
          <t>NORDANSTIG</t>
        </is>
      </c>
      <c r="G2091" t="n">
        <v>16.7</v>
      </c>
      <c r="H2091" t="n">
        <v>0</v>
      </c>
      <c r="I2091" t="n">
        <v>0</v>
      </c>
      <c r="J2091" t="n">
        <v>0</v>
      </c>
      <c r="K2091" t="n">
        <v>0</v>
      </c>
      <c r="L2091" t="n">
        <v>0</v>
      </c>
      <c r="M2091" t="n">
        <v>0</v>
      </c>
      <c r="N2091" t="n">
        <v>0</v>
      </c>
      <c r="O2091" t="n">
        <v>0</v>
      </c>
      <c r="P2091" t="n">
        <v>0</v>
      </c>
      <c r="Q2091" t="n">
        <v>0</v>
      </c>
      <c r="R2091" s="2" t="inlineStr"/>
    </row>
    <row r="2092" ht="15" customHeight="1">
      <c r="A2092" t="inlineStr">
        <is>
          <t>A 11107-2024</t>
        </is>
      </c>
      <c r="B2092" s="1" t="n">
        <v>45371.35532407407</v>
      </c>
      <c r="C2092" s="1" t="n">
        <v>45883</v>
      </c>
      <c r="D2092" t="inlineStr">
        <is>
          <t>GÄVLEBORGS LÄN</t>
        </is>
      </c>
      <c r="E2092" t="inlineStr">
        <is>
          <t>HUDIKSVALL</t>
        </is>
      </c>
      <c r="F2092" t="inlineStr">
        <is>
          <t>Holmen skog AB</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55704-2024</t>
        </is>
      </c>
      <c r="B2093" s="1" t="n">
        <v>45622.69447916667</v>
      </c>
      <c r="C2093" s="1" t="n">
        <v>45883</v>
      </c>
      <c r="D2093" t="inlineStr">
        <is>
          <t>GÄVLEBORGS LÄN</t>
        </is>
      </c>
      <c r="E2093" t="inlineStr">
        <is>
          <t>NORDANSTIG</t>
        </is>
      </c>
      <c r="F2093" t="inlineStr">
        <is>
          <t>Holmen skog AB</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12925-2025</t>
        </is>
      </c>
      <c r="B2094" s="1" t="n">
        <v>45734.31555555556</v>
      </c>
      <c r="C2094" s="1" t="n">
        <v>45883</v>
      </c>
      <c r="D2094" t="inlineStr">
        <is>
          <t>GÄVLEBORGS LÄN</t>
        </is>
      </c>
      <c r="E2094" t="inlineStr">
        <is>
          <t>SANDVIKEN</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59085-2021</t>
        </is>
      </c>
      <c r="B2095" s="1" t="n">
        <v>44490.41263888889</v>
      </c>
      <c r="C2095" s="1" t="n">
        <v>45883</v>
      </c>
      <c r="D2095" t="inlineStr">
        <is>
          <t>GÄVLEBORGS LÄN</t>
        </is>
      </c>
      <c r="E2095" t="inlineStr">
        <is>
          <t>BOLLNÄS</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12181-2025</t>
        </is>
      </c>
      <c r="B2096" s="1" t="n">
        <v>45729.45688657407</v>
      </c>
      <c r="C2096" s="1" t="n">
        <v>45883</v>
      </c>
      <c r="D2096" t="inlineStr">
        <is>
          <t>GÄVLEBORGS LÄN</t>
        </is>
      </c>
      <c r="E2096" t="inlineStr">
        <is>
          <t>BOLLNÄS</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12935-2025</t>
        </is>
      </c>
      <c r="B2097" s="1" t="n">
        <v>45734.35393518519</v>
      </c>
      <c r="C2097" s="1" t="n">
        <v>45883</v>
      </c>
      <c r="D2097" t="inlineStr">
        <is>
          <t>GÄVLEBORGS LÄN</t>
        </is>
      </c>
      <c r="E2097" t="inlineStr">
        <is>
          <t>BOLLNÄS</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10888-2025</t>
        </is>
      </c>
      <c r="B2098" s="1" t="n">
        <v>45722.67070601852</v>
      </c>
      <c r="C2098" s="1" t="n">
        <v>45883</v>
      </c>
      <c r="D2098" t="inlineStr">
        <is>
          <t>GÄVLEBORGS LÄN</t>
        </is>
      </c>
      <c r="E2098" t="inlineStr">
        <is>
          <t>OVANÅKER</t>
        </is>
      </c>
      <c r="F2098" t="inlineStr">
        <is>
          <t>Bergvik skog öst AB</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33278-2021</t>
        </is>
      </c>
      <c r="B2099" s="1" t="n">
        <v>44377</v>
      </c>
      <c r="C2099" s="1" t="n">
        <v>45883</v>
      </c>
      <c r="D2099" t="inlineStr">
        <is>
          <t>GÄVLEBORGS LÄN</t>
        </is>
      </c>
      <c r="E2099" t="inlineStr">
        <is>
          <t>OCKELBO</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26114-2024</t>
        </is>
      </c>
      <c r="B2100" s="1" t="n">
        <v>45468</v>
      </c>
      <c r="C2100" s="1" t="n">
        <v>45883</v>
      </c>
      <c r="D2100" t="inlineStr">
        <is>
          <t>GÄVLEBORGS LÄN</t>
        </is>
      </c>
      <c r="E2100" t="inlineStr">
        <is>
          <t>LJUSDAL</t>
        </is>
      </c>
      <c r="G2100" t="n">
        <v>22.6</v>
      </c>
      <c r="H2100" t="n">
        <v>0</v>
      </c>
      <c r="I2100" t="n">
        <v>0</v>
      </c>
      <c r="J2100" t="n">
        <v>0</v>
      </c>
      <c r="K2100" t="n">
        <v>0</v>
      </c>
      <c r="L2100" t="n">
        <v>0</v>
      </c>
      <c r="M2100" t="n">
        <v>0</v>
      </c>
      <c r="N2100" t="n">
        <v>0</v>
      </c>
      <c r="O2100" t="n">
        <v>0</v>
      </c>
      <c r="P2100" t="n">
        <v>0</v>
      </c>
      <c r="Q2100" t="n">
        <v>0</v>
      </c>
      <c r="R2100" s="2" t="inlineStr"/>
    </row>
    <row r="2101" ht="15" customHeight="1">
      <c r="A2101" t="inlineStr">
        <is>
          <t>A 30893-2023</t>
        </is>
      </c>
      <c r="B2101" s="1" t="n">
        <v>45113.39641203704</v>
      </c>
      <c r="C2101" s="1" t="n">
        <v>45883</v>
      </c>
      <c r="D2101" t="inlineStr">
        <is>
          <t>GÄVLEBORGS LÄN</t>
        </is>
      </c>
      <c r="E2101" t="inlineStr">
        <is>
          <t>OVANÅKER</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58983-2023</t>
        </is>
      </c>
      <c r="B2102" s="1" t="n">
        <v>45252</v>
      </c>
      <c r="C2102" s="1" t="n">
        <v>45883</v>
      </c>
      <c r="D2102" t="inlineStr">
        <is>
          <t>GÄVLEBORGS LÄN</t>
        </is>
      </c>
      <c r="E2102" t="inlineStr">
        <is>
          <t>SANDVIKEN</t>
        </is>
      </c>
      <c r="F2102" t="inlineStr">
        <is>
          <t>Bergvik skog öst AB</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14567-2025</t>
        </is>
      </c>
      <c r="B2103" s="1" t="n">
        <v>45741.84697916666</v>
      </c>
      <c r="C2103" s="1" t="n">
        <v>45883</v>
      </c>
      <c r="D2103" t="inlineStr">
        <is>
          <t>GÄVLEBORGS LÄN</t>
        </is>
      </c>
      <c r="E2103" t="inlineStr">
        <is>
          <t>GÄVLE</t>
        </is>
      </c>
      <c r="F2103" t="inlineStr">
        <is>
          <t>Bergvik skog öst AB</t>
        </is>
      </c>
      <c r="G2103" t="n">
        <v>21.1</v>
      </c>
      <c r="H2103" t="n">
        <v>0</v>
      </c>
      <c r="I2103" t="n">
        <v>0</v>
      </c>
      <c r="J2103" t="n">
        <v>0</v>
      </c>
      <c r="K2103" t="n">
        <v>0</v>
      </c>
      <c r="L2103" t="n">
        <v>0</v>
      </c>
      <c r="M2103" t="n">
        <v>0</v>
      </c>
      <c r="N2103" t="n">
        <v>0</v>
      </c>
      <c r="O2103" t="n">
        <v>0</v>
      </c>
      <c r="P2103" t="n">
        <v>0</v>
      </c>
      <c r="Q2103" t="n">
        <v>0</v>
      </c>
      <c r="R2103" s="2" t="inlineStr"/>
    </row>
    <row r="2104" ht="15" customHeight="1">
      <c r="A2104" t="inlineStr">
        <is>
          <t>A 19737-2025</t>
        </is>
      </c>
      <c r="B2104" s="1" t="n">
        <v>45771.36810185185</v>
      </c>
      <c r="C2104" s="1" t="n">
        <v>45883</v>
      </c>
      <c r="D2104" t="inlineStr">
        <is>
          <t>GÄVLEBORGS LÄN</t>
        </is>
      </c>
      <c r="E2104" t="inlineStr">
        <is>
          <t>OVANÅKER</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19771-2025</t>
        </is>
      </c>
      <c r="B2105" s="1" t="n">
        <v>45771.41731481482</v>
      </c>
      <c r="C2105" s="1" t="n">
        <v>45883</v>
      </c>
      <c r="D2105" t="inlineStr">
        <is>
          <t>GÄVLEBORGS LÄN</t>
        </is>
      </c>
      <c r="E2105" t="inlineStr">
        <is>
          <t>SANDVIKEN</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26377-2023</t>
        </is>
      </c>
      <c r="B2106" s="1" t="n">
        <v>45092.28179398148</v>
      </c>
      <c r="C2106" s="1" t="n">
        <v>45883</v>
      </c>
      <c r="D2106" t="inlineStr">
        <is>
          <t>GÄVLEBORGS LÄN</t>
        </is>
      </c>
      <c r="E2106" t="inlineStr">
        <is>
          <t>BOLLNÄS</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61116-2023</t>
        </is>
      </c>
      <c r="B2107" s="1" t="n">
        <v>45261</v>
      </c>
      <c r="C2107" s="1" t="n">
        <v>45883</v>
      </c>
      <c r="D2107" t="inlineStr">
        <is>
          <t>GÄVLEBORGS LÄN</t>
        </is>
      </c>
      <c r="E2107" t="inlineStr">
        <is>
          <t>OCKELBO</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51431-2021</t>
        </is>
      </c>
      <c r="B2108" s="1" t="n">
        <v>44461</v>
      </c>
      <c r="C2108" s="1" t="n">
        <v>45883</v>
      </c>
      <c r="D2108" t="inlineStr">
        <is>
          <t>GÄVLEBORGS LÄN</t>
        </is>
      </c>
      <c r="E2108" t="inlineStr">
        <is>
          <t>LJUSDAL</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26531-2023</t>
        </is>
      </c>
      <c r="B2109" s="1" t="n">
        <v>45092.57606481481</v>
      </c>
      <c r="C2109" s="1" t="n">
        <v>45883</v>
      </c>
      <c r="D2109" t="inlineStr">
        <is>
          <t>GÄVLEBORGS LÄN</t>
        </is>
      </c>
      <c r="E2109" t="inlineStr">
        <is>
          <t>BOLLNÄS</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27475-2023</t>
        </is>
      </c>
      <c r="B2110" s="1" t="n">
        <v>45097</v>
      </c>
      <c r="C2110" s="1" t="n">
        <v>45883</v>
      </c>
      <c r="D2110" t="inlineStr">
        <is>
          <t>GÄVLEBORGS LÄN</t>
        </is>
      </c>
      <c r="E2110" t="inlineStr">
        <is>
          <t>HUDIKSVALL</t>
        </is>
      </c>
      <c r="F2110" t="inlineStr">
        <is>
          <t>Holmen skog AB</t>
        </is>
      </c>
      <c r="G2110" t="n">
        <v>14.6</v>
      </c>
      <c r="H2110" t="n">
        <v>0</v>
      </c>
      <c r="I2110" t="n">
        <v>0</v>
      </c>
      <c r="J2110" t="n">
        <v>0</v>
      </c>
      <c r="K2110" t="n">
        <v>0</v>
      </c>
      <c r="L2110" t="n">
        <v>0</v>
      </c>
      <c r="M2110" t="n">
        <v>0</v>
      </c>
      <c r="N2110" t="n">
        <v>0</v>
      </c>
      <c r="O2110" t="n">
        <v>0</v>
      </c>
      <c r="P2110" t="n">
        <v>0</v>
      </c>
      <c r="Q2110" t="n">
        <v>0</v>
      </c>
      <c r="R2110" s="2" t="inlineStr"/>
    </row>
    <row r="2111" ht="15" customHeight="1">
      <c r="A2111" t="inlineStr">
        <is>
          <t>A 20441-2023</t>
        </is>
      </c>
      <c r="B2111" s="1" t="n">
        <v>45056.82412037037</v>
      </c>
      <c r="C2111" s="1" t="n">
        <v>45883</v>
      </c>
      <c r="D2111" t="inlineStr">
        <is>
          <t>GÄVLEBORGS LÄN</t>
        </is>
      </c>
      <c r="E2111" t="inlineStr">
        <is>
          <t>NORDANSTIG</t>
        </is>
      </c>
      <c r="F2111" t="inlineStr">
        <is>
          <t>Holmen skog AB</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32174-2021</t>
        </is>
      </c>
      <c r="B2112" s="1" t="n">
        <v>44371</v>
      </c>
      <c r="C2112" s="1" t="n">
        <v>45883</v>
      </c>
      <c r="D2112" t="inlineStr">
        <is>
          <t>GÄVLEBORGS LÄN</t>
        </is>
      </c>
      <c r="E2112" t="inlineStr">
        <is>
          <t>BOLLNÄS</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27497-2023</t>
        </is>
      </c>
      <c r="B2113" s="1" t="n">
        <v>45097</v>
      </c>
      <c r="C2113" s="1" t="n">
        <v>45883</v>
      </c>
      <c r="D2113" t="inlineStr">
        <is>
          <t>GÄVLEBORGS LÄN</t>
        </is>
      </c>
      <c r="E2113" t="inlineStr">
        <is>
          <t>LJUSDAL</t>
        </is>
      </c>
      <c r="F2113" t="inlineStr">
        <is>
          <t>Bergvik skog väst AB</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27512-2023</t>
        </is>
      </c>
      <c r="B2114" s="1" t="n">
        <v>45097</v>
      </c>
      <c r="C2114" s="1" t="n">
        <v>45883</v>
      </c>
      <c r="D2114" t="inlineStr">
        <is>
          <t>GÄVLEBORGS LÄN</t>
        </is>
      </c>
      <c r="E2114" t="inlineStr">
        <is>
          <t>LJUSDAL</t>
        </is>
      </c>
      <c r="F2114" t="inlineStr">
        <is>
          <t>Holmen skog AB</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27590-2023</t>
        </is>
      </c>
      <c r="B2115" s="1" t="n">
        <v>45097</v>
      </c>
      <c r="C2115" s="1" t="n">
        <v>45883</v>
      </c>
      <c r="D2115" t="inlineStr">
        <is>
          <t>GÄVLEBORGS LÄN</t>
        </is>
      </c>
      <c r="E2115" t="inlineStr">
        <is>
          <t>BOLLNÄS</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59072-2020</t>
        </is>
      </c>
      <c r="B2116" s="1" t="n">
        <v>44147</v>
      </c>
      <c r="C2116" s="1" t="n">
        <v>45883</v>
      </c>
      <c r="D2116" t="inlineStr">
        <is>
          <t>GÄVLEBORGS LÄN</t>
        </is>
      </c>
      <c r="E2116" t="inlineStr">
        <is>
          <t>GÄVLE</t>
        </is>
      </c>
      <c r="G2116" t="n">
        <v>0.2</v>
      </c>
      <c r="H2116" t="n">
        <v>0</v>
      </c>
      <c r="I2116" t="n">
        <v>0</v>
      </c>
      <c r="J2116" t="n">
        <v>0</v>
      </c>
      <c r="K2116" t="n">
        <v>0</v>
      </c>
      <c r="L2116" t="n">
        <v>0</v>
      </c>
      <c r="M2116" t="n">
        <v>0</v>
      </c>
      <c r="N2116" t="n">
        <v>0</v>
      </c>
      <c r="O2116" t="n">
        <v>0</v>
      </c>
      <c r="P2116" t="n">
        <v>0</v>
      </c>
      <c r="Q2116" t="n">
        <v>0</v>
      </c>
      <c r="R2116" s="2" t="inlineStr"/>
    </row>
    <row r="2117" ht="15" customHeight="1">
      <c r="A2117" t="inlineStr">
        <is>
          <t>A 12434-2025</t>
        </is>
      </c>
      <c r="B2117" s="1" t="n">
        <v>45730.46855324074</v>
      </c>
      <c r="C2117" s="1" t="n">
        <v>45883</v>
      </c>
      <c r="D2117" t="inlineStr">
        <is>
          <t>GÄVLEBORGS LÄN</t>
        </is>
      </c>
      <c r="E2117" t="inlineStr">
        <is>
          <t>GÄVLE</t>
        </is>
      </c>
      <c r="F2117" t="inlineStr">
        <is>
          <t>Bergvik skog öst AB</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23187-2023</t>
        </is>
      </c>
      <c r="B2118" s="1" t="n">
        <v>45075</v>
      </c>
      <c r="C2118" s="1" t="n">
        <v>45883</v>
      </c>
      <c r="D2118" t="inlineStr">
        <is>
          <t>GÄVLEBORGS LÄN</t>
        </is>
      </c>
      <c r="E2118" t="inlineStr">
        <is>
          <t>HUDIKSVALL</t>
        </is>
      </c>
      <c r="F2118" t="inlineStr">
        <is>
          <t>Kommuner</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10483-2024</t>
        </is>
      </c>
      <c r="B2119" s="1" t="n">
        <v>45366</v>
      </c>
      <c r="C2119" s="1" t="n">
        <v>45883</v>
      </c>
      <c r="D2119" t="inlineStr">
        <is>
          <t>GÄVLEBORGS LÄN</t>
        </is>
      </c>
      <c r="E2119" t="inlineStr">
        <is>
          <t>BOLLNÄS</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26180-2023</t>
        </is>
      </c>
      <c r="B2120" s="1" t="n">
        <v>45091.52903935185</v>
      </c>
      <c r="C2120" s="1" t="n">
        <v>45883</v>
      </c>
      <c r="D2120" t="inlineStr">
        <is>
          <t>GÄVLEBORGS LÄN</t>
        </is>
      </c>
      <c r="E2120" t="inlineStr">
        <is>
          <t>LJUSDAL</t>
        </is>
      </c>
      <c r="F2120" t="inlineStr">
        <is>
          <t>Sveaskog</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19066-2025</t>
        </is>
      </c>
      <c r="B2121" s="1" t="n">
        <v>45765.42739583334</v>
      </c>
      <c r="C2121" s="1" t="n">
        <v>45883</v>
      </c>
      <c r="D2121" t="inlineStr">
        <is>
          <t>GÄVLEBORGS LÄN</t>
        </is>
      </c>
      <c r="E2121" t="inlineStr">
        <is>
          <t>LJUSDAL</t>
        </is>
      </c>
      <c r="F2121" t="inlineStr">
        <is>
          <t>SCA</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40140-2022</t>
        </is>
      </c>
      <c r="B2122" s="1" t="n">
        <v>44820</v>
      </c>
      <c r="C2122" s="1" t="n">
        <v>45883</v>
      </c>
      <c r="D2122" t="inlineStr">
        <is>
          <t>GÄVLEBORGS LÄN</t>
        </is>
      </c>
      <c r="E2122" t="inlineStr">
        <is>
          <t>OCKELBO</t>
        </is>
      </c>
      <c r="F2122" t="inlineStr">
        <is>
          <t>Bergvik skog väst AB</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40733-2023</t>
        </is>
      </c>
      <c r="B2123" s="1" t="n">
        <v>45170.70216435185</v>
      </c>
      <c r="C2123" s="1" t="n">
        <v>45883</v>
      </c>
      <c r="D2123" t="inlineStr">
        <is>
          <t>GÄVLEBORGS LÄN</t>
        </is>
      </c>
      <c r="E2123" t="inlineStr">
        <is>
          <t>NORDANSTIG</t>
        </is>
      </c>
      <c r="F2123" t="inlineStr">
        <is>
          <t>Holmen skog AB</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40745-2023</t>
        </is>
      </c>
      <c r="B2124" s="1" t="n">
        <v>45170</v>
      </c>
      <c r="C2124" s="1" t="n">
        <v>45883</v>
      </c>
      <c r="D2124" t="inlineStr">
        <is>
          <t>GÄVLEBORGS LÄN</t>
        </is>
      </c>
      <c r="E2124" t="inlineStr">
        <is>
          <t>SÖDERHAMN</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19657-2023</t>
        </is>
      </c>
      <c r="B2125" s="1" t="n">
        <v>45051</v>
      </c>
      <c r="C2125" s="1" t="n">
        <v>45883</v>
      </c>
      <c r="D2125" t="inlineStr">
        <is>
          <t>GÄVLEBORGS LÄN</t>
        </is>
      </c>
      <c r="E2125" t="inlineStr">
        <is>
          <t>OVANÅKER</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18505-2024</t>
        </is>
      </c>
      <c r="B2126" s="1" t="n">
        <v>45425</v>
      </c>
      <c r="C2126" s="1" t="n">
        <v>45883</v>
      </c>
      <c r="D2126" t="inlineStr">
        <is>
          <t>GÄVLEBORGS LÄN</t>
        </is>
      </c>
      <c r="E2126" t="inlineStr">
        <is>
          <t>SÖDERHAMN</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17853-2025</t>
        </is>
      </c>
      <c r="B2127" s="1" t="n">
        <v>45758.61561342593</v>
      </c>
      <c r="C2127" s="1" t="n">
        <v>45883</v>
      </c>
      <c r="D2127" t="inlineStr">
        <is>
          <t>GÄVLEBORGS LÄN</t>
        </is>
      </c>
      <c r="E2127" t="inlineStr">
        <is>
          <t>NORDANSTIG</t>
        </is>
      </c>
      <c r="F2127" t="inlineStr">
        <is>
          <t>Holmen skog AB</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18250-2025</t>
        </is>
      </c>
      <c r="B2128" s="1" t="n">
        <v>45762.33427083334</v>
      </c>
      <c r="C2128" s="1" t="n">
        <v>45883</v>
      </c>
      <c r="D2128" t="inlineStr">
        <is>
          <t>GÄVLEBORGS LÄN</t>
        </is>
      </c>
      <c r="E2128" t="inlineStr">
        <is>
          <t>LJUSDAL</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51137-2023</t>
        </is>
      </c>
      <c r="B2129" s="1" t="n">
        <v>45219</v>
      </c>
      <c r="C2129" s="1" t="n">
        <v>45883</v>
      </c>
      <c r="D2129" t="inlineStr">
        <is>
          <t>GÄVLEBORGS LÄN</t>
        </is>
      </c>
      <c r="E2129" t="inlineStr">
        <is>
          <t>BOLLNÄS</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5886-2023</t>
        </is>
      </c>
      <c r="B2130" s="1" t="n">
        <v>44963.64210648148</v>
      </c>
      <c r="C2130" s="1" t="n">
        <v>45883</v>
      </c>
      <c r="D2130" t="inlineStr">
        <is>
          <t>GÄVLEBORGS LÄN</t>
        </is>
      </c>
      <c r="E2130" t="inlineStr">
        <is>
          <t>SÖDERHAMN</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18096-2021</t>
        </is>
      </c>
      <c r="B2131" s="1" t="n">
        <v>44302.4797800926</v>
      </c>
      <c r="C2131" s="1" t="n">
        <v>45883</v>
      </c>
      <c r="D2131" t="inlineStr">
        <is>
          <t>GÄVLEBORGS LÄN</t>
        </is>
      </c>
      <c r="E2131" t="inlineStr">
        <is>
          <t>LJUSDAL</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34919-2024</t>
        </is>
      </c>
      <c r="B2132" s="1" t="n">
        <v>45527</v>
      </c>
      <c r="C2132" s="1" t="n">
        <v>45883</v>
      </c>
      <c r="D2132" t="inlineStr">
        <is>
          <t>GÄVLEBORGS LÄN</t>
        </is>
      </c>
      <c r="E2132" t="inlineStr">
        <is>
          <t>LJUSDAL</t>
        </is>
      </c>
      <c r="F2132" t="inlineStr">
        <is>
          <t>Holmen skog AB</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15207-2024</t>
        </is>
      </c>
      <c r="B2133" s="1" t="n">
        <v>45400.44844907407</v>
      </c>
      <c r="C2133" s="1" t="n">
        <v>45883</v>
      </c>
      <c r="D2133" t="inlineStr">
        <is>
          <t>GÄVLEBORGS LÄN</t>
        </is>
      </c>
      <c r="E2133" t="inlineStr">
        <is>
          <t>GÄVLE</t>
        </is>
      </c>
      <c r="G2133" t="n">
        <v>6.3</v>
      </c>
      <c r="H2133" t="n">
        <v>0</v>
      </c>
      <c r="I2133" t="n">
        <v>0</v>
      </c>
      <c r="J2133" t="n">
        <v>0</v>
      </c>
      <c r="K2133" t="n">
        <v>0</v>
      </c>
      <c r="L2133" t="n">
        <v>0</v>
      </c>
      <c r="M2133" t="n">
        <v>0</v>
      </c>
      <c r="N2133" t="n">
        <v>0</v>
      </c>
      <c r="O2133" t="n">
        <v>0</v>
      </c>
      <c r="P2133" t="n">
        <v>0</v>
      </c>
      <c r="Q2133" t="n">
        <v>0</v>
      </c>
      <c r="R2133" s="2" t="inlineStr"/>
    </row>
    <row r="2134" ht="15" customHeight="1">
      <c r="A2134" t="inlineStr">
        <is>
          <t>A 49518-2023</t>
        </is>
      </c>
      <c r="B2134" s="1" t="n">
        <v>45211.58746527778</v>
      </c>
      <c r="C2134" s="1" t="n">
        <v>45883</v>
      </c>
      <c r="D2134" t="inlineStr">
        <is>
          <t>GÄVLEBORGS LÄN</t>
        </is>
      </c>
      <c r="E2134" t="inlineStr">
        <is>
          <t>SANDVIKEN</t>
        </is>
      </c>
      <c r="G2134" t="n">
        <v>7.4</v>
      </c>
      <c r="H2134" t="n">
        <v>0</v>
      </c>
      <c r="I2134" t="n">
        <v>0</v>
      </c>
      <c r="J2134" t="n">
        <v>0</v>
      </c>
      <c r="K2134" t="n">
        <v>0</v>
      </c>
      <c r="L2134" t="n">
        <v>0</v>
      </c>
      <c r="M2134" t="n">
        <v>0</v>
      </c>
      <c r="N2134" t="n">
        <v>0</v>
      </c>
      <c r="O2134" t="n">
        <v>0</v>
      </c>
      <c r="P2134" t="n">
        <v>0</v>
      </c>
      <c r="Q2134" t="n">
        <v>0</v>
      </c>
      <c r="R2134" s="2" t="inlineStr"/>
    </row>
    <row r="2135" ht="15" customHeight="1">
      <c r="A2135" t="inlineStr">
        <is>
          <t>A 40736-2021</t>
        </is>
      </c>
      <c r="B2135" s="1" t="n">
        <v>44420.66540509259</v>
      </c>
      <c r="C2135" s="1" t="n">
        <v>45883</v>
      </c>
      <c r="D2135" t="inlineStr">
        <is>
          <t>GÄVLEBORGS LÄN</t>
        </is>
      </c>
      <c r="E2135" t="inlineStr">
        <is>
          <t>SÖDERHAMN</t>
        </is>
      </c>
      <c r="G2135" t="n">
        <v>5.2</v>
      </c>
      <c r="H2135" t="n">
        <v>0</v>
      </c>
      <c r="I2135" t="n">
        <v>0</v>
      </c>
      <c r="J2135" t="n">
        <v>0</v>
      </c>
      <c r="K2135" t="n">
        <v>0</v>
      </c>
      <c r="L2135" t="n">
        <v>0</v>
      </c>
      <c r="M2135" t="n">
        <v>0</v>
      </c>
      <c r="N2135" t="n">
        <v>0</v>
      </c>
      <c r="O2135" t="n">
        <v>0</v>
      </c>
      <c r="P2135" t="n">
        <v>0</v>
      </c>
      <c r="Q2135" t="n">
        <v>0</v>
      </c>
      <c r="R2135" s="2" t="inlineStr"/>
    </row>
    <row r="2136" ht="15" customHeight="1">
      <c r="A2136" t="inlineStr">
        <is>
          <t>A 36638-2022</t>
        </is>
      </c>
      <c r="B2136" s="1" t="n">
        <v>44804.72409722222</v>
      </c>
      <c r="C2136" s="1" t="n">
        <v>45883</v>
      </c>
      <c r="D2136" t="inlineStr">
        <is>
          <t>GÄVLEBORGS LÄN</t>
        </is>
      </c>
      <c r="E2136" t="inlineStr">
        <is>
          <t>GÄVLE</t>
        </is>
      </c>
      <c r="G2136" t="n">
        <v>4.2</v>
      </c>
      <c r="H2136" t="n">
        <v>0</v>
      </c>
      <c r="I2136" t="n">
        <v>0</v>
      </c>
      <c r="J2136" t="n">
        <v>0</v>
      </c>
      <c r="K2136" t="n">
        <v>0</v>
      </c>
      <c r="L2136" t="n">
        <v>0</v>
      </c>
      <c r="M2136" t="n">
        <v>0</v>
      </c>
      <c r="N2136" t="n">
        <v>0</v>
      </c>
      <c r="O2136" t="n">
        <v>0</v>
      </c>
      <c r="P2136" t="n">
        <v>0</v>
      </c>
      <c r="Q2136" t="n">
        <v>0</v>
      </c>
      <c r="R2136" s="2" t="inlineStr"/>
    </row>
    <row r="2137" ht="15" customHeight="1">
      <c r="A2137" t="inlineStr">
        <is>
          <t>A 15929-2021</t>
        </is>
      </c>
      <c r="B2137" s="1" t="n">
        <v>44287</v>
      </c>
      <c r="C2137" s="1" t="n">
        <v>45883</v>
      </c>
      <c r="D2137" t="inlineStr">
        <is>
          <t>GÄVLEBORGS LÄN</t>
        </is>
      </c>
      <c r="E2137" t="inlineStr">
        <is>
          <t>SÖDERHAMN</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20513-2025</t>
        </is>
      </c>
      <c r="B2138" s="1" t="n">
        <v>45775.59555555556</v>
      </c>
      <c r="C2138" s="1" t="n">
        <v>45883</v>
      </c>
      <c r="D2138" t="inlineStr">
        <is>
          <t>GÄVLEBORGS LÄN</t>
        </is>
      </c>
      <c r="E2138" t="inlineStr">
        <is>
          <t>LJUSDAL</t>
        </is>
      </c>
      <c r="F2138" t="inlineStr">
        <is>
          <t>Sveaskog</t>
        </is>
      </c>
      <c r="G2138" t="n">
        <v>13.1</v>
      </c>
      <c r="H2138" t="n">
        <v>0</v>
      </c>
      <c r="I2138" t="n">
        <v>0</v>
      </c>
      <c r="J2138" t="n">
        <v>0</v>
      </c>
      <c r="K2138" t="n">
        <v>0</v>
      </c>
      <c r="L2138" t="n">
        <v>0</v>
      </c>
      <c r="M2138" t="n">
        <v>0</v>
      </c>
      <c r="N2138" t="n">
        <v>0</v>
      </c>
      <c r="O2138" t="n">
        <v>0</v>
      </c>
      <c r="P2138" t="n">
        <v>0</v>
      </c>
      <c r="Q2138" t="n">
        <v>0</v>
      </c>
      <c r="R2138" s="2" t="inlineStr"/>
    </row>
    <row r="2139" ht="15" customHeight="1">
      <c r="A2139" t="inlineStr">
        <is>
          <t>A 20517-2025</t>
        </is>
      </c>
      <c r="B2139" s="1" t="n">
        <v>45775.59769675926</v>
      </c>
      <c r="C2139" s="1" t="n">
        <v>45883</v>
      </c>
      <c r="D2139" t="inlineStr">
        <is>
          <t>GÄVLEBORGS LÄN</t>
        </is>
      </c>
      <c r="E2139" t="inlineStr">
        <is>
          <t>BOLLNÄS</t>
        </is>
      </c>
      <c r="G2139" t="n">
        <v>8.4</v>
      </c>
      <c r="H2139" t="n">
        <v>0</v>
      </c>
      <c r="I2139" t="n">
        <v>0</v>
      </c>
      <c r="J2139" t="n">
        <v>0</v>
      </c>
      <c r="K2139" t="n">
        <v>0</v>
      </c>
      <c r="L2139" t="n">
        <v>0</v>
      </c>
      <c r="M2139" t="n">
        <v>0</v>
      </c>
      <c r="N2139" t="n">
        <v>0</v>
      </c>
      <c r="O2139" t="n">
        <v>0</v>
      </c>
      <c r="P2139" t="n">
        <v>0</v>
      </c>
      <c r="Q2139" t="n">
        <v>0</v>
      </c>
      <c r="R2139" s="2" t="inlineStr"/>
    </row>
    <row r="2140" ht="15" customHeight="1">
      <c r="A2140" t="inlineStr">
        <is>
          <t>A 17834-2021</t>
        </is>
      </c>
      <c r="B2140" s="1" t="n">
        <v>44300.80547453704</v>
      </c>
      <c r="C2140" s="1" t="n">
        <v>45883</v>
      </c>
      <c r="D2140" t="inlineStr">
        <is>
          <t>GÄVLEBORGS LÄN</t>
        </is>
      </c>
      <c r="E2140" t="inlineStr">
        <is>
          <t>GÄVLE</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40641-2024</t>
        </is>
      </c>
      <c r="B2141" s="1" t="n">
        <v>45558.30701388889</v>
      </c>
      <c r="C2141" s="1" t="n">
        <v>45883</v>
      </c>
      <c r="D2141" t="inlineStr">
        <is>
          <t>GÄVLEBORGS LÄN</t>
        </is>
      </c>
      <c r="E2141" t="inlineStr">
        <is>
          <t>NORDANSTIG</t>
        </is>
      </c>
      <c r="F2141" t="inlineStr">
        <is>
          <t>Holmen skog AB</t>
        </is>
      </c>
      <c r="G2141" t="n">
        <v>15.7</v>
      </c>
      <c r="H2141" t="n">
        <v>0</v>
      </c>
      <c r="I2141" t="n">
        <v>0</v>
      </c>
      <c r="J2141" t="n">
        <v>0</v>
      </c>
      <c r="K2141" t="n">
        <v>0</v>
      </c>
      <c r="L2141" t="n">
        <v>0</v>
      </c>
      <c r="M2141" t="n">
        <v>0</v>
      </c>
      <c r="N2141" t="n">
        <v>0</v>
      </c>
      <c r="O2141" t="n">
        <v>0</v>
      </c>
      <c r="P2141" t="n">
        <v>0</v>
      </c>
      <c r="Q2141" t="n">
        <v>0</v>
      </c>
      <c r="R2141" s="2" t="inlineStr"/>
    </row>
    <row r="2142" ht="15" customHeight="1">
      <c r="A2142" t="inlineStr">
        <is>
          <t>A 20543-2025</t>
        </is>
      </c>
      <c r="B2142" s="1" t="n">
        <v>45775.6283912037</v>
      </c>
      <c r="C2142" s="1" t="n">
        <v>45883</v>
      </c>
      <c r="D2142" t="inlineStr">
        <is>
          <t>GÄVLEBORGS LÄN</t>
        </is>
      </c>
      <c r="E2142" t="inlineStr">
        <is>
          <t>HOFORS</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57171-2023</t>
        </is>
      </c>
      <c r="B2143" s="1" t="n">
        <v>45245</v>
      </c>
      <c r="C2143" s="1" t="n">
        <v>45883</v>
      </c>
      <c r="D2143" t="inlineStr">
        <is>
          <t>GÄVLEBORGS LÄN</t>
        </is>
      </c>
      <c r="E2143" t="inlineStr">
        <is>
          <t>GÄVLE</t>
        </is>
      </c>
      <c r="F2143" t="inlineStr">
        <is>
          <t>Kyrkan</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20566-2025</t>
        </is>
      </c>
      <c r="B2144" s="1" t="n">
        <v>45775.66376157408</v>
      </c>
      <c r="C2144" s="1" t="n">
        <v>45883</v>
      </c>
      <c r="D2144" t="inlineStr">
        <is>
          <t>GÄVLEBORGS LÄN</t>
        </is>
      </c>
      <c r="E2144" t="inlineStr">
        <is>
          <t>NORDANSTIG</t>
        </is>
      </c>
      <c r="F2144" t="inlineStr">
        <is>
          <t>Holmen skog AB</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19566-2025</t>
        </is>
      </c>
      <c r="B2145" s="1" t="n">
        <v>45770.53225694445</v>
      </c>
      <c r="C2145" s="1" t="n">
        <v>45883</v>
      </c>
      <c r="D2145" t="inlineStr">
        <is>
          <t>GÄVLEBORGS LÄN</t>
        </is>
      </c>
      <c r="E2145" t="inlineStr">
        <is>
          <t>NORDANSTIG</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15966-2023</t>
        </is>
      </c>
      <c r="B2146" s="1" t="n">
        <v>45022.66271990741</v>
      </c>
      <c r="C2146" s="1" t="n">
        <v>45883</v>
      </c>
      <c r="D2146" t="inlineStr">
        <is>
          <t>GÄVLEBORGS LÄN</t>
        </is>
      </c>
      <c r="E2146" t="inlineStr">
        <is>
          <t>OCKELBO</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19569-2025</t>
        </is>
      </c>
      <c r="B2147" s="1" t="n">
        <v>45770.53775462963</v>
      </c>
      <c r="C2147" s="1" t="n">
        <v>45883</v>
      </c>
      <c r="D2147" t="inlineStr">
        <is>
          <t>GÄVLEBORGS LÄN</t>
        </is>
      </c>
      <c r="E2147" t="inlineStr">
        <is>
          <t>NORDANSTIG</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18913-2025</t>
        </is>
      </c>
      <c r="B2148" s="1" t="n">
        <v>45764.46673611111</v>
      </c>
      <c r="C2148" s="1" t="n">
        <v>45883</v>
      </c>
      <c r="D2148" t="inlineStr">
        <is>
          <t>GÄVLEBORGS LÄN</t>
        </is>
      </c>
      <c r="E2148" t="inlineStr">
        <is>
          <t>SÖDERHAMN</t>
        </is>
      </c>
      <c r="F2148" t="inlineStr">
        <is>
          <t>Kommuner</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46588-2022</t>
        </is>
      </c>
      <c r="B2149" s="1" t="n">
        <v>44848.69696759259</v>
      </c>
      <c r="C2149" s="1" t="n">
        <v>45883</v>
      </c>
      <c r="D2149" t="inlineStr">
        <is>
          <t>GÄVLEBORGS LÄN</t>
        </is>
      </c>
      <c r="E2149" t="inlineStr">
        <is>
          <t>NORDANSTIG</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9366-2024</t>
        </is>
      </c>
      <c r="B2150" s="1" t="n">
        <v>45359.34866898148</v>
      </c>
      <c r="C2150" s="1" t="n">
        <v>45883</v>
      </c>
      <c r="D2150" t="inlineStr">
        <is>
          <t>GÄVLEBORGS LÄN</t>
        </is>
      </c>
      <c r="E2150" t="inlineStr">
        <is>
          <t>HUDIKSVALL</t>
        </is>
      </c>
      <c r="F2150" t="inlineStr">
        <is>
          <t>Holmen skog AB</t>
        </is>
      </c>
      <c r="G2150" t="n">
        <v>13.6</v>
      </c>
      <c r="H2150" t="n">
        <v>0</v>
      </c>
      <c r="I2150" t="n">
        <v>0</v>
      </c>
      <c r="J2150" t="n">
        <v>0</v>
      </c>
      <c r="K2150" t="n">
        <v>0</v>
      </c>
      <c r="L2150" t="n">
        <v>0</v>
      </c>
      <c r="M2150" t="n">
        <v>0</v>
      </c>
      <c r="N2150" t="n">
        <v>0</v>
      </c>
      <c r="O2150" t="n">
        <v>0</v>
      </c>
      <c r="P2150" t="n">
        <v>0</v>
      </c>
      <c r="Q2150" t="n">
        <v>0</v>
      </c>
      <c r="R2150" s="2" t="inlineStr"/>
    </row>
    <row r="2151" ht="15" customHeight="1">
      <c r="A2151" t="inlineStr">
        <is>
          <t>A 13137-2025</t>
        </is>
      </c>
      <c r="B2151" s="1" t="n">
        <v>45735.2934837963</v>
      </c>
      <c r="C2151" s="1" t="n">
        <v>45883</v>
      </c>
      <c r="D2151" t="inlineStr">
        <is>
          <t>GÄVLEBORGS LÄN</t>
        </is>
      </c>
      <c r="E2151" t="inlineStr">
        <is>
          <t>BOLLNÄS</t>
        </is>
      </c>
      <c r="F2151" t="inlineStr">
        <is>
          <t>Bergvik skog väst AB</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34242-2021</t>
        </is>
      </c>
      <c r="B2152" s="1" t="n">
        <v>44379.5612962963</v>
      </c>
      <c r="C2152" s="1" t="n">
        <v>45883</v>
      </c>
      <c r="D2152" t="inlineStr">
        <is>
          <t>GÄVLEBORGS LÄN</t>
        </is>
      </c>
      <c r="E2152" t="inlineStr">
        <is>
          <t>SANDVIKEN</t>
        </is>
      </c>
      <c r="F2152" t="inlineStr">
        <is>
          <t>Bergvik skog öst AB</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16141-2023</t>
        </is>
      </c>
      <c r="B2153" s="1" t="n">
        <v>45027</v>
      </c>
      <c r="C2153" s="1" t="n">
        <v>45883</v>
      </c>
      <c r="D2153" t="inlineStr">
        <is>
          <t>GÄVLEBORGS LÄN</t>
        </is>
      </c>
      <c r="E2153" t="inlineStr">
        <is>
          <t>OCKELBO</t>
        </is>
      </c>
      <c r="F2153" t="inlineStr">
        <is>
          <t>Bergvik skog väst AB</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54007-2023</t>
        </is>
      </c>
      <c r="B2154" s="1" t="n">
        <v>45231</v>
      </c>
      <c r="C2154" s="1" t="n">
        <v>45883</v>
      </c>
      <c r="D2154" t="inlineStr">
        <is>
          <t>GÄVLEBORGS LÄN</t>
        </is>
      </c>
      <c r="E2154" t="inlineStr">
        <is>
          <t>SÖDERHAMN</t>
        </is>
      </c>
      <c r="F2154" t="inlineStr">
        <is>
          <t>Kommuner</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38893-2022</t>
        </is>
      </c>
      <c r="B2155" s="1" t="n">
        <v>44816.58288194444</v>
      </c>
      <c r="C2155" s="1" t="n">
        <v>45883</v>
      </c>
      <c r="D2155" t="inlineStr">
        <is>
          <t>GÄVLEBORGS LÄN</t>
        </is>
      </c>
      <c r="E2155" t="inlineStr">
        <is>
          <t>OCKELBO</t>
        </is>
      </c>
      <c r="F2155" t="inlineStr">
        <is>
          <t>Bergvik skog väst AB</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20208-2023</t>
        </is>
      </c>
      <c r="B2156" s="1" t="n">
        <v>45055.60613425926</v>
      </c>
      <c r="C2156" s="1" t="n">
        <v>45883</v>
      </c>
      <c r="D2156" t="inlineStr">
        <is>
          <t>GÄVLEBORGS LÄN</t>
        </is>
      </c>
      <c r="E2156" t="inlineStr">
        <is>
          <t>HUDIKSVALL</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56232-2022</t>
        </is>
      </c>
      <c r="B2157" s="1" t="n">
        <v>44890.52128472222</v>
      </c>
      <c r="C2157" s="1" t="n">
        <v>45883</v>
      </c>
      <c r="D2157" t="inlineStr">
        <is>
          <t>GÄVLEBORGS LÄN</t>
        </is>
      </c>
      <c r="E2157" t="inlineStr">
        <is>
          <t>OCKELBO</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17887-2024</t>
        </is>
      </c>
      <c r="B2158" s="1" t="n">
        <v>45419.4737962963</v>
      </c>
      <c r="C2158" s="1" t="n">
        <v>45883</v>
      </c>
      <c r="D2158" t="inlineStr">
        <is>
          <t>GÄVLEBORGS LÄN</t>
        </is>
      </c>
      <c r="E2158" t="inlineStr">
        <is>
          <t>NORDANSTIG</t>
        </is>
      </c>
      <c r="F2158" t="inlineStr">
        <is>
          <t>Holmen skog AB</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11409-2024</t>
        </is>
      </c>
      <c r="B2159" s="1" t="n">
        <v>45372.46600694444</v>
      </c>
      <c r="C2159" s="1" t="n">
        <v>45883</v>
      </c>
      <c r="D2159" t="inlineStr">
        <is>
          <t>GÄVLEBORGS LÄN</t>
        </is>
      </c>
      <c r="E2159" t="inlineStr">
        <is>
          <t>HUDIKSVALL</t>
        </is>
      </c>
      <c r="F2159" t="inlineStr">
        <is>
          <t>Holmen skog AB</t>
        </is>
      </c>
      <c r="G2159" t="n">
        <v>8.199999999999999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20231-2024</t>
        </is>
      </c>
      <c r="B2160" s="1" t="n">
        <v>45434</v>
      </c>
      <c r="C2160" s="1" t="n">
        <v>45883</v>
      </c>
      <c r="D2160" t="inlineStr">
        <is>
          <t>GÄVLEBORGS LÄN</t>
        </is>
      </c>
      <c r="E2160" t="inlineStr">
        <is>
          <t>OCKELBO</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55422-2022</t>
        </is>
      </c>
      <c r="B2161" s="1" t="n">
        <v>44887</v>
      </c>
      <c r="C2161" s="1" t="n">
        <v>45883</v>
      </c>
      <c r="D2161" t="inlineStr">
        <is>
          <t>GÄVLEBORGS LÄN</t>
        </is>
      </c>
      <c r="E2161" t="inlineStr">
        <is>
          <t>OCKELBO</t>
        </is>
      </c>
      <c r="G2161" t="n">
        <v>0.1</v>
      </c>
      <c r="H2161" t="n">
        <v>0</v>
      </c>
      <c r="I2161" t="n">
        <v>0</v>
      </c>
      <c r="J2161" t="n">
        <v>0</v>
      </c>
      <c r="K2161" t="n">
        <v>0</v>
      </c>
      <c r="L2161" t="n">
        <v>0</v>
      </c>
      <c r="M2161" t="n">
        <v>0</v>
      </c>
      <c r="N2161" t="n">
        <v>0</v>
      </c>
      <c r="O2161" t="n">
        <v>0</v>
      </c>
      <c r="P2161" t="n">
        <v>0</v>
      </c>
      <c r="Q2161" t="n">
        <v>0</v>
      </c>
      <c r="R2161" s="2" t="inlineStr"/>
    </row>
    <row r="2162" ht="15" customHeight="1">
      <c r="A2162" t="inlineStr">
        <is>
          <t>A 21418-2024</t>
        </is>
      </c>
      <c r="B2162" s="1" t="n">
        <v>45441</v>
      </c>
      <c r="C2162" s="1" t="n">
        <v>45883</v>
      </c>
      <c r="D2162" t="inlineStr">
        <is>
          <t>GÄVLEBORGS LÄN</t>
        </is>
      </c>
      <c r="E2162" t="inlineStr">
        <is>
          <t>OCKELBO</t>
        </is>
      </c>
      <c r="F2162" t="inlineStr">
        <is>
          <t>Bergvik skog väst AB</t>
        </is>
      </c>
      <c r="G2162" t="n">
        <v>7.1</v>
      </c>
      <c r="H2162" t="n">
        <v>0</v>
      </c>
      <c r="I2162" t="n">
        <v>0</v>
      </c>
      <c r="J2162" t="n">
        <v>0</v>
      </c>
      <c r="K2162" t="n">
        <v>0</v>
      </c>
      <c r="L2162" t="n">
        <v>0</v>
      </c>
      <c r="M2162" t="n">
        <v>0</v>
      </c>
      <c r="N2162" t="n">
        <v>0</v>
      </c>
      <c r="O2162" t="n">
        <v>0</v>
      </c>
      <c r="P2162" t="n">
        <v>0</v>
      </c>
      <c r="Q2162" t="n">
        <v>0</v>
      </c>
      <c r="R2162" s="2" t="inlineStr"/>
    </row>
    <row r="2163" ht="15" customHeight="1">
      <c r="A2163" t="inlineStr">
        <is>
          <t>A 54897-2024</t>
        </is>
      </c>
      <c r="B2163" s="1" t="n">
        <v>45618</v>
      </c>
      <c r="C2163" s="1" t="n">
        <v>45883</v>
      </c>
      <c r="D2163" t="inlineStr">
        <is>
          <t>GÄVLEBORGS LÄN</t>
        </is>
      </c>
      <c r="E2163" t="inlineStr">
        <is>
          <t>LJUSDAL</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18361-2024</t>
        </is>
      </c>
      <c r="B2164" s="1" t="n">
        <v>45422</v>
      </c>
      <c r="C2164" s="1" t="n">
        <v>45883</v>
      </c>
      <c r="D2164" t="inlineStr">
        <is>
          <t>GÄVLEBORGS LÄN</t>
        </is>
      </c>
      <c r="E2164" t="inlineStr">
        <is>
          <t>GÄVLE</t>
        </is>
      </c>
      <c r="F2164" t="inlineStr">
        <is>
          <t>Bergvik skog väst AB</t>
        </is>
      </c>
      <c r="G2164" t="n">
        <v>7</v>
      </c>
      <c r="H2164" t="n">
        <v>0</v>
      </c>
      <c r="I2164" t="n">
        <v>0</v>
      </c>
      <c r="J2164" t="n">
        <v>0</v>
      </c>
      <c r="K2164" t="n">
        <v>0</v>
      </c>
      <c r="L2164" t="n">
        <v>0</v>
      </c>
      <c r="M2164" t="n">
        <v>0</v>
      </c>
      <c r="N2164" t="n">
        <v>0</v>
      </c>
      <c r="O2164" t="n">
        <v>0</v>
      </c>
      <c r="P2164" t="n">
        <v>0</v>
      </c>
      <c r="Q2164" t="n">
        <v>0</v>
      </c>
      <c r="R2164" s="2" t="inlineStr"/>
    </row>
    <row r="2165" ht="15" customHeight="1">
      <c r="A2165" t="inlineStr">
        <is>
          <t>A 20689-2024</t>
        </is>
      </c>
      <c r="B2165" s="1" t="n">
        <v>45436</v>
      </c>
      <c r="C2165" s="1" t="n">
        <v>45883</v>
      </c>
      <c r="D2165" t="inlineStr">
        <is>
          <t>GÄVLEBORGS LÄN</t>
        </is>
      </c>
      <c r="E2165" t="inlineStr">
        <is>
          <t>GÄVLE</t>
        </is>
      </c>
      <c r="G2165" t="n">
        <v>0.2</v>
      </c>
      <c r="H2165" t="n">
        <v>0</v>
      </c>
      <c r="I2165" t="n">
        <v>0</v>
      </c>
      <c r="J2165" t="n">
        <v>0</v>
      </c>
      <c r="K2165" t="n">
        <v>0</v>
      </c>
      <c r="L2165" t="n">
        <v>0</v>
      </c>
      <c r="M2165" t="n">
        <v>0</v>
      </c>
      <c r="N2165" t="n">
        <v>0</v>
      </c>
      <c r="O2165" t="n">
        <v>0</v>
      </c>
      <c r="P2165" t="n">
        <v>0</v>
      </c>
      <c r="Q2165" t="n">
        <v>0</v>
      </c>
      <c r="R2165" s="2" t="inlineStr"/>
    </row>
    <row r="2166" ht="15" customHeight="1">
      <c r="A2166" t="inlineStr">
        <is>
          <t>A 1509-2025</t>
        </is>
      </c>
      <c r="B2166" s="1" t="n">
        <v>45670.44252314815</v>
      </c>
      <c r="C2166" s="1" t="n">
        <v>45883</v>
      </c>
      <c r="D2166" t="inlineStr">
        <is>
          <t>GÄVLEBORGS LÄN</t>
        </is>
      </c>
      <c r="E2166" t="inlineStr">
        <is>
          <t>OVANÅKER</t>
        </is>
      </c>
      <c r="F2166" t="inlineStr">
        <is>
          <t>Bergvik skog väst AB</t>
        </is>
      </c>
      <c r="G2166" t="n">
        <v>4.9</v>
      </c>
      <c r="H2166" t="n">
        <v>0</v>
      </c>
      <c r="I2166" t="n">
        <v>0</v>
      </c>
      <c r="J2166" t="n">
        <v>0</v>
      </c>
      <c r="K2166" t="n">
        <v>0</v>
      </c>
      <c r="L2166" t="n">
        <v>0</v>
      </c>
      <c r="M2166" t="n">
        <v>0</v>
      </c>
      <c r="N2166" t="n">
        <v>0</v>
      </c>
      <c r="O2166" t="n">
        <v>0</v>
      </c>
      <c r="P2166" t="n">
        <v>0</v>
      </c>
      <c r="Q2166" t="n">
        <v>0</v>
      </c>
      <c r="R2166" s="2" t="inlineStr"/>
    </row>
    <row r="2167" ht="15" customHeight="1">
      <c r="A2167" t="inlineStr">
        <is>
          <t>A 7532-2025</t>
        </is>
      </c>
      <c r="B2167" s="1" t="n">
        <v>45705.560625</v>
      </c>
      <c r="C2167" s="1" t="n">
        <v>45883</v>
      </c>
      <c r="D2167" t="inlineStr">
        <is>
          <t>GÄVLEBORGS LÄN</t>
        </is>
      </c>
      <c r="E2167" t="inlineStr">
        <is>
          <t>HUDIKSVALL</t>
        </is>
      </c>
      <c r="F2167" t="inlineStr">
        <is>
          <t>Holmen skog AB</t>
        </is>
      </c>
      <c r="G2167" t="n">
        <v>4.8</v>
      </c>
      <c r="H2167" t="n">
        <v>0</v>
      </c>
      <c r="I2167" t="n">
        <v>0</v>
      </c>
      <c r="J2167" t="n">
        <v>0</v>
      </c>
      <c r="K2167" t="n">
        <v>0</v>
      </c>
      <c r="L2167" t="n">
        <v>0</v>
      </c>
      <c r="M2167" t="n">
        <v>0</v>
      </c>
      <c r="N2167" t="n">
        <v>0</v>
      </c>
      <c r="O2167" t="n">
        <v>0</v>
      </c>
      <c r="P2167" t="n">
        <v>0</v>
      </c>
      <c r="Q2167" t="n">
        <v>0</v>
      </c>
      <c r="R2167" s="2" t="inlineStr"/>
    </row>
    <row r="2168" ht="15" customHeight="1">
      <c r="A2168" t="inlineStr">
        <is>
          <t>A 20787-2024</t>
        </is>
      </c>
      <c r="B2168" s="1" t="n">
        <v>45438.31403935186</v>
      </c>
      <c r="C2168" s="1" t="n">
        <v>45883</v>
      </c>
      <c r="D2168" t="inlineStr">
        <is>
          <t>GÄVLEBORGS LÄN</t>
        </is>
      </c>
      <c r="E2168" t="inlineStr">
        <is>
          <t>LJUSDAL</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7617-2025</t>
        </is>
      </c>
      <c r="B2169" s="1" t="n">
        <v>45705</v>
      </c>
      <c r="C2169" s="1" t="n">
        <v>45883</v>
      </c>
      <c r="D2169" t="inlineStr">
        <is>
          <t>GÄVLEBORGS LÄN</t>
        </is>
      </c>
      <c r="E2169" t="inlineStr">
        <is>
          <t>SANDVIKEN</t>
        </is>
      </c>
      <c r="G2169" t="n">
        <v>6.7</v>
      </c>
      <c r="H2169" t="n">
        <v>0</v>
      </c>
      <c r="I2169" t="n">
        <v>0</v>
      </c>
      <c r="J2169" t="n">
        <v>0</v>
      </c>
      <c r="K2169" t="n">
        <v>0</v>
      </c>
      <c r="L2169" t="n">
        <v>0</v>
      </c>
      <c r="M2169" t="n">
        <v>0</v>
      </c>
      <c r="N2169" t="n">
        <v>0</v>
      </c>
      <c r="O2169" t="n">
        <v>0</v>
      </c>
      <c r="P2169" t="n">
        <v>0</v>
      </c>
      <c r="Q2169" t="n">
        <v>0</v>
      </c>
      <c r="R2169" s="2" t="inlineStr"/>
    </row>
    <row r="2170" ht="15" customHeight="1">
      <c r="A2170" t="inlineStr">
        <is>
          <t>A 26806-2021</t>
        </is>
      </c>
      <c r="B2170" s="1" t="n">
        <v>44349.54518518518</v>
      </c>
      <c r="C2170" s="1" t="n">
        <v>45883</v>
      </c>
      <c r="D2170" t="inlineStr">
        <is>
          <t>GÄVLEBORGS LÄN</t>
        </is>
      </c>
      <c r="E2170" t="inlineStr">
        <is>
          <t>OVANÅKER</t>
        </is>
      </c>
      <c r="F2170" t="inlineStr">
        <is>
          <t>Sveaskog</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51880-2024</t>
        </is>
      </c>
      <c r="B2171" s="1" t="n">
        <v>45607.5674537037</v>
      </c>
      <c r="C2171" s="1" t="n">
        <v>45883</v>
      </c>
      <c r="D2171" t="inlineStr">
        <is>
          <t>GÄVLEBORGS LÄN</t>
        </is>
      </c>
      <c r="E2171" t="inlineStr">
        <is>
          <t>LJUSDAL</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63414-2023</t>
        </is>
      </c>
      <c r="B2172" s="1" t="n">
        <v>45274.53872685185</v>
      </c>
      <c r="C2172" s="1" t="n">
        <v>45883</v>
      </c>
      <c r="D2172" t="inlineStr">
        <is>
          <t>GÄVLEBORGS LÄN</t>
        </is>
      </c>
      <c r="E2172" t="inlineStr">
        <is>
          <t>HUDIKSVALL</t>
        </is>
      </c>
      <c r="G2172" t="n">
        <v>9.1</v>
      </c>
      <c r="H2172" t="n">
        <v>0</v>
      </c>
      <c r="I2172" t="n">
        <v>0</v>
      </c>
      <c r="J2172" t="n">
        <v>0</v>
      </c>
      <c r="K2172" t="n">
        <v>0</v>
      </c>
      <c r="L2172" t="n">
        <v>0</v>
      </c>
      <c r="M2172" t="n">
        <v>0</v>
      </c>
      <c r="N2172" t="n">
        <v>0</v>
      </c>
      <c r="O2172" t="n">
        <v>0</v>
      </c>
      <c r="P2172" t="n">
        <v>0</v>
      </c>
      <c r="Q2172" t="n">
        <v>0</v>
      </c>
      <c r="R2172" s="2" t="inlineStr"/>
    </row>
    <row r="2173" ht="15" customHeight="1">
      <c r="A2173" t="inlineStr">
        <is>
          <t>A 50236-2023</t>
        </is>
      </c>
      <c r="B2173" s="1" t="n">
        <v>45216</v>
      </c>
      <c r="C2173" s="1" t="n">
        <v>45883</v>
      </c>
      <c r="D2173" t="inlineStr">
        <is>
          <t>GÄVLEBORGS LÄN</t>
        </is>
      </c>
      <c r="E2173" t="inlineStr">
        <is>
          <t>OVANÅKER</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55206-2022</t>
        </is>
      </c>
      <c r="B2174" s="1" t="n">
        <v>44886</v>
      </c>
      <c r="C2174" s="1" t="n">
        <v>45883</v>
      </c>
      <c r="D2174" t="inlineStr">
        <is>
          <t>GÄVLEBORGS LÄN</t>
        </is>
      </c>
      <c r="E2174" t="inlineStr">
        <is>
          <t>NORDANSTIG</t>
        </is>
      </c>
      <c r="F2174" t="inlineStr">
        <is>
          <t>SCA</t>
        </is>
      </c>
      <c r="G2174" t="n">
        <v>5.3</v>
      </c>
      <c r="H2174" t="n">
        <v>0</v>
      </c>
      <c r="I2174" t="n">
        <v>0</v>
      </c>
      <c r="J2174" t="n">
        <v>0</v>
      </c>
      <c r="K2174" t="n">
        <v>0</v>
      </c>
      <c r="L2174" t="n">
        <v>0</v>
      </c>
      <c r="M2174" t="n">
        <v>0</v>
      </c>
      <c r="N2174" t="n">
        <v>0</v>
      </c>
      <c r="O2174" t="n">
        <v>0</v>
      </c>
      <c r="P2174" t="n">
        <v>0</v>
      </c>
      <c r="Q2174" t="n">
        <v>0</v>
      </c>
      <c r="R2174" s="2" t="inlineStr"/>
    </row>
    <row r="2175" ht="15" customHeight="1">
      <c r="A2175" t="inlineStr">
        <is>
          <t>A 49565-2021</t>
        </is>
      </c>
      <c r="B2175" s="1" t="n">
        <v>44455.36539351852</v>
      </c>
      <c r="C2175" s="1" t="n">
        <v>45883</v>
      </c>
      <c r="D2175" t="inlineStr">
        <is>
          <t>GÄVLEBORGS LÄN</t>
        </is>
      </c>
      <c r="E2175" t="inlineStr">
        <is>
          <t>OVANÅKER</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71249-2021</t>
        </is>
      </c>
      <c r="B2176" s="1" t="n">
        <v>44539</v>
      </c>
      <c r="C2176" s="1" t="n">
        <v>45883</v>
      </c>
      <c r="D2176" t="inlineStr">
        <is>
          <t>GÄVLEBORGS LÄN</t>
        </is>
      </c>
      <c r="E2176" t="inlineStr">
        <is>
          <t>GÄVLE</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15168-2024</t>
        </is>
      </c>
      <c r="B2177" s="1" t="n">
        <v>45400.34232638889</v>
      </c>
      <c r="C2177" s="1" t="n">
        <v>45883</v>
      </c>
      <c r="D2177" t="inlineStr">
        <is>
          <t>GÄVLEBORGS LÄN</t>
        </is>
      </c>
      <c r="E2177" t="inlineStr">
        <is>
          <t>LJUSDAL</t>
        </is>
      </c>
      <c r="F2177" t="inlineStr">
        <is>
          <t>Holmen skog AB</t>
        </is>
      </c>
      <c r="G2177" t="n">
        <v>6.6</v>
      </c>
      <c r="H2177" t="n">
        <v>0</v>
      </c>
      <c r="I2177" t="n">
        <v>0</v>
      </c>
      <c r="J2177" t="n">
        <v>0</v>
      </c>
      <c r="K2177" t="n">
        <v>0</v>
      </c>
      <c r="L2177" t="n">
        <v>0</v>
      </c>
      <c r="M2177" t="n">
        <v>0</v>
      </c>
      <c r="N2177" t="n">
        <v>0</v>
      </c>
      <c r="O2177" t="n">
        <v>0</v>
      </c>
      <c r="P2177" t="n">
        <v>0</v>
      </c>
      <c r="Q2177" t="n">
        <v>0</v>
      </c>
      <c r="R2177" s="2" t="inlineStr"/>
    </row>
    <row r="2178" ht="15" customHeight="1">
      <c r="A2178" t="inlineStr">
        <is>
          <t>A 18912-2025</t>
        </is>
      </c>
      <c r="B2178" s="1" t="n">
        <v>45764.46554398148</v>
      </c>
      <c r="C2178" s="1" t="n">
        <v>45883</v>
      </c>
      <c r="D2178" t="inlineStr">
        <is>
          <t>GÄVLEBORGS LÄN</t>
        </is>
      </c>
      <c r="E2178" t="inlineStr">
        <is>
          <t>HUDIKSVALL</t>
        </is>
      </c>
      <c r="F2178" t="inlineStr">
        <is>
          <t>Holmen skog AB</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66403-2021</t>
        </is>
      </c>
      <c r="B2179" s="1" t="n">
        <v>44518.65586805555</v>
      </c>
      <c r="C2179" s="1" t="n">
        <v>45883</v>
      </c>
      <c r="D2179" t="inlineStr">
        <is>
          <t>GÄVLEBORGS LÄN</t>
        </is>
      </c>
      <c r="E2179" t="inlineStr">
        <is>
          <t>OVANÅKER</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18971-2025</t>
        </is>
      </c>
      <c r="B2180" s="1" t="n">
        <v>45764.53803240741</v>
      </c>
      <c r="C2180" s="1" t="n">
        <v>45883</v>
      </c>
      <c r="D2180" t="inlineStr">
        <is>
          <t>GÄVLEBORGS LÄN</t>
        </is>
      </c>
      <c r="E2180" t="inlineStr">
        <is>
          <t>LJUSDAL</t>
        </is>
      </c>
      <c r="F2180" t="inlineStr">
        <is>
          <t>Sveaskog</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16191-2025</t>
        </is>
      </c>
      <c r="B2181" s="1" t="n">
        <v>45750.59752314815</v>
      </c>
      <c r="C2181" s="1" t="n">
        <v>45883</v>
      </c>
      <c r="D2181" t="inlineStr">
        <is>
          <t>GÄVLEBORGS LÄN</t>
        </is>
      </c>
      <c r="E2181" t="inlineStr">
        <is>
          <t>SÖDERHAMN</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16196-2025</t>
        </is>
      </c>
      <c r="B2182" s="1" t="n">
        <v>45750.60038194444</v>
      </c>
      <c r="C2182" s="1" t="n">
        <v>45883</v>
      </c>
      <c r="D2182" t="inlineStr">
        <is>
          <t>GÄVLEBORGS LÄN</t>
        </is>
      </c>
      <c r="E2182" t="inlineStr">
        <is>
          <t>SÖDERHAMN</t>
        </is>
      </c>
      <c r="F2182" t="inlineStr">
        <is>
          <t>Kommuner</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16204-2025</t>
        </is>
      </c>
      <c r="B2183" s="1" t="n">
        <v>45750.62034722222</v>
      </c>
      <c r="C2183" s="1" t="n">
        <v>45883</v>
      </c>
      <c r="D2183" t="inlineStr">
        <is>
          <t>GÄVLEBORGS LÄN</t>
        </is>
      </c>
      <c r="E2183" t="inlineStr">
        <is>
          <t>OVANÅKER</t>
        </is>
      </c>
      <c r="G2183" t="n">
        <v>16.7</v>
      </c>
      <c r="H2183" t="n">
        <v>0</v>
      </c>
      <c r="I2183" t="n">
        <v>0</v>
      </c>
      <c r="J2183" t="n">
        <v>0</v>
      </c>
      <c r="K2183" t="n">
        <v>0</v>
      </c>
      <c r="L2183" t="n">
        <v>0</v>
      </c>
      <c r="M2183" t="n">
        <v>0</v>
      </c>
      <c r="N2183" t="n">
        <v>0</v>
      </c>
      <c r="O2183" t="n">
        <v>0</v>
      </c>
      <c r="P2183" t="n">
        <v>0</v>
      </c>
      <c r="Q2183" t="n">
        <v>0</v>
      </c>
      <c r="R2183" s="2" t="inlineStr"/>
    </row>
    <row r="2184" ht="15" customHeight="1">
      <c r="A2184" t="inlineStr">
        <is>
          <t>A 52915-2024</t>
        </is>
      </c>
      <c r="B2184" s="1" t="n">
        <v>45610.71055555555</v>
      </c>
      <c r="C2184" s="1" t="n">
        <v>45883</v>
      </c>
      <c r="D2184" t="inlineStr">
        <is>
          <t>GÄVLEBORGS LÄN</t>
        </is>
      </c>
      <c r="E2184" t="inlineStr">
        <is>
          <t>LJUSDAL</t>
        </is>
      </c>
      <c r="F2184" t="inlineStr">
        <is>
          <t>Allmännings- och besparingsskogar</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61718-2023</t>
        </is>
      </c>
      <c r="B2185" s="1" t="n">
        <v>45265</v>
      </c>
      <c r="C2185" s="1" t="n">
        <v>45883</v>
      </c>
      <c r="D2185" t="inlineStr">
        <is>
          <t>GÄVLEBORGS LÄN</t>
        </is>
      </c>
      <c r="E2185" t="inlineStr">
        <is>
          <t>LJUSDAL</t>
        </is>
      </c>
      <c r="F2185" t="inlineStr">
        <is>
          <t>Kommuner</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49993-2024</t>
        </is>
      </c>
      <c r="B2186" s="1" t="n">
        <v>45597.84851851852</v>
      </c>
      <c r="C2186" s="1" t="n">
        <v>45883</v>
      </c>
      <c r="D2186" t="inlineStr">
        <is>
          <t>GÄVLEBORGS LÄN</t>
        </is>
      </c>
      <c r="E2186" t="inlineStr">
        <is>
          <t>BOLLNÄS</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68599-2020</t>
        </is>
      </c>
      <c r="B2187" s="1" t="n">
        <v>44186</v>
      </c>
      <c r="C2187" s="1" t="n">
        <v>45883</v>
      </c>
      <c r="D2187" t="inlineStr">
        <is>
          <t>GÄVLEBORGS LÄN</t>
        </is>
      </c>
      <c r="E2187" t="inlineStr">
        <is>
          <t>HUDIKSVALL</t>
        </is>
      </c>
      <c r="F2187" t="inlineStr">
        <is>
          <t>Kommuner</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49571-2022</t>
        </is>
      </c>
      <c r="B2188" s="1" t="n">
        <v>44862.33306712963</v>
      </c>
      <c r="C2188" s="1" t="n">
        <v>45883</v>
      </c>
      <c r="D2188" t="inlineStr">
        <is>
          <t>GÄVLEBORGS LÄN</t>
        </is>
      </c>
      <c r="E2188" t="inlineStr">
        <is>
          <t>OCKELBO</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37777-2024</t>
        </is>
      </c>
      <c r="B2189" s="1" t="n">
        <v>45542</v>
      </c>
      <c r="C2189" s="1" t="n">
        <v>45883</v>
      </c>
      <c r="D2189" t="inlineStr">
        <is>
          <t>GÄVLEBORGS LÄN</t>
        </is>
      </c>
      <c r="E2189" t="inlineStr">
        <is>
          <t>OVANÅKER</t>
        </is>
      </c>
      <c r="F2189" t="inlineStr">
        <is>
          <t>Bergvik skog väst AB</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11-2023</t>
        </is>
      </c>
      <c r="B2190" s="1" t="n">
        <v>44927</v>
      </c>
      <c r="C2190" s="1" t="n">
        <v>45883</v>
      </c>
      <c r="D2190" t="inlineStr">
        <is>
          <t>GÄVLEBORGS LÄN</t>
        </is>
      </c>
      <c r="E2190" t="inlineStr">
        <is>
          <t>GÄVLE</t>
        </is>
      </c>
      <c r="G2190" t="n">
        <v>4.4</v>
      </c>
      <c r="H2190" t="n">
        <v>0</v>
      </c>
      <c r="I2190" t="n">
        <v>0</v>
      </c>
      <c r="J2190" t="n">
        <v>0</v>
      </c>
      <c r="K2190" t="n">
        <v>0</v>
      </c>
      <c r="L2190" t="n">
        <v>0</v>
      </c>
      <c r="M2190" t="n">
        <v>0</v>
      </c>
      <c r="N2190" t="n">
        <v>0</v>
      </c>
      <c r="O2190" t="n">
        <v>0</v>
      </c>
      <c r="P2190" t="n">
        <v>0</v>
      </c>
      <c r="Q2190" t="n">
        <v>0</v>
      </c>
      <c r="R2190" s="2" t="inlineStr"/>
    </row>
    <row r="2191" ht="15" customHeight="1">
      <c r="A2191" t="inlineStr">
        <is>
          <t>A 33015-2023</t>
        </is>
      </c>
      <c r="B2191" s="1" t="n">
        <v>45125.74876157408</v>
      </c>
      <c r="C2191" s="1" t="n">
        <v>45883</v>
      </c>
      <c r="D2191" t="inlineStr">
        <is>
          <t>GÄVLEBORGS LÄN</t>
        </is>
      </c>
      <c r="E2191" t="inlineStr">
        <is>
          <t>GÄVLE</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47059-2024</t>
        </is>
      </c>
      <c r="B2192" s="1" t="n">
        <v>45586.46855324074</v>
      </c>
      <c r="C2192" s="1" t="n">
        <v>45883</v>
      </c>
      <c r="D2192" t="inlineStr">
        <is>
          <t>GÄVLEBORGS LÄN</t>
        </is>
      </c>
      <c r="E2192" t="inlineStr">
        <is>
          <t>HUDIKSVALL</t>
        </is>
      </c>
      <c r="G2192" t="n">
        <v>18.2</v>
      </c>
      <c r="H2192" t="n">
        <v>0</v>
      </c>
      <c r="I2192" t="n">
        <v>0</v>
      </c>
      <c r="J2192" t="n">
        <v>0</v>
      </c>
      <c r="K2192" t="n">
        <v>0</v>
      </c>
      <c r="L2192" t="n">
        <v>0</v>
      </c>
      <c r="M2192" t="n">
        <v>0</v>
      </c>
      <c r="N2192" t="n">
        <v>0</v>
      </c>
      <c r="O2192" t="n">
        <v>0</v>
      </c>
      <c r="P2192" t="n">
        <v>0</v>
      </c>
      <c r="Q2192" t="n">
        <v>0</v>
      </c>
      <c r="R2192" s="2" t="inlineStr"/>
    </row>
    <row r="2193" ht="15" customHeight="1">
      <c r="A2193" t="inlineStr">
        <is>
          <t>A 11532-2024</t>
        </is>
      </c>
      <c r="B2193" s="1" t="n">
        <v>45372.92857638889</v>
      </c>
      <c r="C2193" s="1" t="n">
        <v>45883</v>
      </c>
      <c r="D2193" t="inlineStr">
        <is>
          <t>GÄVLEBORGS LÄN</t>
        </is>
      </c>
      <c r="E2193" t="inlineStr">
        <is>
          <t>HUDIKSVALL</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45310-2022</t>
        </is>
      </c>
      <c r="B2194" s="1" t="n">
        <v>44844.57421296297</v>
      </c>
      <c r="C2194" s="1" t="n">
        <v>45883</v>
      </c>
      <c r="D2194" t="inlineStr">
        <is>
          <t>GÄVLEBORGS LÄN</t>
        </is>
      </c>
      <c r="E2194" t="inlineStr">
        <is>
          <t>NORDANSTIG</t>
        </is>
      </c>
      <c r="F2194" t="inlineStr">
        <is>
          <t>Holmen skog AB</t>
        </is>
      </c>
      <c r="G2194" t="n">
        <v>4.5</v>
      </c>
      <c r="H2194" t="n">
        <v>0</v>
      </c>
      <c r="I2194" t="n">
        <v>0</v>
      </c>
      <c r="J2194" t="n">
        <v>0</v>
      </c>
      <c r="K2194" t="n">
        <v>0</v>
      </c>
      <c r="L2194" t="n">
        <v>0</v>
      </c>
      <c r="M2194" t="n">
        <v>0</v>
      </c>
      <c r="N2194" t="n">
        <v>0</v>
      </c>
      <c r="O2194" t="n">
        <v>0</v>
      </c>
      <c r="P2194" t="n">
        <v>0</v>
      </c>
      <c r="Q2194" t="n">
        <v>0</v>
      </c>
      <c r="R2194" s="2" t="inlineStr"/>
    </row>
    <row r="2195" ht="15" customHeight="1">
      <c r="A2195" t="inlineStr">
        <is>
          <t>A 34502-2024</t>
        </is>
      </c>
      <c r="B2195" s="1" t="n">
        <v>45525.64055555555</v>
      </c>
      <c r="C2195" s="1" t="n">
        <v>45883</v>
      </c>
      <c r="D2195" t="inlineStr">
        <is>
          <t>GÄVLEBORGS LÄN</t>
        </is>
      </c>
      <c r="E2195" t="inlineStr">
        <is>
          <t>NORDANSTIG</t>
        </is>
      </c>
      <c r="F2195" t="inlineStr">
        <is>
          <t>Holmen skog AB</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58783-2022</t>
        </is>
      </c>
      <c r="B2196" s="1" t="n">
        <v>44903</v>
      </c>
      <c r="C2196" s="1" t="n">
        <v>45883</v>
      </c>
      <c r="D2196" t="inlineStr">
        <is>
          <t>GÄVLEBORGS LÄN</t>
        </is>
      </c>
      <c r="E2196" t="inlineStr">
        <is>
          <t>LJUSDAL</t>
        </is>
      </c>
      <c r="F2196" t="inlineStr">
        <is>
          <t>Kyrkan</t>
        </is>
      </c>
      <c r="G2196" t="n">
        <v>5.1</v>
      </c>
      <c r="H2196" t="n">
        <v>0</v>
      </c>
      <c r="I2196" t="n">
        <v>0</v>
      </c>
      <c r="J2196" t="n">
        <v>0</v>
      </c>
      <c r="K2196" t="n">
        <v>0</v>
      </c>
      <c r="L2196" t="n">
        <v>0</v>
      </c>
      <c r="M2196" t="n">
        <v>0</v>
      </c>
      <c r="N2196" t="n">
        <v>0</v>
      </c>
      <c r="O2196" t="n">
        <v>0</v>
      </c>
      <c r="P2196" t="n">
        <v>0</v>
      </c>
      <c r="Q2196" t="n">
        <v>0</v>
      </c>
      <c r="R2196" s="2" t="inlineStr"/>
    </row>
    <row r="2197" ht="15" customHeight="1">
      <c r="A2197" t="inlineStr">
        <is>
          <t>A 22440-2023</t>
        </is>
      </c>
      <c r="B2197" s="1" t="n">
        <v>45070.69100694444</v>
      </c>
      <c r="C2197" s="1" t="n">
        <v>45883</v>
      </c>
      <c r="D2197" t="inlineStr">
        <is>
          <t>GÄVLEBORGS LÄN</t>
        </is>
      </c>
      <c r="E2197" t="inlineStr">
        <is>
          <t>LJUSDAL</t>
        </is>
      </c>
      <c r="F2197" t="inlineStr">
        <is>
          <t>Holmen skog AB</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50365-2023</t>
        </is>
      </c>
      <c r="B2198" s="1" t="n">
        <v>45216.60457175926</v>
      </c>
      <c r="C2198" s="1" t="n">
        <v>45883</v>
      </c>
      <c r="D2198" t="inlineStr">
        <is>
          <t>GÄVLEBORGS LÄN</t>
        </is>
      </c>
      <c r="E2198" t="inlineStr">
        <is>
          <t>NORDANSTIG</t>
        </is>
      </c>
      <c r="F2198" t="inlineStr">
        <is>
          <t>Holmen skog AB</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17780-2025</t>
        </is>
      </c>
      <c r="B2199" s="1" t="n">
        <v>45758.52722222222</v>
      </c>
      <c r="C2199" s="1" t="n">
        <v>45883</v>
      </c>
      <c r="D2199" t="inlineStr">
        <is>
          <t>GÄVLEBORGS LÄN</t>
        </is>
      </c>
      <c r="E2199" t="inlineStr">
        <is>
          <t>BOLLNÄS</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33495-2023</t>
        </is>
      </c>
      <c r="B2200" s="1" t="n">
        <v>45118</v>
      </c>
      <c r="C2200" s="1" t="n">
        <v>45883</v>
      </c>
      <c r="D2200" t="inlineStr">
        <is>
          <t>GÄVLEBORGS LÄN</t>
        </is>
      </c>
      <c r="E2200" t="inlineStr">
        <is>
          <t>HOFORS</t>
        </is>
      </c>
      <c r="F2200" t="inlineStr">
        <is>
          <t>Bergvik skog väst AB</t>
        </is>
      </c>
      <c r="G2200" t="n">
        <v>4.6</v>
      </c>
      <c r="H2200" t="n">
        <v>0</v>
      </c>
      <c r="I2200" t="n">
        <v>0</v>
      </c>
      <c r="J2200" t="n">
        <v>0</v>
      </c>
      <c r="K2200" t="n">
        <v>0</v>
      </c>
      <c r="L2200" t="n">
        <v>0</v>
      </c>
      <c r="M2200" t="n">
        <v>0</v>
      </c>
      <c r="N2200" t="n">
        <v>0</v>
      </c>
      <c r="O2200" t="n">
        <v>0</v>
      </c>
      <c r="P2200" t="n">
        <v>0</v>
      </c>
      <c r="Q2200" t="n">
        <v>0</v>
      </c>
      <c r="R2200" s="2" t="inlineStr"/>
    </row>
    <row r="2201" ht="15" customHeight="1">
      <c r="A2201" t="inlineStr">
        <is>
          <t>A 13089-2025</t>
        </is>
      </c>
      <c r="B2201" s="1" t="n">
        <v>45734.64541666667</v>
      </c>
      <c r="C2201" s="1" t="n">
        <v>45883</v>
      </c>
      <c r="D2201" t="inlineStr">
        <is>
          <t>GÄVLEBORGS LÄN</t>
        </is>
      </c>
      <c r="E2201" t="inlineStr">
        <is>
          <t>NORDANSTIG</t>
        </is>
      </c>
      <c r="F2201" t="inlineStr">
        <is>
          <t>Holmen skog AB</t>
        </is>
      </c>
      <c r="G2201" t="n">
        <v>5.5</v>
      </c>
      <c r="H2201" t="n">
        <v>0</v>
      </c>
      <c r="I2201" t="n">
        <v>0</v>
      </c>
      <c r="J2201" t="n">
        <v>0</v>
      </c>
      <c r="K2201" t="n">
        <v>0</v>
      </c>
      <c r="L2201" t="n">
        <v>0</v>
      </c>
      <c r="M2201" t="n">
        <v>0</v>
      </c>
      <c r="N2201" t="n">
        <v>0</v>
      </c>
      <c r="O2201" t="n">
        <v>0</v>
      </c>
      <c r="P2201" t="n">
        <v>0</v>
      </c>
      <c r="Q2201" t="n">
        <v>0</v>
      </c>
      <c r="R2201" s="2" t="inlineStr"/>
    </row>
    <row r="2202" ht="15" customHeight="1">
      <c r="A2202" t="inlineStr">
        <is>
          <t>A 57122-2023</t>
        </is>
      </c>
      <c r="B2202" s="1" t="n">
        <v>45245</v>
      </c>
      <c r="C2202" s="1" t="n">
        <v>45883</v>
      </c>
      <c r="D2202" t="inlineStr">
        <is>
          <t>GÄVLEBORGS LÄN</t>
        </is>
      </c>
      <c r="E2202" t="inlineStr">
        <is>
          <t>GÄVLE</t>
        </is>
      </c>
      <c r="F2202" t="inlineStr">
        <is>
          <t>Kyrkan</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138-2023</t>
        </is>
      </c>
      <c r="B2203" s="1" t="n">
        <v>44928.52260416667</v>
      </c>
      <c r="C2203" s="1" t="n">
        <v>45883</v>
      </c>
      <c r="D2203" t="inlineStr">
        <is>
          <t>GÄVLEBORGS LÄN</t>
        </is>
      </c>
      <c r="E2203" t="inlineStr">
        <is>
          <t>GÄVLE</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13911-2024</t>
        </is>
      </c>
      <c r="B2204" s="1" t="n">
        <v>45391.70934027778</v>
      </c>
      <c r="C2204" s="1" t="n">
        <v>45883</v>
      </c>
      <c r="D2204" t="inlineStr">
        <is>
          <t>GÄVLEBORGS LÄN</t>
        </is>
      </c>
      <c r="E2204" t="inlineStr">
        <is>
          <t>LJUSDAL</t>
        </is>
      </c>
      <c r="G2204" t="n">
        <v>18.2</v>
      </c>
      <c r="H2204" t="n">
        <v>0</v>
      </c>
      <c r="I2204" t="n">
        <v>0</v>
      </c>
      <c r="J2204" t="n">
        <v>0</v>
      </c>
      <c r="K2204" t="n">
        <v>0</v>
      </c>
      <c r="L2204" t="n">
        <v>0</v>
      </c>
      <c r="M2204" t="n">
        <v>0</v>
      </c>
      <c r="N2204" t="n">
        <v>0</v>
      </c>
      <c r="O2204" t="n">
        <v>0</v>
      </c>
      <c r="P2204" t="n">
        <v>0</v>
      </c>
      <c r="Q2204" t="n">
        <v>0</v>
      </c>
      <c r="R2204" s="2" t="inlineStr"/>
    </row>
    <row r="2205" ht="15" customHeight="1">
      <c r="A2205" t="inlineStr">
        <is>
          <t>A 48953-2021</t>
        </is>
      </c>
      <c r="B2205" s="1" t="n">
        <v>44453.37505787037</v>
      </c>
      <c r="C2205" s="1" t="n">
        <v>45883</v>
      </c>
      <c r="D2205" t="inlineStr">
        <is>
          <t>GÄVLEBORGS LÄN</t>
        </is>
      </c>
      <c r="E2205" t="inlineStr">
        <is>
          <t>LJUSDAL</t>
        </is>
      </c>
      <c r="G2205" t="n">
        <v>0.1</v>
      </c>
      <c r="H2205" t="n">
        <v>0</v>
      </c>
      <c r="I2205" t="n">
        <v>0</v>
      </c>
      <c r="J2205" t="n">
        <v>0</v>
      </c>
      <c r="K2205" t="n">
        <v>0</v>
      </c>
      <c r="L2205" t="n">
        <v>0</v>
      </c>
      <c r="M2205" t="n">
        <v>0</v>
      </c>
      <c r="N2205" t="n">
        <v>0</v>
      </c>
      <c r="O2205" t="n">
        <v>0</v>
      </c>
      <c r="P2205" t="n">
        <v>0</v>
      </c>
      <c r="Q2205" t="n">
        <v>0</v>
      </c>
      <c r="R2205" s="2" t="inlineStr"/>
    </row>
    <row r="2206" ht="15" customHeight="1">
      <c r="A2206" t="inlineStr">
        <is>
          <t>A 47849-2021</t>
        </is>
      </c>
      <c r="B2206" s="1" t="n">
        <v>44448.65805555556</v>
      </c>
      <c r="C2206" s="1" t="n">
        <v>45883</v>
      </c>
      <c r="D2206" t="inlineStr">
        <is>
          <t>GÄVLEBORGS LÄN</t>
        </is>
      </c>
      <c r="E2206" t="inlineStr">
        <is>
          <t>OCKELBO</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64878-2023</t>
        </is>
      </c>
      <c r="B2207" s="1" t="n">
        <v>45282</v>
      </c>
      <c r="C2207" s="1" t="n">
        <v>45883</v>
      </c>
      <c r="D2207" t="inlineStr">
        <is>
          <t>GÄVLEBORGS LÄN</t>
        </is>
      </c>
      <c r="E2207" t="inlineStr">
        <is>
          <t>GÄVLE</t>
        </is>
      </c>
      <c r="G2207" t="n">
        <v>0</v>
      </c>
      <c r="H2207" t="n">
        <v>0</v>
      </c>
      <c r="I2207" t="n">
        <v>0</v>
      </c>
      <c r="J2207" t="n">
        <v>0</v>
      </c>
      <c r="K2207" t="n">
        <v>0</v>
      </c>
      <c r="L2207" t="n">
        <v>0</v>
      </c>
      <c r="M2207" t="n">
        <v>0</v>
      </c>
      <c r="N2207" t="n">
        <v>0</v>
      </c>
      <c r="O2207" t="n">
        <v>0</v>
      </c>
      <c r="P2207" t="n">
        <v>0</v>
      </c>
      <c r="Q2207" t="n">
        <v>0</v>
      </c>
      <c r="R2207" s="2" t="inlineStr"/>
    </row>
    <row r="2208" ht="15" customHeight="1">
      <c r="A2208" t="inlineStr">
        <is>
          <t>A 15963-2025</t>
        </is>
      </c>
      <c r="B2208" s="1" t="n">
        <v>45749</v>
      </c>
      <c r="C2208" s="1" t="n">
        <v>45883</v>
      </c>
      <c r="D2208" t="inlineStr">
        <is>
          <t>GÄVLEBORGS LÄN</t>
        </is>
      </c>
      <c r="E2208" t="inlineStr">
        <is>
          <t>HUDIKSVALL</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3606-2025</t>
        </is>
      </c>
      <c r="B2209" s="1" t="n">
        <v>45681.35346064815</v>
      </c>
      <c r="C2209" s="1" t="n">
        <v>45883</v>
      </c>
      <c r="D2209" t="inlineStr">
        <is>
          <t>GÄVLEBORGS LÄN</t>
        </is>
      </c>
      <c r="E2209" t="inlineStr">
        <is>
          <t>NORDANSTIG</t>
        </is>
      </c>
      <c r="F2209" t="inlineStr">
        <is>
          <t>Holmen skog AB</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23376-2024</t>
        </is>
      </c>
      <c r="B2210" s="1" t="n">
        <v>45453</v>
      </c>
      <c r="C2210" s="1" t="n">
        <v>45883</v>
      </c>
      <c r="D2210" t="inlineStr">
        <is>
          <t>GÄVLEBORGS LÄN</t>
        </is>
      </c>
      <c r="E2210" t="inlineStr">
        <is>
          <t>HOFORS</t>
        </is>
      </c>
      <c r="F2210" t="inlineStr">
        <is>
          <t>Sveaskog</t>
        </is>
      </c>
      <c r="G2210" t="n">
        <v>10.8</v>
      </c>
      <c r="H2210" t="n">
        <v>0</v>
      </c>
      <c r="I2210" t="n">
        <v>0</v>
      </c>
      <c r="J2210" t="n">
        <v>0</v>
      </c>
      <c r="K2210" t="n">
        <v>0</v>
      </c>
      <c r="L2210" t="n">
        <v>0</v>
      </c>
      <c r="M2210" t="n">
        <v>0</v>
      </c>
      <c r="N2210" t="n">
        <v>0</v>
      </c>
      <c r="O2210" t="n">
        <v>0</v>
      </c>
      <c r="P2210" t="n">
        <v>0</v>
      </c>
      <c r="Q2210" t="n">
        <v>0</v>
      </c>
      <c r="R2210" s="2" t="inlineStr"/>
    </row>
    <row r="2211" ht="15" customHeight="1">
      <c r="A2211" t="inlineStr">
        <is>
          <t>A 46210-2023</t>
        </is>
      </c>
      <c r="B2211" s="1" t="n">
        <v>45196.65177083333</v>
      </c>
      <c r="C2211" s="1" t="n">
        <v>45883</v>
      </c>
      <c r="D2211" t="inlineStr">
        <is>
          <t>GÄVLEBORGS LÄN</t>
        </is>
      </c>
      <c r="E2211" t="inlineStr">
        <is>
          <t>OVANÅKER</t>
        </is>
      </c>
      <c r="G2211" t="n">
        <v>5.9</v>
      </c>
      <c r="H2211" t="n">
        <v>0</v>
      </c>
      <c r="I2211" t="n">
        <v>0</v>
      </c>
      <c r="J2211" t="n">
        <v>0</v>
      </c>
      <c r="K2211" t="n">
        <v>0</v>
      </c>
      <c r="L2211" t="n">
        <v>0</v>
      </c>
      <c r="M2211" t="n">
        <v>0</v>
      </c>
      <c r="N2211" t="n">
        <v>0</v>
      </c>
      <c r="O2211" t="n">
        <v>0</v>
      </c>
      <c r="P2211" t="n">
        <v>0</v>
      </c>
      <c r="Q2211" t="n">
        <v>0</v>
      </c>
      <c r="R2211" s="2" t="inlineStr"/>
    </row>
    <row r="2212" ht="15" customHeight="1">
      <c r="A2212" t="inlineStr">
        <is>
          <t>A 12992-2025</t>
        </is>
      </c>
      <c r="B2212" s="1" t="n">
        <v>45734.48538194445</v>
      </c>
      <c r="C2212" s="1" t="n">
        <v>45883</v>
      </c>
      <c r="D2212" t="inlineStr">
        <is>
          <t>GÄVLEBORGS LÄN</t>
        </is>
      </c>
      <c r="E2212" t="inlineStr">
        <is>
          <t>GÄVLE</t>
        </is>
      </c>
      <c r="F2212" t="inlineStr">
        <is>
          <t>Bergvik skog öst AB</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13018-2025</t>
        </is>
      </c>
      <c r="B2213" s="1" t="n">
        <v>45734.54376157407</v>
      </c>
      <c r="C2213" s="1" t="n">
        <v>45883</v>
      </c>
      <c r="D2213" t="inlineStr">
        <is>
          <t>GÄVLEBORGS LÄN</t>
        </is>
      </c>
      <c r="E2213" t="inlineStr">
        <is>
          <t>NORDANSTIG</t>
        </is>
      </c>
      <c r="G2213" t="n">
        <v>33.1</v>
      </c>
      <c r="H2213" t="n">
        <v>0</v>
      </c>
      <c r="I2213" t="n">
        <v>0</v>
      </c>
      <c r="J2213" t="n">
        <v>0</v>
      </c>
      <c r="K2213" t="n">
        <v>0</v>
      </c>
      <c r="L2213" t="n">
        <v>0</v>
      </c>
      <c r="M2213" t="n">
        <v>0</v>
      </c>
      <c r="N2213" t="n">
        <v>0</v>
      </c>
      <c r="O2213" t="n">
        <v>0</v>
      </c>
      <c r="P2213" t="n">
        <v>0</v>
      </c>
      <c r="Q2213" t="n">
        <v>0</v>
      </c>
      <c r="R2213" s="2" t="inlineStr"/>
    </row>
    <row r="2214" ht="15" customHeight="1">
      <c r="A2214" t="inlineStr">
        <is>
          <t>A 12419-2025</t>
        </is>
      </c>
      <c r="B2214" s="1" t="n">
        <v>45730.45170138889</v>
      </c>
      <c r="C2214" s="1" t="n">
        <v>45883</v>
      </c>
      <c r="D2214" t="inlineStr">
        <is>
          <t>GÄVLEBORGS LÄN</t>
        </is>
      </c>
      <c r="E2214" t="inlineStr">
        <is>
          <t>SANDVIKEN</t>
        </is>
      </c>
      <c r="F2214" t="inlineStr">
        <is>
          <t>Bergvik skog öst AB</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50235-2023</t>
        </is>
      </c>
      <c r="B2215" s="1" t="n">
        <v>45216.30402777778</v>
      </c>
      <c r="C2215" s="1" t="n">
        <v>45883</v>
      </c>
      <c r="D2215" t="inlineStr">
        <is>
          <t>GÄVLEBORGS LÄN</t>
        </is>
      </c>
      <c r="E2215" t="inlineStr">
        <is>
          <t>OCKELBO</t>
        </is>
      </c>
      <c r="F2215" t="inlineStr">
        <is>
          <t>Bergvik skog väst AB</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9454-2025</t>
        </is>
      </c>
      <c r="B2216" s="1" t="n">
        <v>45715.43168981482</v>
      </c>
      <c r="C2216" s="1" t="n">
        <v>45883</v>
      </c>
      <c r="D2216" t="inlineStr">
        <is>
          <t>GÄVLEBORGS LÄN</t>
        </is>
      </c>
      <c r="E2216" t="inlineStr">
        <is>
          <t>GÄVLE</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57253-2023</t>
        </is>
      </c>
      <c r="B2217" s="1" t="n">
        <v>45245</v>
      </c>
      <c r="C2217" s="1" t="n">
        <v>45883</v>
      </c>
      <c r="D2217" t="inlineStr">
        <is>
          <t>GÄVLEBORGS LÄN</t>
        </is>
      </c>
      <c r="E2217" t="inlineStr">
        <is>
          <t>NORDANSTIG</t>
        </is>
      </c>
      <c r="F2217" t="inlineStr">
        <is>
          <t>Holmen skog AB</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54817-2022</t>
        </is>
      </c>
      <c r="B2218" s="1" t="n">
        <v>44883.78270833333</v>
      </c>
      <c r="C2218" s="1" t="n">
        <v>45883</v>
      </c>
      <c r="D2218" t="inlineStr">
        <is>
          <t>GÄVLEBORGS LÄN</t>
        </is>
      </c>
      <c r="E2218" t="inlineStr">
        <is>
          <t>OCKELBO</t>
        </is>
      </c>
      <c r="F2218" t="inlineStr">
        <is>
          <t>Bergvik skog väst AB</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44483-2020</t>
        </is>
      </c>
      <c r="B2219" s="1" t="n">
        <v>44084</v>
      </c>
      <c r="C2219" s="1" t="n">
        <v>45883</v>
      </c>
      <c r="D2219" t="inlineStr">
        <is>
          <t>GÄVLEBORGS LÄN</t>
        </is>
      </c>
      <c r="E2219" t="inlineStr">
        <is>
          <t>HUDIKSVALL</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49786-2024</t>
        </is>
      </c>
      <c r="B2220" s="1" t="n">
        <v>45597.35850694445</v>
      </c>
      <c r="C2220" s="1" t="n">
        <v>45883</v>
      </c>
      <c r="D2220" t="inlineStr">
        <is>
          <t>GÄVLEBORGS LÄN</t>
        </is>
      </c>
      <c r="E2220" t="inlineStr">
        <is>
          <t>SÖDERHAMN</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17832-2025</t>
        </is>
      </c>
      <c r="B2221" s="1" t="n">
        <v>45758.58337962963</v>
      </c>
      <c r="C2221" s="1" t="n">
        <v>45883</v>
      </c>
      <c r="D2221" t="inlineStr">
        <is>
          <t>GÄVLEBORGS LÄN</t>
        </is>
      </c>
      <c r="E2221" t="inlineStr">
        <is>
          <t>OCKELBO</t>
        </is>
      </c>
      <c r="G2221" t="n">
        <v>5.7</v>
      </c>
      <c r="H2221" t="n">
        <v>0</v>
      </c>
      <c r="I2221" t="n">
        <v>0</v>
      </c>
      <c r="J2221" t="n">
        <v>0</v>
      </c>
      <c r="K2221" t="n">
        <v>0</v>
      </c>
      <c r="L2221" t="n">
        <v>0</v>
      </c>
      <c r="M2221" t="n">
        <v>0</v>
      </c>
      <c r="N2221" t="n">
        <v>0</v>
      </c>
      <c r="O2221" t="n">
        <v>0</v>
      </c>
      <c r="P2221" t="n">
        <v>0</v>
      </c>
      <c r="Q2221" t="n">
        <v>0</v>
      </c>
      <c r="R2221" s="2" t="inlineStr"/>
    </row>
    <row r="2222" ht="15" customHeight="1">
      <c r="A2222" t="inlineStr">
        <is>
          <t>A 56894-2023</t>
        </is>
      </c>
      <c r="B2222" s="1" t="n">
        <v>45244.56226851852</v>
      </c>
      <c r="C2222" s="1" t="n">
        <v>45883</v>
      </c>
      <c r="D2222" t="inlineStr">
        <is>
          <t>GÄVLEBORGS LÄN</t>
        </is>
      </c>
      <c r="E2222" t="inlineStr">
        <is>
          <t>HUDIKSVALL</t>
        </is>
      </c>
      <c r="F2222" t="inlineStr">
        <is>
          <t>Holmen skog AB</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19851-2024</t>
        </is>
      </c>
      <c r="B2223" s="1" t="n">
        <v>45433.39725694444</v>
      </c>
      <c r="C2223" s="1" t="n">
        <v>45883</v>
      </c>
      <c r="D2223" t="inlineStr">
        <is>
          <t>GÄVLEBORGS LÄN</t>
        </is>
      </c>
      <c r="E2223" t="inlineStr">
        <is>
          <t>SÖDERHAMN</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22226-2024</t>
        </is>
      </c>
      <c r="B2224" s="1" t="n">
        <v>45446.4203587963</v>
      </c>
      <c r="C2224" s="1" t="n">
        <v>45883</v>
      </c>
      <c r="D2224" t="inlineStr">
        <is>
          <t>GÄVLEBORGS LÄN</t>
        </is>
      </c>
      <c r="E2224" t="inlineStr">
        <is>
          <t>HOFORS</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42513-2022</t>
        </is>
      </c>
      <c r="B2225" s="1" t="n">
        <v>44831.59701388889</v>
      </c>
      <c r="C2225" s="1" t="n">
        <v>45883</v>
      </c>
      <c r="D2225" t="inlineStr">
        <is>
          <t>GÄVLEBORGS LÄN</t>
        </is>
      </c>
      <c r="E2225" t="inlineStr">
        <is>
          <t>BOLLNÄS</t>
        </is>
      </c>
      <c r="G2225" t="n">
        <v>6.3</v>
      </c>
      <c r="H2225" t="n">
        <v>0</v>
      </c>
      <c r="I2225" t="n">
        <v>0</v>
      </c>
      <c r="J2225" t="n">
        <v>0</v>
      </c>
      <c r="K2225" t="n">
        <v>0</v>
      </c>
      <c r="L2225" t="n">
        <v>0</v>
      </c>
      <c r="M2225" t="n">
        <v>0</v>
      </c>
      <c r="N2225" t="n">
        <v>0</v>
      </c>
      <c r="O2225" t="n">
        <v>0</v>
      </c>
      <c r="P2225" t="n">
        <v>0</v>
      </c>
      <c r="Q2225" t="n">
        <v>0</v>
      </c>
      <c r="R2225" s="2" t="inlineStr"/>
    </row>
    <row r="2226" ht="15" customHeight="1">
      <c r="A2226" t="inlineStr">
        <is>
          <t>A 61130-2022</t>
        </is>
      </c>
      <c r="B2226" s="1" t="n">
        <v>44915</v>
      </c>
      <c r="C2226" s="1" t="n">
        <v>45883</v>
      </c>
      <c r="D2226" t="inlineStr">
        <is>
          <t>GÄVLEBORGS LÄN</t>
        </is>
      </c>
      <c r="E2226" t="inlineStr">
        <is>
          <t>OCKELBO</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18657-2023</t>
        </is>
      </c>
      <c r="B2227" s="1" t="n">
        <v>45043.5578587963</v>
      </c>
      <c r="C2227" s="1" t="n">
        <v>45883</v>
      </c>
      <c r="D2227" t="inlineStr">
        <is>
          <t>GÄVLEBORGS LÄN</t>
        </is>
      </c>
      <c r="E2227" t="inlineStr">
        <is>
          <t>HUDIKSVALL</t>
        </is>
      </c>
      <c r="F2227" t="inlineStr">
        <is>
          <t>Holmen skog AB</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9780-2025</t>
        </is>
      </c>
      <c r="B2228" s="1" t="n">
        <v>45716.50025462963</v>
      </c>
      <c r="C2228" s="1" t="n">
        <v>45883</v>
      </c>
      <c r="D2228" t="inlineStr">
        <is>
          <t>GÄVLEBORGS LÄN</t>
        </is>
      </c>
      <c r="E2228" t="inlineStr">
        <is>
          <t>LJUSDAL</t>
        </is>
      </c>
      <c r="F2228" t="inlineStr">
        <is>
          <t>Holmen skog AB</t>
        </is>
      </c>
      <c r="G2228" t="n">
        <v>7.2</v>
      </c>
      <c r="H2228" t="n">
        <v>0</v>
      </c>
      <c r="I2228" t="n">
        <v>0</v>
      </c>
      <c r="J2228" t="n">
        <v>0</v>
      </c>
      <c r="K2228" t="n">
        <v>0</v>
      </c>
      <c r="L2228" t="n">
        <v>0</v>
      </c>
      <c r="M2228" t="n">
        <v>0</v>
      </c>
      <c r="N2228" t="n">
        <v>0</v>
      </c>
      <c r="O2228" t="n">
        <v>0</v>
      </c>
      <c r="P2228" t="n">
        <v>0</v>
      </c>
      <c r="Q2228" t="n">
        <v>0</v>
      </c>
      <c r="R2228" s="2" t="inlineStr"/>
    </row>
    <row r="2229" ht="15" customHeight="1">
      <c r="A2229" t="inlineStr">
        <is>
          <t>A 29241-2022</t>
        </is>
      </c>
      <c r="B2229" s="1" t="n">
        <v>44750.61899305556</v>
      </c>
      <c r="C2229" s="1" t="n">
        <v>45883</v>
      </c>
      <c r="D2229" t="inlineStr">
        <is>
          <t>GÄVLEBORGS LÄN</t>
        </is>
      </c>
      <c r="E2229" t="inlineStr">
        <is>
          <t>BOLLNÄS</t>
        </is>
      </c>
      <c r="F2229" t="inlineStr">
        <is>
          <t>Sveaskog</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6765-2025</t>
        </is>
      </c>
      <c r="B2230" s="1" t="n">
        <v>45700.63459490741</v>
      </c>
      <c r="C2230" s="1" t="n">
        <v>45883</v>
      </c>
      <c r="D2230" t="inlineStr">
        <is>
          <t>GÄVLEBORGS LÄN</t>
        </is>
      </c>
      <c r="E2230" t="inlineStr">
        <is>
          <t>SANDVIKEN</t>
        </is>
      </c>
      <c r="G2230" t="n">
        <v>7.1</v>
      </c>
      <c r="H2230" t="n">
        <v>0</v>
      </c>
      <c r="I2230" t="n">
        <v>0</v>
      </c>
      <c r="J2230" t="n">
        <v>0</v>
      </c>
      <c r="K2230" t="n">
        <v>0</v>
      </c>
      <c r="L2230" t="n">
        <v>0</v>
      </c>
      <c r="M2230" t="n">
        <v>0</v>
      </c>
      <c r="N2230" t="n">
        <v>0</v>
      </c>
      <c r="O2230" t="n">
        <v>0</v>
      </c>
      <c r="P2230" t="n">
        <v>0</v>
      </c>
      <c r="Q2230" t="n">
        <v>0</v>
      </c>
      <c r="R2230" s="2" t="inlineStr"/>
    </row>
    <row r="2231" ht="15" customHeight="1">
      <c r="A2231" t="inlineStr">
        <is>
          <t>A 6767-2025</t>
        </is>
      </c>
      <c r="B2231" s="1" t="n">
        <v>45700.63662037037</v>
      </c>
      <c r="C2231" s="1" t="n">
        <v>45883</v>
      </c>
      <c r="D2231" t="inlineStr">
        <is>
          <t>GÄVLEBORGS LÄN</t>
        </is>
      </c>
      <c r="E2231" t="inlineStr">
        <is>
          <t>BOLLNÄS</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16224-2025</t>
        </is>
      </c>
      <c r="B2232" s="1" t="n">
        <v>45750</v>
      </c>
      <c r="C2232" s="1" t="n">
        <v>45883</v>
      </c>
      <c r="D2232" t="inlineStr">
        <is>
          <t>GÄVLEBORGS LÄN</t>
        </is>
      </c>
      <c r="E2232" t="inlineStr">
        <is>
          <t>SÖDERHAMN</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16235-2025</t>
        </is>
      </c>
      <c r="B2233" s="1" t="n">
        <v>45750.65936342593</v>
      </c>
      <c r="C2233" s="1" t="n">
        <v>45883</v>
      </c>
      <c r="D2233" t="inlineStr">
        <is>
          <t>GÄVLEBORGS LÄN</t>
        </is>
      </c>
      <c r="E2233" t="inlineStr">
        <is>
          <t>SÖDERHAMN</t>
        </is>
      </c>
      <c r="F2233" t="inlineStr">
        <is>
          <t>Kommuner</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9812-2025</t>
        </is>
      </c>
      <c r="B2234" s="1" t="n">
        <v>45716.56335648148</v>
      </c>
      <c r="C2234" s="1" t="n">
        <v>45883</v>
      </c>
      <c r="D2234" t="inlineStr">
        <is>
          <t>GÄVLEBORGS LÄN</t>
        </is>
      </c>
      <c r="E2234" t="inlineStr">
        <is>
          <t>LJUSDAL</t>
        </is>
      </c>
      <c r="F2234" t="inlineStr">
        <is>
          <t>Holmen skog AB</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41994-2024</t>
        </is>
      </c>
      <c r="B2235" s="1" t="n">
        <v>45561.64641203704</v>
      </c>
      <c r="C2235" s="1" t="n">
        <v>45883</v>
      </c>
      <c r="D2235" t="inlineStr">
        <is>
          <t>GÄVLEBORGS LÄN</t>
        </is>
      </c>
      <c r="E2235" t="inlineStr">
        <is>
          <t>LJUSDAL</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16462-2025</t>
        </is>
      </c>
      <c r="B2236" s="1" t="n">
        <v>45751.53453703703</v>
      </c>
      <c r="C2236" s="1" t="n">
        <v>45883</v>
      </c>
      <c r="D2236" t="inlineStr">
        <is>
          <t>GÄVLEBORGS LÄN</t>
        </is>
      </c>
      <c r="E2236" t="inlineStr">
        <is>
          <t>OVANÅKER</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599-2023</t>
        </is>
      </c>
      <c r="B2237" s="1" t="n">
        <v>44930.56699074074</v>
      </c>
      <c r="C2237" s="1" t="n">
        <v>45883</v>
      </c>
      <c r="D2237" t="inlineStr">
        <is>
          <t>GÄVLEBORGS LÄN</t>
        </is>
      </c>
      <c r="E2237" t="inlineStr">
        <is>
          <t>LJUSDAL</t>
        </is>
      </c>
      <c r="F2237" t="inlineStr">
        <is>
          <t>Holmen skog AB</t>
        </is>
      </c>
      <c r="G2237" t="n">
        <v>7.9</v>
      </c>
      <c r="H2237" t="n">
        <v>0</v>
      </c>
      <c r="I2237" t="n">
        <v>0</v>
      </c>
      <c r="J2237" t="n">
        <v>0</v>
      </c>
      <c r="K2237" t="n">
        <v>0</v>
      </c>
      <c r="L2237" t="n">
        <v>0</v>
      </c>
      <c r="M2237" t="n">
        <v>0</v>
      </c>
      <c r="N2237" t="n">
        <v>0</v>
      </c>
      <c r="O2237" t="n">
        <v>0</v>
      </c>
      <c r="P2237" t="n">
        <v>0</v>
      </c>
      <c r="Q2237" t="n">
        <v>0</v>
      </c>
      <c r="R2237" s="2" t="inlineStr"/>
    </row>
    <row r="2238" ht="15" customHeight="1">
      <c r="A2238" t="inlineStr">
        <is>
          <t>A 36779-2022</t>
        </is>
      </c>
      <c r="B2238" s="1" t="n">
        <v>44805</v>
      </c>
      <c r="C2238" s="1" t="n">
        <v>45883</v>
      </c>
      <c r="D2238" t="inlineStr">
        <is>
          <t>GÄVLEBORGS LÄN</t>
        </is>
      </c>
      <c r="E2238" t="inlineStr">
        <is>
          <t>OCKELBO</t>
        </is>
      </c>
      <c r="G2238" t="n">
        <v>5.2</v>
      </c>
      <c r="H2238" t="n">
        <v>0</v>
      </c>
      <c r="I2238" t="n">
        <v>0</v>
      </c>
      <c r="J2238" t="n">
        <v>0</v>
      </c>
      <c r="K2238" t="n">
        <v>0</v>
      </c>
      <c r="L2238" t="n">
        <v>0</v>
      </c>
      <c r="M2238" t="n">
        <v>0</v>
      </c>
      <c r="N2238" t="n">
        <v>0</v>
      </c>
      <c r="O2238" t="n">
        <v>0</v>
      </c>
      <c r="P2238" t="n">
        <v>0</v>
      </c>
      <c r="Q2238" t="n">
        <v>0</v>
      </c>
      <c r="R2238" s="2" t="inlineStr"/>
    </row>
    <row r="2239" ht="15" customHeight="1">
      <c r="A2239" t="inlineStr">
        <is>
          <t>A 9546-2025</t>
        </is>
      </c>
      <c r="B2239" s="1" t="n">
        <v>45715.59042824074</v>
      </c>
      <c r="C2239" s="1" t="n">
        <v>45883</v>
      </c>
      <c r="D2239" t="inlineStr">
        <is>
          <t>GÄVLEBORGS LÄN</t>
        </is>
      </c>
      <c r="E2239" t="inlineStr">
        <is>
          <t>HUDIKSVALL</t>
        </is>
      </c>
      <c r="F2239" t="inlineStr">
        <is>
          <t>Holmen skog AB</t>
        </is>
      </c>
      <c r="G2239" t="n">
        <v>29.4</v>
      </c>
      <c r="H2239" t="n">
        <v>0</v>
      </c>
      <c r="I2239" t="n">
        <v>0</v>
      </c>
      <c r="J2239" t="n">
        <v>0</v>
      </c>
      <c r="K2239" t="n">
        <v>0</v>
      </c>
      <c r="L2239" t="n">
        <v>0</v>
      </c>
      <c r="M2239" t="n">
        <v>0</v>
      </c>
      <c r="N2239" t="n">
        <v>0</v>
      </c>
      <c r="O2239" t="n">
        <v>0</v>
      </c>
      <c r="P2239" t="n">
        <v>0</v>
      </c>
      <c r="Q2239" t="n">
        <v>0</v>
      </c>
      <c r="R2239" s="2" t="inlineStr"/>
    </row>
    <row r="2240" ht="15" customHeight="1">
      <c r="A2240" t="inlineStr">
        <is>
          <t>A 11653-2024</t>
        </is>
      </c>
      <c r="B2240" s="1" t="n">
        <v>45373.53380787037</v>
      </c>
      <c r="C2240" s="1" t="n">
        <v>45883</v>
      </c>
      <c r="D2240" t="inlineStr">
        <is>
          <t>GÄVLEBORGS LÄN</t>
        </is>
      </c>
      <c r="E2240" t="inlineStr">
        <is>
          <t>SÖDERHAMN</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11684-2024</t>
        </is>
      </c>
      <c r="B2241" s="1" t="n">
        <v>45373.58568287037</v>
      </c>
      <c r="C2241" s="1" t="n">
        <v>45883</v>
      </c>
      <c r="D2241" t="inlineStr">
        <is>
          <t>GÄVLEBORGS LÄN</t>
        </is>
      </c>
      <c r="E2241" t="inlineStr">
        <is>
          <t>OVANÅKER</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19113-2024</t>
        </is>
      </c>
      <c r="B2242" s="1" t="n">
        <v>45428.37322916667</v>
      </c>
      <c r="C2242" s="1" t="n">
        <v>45883</v>
      </c>
      <c r="D2242" t="inlineStr">
        <is>
          <t>GÄVLEBORGS LÄN</t>
        </is>
      </c>
      <c r="E2242" t="inlineStr">
        <is>
          <t>SÖDERHAMN</t>
        </is>
      </c>
      <c r="F2242" t="inlineStr">
        <is>
          <t>Bergvik skog väst AB</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19177-2024</t>
        </is>
      </c>
      <c r="B2243" s="1" t="n">
        <v>45428.47560185185</v>
      </c>
      <c r="C2243" s="1" t="n">
        <v>45883</v>
      </c>
      <c r="D2243" t="inlineStr">
        <is>
          <t>GÄVLEBORGS LÄN</t>
        </is>
      </c>
      <c r="E2243" t="inlineStr">
        <is>
          <t>OVANÅKER</t>
        </is>
      </c>
      <c r="G2243" t="n">
        <v>0.1</v>
      </c>
      <c r="H2243" t="n">
        <v>0</v>
      </c>
      <c r="I2243" t="n">
        <v>0</v>
      </c>
      <c r="J2243" t="n">
        <v>0</v>
      </c>
      <c r="K2243" t="n">
        <v>0</v>
      </c>
      <c r="L2243" t="n">
        <v>0</v>
      </c>
      <c r="M2243" t="n">
        <v>0</v>
      </c>
      <c r="N2243" t="n">
        <v>0</v>
      </c>
      <c r="O2243" t="n">
        <v>0</v>
      </c>
      <c r="P2243" t="n">
        <v>0</v>
      </c>
      <c r="Q2243" t="n">
        <v>0</v>
      </c>
      <c r="R2243" s="2" t="inlineStr"/>
    </row>
    <row r="2244" ht="15" customHeight="1">
      <c r="A2244" t="inlineStr">
        <is>
          <t>A 41957-2023</t>
        </is>
      </c>
      <c r="B2244" s="1" t="n">
        <v>45177.35335648148</v>
      </c>
      <c r="C2244" s="1" t="n">
        <v>45883</v>
      </c>
      <c r="D2244" t="inlineStr">
        <is>
          <t>GÄVLEBORGS LÄN</t>
        </is>
      </c>
      <c r="E2244" t="inlineStr">
        <is>
          <t>NORDANSTIG</t>
        </is>
      </c>
      <c r="F2244" t="inlineStr">
        <is>
          <t>Holmen skog AB</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56277-2024</t>
        </is>
      </c>
      <c r="B2245" s="1" t="n">
        <v>45624.66956018518</v>
      </c>
      <c r="C2245" s="1" t="n">
        <v>45883</v>
      </c>
      <c r="D2245" t="inlineStr">
        <is>
          <t>GÄVLEBORGS LÄN</t>
        </is>
      </c>
      <c r="E2245" t="inlineStr">
        <is>
          <t>HUDIKSVALL</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56280-2024</t>
        </is>
      </c>
      <c r="B2246" s="1" t="n">
        <v>45624.67489583333</v>
      </c>
      <c r="C2246" s="1" t="n">
        <v>45883</v>
      </c>
      <c r="D2246" t="inlineStr">
        <is>
          <t>GÄVLEBORGS LÄN</t>
        </is>
      </c>
      <c r="E2246" t="inlineStr">
        <is>
          <t>NORDANSTIG</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56281-2024</t>
        </is>
      </c>
      <c r="B2247" s="1" t="n">
        <v>45624.6768287037</v>
      </c>
      <c r="C2247" s="1" t="n">
        <v>45883</v>
      </c>
      <c r="D2247" t="inlineStr">
        <is>
          <t>GÄVLEBORGS LÄN</t>
        </is>
      </c>
      <c r="E2247" t="inlineStr">
        <is>
          <t>NORDANSTIG</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2688-2025</t>
        </is>
      </c>
      <c r="B2248" s="1" t="n">
        <v>45677.37628472222</v>
      </c>
      <c r="C2248" s="1" t="n">
        <v>45883</v>
      </c>
      <c r="D2248" t="inlineStr">
        <is>
          <t>GÄVLEBORGS LÄN</t>
        </is>
      </c>
      <c r="E2248" t="inlineStr">
        <is>
          <t>HUDIKSVALL</t>
        </is>
      </c>
      <c r="F2248" t="inlineStr">
        <is>
          <t>Holmen skog AB</t>
        </is>
      </c>
      <c r="G2248" t="n">
        <v>7.4</v>
      </c>
      <c r="H2248" t="n">
        <v>0</v>
      </c>
      <c r="I2248" t="n">
        <v>0</v>
      </c>
      <c r="J2248" t="n">
        <v>0</v>
      </c>
      <c r="K2248" t="n">
        <v>0</v>
      </c>
      <c r="L2248" t="n">
        <v>0</v>
      </c>
      <c r="M2248" t="n">
        <v>0</v>
      </c>
      <c r="N2248" t="n">
        <v>0</v>
      </c>
      <c r="O2248" t="n">
        <v>0</v>
      </c>
      <c r="P2248" t="n">
        <v>0</v>
      </c>
      <c r="Q2248" t="n">
        <v>0</v>
      </c>
      <c r="R2248" s="2" t="inlineStr"/>
    </row>
    <row r="2249" ht="15" customHeight="1">
      <c r="A2249" t="inlineStr">
        <is>
          <t>A 49656-2024</t>
        </is>
      </c>
      <c r="B2249" s="1" t="n">
        <v>45596.6178125</v>
      </c>
      <c r="C2249" s="1" t="n">
        <v>45883</v>
      </c>
      <c r="D2249" t="inlineStr">
        <is>
          <t>GÄVLEBORGS LÄN</t>
        </is>
      </c>
      <c r="E2249" t="inlineStr">
        <is>
          <t>SANDVIKEN</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28892-2023</t>
        </is>
      </c>
      <c r="B2250" s="1" t="n">
        <v>45104.49465277778</v>
      </c>
      <c r="C2250" s="1" t="n">
        <v>45883</v>
      </c>
      <c r="D2250" t="inlineStr">
        <is>
          <t>GÄVLEBORGS LÄN</t>
        </is>
      </c>
      <c r="E2250" t="inlineStr">
        <is>
          <t>LJUSDAL</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31317-2023</t>
        </is>
      </c>
      <c r="B2251" s="1" t="n">
        <v>45103</v>
      </c>
      <c r="C2251" s="1" t="n">
        <v>45883</v>
      </c>
      <c r="D2251" t="inlineStr">
        <is>
          <t>GÄVLEBORGS LÄN</t>
        </is>
      </c>
      <c r="E2251" t="inlineStr">
        <is>
          <t>SANDVIKEN</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18731-2024</t>
        </is>
      </c>
      <c r="B2252" s="1" t="n">
        <v>45426</v>
      </c>
      <c r="C2252" s="1" t="n">
        <v>45883</v>
      </c>
      <c r="D2252" t="inlineStr">
        <is>
          <t>GÄVLEBORGS LÄN</t>
        </is>
      </c>
      <c r="E2252" t="inlineStr">
        <is>
          <t>LJUSDAL</t>
        </is>
      </c>
      <c r="F2252" t="inlineStr">
        <is>
          <t>Sveaskog</t>
        </is>
      </c>
      <c r="G2252" t="n">
        <v>6.8</v>
      </c>
      <c r="H2252" t="n">
        <v>0</v>
      </c>
      <c r="I2252" t="n">
        <v>0</v>
      </c>
      <c r="J2252" t="n">
        <v>0</v>
      </c>
      <c r="K2252" t="n">
        <v>0</v>
      </c>
      <c r="L2252" t="n">
        <v>0</v>
      </c>
      <c r="M2252" t="n">
        <v>0</v>
      </c>
      <c r="N2252" t="n">
        <v>0</v>
      </c>
      <c r="O2252" t="n">
        <v>0</v>
      </c>
      <c r="P2252" t="n">
        <v>0</v>
      </c>
      <c r="Q2252" t="n">
        <v>0</v>
      </c>
      <c r="R2252" s="2" t="inlineStr"/>
    </row>
    <row r="2253" ht="15" customHeight="1">
      <c r="A2253" t="inlineStr">
        <is>
          <t>A 18734-2024</t>
        </is>
      </c>
      <c r="B2253" s="1" t="n">
        <v>45426.48722222223</v>
      </c>
      <c r="C2253" s="1" t="n">
        <v>45883</v>
      </c>
      <c r="D2253" t="inlineStr">
        <is>
          <t>GÄVLEBORGS LÄN</t>
        </is>
      </c>
      <c r="E2253" t="inlineStr">
        <is>
          <t>LJUSDAL</t>
        </is>
      </c>
      <c r="F2253" t="inlineStr">
        <is>
          <t>Sveaskog</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56502-2023</t>
        </is>
      </c>
      <c r="B2254" s="1" t="n">
        <v>45243</v>
      </c>
      <c r="C2254" s="1" t="n">
        <v>45883</v>
      </c>
      <c r="D2254" t="inlineStr">
        <is>
          <t>GÄVLEBORGS LÄN</t>
        </is>
      </c>
      <c r="E2254" t="inlineStr">
        <is>
          <t>SÖDERHAMN</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39107-2022</t>
        </is>
      </c>
      <c r="B2255" s="1" t="n">
        <v>44817.43700231481</v>
      </c>
      <c r="C2255" s="1" t="n">
        <v>45883</v>
      </c>
      <c r="D2255" t="inlineStr">
        <is>
          <t>GÄVLEBORGS LÄN</t>
        </is>
      </c>
      <c r="E2255" t="inlineStr">
        <is>
          <t>GÄVLE</t>
        </is>
      </c>
      <c r="F2255" t="inlineStr">
        <is>
          <t>Bergvik skog väst AB</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58431-2021</t>
        </is>
      </c>
      <c r="B2256" s="1" t="n">
        <v>44488</v>
      </c>
      <c r="C2256" s="1" t="n">
        <v>45883</v>
      </c>
      <c r="D2256" t="inlineStr">
        <is>
          <t>GÄVLEBORGS LÄN</t>
        </is>
      </c>
      <c r="E2256" t="inlineStr">
        <is>
          <t>BOLLNÄS</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37792-2022</t>
        </is>
      </c>
      <c r="B2257" s="1" t="n">
        <v>44810.68939814815</v>
      </c>
      <c r="C2257" s="1" t="n">
        <v>45883</v>
      </c>
      <c r="D2257" t="inlineStr">
        <is>
          <t>GÄVLEBORGS LÄN</t>
        </is>
      </c>
      <c r="E2257" t="inlineStr">
        <is>
          <t>LJUSDAL</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12417-2025</t>
        </is>
      </c>
      <c r="B2258" s="1" t="n">
        <v>45730.44833333333</v>
      </c>
      <c r="C2258" s="1" t="n">
        <v>45883</v>
      </c>
      <c r="D2258" t="inlineStr">
        <is>
          <t>GÄVLEBORGS LÄN</t>
        </is>
      </c>
      <c r="E2258" t="inlineStr">
        <is>
          <t>SANDVIKEN</t>
        </is>
      </c>
      <c r="F2258" t="inlineStr">
        <is>
          <t>Bergvik skog öst AB</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58142-2024</t>
        </is>
      </c>
      <c r="B2259" s="1" t="n">
        <v>45632.43130787037</v>
      </c>
      <c r="C2259" s="1" t="n">
        <v>45883</v>
      </c>
      <c r="D2259" t="inlineStr">
        <is>
          <t>GÄVLEBORGS LÄN</t>
        </is>
      </c>
      <c r="E2259" t="inlineStr">
        <is>
          <t>SÖDERHAMN</t>
        </is>
      </c>
      <c r="F2259" t="inlineStr">
        <is>
          <t>Bergvik skog väst AB</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56547-2023</t>
        </is>
      </c>
      <c r="B2260" s="1" t="n">
        <v>45243</v>
      </c>
      <c r="C2260" s="1" t="n">
        <v>45883</v>
      </c>
      <c r="D2260" t="inlineStr">
        <is>
          <t>GÄVLEBORGS LÄN</t>
        </is>
      </c>
      <c r="E2260" t="inlineStr">
        <is>
          <t>BOLLNÄS</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58156-2024</t>
        </is>
      </c>
      <c r="B2261" s="1" t="n">
        <v>45632.44497685185</v>
      </c>
      <c r="C2261" s="1" t="n">
        <v>45883</v>
      </c>
      <c r="D2261" t="inlineStr">
        <is>
          <t>GÄVLEBORGS LÄN</t>
        </is>
      </c>
      <c r="E2261" t="inlineStr">
        <is>
          <t>SÖDERHAMN</t>
        </is>
      </c>
      <c r="F2261" t="inlineStr">
        <is>
          <t>Bergvik skog väst AB</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12418-2025</t>
        </is>
      </c>
      <c r="B2262" s="1" t="n">
        <v>45730.4502662037</v>
      </c>
      <c r="C2262" s="1" t="n">
        <v>45883</v>
      </c>
      <c r="D2262" t="inlineStr">
        <is>
          <t>GÄVLEBORGS LÄN</t>
        </is>
      </c>
      <c r="E2262" t="inlineStr">
        <is>
          <t>SANDVIKEN</t>
        </is>
      </c>
      <c r="F2262" t="inlineStr">
        <is>
          <t>Bergvik skog öst AB</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57041-2022</t>
        </is>
      </c>
      <c r="B2263" s="1" t="n">
        <v>44895</v>
      </c>
      <c r="C2263" s="1" t="n">
        <v>45883</v>
      </c>
      <c r="D2263" t="inlineStr">
        <is>
          <t>GÄVLEBORGS LÄN</t>
        </is>
      </c>
      <c r="E2263" t="inlineStr">
        <is>
          <t>BOLLNÄS</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22179-2023</t>
        </is>
      </c>
      <c r="B2264" s="1" t="n">
        <v>45069</v>
      </c>
      <c r="C2264" s="1" t="n">
        <v>45883</v>
      </c>
      <c r="D2264" t="inlineStr">
        <is>
          <t>GÄVLEBORGS LÄN</t>
        </is>
      </c>
      <c r="E2264" t="inlineStr">
        <is>
          <t>OCKELBO</t>
        </is>
      </c>
      <c r="G2264" t="n">
        <v>6.7</v>
      </c>
      <c r="H2264" t="n">
        <v>0</v>
      </c>
      <c r="I2264" t="n">
        <v>0</v>
      </c>
      <c r="J2264" t="n">
        <v>0</v>
      </c>
      <c r="K2264" t="n">
        <v>0</v>
      </c>
      <c r="L2264" t="n">
        <v>0</v>
      </c>
      <c r="M2264" t="n">
        <v>0</v>
      </c>
      <c r="N2264" t="n">
        <v>0</v>
      </c>
      <c r="O2264" t="n">
        <v>0</v>
      </c>
      <c r="P2264" t="n">
        <v>0</v>
      </c>
      <c r="Q2264" t="n">
        <v>0</v>
      </c>
      <c r="R2264" s="2" t="inlineStr"/>
    </row>
    <row r="2265" ht="15" customHeight="1">
      <c r="A2265" t="inlineStr">
        <is>
          <t>A 43423-2022</t>
        </is>
      </c>
      <c r="B2265" s="1" t="n">
        <v>44834.94996527778</v>
      </c>
      <c r="C2265" s="1" t="n">
        <v>45883</v>
      </c>
      <c r="D2265" t="inlineStr">
        <is>
          <t>GÄVLEBORGS LÄN</t>
        </is>
      </c>
      <c r="E2265" t="inlineStr">
        <is>
          <t>LJUSDAL</t>
        </is>
      </c>
      <c r="F2265" t="inlineStr">
        <is>
          <t>SCA</t>
        </is>
      </c>
      <c r="G2265" t="n">
        <v>6.2</v>
      </c>
      <c r="H2265" t="n">
        <v>0</v>
      </c>
      <c r="I2265" t="n">
        <v>0</v>
      </c>
      <c r="J2265" t="n">
        <v>0</v>
      </c>
      <c r="K2265" t="n">
        <v>0</v>
      </c>
      <c r="L2265" t="n">
        <v>0</v>
      </c>
      <c r="M2265" t="n">
        <v>0</v>
      </c>
      <c r="N2265" t="n">
        <v>0</v>
      </c>
      <c r="O2265" t="n">
        <v>0</v>
      </c>
      <c r="P2265" t="n">
        <v>0</v>
      </c>
      <c r="Q2265" t="n">
        <v>0</v>
      </c>
      <c r="R2265" s="2" t="inlineStr"/>
    </row>
    <row r="2266" ht="15" customHeight="1">
      <c r="A2266" t="inlineStr">
        <is>
          <t>A 59237-2024</t>
        </is>
      </c>
      <c r="B2266" s="1" t="n">
        <v>45637.58819444444</v>
      </c>
      <c r="C2266" s="1" t="n">
        <v>45883</v>
      </c>
      <c r="D2266" t="inlineStr">
        <is>
          <t>GÄVLEBORGS LÄN</t>
        </is>
      </c>
      <c r="E2266" t="inlineStr">
        <is>
          <t>BOLLNÄS</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6468-2021</t>
        </is>
      </c>
      <c r="B2267" s="1" t="n">
        <v>44235</v>
      </c>
      <c r="C2267" s="1" t="n">
        <v>45883</v>
      </c>
      <c r="D2267" t="inlineStr">
        <is>
          <t>GÄVLEBORGS LÄN</t>
        </is>
      </c>
      <c r="E2267" t="inlineStr">
        <is>
          <t>GÄVLE</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26839-2024</t>
        </is>
      </c>
      <c r="B2268" s="1" t="n">
        <v>45470.57621527778</v>
      </c>
      <c r="C2268" s="1" t="n">
        <v>45883</v>
      </c>
      <c r="D2268" t="inlineStr">
        <is>
          <t>GÄVLEBORGS LÄN</t>
        </is>
      </c>
      <c r="E2268" t="inlineStr">
        <is>
          <t>SÖDERHAMN</t>
        </is>
      </c>
      <c r="F2268" t="inlineStr">
        <is>
          <t>Bergvik skog väst AB</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58460-2022</t>
        </is>
      </c>
      <c r="B2269" s="1" t="n">
        <v>44902</v>
      </c>
      <c r="C2269" s="1" t="n">
        <v>45883</v>
      </c>
      <c r="D2269" t="inlineStr">
        <is>
          <t>GÄVLEBORGS LÄN</t>
        </is>
      </c>
      <c r="E2269" t="inlineStr">
        <is>
          <t>OVANÅKER</t>
        </is>
      </c>
      <c r="F2269" t="inlineStr">
        <is>
          <t>Bergvik skog väst AB</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59252-2024</t>
        </is>
      </c>
      <c r="B2270" s="1" t="n">
        <v>45637.59668981482</v>
      </c>
      <c r="C2270" s="1" t="n">
        <v>45883</v>
      </c>
      <c r="D2270" t="inlineStr">
        <is>
          <t>GÄVLEBORGS LÄN</t>
        </is>
      </c>
      <c r="E2270" t="inlineStr">
        <is>
          <t>LJUSDAL</t>
        </is>
      </c>
      <c r="G2270" t="n">
        <v>0.2</v>
      </c>
      <c r="H2270" t="n">
        <v>0</v>
      </c>
      <c r="I2270" t="n">
        <v>0</v>
      </c>
      <c r="J2270" t="n">
        <v>0</v>
      </c>
      <c r="K2270" t="n">
        <v>0</v>
      </c>
      <c r="L2270" t="n">
        <v>0</v>
      </c>
      <c r="M2270" t="n">
        <v>0</v>
      </c>
      <c r="N2270" t="n">
        <v>0</v>
      </c>
      <c r="O2270" t="n">
        <v>0</v>
      </c>
      <c r="P2270" t="n">
        <v>0</v>
      </c>
      <c r="Q2270" t="n">
        <v>0</v>
      </c>
      <c r="R2270" s="2" t="inlineStr"/>
    </row>
    <row r="2271" ht="15" customHeight="1">
      <c r="A2271" t="inlineStr">
        <is>
          <t>A 11922-2025</t>
        </is>
      </c>
      <c r="B2271" s="1" t="n">
        <v>45728.50195601852</v>
      </c>
      <c r="C2271" s="1" t="n">
        <v>45883</v>
      </c>
      <c r="D2271" t="inlineStr">
        <is>
          <t>GÄVLEBORGS LÄN</t>
        </is>
      </c>
      <c r="E2271" t="inlineStr">
        <is>
          <t>GÄVLE</t>
        </is>
      </c>
      <c r="F2271" t="inlineStr">
        <is>
          <t>Bergvik skog öst AB</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44281-2022</t>
        </is>
      </c>
      <c r="B2272" s="1" t="n">
        <v>44839</v>
      </c>
      <c r="C2272" s="1" t="n">
        <v>45883</v>
      </c>
      <c r="D2272" t="inlineStr">
        <is>
          <t>GÄVLEBORGS LÄN</t>
        </is>
      </c>
      <c r="E2272" t="inlineStr">
        <is>
          <t>OCKELBO</t>
        </is>
      </c>
      <c r="F2272" t="inlineStr">
        <is>
          <t>Bergvik skog väst AB</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11947-2025</t>
        </is>
      </c>
      <c r="B2273" s="1" t="n">
        <v>45728.55201388889</v>
      </c>
      <c r="C2273" s="1" t="n">
        <v>45883</v>
      </c>
      <c r="D2273" t="inlineStr">
        <is>
          <t>GÄVLEBORGS LÄN</t>
        </is>
      </c>
      <c r="E2273" t="inlineStr">
        <is>
          <t>OVANÅKER</t>
        </is>
      </c>
      <c r="G2273" t="n">
        <v>5.5</v>
      </c>
      <c r="H2273" t="n">
        <v>0</v>
      </c>
      <c r="I2273" t="n">
        <v>0</v>
      </c>
      <c r="J2273" t="n">
        <v>0</v>
      </c>
      <c r="K2273" t="n">
        <v>0</v>
      </c>
      <c r="L2273" t="n">
        <v>0</v>
      </c>
      <c r="M2273" t="n">
        <v>0</v>
      </c>
      <c r="N2273" t="n">
        <v>0</v>
      </c>
      <c r="O2273" t="n">
        <v>0</v>
      </c>
      <c r="P2273" t="n">
        <v>0</v>
      </c>
      <c r="Q2273" t="n">
        <v>0</v>
      </c>
      <c r="R2273" s="2" t="inlineStr"/>
    </row>
    <row r="2274" ht="15" customHeight="1">
      <c r="A2274" t="inlineStr">
        <is>
          <t>A 5195-2025</t>
        </is>
      </c>
      <c r="B2274" s="1" t="n">
        <v>45691.65653935185</v>
      </c>
      <c r="C2274" s="1" t="n">
        <v>45883</v>
      </c>
      <c r="D2274" t="inlineStr">
        <is>
          <t>GÄVLEBORGS LÄN</t>
        </is>
      </c>
      <c r="E2274" t="inlineStr">
        <is>
          <t>HUDIKSVALL</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40577-2022</t>
        </is>
      </c>
      <c r="B2275" s="1" t="n">
        <v>44823.69696759259</v>
      </c>
      <c r="C2275" s="1" t="n">
        <v>45883</v>
      </c>
      <c r="D2275" t="inlineStr">
        <is>
          <t>GÄVLEBORGS LÄN</t>
        </is>
      </c>
      <c r="E2275" t="inlineStr">
        <is>
          <t>SÖDERHAMN</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15484-2024</t>
        </is>
      </c>
      <c r="B2276" s="1" t="n">
        <v>45401.50483796297</v>
      </c>
      <c r="C2276" s="1" t="n">
        <v>45883</v>
      </c>
      <c r="D2276" t="inlineStr">
        <is>
          <t>GÄVLEBORGS LÄN</t>
        </is>
      </c>
      <c r="E2276" t="inlineStr">
        <is>
          <t>HOFORS</t>
        </is>
      </c>
      <c r="F2276" t="inlineStr">
        <is>
          <t>Sveaskog</t>
        </is>
      </c>
      <c r="G2276" t="n">
        <v>11.6</v>
      </c>
      <c r="H2276" t="n">
        <v>0</v>
      </c>
      <c r="I2276" t="n">
        <v>0</v>
      </c>
      <c r="J2276" t="n">
        <v>0</v>
      </c>
      <c r="K2276" t="n">
        <v>0</v>
      </c>
      <c r="L2276" t="n">
        <v>0</v>
      </c>
      <c r="M2276" t="n">
        <v>0</v>
      </c>
      <c r="N2276" t="n">
        <v>0</v>
      </c>
      <c r="O2276" t="n">
        <v>0</v>
      </c>
      <c r="P2276" t="n">
        <v>0</v>
      </c>
      <c r="Q2276" t="n">
        <v>0</v>
      </c>
      <c r="R2276" s="2" t="inlineStr"/>
    </row>
    <row r="2277" ht="15" customHeight="1">
      <c r="A2277" t="inlineStr">
        <is>
          <t>A 55741-2023</t>
        </is>
      </c>
      <c r="B2277" s="1" t="n">
        <v>45239.4411574074</v>
      </c>
      <c r="C2277" s="1" t="n">
        <v>45883</v>
      </c>
      <c r="D2277" t="inlineStr">
        <is>
          <t>GÄVLEBORGS LÄN</t>
        </is>
      </c>
      <c r="E2277" t="inlineStr">
        <is>
          <t>HUDIKSVALL</t>
        </is>
      </c>
      <c r="F2277" t="inlineStr">
        <is>
          <t>Holmen skog AB</t>
        </is>
      </c>
      <c r="G2277" t="n">
        <v>7.1</v>
      </c>
      <c r="H2277" t="n">
        <v>0</v>
      </c>
      <c r="I2277" t="n">
        <v>0</v>
      </c>
      <c r="J2277" t="n">
        <v>0</v>
      </c>
      <c r="K2277" t="n">
        <v>0</v>
      </c>
      <c r="L2277" t="n">
        <v>0</v>
      </c>
      <c r="M2277" t="n">
        <v>0</v>
      </c>
      <c r="N2277" t="n">
        <v>0</v>
      </c>
      <c r="O2277" t="n">
        <v>0</v>
      </c>
      <c r="P2277" t="n">
        <v>0</v>
      </c>
      <c r="Q2277" t="n">
        <v>0</v>
      </c>
      <c r="R2277" s="2" t="inlineStr"/>
    </row>
    <row r="2278" ht="15" customHeight="1">
      <c r="A2278" t="inlineStr">
        <is>
          <t>A 18733-2024</t>
        </is>
      </c>
      <c r="B2278" s="1" t="n">
        <v>45426.48637731482</v>
      </c>
      <c r="C2278" s="1" t="n">
        <v>45883</v>
      </c>
      <c r="D2278" t="inlineStr">
        <is>
          <t>GÄVLEBORGS LÄN</t>
        </is>
      </c>
      <c r="E2278" t="inlineStr">
        <is>
          <t>LJUSDAL</t>
        </is>
      </c>
      <c r="F2278" t="inlineStr">
        <is>
          <t>Sveaskog</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18761-2024</t>
        </is>
      </c>
      <c r="B2279" s="1" t="n">
        <v>45426.54793981482</v>
      </c>
      <c r="C2279" s="1" t="n">
        <v>45883</v>
      </c>
      <c r="D2279" t="inlineStr">
        <is>
          <t>GÄVLEBORGS LÄN</t>
        </is>
      </c>
      <c r="E2279" t="inlineStr">
        <is>
          <t>NORDANSTIG</t>
        </is>
      </c>
      <c r="F2279" t="inlineStr">
        <is>
          <t>Holmen skog AB</t>
        </is>
      </c>
      <c r="G2279" t="n">
        <v>7.5</v>
      </c>
      <c r="H2279" t="n">
        <v>0</v>
      </c>
      <c r="I2279" t="n">
        <v>0</v>
      </c>
      <c r="J2279" t="n">
        <v>0</v>
      </c>
      <c r="K2279" t="n">
        <v>0</v>
      </c>
      <c r="L2279" t="n">
        <v>0</v>
      </c>
      <c r="M2279" t="n">
        <v>0</v>
      </c>
      <c r="N2279" t="n">
        <v>0</v>
      </c>
      <c r="O2279" t="n">
        <v>0</v>
      </c>
      <c r="P2279" t="n">
        <v>0</v>
      </c>
      <c r="Q2279" t="n">
        <v>0</v>
      </c>
      <c r="R2279" s="2" t="inlineStr"/>
    </row>
    <row r="2280" ht="15" customHeight="1">
      <c r="A2280" t="inlineStr">
        <is>
          <t>A 3456-2024</t>
        </is>
      </c>
      <c r="B2280" s="1" t="n">
        <v>45320.39416666667</v>
      </c>
      <c r="C2280" s="1" t="n">
        <v>45883</v>
      </c>
      <c r="D2280" t="inlineStr">
        <is>
          <t>GÄVLEBORGS LÄN</t>
        </is>
      </c>
      <c r="E2280" t="inlineStr">
        <is>
          <t>SANDVIKEN</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35805-2024</t>
        </is>
      </c>
      <c r="B2281" s="1" t="n">
        <v>45532</v>
      </c>
      <c r="C2281" s="1" t="n">
        <v>45883</v>
      </c>
      <c r="D2281" t="inlineStr">
        <is>
          <t>GÄVLEBORGS LÄN</t>
        </is>
      </c>
      <c r="E2281" t="inlineStr">
        <is>
          <t>HUDIKSVALL</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13853-2025</t>
        </is>
      </c>
      <c r="B2282" s="1" t="n">
        <v>45737.56875</v>
      </c>
      <c r="C2282" s="1" t="n">
        <v>45883</v>
      </c>
      <c r="D2282" t="inlineStr">
        <is>
          <t>GÄVLEBORGS LÄN</t>
        </is>
      </c>
      <c r="E2282" t="inlineStr">
        <is>
          <t>HUDIKSVALL</t>
        </is>
      </c>
      <c r="G2282" t="n">
        <v>7</v>
      </c>
      <c r="H2282" t="n">
        <v>0</v>
      </c>
      <c r="I2282" t="n">
        <v>0</v>
      </c>
      <c r="J2282" t="n">
        <v>0</v>
      </c>
      <c r="K2282" t="n">
        <v>0</v>
      </c>
      <c r="L2282" t="n">
        <v>0</v>
      </c>
      <c r="M2282" t="n">
        <v>0</v>
      </c>
      <c r="N2282" t="n">
        <v>0</v>
      </c>
      <c r="O2282" t="n">
        <v>0</v>
      </c>
      <c r="P2282" t="n">
        <v>0</v>
      </c>
      <c r="Q2282" t="n">
        <v>0</v>
      </c>
      <c r="R2282" s="2" t="inlineStr"/>
    </row>
    <row r="2283" ht="15" customHeight="1">
      <c r="A2283" t="inlineStr">
        <is>
          <t>A 14891-2024</t>
        </is>
      </c>
      <c r="B2283" s="1" t="n">
        <v>45398</v>
      </c>
      <c r="C2283" s="1" t="n">
        <v>45883</v>
      </c>
      <c r="D2283" t="inlineStr">
        <is>
          <t>GÄVLEBORGS LÄN</t>
        </is>
      </c>
      <c r="E2283" t="inlineStr">
        <is>
          <t>GÄVLE</t>
        </is>
      </c>
      <c r="F2283" t="inlineStr">
        <is>
          <t>Bergvik skog öst AB</t>
        </is>
      </c>
      <c r="G2283" t="n">
        <v>10.8</v>
      </c>
      <c r="H2283" t="n">
        <v>0</v>
      </c>
      <c r="I2283" t="n">
        <v>0</v>
      </c>
      <c r="J2283" t="n">
        <v>0</v>
      </c>
      <c r="K2283" t="n">
        <v>0</v>
      </c>
      <c r="L2283" t="n">
        <v>0</v>
      </c>
      <c r="M2283" t="n">
        <v>0</v>
      </c>
      <c r="N2283" t="n">
        <v>0</v>
      </c>
      <c r="O2283" t="n">
        <v>0</v>
      </c>
      <c r="P2283" t="n">
        <v>0</v>
      </c>
      <c r="Q2283" t="n">
        <v>0</v>
      </c>
      <c r="R2283" s="2" t="inlineStr"/>
    </row>
    <row r="2284" ht="15" customHeight="1">
      <c r="A2284" t="inlineStr">
        <is>
          <t>A 7662-2023</t>
        </is>
      </c>
      <c r="B2284" s="1" t="n">
        <v>44972.65109953703</v>
      </c>
      <c r="C2284" s="1" t="n">
        <v>45883</v>
      </c>
      <c r="D2284" t="inlineStr">
        <is>
          <t>GÄVLEBORGS LÄN</t>
        </is>
      </c>
      <c r="E2284" t="inlineStr">
        <is>
          <t>HUDIKSVALL</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19641-2023</t>
        </is>
      </c>
      <c r="B2285" s="1" t="n">
        <v>45051.31606481481</v>
      </c>
      <c r="C2285" s="1" t="n">
        <v>45883</v>
      </c>
      <c r="D2285" t="inlineStr">
        <is>
          <t>GÄVLEBORGS LÄN</t>
        </is>
      </c>
      <c r="E2285" t="inlineStr">
        <is>
          <t>HUDIKSVALL</t>
        </is>
      </c>
      <c r="F2285" t="inlineStr">
        <is>
          <t>Holmen skog AB</t>
        </is>
      </c>
      <c r="G2285" t="n">
        <v>6.2</v>
      </c>
      <c r="H2285" t="n">
        <v>0</v>
      </c>
      <c r="I2285" t="n">
        <v>0</v>
      </c>
      <c r="J2285" t="n">
        <v>0</v>
      </c>
      <c r="K2285" t="n">
        <v>0</v>
      </c>
      <c r="L2285" t="n">
        <v>0</v>
      </c>
      <c r="M2285" t="n">
        <v>0</v>
      </c>
      <c r="N2285" t="n">
        <v>0</v>
      </c>
      <c r="O2285" t="n">
        <v>0</v>
      </c>
      <c r="P2285" t="n">
        <v>0</v>
      </c>
      <c r="Q2285" t="n">
        <v>0</v>
      </c>
      <c r="R2285" s="2" t="inlineStr"/>
    </row>
    <row r="2286" ht="15" customHeight="1">
      <c r="A2286" t="inlineStr">
        <is>
          <t>A 59442-2021</t>
        </is>
      </c>
      <c r="B2286" s="1" t="n">
        <v>44491</v>
      </c>
      <c r="C2286" s="1" t="n">
        <v>45883</v>
      </c>
      <c r="D2286" t="inlineStr">
        <is>
          <t>GÄVLEBORGS LÄN</t>
        </is>
      </c>
      <c r="E2286" t="inlineStr">
        <is>
          <t>OVANÅKER</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21965-2022</t>
        </is>
      </c>
      <c r="B2287" s="1" t="n">
        <v>44711</v>
      </c>
      <c r="C2287" s="1" t="n">
        <v>45883</v>
      </c>
      <c r="D2287" t="inlineStr">
        <is>
          <t>GÄVLEBORGS LÄN</t>
        </is>
      </c>
      <c r="E2287" t="inlineStr">
        <is>
          <t>LJUSDAL</t>
        </is>
      </c>
      <c r="F2287" t="inlineStr">
        <is>
          <t>Bergvik skog väst AB</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71645-2021</t>
        </is>
      </c>
      <c r="B2288" s="1" t="n">
        <v>44543.34858796297</v>
      </c>
      <c r="C2288" s="1" t="n">
        <v>45883</v>
      </c>
      <c r="D2288" t="inlineStr">
        <is>
          <t>GÄVLEBORGS LÄN</t>
        </is>
      </c>
      <c r="E2288" t="inlineStr">
        <is>
          <t>SÖDERHAMN</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53082-2022</t>
        </is>
      </c>
      <c r="B2289" s="1" t="n">
        <v>44876.38916666667</v>
      </c>
      <c r="C2289" s="1" t="n">
        <v>45883</v>
      </c>
      <c r="D2289" t="inlineStr">
        <is>
          <t>GÄVLEBORGS LÄN</t>
        </is>
      </c>
      <c r="E2289" t="inlineStr">
        <is>
          <t>GÄVLE</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42417-2024</t>
        </is>
      </c>
      <c r="B2290" s="1" t="n">
        <v>45565.38208333333</v>
      </c>
      <c r="C2290" s="1" t="n">
        <v>45883</v>
      </c>
      <c r="D2290" t="inlineStr">
        <is>
          <t>GÄVLEBORGS LÄN</t>
        </is>
      </c>
      <c r="E2290" t="inlineStr">
        <is>
          <t>LJUSDAL</t>
        </is>
      </c>
      <c r="G2290" t="n">
        <v>5.3</v>
      </c>
      <c r="H2290" t="n">
        <v>0</v>
      </c>
      <c r="I2290" t="n">
        <v>0</v>
      </c>
      <c r="J2290" t="n">
        <v>0</v>
      </c>
      <c r="K2290" t="n">
        <v>0</v>
      </c>
      <c r="L2290" t="n">
        <v>0</v>
      </c>
      <c r="M2290" t="n">
        <v>0</v>
      </c>
      <c r="N2290" t="n">
        <v>0</v>
      </c>
      <c r="O2290" t="n">
        <v>0</v>
      </c>
      <c r="P2290" t="n">
        <v>0</v>
      </c>
      <c r="Q2290" t="n">
        <v>0</v>
      </c>
      <c r="R2290" s="2" t="inlineStr"/>
    </row>
    <row r="2291" ht="15" customHeight="1">
      <c r="A2291" t="inlineStr">
        <is>
          <t>A 17672-2025</t>
        </is>
      </c>
      <c r="B2291" s="1" t="n">
        <v>45758.36832175926</v>
      </c>
      <c r="C2291" s="1" t="n">
        <v>45883</v>
      </c>
      <c r="D2291" t="inlineStr">
        <is>
          <t>GÄVLEBORGS LÄN</t>
        </is>
      </c>
      <c r="E2291" t="inlineStr">
        <is>
          <t>OVANÅKER</t>
        </is>
      </c>
      <c r="F2291" t="inlineStr">
        <is>
          <t>Sveaskog</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16023-2023</t>
        </is>
      </c>
      <c r="B2292" s="1" t="n">
        <v>45026</v>
      </c>
      <c r="C2292" s="1" t="n">
        <v>45883</v>
      </c>
      <c r="D2292" t="inlineStr">
        <is>
          <t>GÄVLEBORGS LÄN</t>
        </is>
      </c>
      <c r="E2292" t="inlineStr">
        <is>
          <t>GÄVLE</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4774-2025</t>
        </is>
      </c>
      <c r="B2293" s="1" t="n">
        <v>45688.50829861111</v>
      </c>
      <c r="C2293" s="1" t="n">
        <v>45883</v>
      </c>
      <c r="D2293" t="inlineStr">
        <is>
          <t>GÄVLEBORGS LÄN</t>
        </is>
      </c>
      <c r="E2293" t="inlineStr">
        <is>
          <t>HUDIKSVALL</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26355-2021</t>
        </is>
      </c>
      <c r="B2294" s="1" t="n">
        <v>44347</v>
      </c>
      <c r="C2294" s="1" t="n">
        <v>45883</v>
      </c>
      <c r="D2294" t="inlineStr">
        <is>
          <t>GÄVLEBORGS LÄN</t>
        </is>
      </c>
      <c r="E2294" t="inlineStr">
        <is>
          <t>SANDVIKEN</t>
        </is>
      </c>
      <c r="F2294" t="inlineStr">
        <is>
          <t>Bergvik skog väst AB</t>
        </is>
      </c>
      <c r="G2294" t="n">
        <v>10.1</v>
      </c>
      <c r="H2294" t="n">
        <v>0</v>
      </c>
      <c r="I2294" t="n">
        <v>0</v>
      </c>
      <c r="J2294" t="n">
        <v>0</v>
      </c>
      <c r="K2294" t="n">
        <v>0</v>
      </c>
      <c r="L2294" t="n">
        <v>0</v>
      </c>
      <c r="M2294" t="n">
        <v>0</v>
      </c>
      <c r="N2294" t="n">
        <v>0</v>
      </c>
      <c r="O2294" t="n">
        <v>0</v>
      </c>
      <c r="P2294" t="n">
        <v>0</v>
      </c>
      <c r="Q2294" t="n">
        <v>0</v>
      </c>
      <c r="R2294" s="2" t="inlineStr"/>
    </row>
    <row r="2295" ht="15" customHeight="1">
      <c r="A2295" t="inlineStr">
        <is>
          <t>A 26365-2021</t>
        </is>
      </c>
      <c r="B2295" s="1" t="n">
        <v>44347.65292824074</v>
      </c>
      <c r="C2295" s="1" t="n">
        <v>45883</v>
      </c>
      <c r="D2295" t="inlineStr">
        <is>
          <t>GÄVLEBORGS LÄN</t>
        </is>
      </c>
      <c r="E2295" t="inlineStr">
        <is>
          <t>OVANÅKER</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42253-2024</t>
        </is>
      </c>
      <c r="B2296" s="1" t="n">
        <v>45562.58115740741</v>
      </c>
      <c r="C2296" s="1" t="n">
        <v>45883</v>
      </c>
      <c r="D2296" t="inlineStr">
        <is>
          <t>GÄVLEBORGS LÄN</t>
        </is>
      </c>
      <c r="E2296" t="inlineStr">
        <is>
          <t>NORDANSTIG</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44625-2023</t>
        </is>
      </c>
      <c r="B2297" s="1" t="n">
        <v>45189</v>
      </c>
      <c r="C2297" s="1" t="n">
        <v>45883</v>
      </c>
      <c r="D2297" t="inlineStr">
        <is>
          <t>GÄVLEBORGS LÄN</t>
        </is>
      </c>
      <c r="E2297" t="inlineStr">
        <is>
          <t>BOLLNÄS</t>
        </is>
      </c>
      <c r="G2297" t="n">
        <v>5.1</v>
      </c>
      <c r="H2297" t="n">
        <v>0</v>
      </c>
      <c r="I2297" t="n">
        <v>0</v>
      </c>
      <c r="J2297" t="n">
        <v>0</v>
      </c>
      <c r="K2297" t="n">
        <v>0</v>
      </c>
      <c r="L2297" t="n">
        <v>0</v>
      </c>
      <c r="M2297" t="n">
        <v>0</v>
      </c>
      <c r="N2297" t="n">
        <v>0</v>
      </c>
      <c r="O2297" t="n">
        <v>0</v>
      </c>
      <c r="P2297" t="n">
        <v>0</v>
      </c>
      <c r="Q2297" t="n">
        <v>0</v>
      </c>
      <c r="R2297" s="2" t="inlineStr"/>
    </row>
    <row r="2298" ht="15" customHeight="1">
      <c r="A2298" t="inlineStr">
        <is>
          <t>A 9235-2022</t>
        </is>
      </c>
      <c r="B2298" s="1" t="n">
        <v>44616.3750462963</v>
      </c>
      <c r="C2298" s="1" t="n">
        <v>45883</v>
      </c>
      <c r="D2298" t="inlineStr">
        <is>
          <t>GÄVLEBORGS LÄN</t>
        </is>
      </c>
      <c r="E2298" t="inlineStr">
        <is>
          <t>GÄVLE</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6529-2021</t>
        </is>
      </c>
      <c r="B2299" s="1" t="n">
        <v>44236.36252314815</v>
      </c>
      <c r="C2299" s="1" t="n">
        <v>45883</v>
      </c>
      <c r="D2299" t="inlineStr">
        <is>
          <t>GÄVLEBORGS LÄN</t>
        </is>
      </c>
      <c r="E2299" t="inlineStr">
        <is>
          <t>NORDANSTIG</t>
        </is>
      </c>
      <c r="F2299" t="inlineStr">
        <is>
          <t>Holmen skog AB</t>
        </is>
      </c>
      <c r="G2299" t="n">
        <v>5.2</v>
      </c>
      <c r="H2299" t="n">
        <v>0</v>
      </c>
      <c r="I2299" t="n">
        <v>0</v>
      </c>
      <c r="J2299" t="n">
        <v>0</v>
      </c>
      <c r="K2299" t="n">
        <v>0</v>
      </c>
      <c r="L2299" t="n">
        <v>0</v>
      </c>
      <c r="M2299" t="n">
        <v>0</v>
      </c>
      <c r="N2299" t="n">
        <v>0</v>
      </c>
      <c r="O2299" t="n">
        <v>0</v>
      </c>
      <c r="P2299" t="n">
        <v>0</v>
      </c>
      <c r="Q2299" t="n">
        <v>0</v>
      </c>
      <c r="R2299" s="2" t="inlineStr"/>
    </row>
    <row r="2300" ht="15" customHeight="1">
      <c r="A2300" t="inlineStr">
        <is>
          <t>A 40281-2024</t>
        </is>
      </c>
      <c r="B2300" s="1" t="n">
        <v>45554.6590162037</v>
      </c>
      <c r="C2300" s="1" t="n">
        <v>45883</v>
      </c>
      <c r="D2300" t="inlineStr">
        <is>
          <t>GÄVLEBORGS LÄN</t>
        </is>
      </c>
      <c r="E2300" t="inlineStr">
        <is>
          <t>OCKELBO</t>
        </is>
      </c>
      <c r="F2300" t="inlineStr">
        <is>
          <t>Bergvik skog väst AB</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40283-2024</t>
        </is>
      </c>
      <c r="B2301" s="1" t="n">
        <v>45554.66199074074</v>
      </c>
      <c r="C2301" s="1" t="n">
        <v>45883</v>
      </c>
      <c r="D2301" t="inlineStr">
        <is>
          <t>GÄVLEBORGS LÄN</t>
        </is>
      </c>
      <c r="E2301" t="inlineStr">
        <is>
          <t>OCKELBO</t>
        </is>
      </c>
      <c r="F2301" t="inlineStr">
        <is>
          <t>Bergvik skog väst AB</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54126-2021</t>
        </is>
      </c>
      <c r="B2302" s="1" t="n">
        <v>44470.51221064815</v>
      </c>
      <c r="C2302" s="1" t="n">
        <v>45883</v>
      </c>
      <c r="D2302" t="inlineStr">
        <is>
          <t>GÄVLEBORGS LÄN</t>
        </is>
      </c>
      <c r="E2302" t="inlineStr">
        <is>
          <t>HUDIKSVALL</t>
        </is>
      </c>
      <c r="G2302" t="n">
        <v>7</v>
      </c>
      <c r="H2302" t="n">
        <v>0</v>
      </c>
      <c r="I2302" t="n">
        <v>0</v>
      </c>
      <c r="J2302" t="n">
        <v>0</v>
      </c>
      <c r="K2302" t="n">
        <v>0</v>
      </c>
      <c r="L2302" t="n">
        <v>0</v>
      </c>
      <c r="M2302" t="n">
        <v>0</v>
      </c>
      <c r="N2302" t="n">
        <v>0</v>
      </c>
      <c r="O2302" t="n">
        <v>0</v>
      </c>
      <c r="P2302" t="n">
        <v>0</v>
      </c>
      <c r="Q2302" t="n">
        <v>0</v>
      </c>
      <c r="R2302" s="2" t="inlineStr"/>
    </row>
    <row r="2303" ht="15" customHeight="1">
      <c r="A2303" t="inlineStr">
        <is>
          <t>A 53435-2023</t>
        </is>
      </c>
      <c r="B2303" s="1" t="n">
        <v>45229.92756944444</v>
      </c>
      <c r="C2303" s="1" t="n">
        <v>45883</v>
      </c>
      <c r="D2303" t="inlineStr">
        <is>
          <t>GÄVLEBORGS LÄN</t>
        </is>
      </c>
      <c r="E2303" t="inlineStr">
        <is>
          <t>HUDIKSVALL</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6261-2025</t>
        </is>
      </c>
      <c r="B2304" s="1" t="n">
        <v>45698.59611111111</v>
      </c>
      <c r="C2304" s="1" t="n">
        <v>45883</v>
      </c>
      <c r="D2304" t="inlineStr">
        <is>
          <t>GÄVLEBORGS LÄN</t>
        </is>
      </c>
      <c r="E2304" t="inlineStr">
        <is>
          <t>SANDVIKEN</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6331-2025</t>
        </is>
      </c>
      <c r="B2305" s="1" t="n">
        <v>45698.88701388889</v>
      </c>
      <c r="C2305" s="1" t="n">
        <v>45883</v>
      </c>
      <c r="D2305" t="inlineStr">
        <is>
          <t>GÄVLEBORGS LÄN</t>
        </is>
      </c>
      <c r="E2305" t="inlineStr">
        <is>
          <t>HUDIKSVALL</t>
        </is>
      </c>
      <c r="F2305" t="inlineStr">
        <is>
          <t>Holmen skog AB</t>
        </is>
      </c>
      <c r="G2305" t="n">
        <v>21.6</v>
      </c>
      <c r="H2305" t="n">
        <v>0</v>
      </c>
      <c r="I2305" t="n">
        <v>0</v>
      </c>
      <c r="J2305" t="n">
        <v>0</v>
      </c>
      <c r="K2305" t="n">
        <v>0</v>
      </c>
      <c r="L2305" t="n">
        <v>0</v>
      </c>
      <c r="M2305" t="n">
        <v>0</v>
      </c>
      <c r="N2305" t="n">
        <v>0</v>
      </c>
      <c r="O2305" t="n">
        <v>0</v>
      </c>
      <c r="P2305" t="n">
        <v>0</v>
      </c>
      <c r="Q2305" t="n">
        <v>0</v>
      </c>
      <c r="R2305" s="2" t="inlineStr"/>
    </row>
    <row r="2306" ht="15" customHeight="1">
      <c r="A2306" t="inlineStr">
        <is>
          <t>A 37744-2022</t>
        </is>
      </c>
      <c r="B2306" s="1" t="n">
        <v>44810.58422453704</v>
      </c>
      <c r="C2306" s="1" t="n">
        <v>45883</v>
      </c>
      <c r="D2306" t="inlineStr">
        <is>
          <t>GÄVLEBORGS LÄN</t>
        </is>
      </c>
      <c r="E2306" t="inlineStr">
        <is>
          <t>HOFORS</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36447-2024</t>
        </is>
      </c>
      <c r="B2307" s="1" t="n">
        <v>45537</v>
      </c>
      <c r="C2307" s="1" t="n">
        <v>45883</v>
      </c>
      <c r="D2307" t="inlineStr">
        <is>
          <t>GÄVLEBORGS LÄN</t>
        </is>
      </c>
      <c r="E2307" t="inlineStr">
        <is>
          <t>LJUSDAL</t>
        </is>
      </c>
      <c r="F2307" t="inlineStr">
        <is>
          <t>Sveaskog</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28771-2023</t>
        </is>
      </c>
      <c r="B2308" s="1" t="n">
        <v>45104</v>
      </c>
      <c r="C2308" s="1" t="n">
        <v>45883</v>
      </c>
      <c r="D2308" t="inlineStr">
        <is>
          <t>GÄVLEBORGS LÄN</t>
        </is>
      </c>
      <c r="E2308" t="inlineStr">
        <is>
          <t>BOLLNÄS</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42136-2024</t>
        </is>
      </c>
      <c r="B2309" s="1" t="n">
        <v>45562.41775462963</v>
      </c>
      <c r="C2309" s="1" t="n">
        <v>45883</v>
      </c>
      <c r="D2309" t="inlineStr">
        <is>
          <t>GÄVLEBORGS LÄN</t>
        </is>
      </c>
      <c r="E2309" t="inlineStr">
        <is>
          <t>HUDIKSVALL</t>
        </is>
      </c>
      <c r="F2309" t="inlineStr">
        <is>
          <t>Holmen skog AB</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20122-2025</t>
        </is>
      </c>
      <c r="B2310" s="1" t="n">
        <v>45772</v>
      </c>
      <c r="C2310" s="1" t="n">
        <v>45883</v>
      </c>
      <c r="D2310" t="inlineStr">
        <is>
          <t>GÄVLEBORGS LÄN</t>
        </is>
      </c>
      <c r="E2310" t="inlineStr">
        <is>
          <t>LJUSDAL</t>
        </is>
      </c>
      <c r="F2310" t="inlineStr">
        <is>
          <t>Bergvik skog väst AB</t>
        </is>
      </c>
      <c r="G2310" t="n">
        <v>7.8</v>
      </c>
      <c r="H2310" t="n">
        <v>0</v>
      </c>
      <c r="I2310" t="n">
        <v>0</v>
      </c>
      <c r="J2310" t="n">
        <v>0</v>
      </c>
      <c r="K2310" t="n">
        <v>0</v>
      </c>
      <c r="L2310" t="n">
        <v>0</v>
      </c>
      <c r="M2310" t="n">
        <v>0</v>
      </c>
      <c r="N2310" t="n">
        <v>0</v>
      </c>
      <c r="O2310" t="n">
        <v>0</v>
      </c>
      <c r="P2310" t="n">
        <v>0</v>
      </c>
      <c r="Q2310" t="n">
        <v>0</v>
      </c>
      <c r="R2310" s="2" t="inlineStr"/>
    </row>
    <row r="2311" ht="15" customHeight="1">
      <c r="A2311" t="inlineStr">
        <is>
          <t>A 20147-2025</t>
        </is>
      </c>
      <c r="B2311" s="1" t="n">
        <v>45772.53384259259</v>
      </c>
      <c r="C2311" s="1" t="n">
        <v>45883</v>
      </c>
      <c r="D2311" t="inlineStr">
        <is>
          <t>GÄVLEBORGS LÄN</t>
        </is>
      </c>
      <c r="E2311" t="inlineStr">
        <is>
          <t>LJUSDAL</t>
        </is>
      </c>
      <c r="F2311" t="inlineStr">
        <is>
          <t>Bergvik skog väst AB</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37638-2022</t>
        </is>
      </c>
      <c r="B2312" s="1" t="n">
        <v>44810</v>
      </c>
      <c r="C2312" s="1" t="n">
        <v>45883</v>
      </c>
      <c r="D2312" t="inlineStr">
        <is>
          <t>GÄVLEBORGS LÄN</t>
        </is>
      </c>
      <c r="E2312" t="inlineStr">
        <is>
          <t>HUDIKSVALL</t>
        </is>
      </c>
      <c r="F2312" t="inlineStr">
        <is>
          <t>Holmen skog AB</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427-2024</t>
        </is>
      </c>
      <c r="B2313" s="1" t="n">
        <v>45296</v>
      </c>
      <c r="C2313" s="1" t="n">
        <v>45883</v>
      </c>
      <c r="D2313" t="inlineStr">
        <is>
          <t>GÄVLEBORGS LÄN</t>
        </is>
      </c>
      <c r="E2313" t="inlineStr">
        <is>
          <t>OCKELBO</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65098-2023</t>
        </is>
      </c>
      <c r="B2314" s="1" t="n">
        <v>45288.41835648148</v>
      </c>
      <c r="C2314" s="1" t="n">
        <v>45883</v>
      </c>
      <c r="D2314" t="inlineStr">
        <is>
          <t>GÄVLEBORGS LÄN</t>
        </is>
      </c>
      <c r="E2314" t="inlineStr">
        <is>
          <t>SANDVIKEN</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37681-2022</t>
        </is>
      </c>
      <c r="B2315" s="1" t="n">
        <v>44810</v>
      </c>
      <c r="C2315" s="1" t="n">
        <v>45883</v>
      </c>
      <c r="D2315" t="inlineStr">
        <is>
          <t>GÄVLEBORGS LÄN</t>
        </is>
      </c>
      <c r="E2315" t="inlineStr">
        <is>
          <t>HUDIKSVALL</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23072-2024</t>
        </is>
      </c>
      <c r="B2316" s="1" t="n">
        <v>45450.46739583334</v>
      </c>
      <c r="C2316" s="1" t="n">
        <v>45883</v>
      </c>
      <c r="D2316" t="inlineStr">
        <is>
          <t>GÄVLEBORGS LÄN</t>
        </is>
      </c>
      <c r="E2316" t="inlineStr">
        <is>
          <t>OCKELBO</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48141-2022</t>
        </is>
      </c>
      <c r="B2317" s="1" t="n">
        <v>44858.00943287037</v>
      </c>
      <c r="C2317" s="1" t="n">
        <v>45883</v>
      </c>
      <c r="D2317" t="inlineStr">
        <is>
          <t>GÄVLEBORGS LÄN</t>
        </is>
      </c>
      <c r="E2317" t="inlineStr">
        <is>
          <t>BOLLNÄS</t>
        </is>
      </c>
      <c r="F2317" t="inlineStr">
        <is>
          <t>Bergvik skog väst AB</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25596-2024</t>
        </is>
      </c>
      <c r="B2318" s="1" t="n">
        <v>45463.62259259259</v>
      </c>
      <c r="C2318" s="1" t="n">
        <v>45883</v>
      </c>
      <c r="D2318" t="inlineStr">
        <is>
          <t>GÄVLEBORGS LÄN</t>
        </is>
      </c>
      <c r="E2318" t="inlineStr">
        <is>
          <t>HUDIKSVALL</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17180-2025</t>
        </is>
      </c>
      <c r="B2319" s="1" t="n">
        <v>45756.38221064815</v>
      </c>
      <c r="C2319" s="1" t="n">
        <v>45883</v>
      </c>
      <c r="D2319" t="inlineStr">
        <is>
          <t>GÄVLEBORGS LÄN</t>
        </is>
      </c>
      <c r="E2319" t="inlineStr">
        <is>
          <t>GÄVLE</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53544-2023</t>
        </is>
      </c>
      <c r="B2320" s="1" t="n">
        <v>45230.46125</v>
      </c>
      <c r="C2320" s="1" t="n">
        <v>45883</v>
      </c>
      <c r="D2320" t="inlineStr">
        <is>
          <t>GÄVLEBORGS LÄN</t>
        </is>
      </c>
      <c r="E2320" t="inlineStr">
        <is>
          <t>LJUSDAL</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53553-2023</t>
        </is>
      </c>
      <c r="B2321" s="1" t="n">
        <v>45230</v>
      </c>
      <c r="C2321" s="1" t="n">
        <v>45883</v>
      </c>
      <c r="D2321" t="inlineStr">
        <is>
          <t>GÄVLEBORGS LÄN</t>
        </is>
      </c>
      <c r="E2321" t="inlineStr">
        <is>
          <t>HUDIKSVALL</t>
        </is>
      </c>
      <c r="F2321" t="inlineStr">
        <is>
          <t>Holmen skog AB</t>
        </is>
      </c>
      <c r="G2321" t="n">
        <v>5</v>
      </c>
      <c r="H2321" t="n">
        <v>0</v>
      </c>
      <c r="I2321" t="n">
        <v>0</v>
      </c>
      <c r="J2321" t="n">
        <v>0</v>
      </c>
      <c r="K2321" t="n">
        <v>0</v>
      </c>
      <c r="L2321" t="n">
        <v>0</v>
      </c>
      <c r="M2321" t="n">
        <v>0</v>
      </c>
      <c r="N2321" t="n">
        <v>0</v>
      </c>
      <c r="O2321" t="n">
        <v>0</v>
      </c>
      <c r="P2321" t="n">
        <v>0</v>
      </c>
      <c r="Q2321" t="n">
        <v>0</v>
      </c>
      <c r="R2321" s="2" t="inlineStr"/>
    </row>
    <row r="2322" ht="15" customHeight="1">
      <c r="A2322" t="inlineStr">
        <is>
          <t>A 47639-2021</t>
        </is>
      </c>
      <c r="B2322" s="1" t="n">
        <v>44448.3966087963</v>
      </c>
      <c r="C2322" s="1" t="n">
        <v>45883</v>
      </c>
      <c r="D2322" t="inlineStr">
        <is>
          <t>GÄVLEBORGS LÄN</t>
        </is>
      </c>
      <c r="E2322" t="inlineStr">
        <is>
          <t>HOFORS</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16914-2025</t>
        </is>
      </c>
      <c r="B2323" s="1" t="n">
        <v>45755.36678240741</v>
      </c>
      <c r="C2323" s="1" t="n">
        <v>45883</v>
      </c>
      <c r="D2323" t="inlineStr">
        <is>
          <t>GÄVLEBORGS LÄN</t>
        </is>
      </c>
      <c r="E2323" t="inlineStr">
        <is>
          <t>BOLLNÄS</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11286-2022</t>
        </is>
      </c>
      <c r="B2324" s="1" t="n">
        <v>44629.92833333334</v>
      </c>
      <c r="C2324" s="1" t="n">
        <v>45883</v>
      </c>
      <c r="D2324" t="inlineStr">
        <is>
          <t>GÄVLEBORGS LÄN</t>
        </is>
      </c>
      <c r="E2324" t="inlineStr">
        <is>
          <t>LJUSDAL</t>
        </is>
      </c>
      <c r="G2324" t="n">
        <v>11.5</v>
      </c>
      <c r="H2324" t="n">
        <v>0</v>
      </c>
      <c r="I2324" t="n">
        <v>0</v>
      </c>
      <c r="J2324" t="n">
        <v>0</v>
      </c>
      <c r="K2324" t="n">
        <v>0</v>
      </c>
      <c r="L2324" t="n">
        <v>0</v>
      </c>
      <c r="M2324" t="n">
        <v>0</v>
      </c>
      <c r="N2324" t="n">
        <v>0</v>
      </c>
      <c r="O2324" t="n">
        <v>0</v>
      </c>
      <c r="P2324" t="n">
        <v>0</v>
      </c>
      <c r="Q2324" t="n">
        <v>0</v>
      </c>
      <c r="R2324" s="2" t="inlineStr"/>
    </row>
    <row r="2325" ht="15" customHeight="1">
      <c r="A2325" t="inlineStr">
        <is>
          <t>A 19960-2025</t>
        </is>
      </c>
      <c r="B2325" s="1" t="n">
        <v>45771.66837962963</v>
      </c>
      <c r="C2325" s="1" t="n">
        <v>45883</v>
      </c>
      <c r="D2325" t="inlineStr">
        <is>
          <t>GÄVLEBORGS LÄN</t>
        </is>
      </c>
      <c r="E2325" t="inlineStr">
        <is>
          <t>OVANÅKER</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1418-2025</t>
        </is>
      </c>
      <c r="B2326" s="1" t="n">
        <v>45668.41842592593</v>
      </c>
      <c r="C2326" s="1" t="n">
        <v>45883</v>
      </c>
      <c r="D2326" t="inlineStr">
        <is>
          <t>GÄVLEBORGS LÄN</t>
        </is>
      </c>
      <c r="E2326" t="inlineStr">
        <is>
          <t>SANDVIKEN</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12757-2025</t>
        </is>
      </c>
      <c r="B2327" s="1" t="n">
        <v>45733.56583333333</v>
      </c>
      <c r="C2327" s="1" t="n">
        <v>45883</v>
      </c>
      <c r="D2327" t="inlineStr">
        <is>
          <t>GÄVLEBORGS LÄN</t>
        </is>
      </c>
      <c r="E2327" t="inlineStr">
        <is>
          <t>SANDVIKEN</t>
        </is>
      </c>
      <c r="F2327" t="inlineStr">
        <is>
          <t>Bergvik skog öst AB</t>
        </is>
      </c>
      <c r="G2327" t="n">
        <v>7.1</v>
      </c>
      <c r="H2327" t="n">
        <v>0</v>
      </c>
      <c r="I2327" t="n">
        <v>0</v>
      </c>
      <c r="J2327" t="n">
        <v>0</v>
      </c>
      <c r="K2327" t="n">
        <v>0</v>
      </c>
      <c r="L2327" t="n">
        <v>0</v>
      </c>
      <c r="M2327" t="n">
        <v>0</v>
      </c>
      <c r="N2327" t="n">
        <v>0</v>
      </c>
      <c r="O2327" t="n">
        <v>0</v>
      </c>
      <c r="P2327" t="n">
        <v>0</v>
      </c>
      <c r="Q2327" t="n">
        <v>0</v>
      </c>
      <c r="R2327" s="2" t="inlineStr"/>
    </row>
    <row r="2328" ht="15" customHeight="1">
      <c r="A2328" t="inlineStr">
        <is>
          <t>A 12767-2025</t>
        </is>
      </c>
      <c r="B2328" s="1" t="n">
        <v>45733.57708333333</v>
      </c>
      <c r="C2328" s="1" t="n">
        <v>45883</v>
      </c>
      <c r="D2328" t="inlineStr">
        <is>
          <t>GÄVLEBORGS LÄN</t>
        </is>
      </c>
      <c r="E2328" t="inlineStr">
        <is>
          <t>OCKELBO</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63798-2023</t>
        </is>
      </c>
      <c r="B2329" s="1" t="n">
        <v>45278.41434027778</v>
      </c>
      <c r="C2329" s="1" t="n">
        <v>45883</v>
      </c>
      <c r="D2329" t="inlineStr">
        <is>
          <t>GÄVLEBORGS LÄN</t>
        </is>
      </c>
      <c r="E2329" t="inlineStr">
        <is>
          <t>SÖDERHAMN</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15325-2025</t>
        </is>
      </c>
      <c r="B2330" s="1" t="n">
        <v>45747.33708333333</v>
      </c>
      <c r="C2330" s="1" t="n">
        <v>45883</v>
      </c>
      <c r="D2330" t="inlineStr">
        <is>
          <t>GÄVLEBORGS LÄN</t>
        </is>
      </c>
      <c r="E2330" t="inlineStr">
        <is>
          <t>OCKELBO</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44938-2022</t>
        </is>
      </c>
      <c r="B2331" s="1" t="n">
        <v>44841</v>
      </c>
      <c r="C2331" s="1" t="n">
        <v>45883</v>
      </c>
      <c r="D2331" t="inlineStr">
        <is>
          <t>GÄVLEBORGS LÄN</t>
        </is>
      </c>
      <c r="E2331" t="inlineStr">
        <is>
          <t>GÄVLE</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15198-2025</t>
        </is>
      </c>
      <c r="B2332" s="1" t="n">
        <v>45744.566875</v>
      </c>
      <c r="C2332" s="1" t="n">
        <v>45883</v>
      </c>
      <c r="D2332" t="inlineStr">
        <is>
          <t>GÄVLEBORGS LÄN</t>
        </is>
      </c>
      <c r="E2332" t="inlineStr">
        <is>
          <t>OCKELBO</t>
        </is>
      </c>
      <c r="F2332" t="inlineStr">
        <is>
          <t>Bergvik skog väst AB</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15199-2025</t>
        </is>
      </c>
      <c r="B2333" s="1" t="n">
        <v>45744.56743055556</v>
      </c>
      <c r="C2333" s="1" t="n">
        <v>45883</v>
      </c>
      <c r="D2333" t="inlineStr">
        <is>
          <t>GÄVLEBORGS LÄN</t>
        </is>
      </c>
      <c r="E2333" t="inlineStr">
        <is>
          <t>LJUSDAL</t>
        </is>
      </c>
      <c r="F2333" t="inlineStr">
        <is>
          <t>Bergvik skog väst AB</t>
        </is>
      </c>
      <c r="G2333" t="n">
        <v>13.1</v>
      </c>
      <c r="H2333" t="n">
        <v>0</v>
      </c>
      <c r="I2333" t="n">
        <v>0</v>
      </c>
      <c r="J2333" t="n">
        <v>0</v>
      </c>
      <c r="K2333" t="n">
        <v>0</v>
      </c>
      <c r="L2333" t="n">
        <v>0</v>
      </c>
      <c r="M2333" t="n">
        <v>0</v>
      </c>
      <c r="N2333" t="n">
        <v>0</v>
      </c>
      <c r="O2333" t="n">
        <v>0</v>
      </c>
      <c r="P2333" t="n">
        <v>0</v>
      </c>
      <c r="Q2333" t="n">
        <v>0</v>
      </c>
      <c r="R2333" s="2" t="inlineStr"/>
    </row>
    <row r="2334" ht="15" customHeight="1">
      <c r="A2334" t="inlineStr">
        <is>
          <t>A 27179-2021</t>
        </is>
      </c>
      <c r="B2334" s="1" t="n">
        <v>44350.66420138889</v>
      </c>
      <c r="C2334" s="1" t="n">
        <v>45883</v>
      </c>
      <c r="D2334" t="inlineStr">
        <is>
          <t>GÄVLEBORGS LÄN</t>
        </is>
      </c>
      <c r="E2334" t="inlineStr">
        <is>
          <t>GÄVLE</t>
        </is>
      </c>
      <c r="F2334" t="inlineStr">
        <is>
          <t>Bergvik skog öst AB</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22293-2024</t>
        </is>
      </c>
      <c r="B2335" s="1" t="n">
        <v>45446.55873842593</v>
      </c>
      <c r="C2335" s="1" t="n">
        <v>45883</v>
      </c>
      <c r="D2335" t="inlineStr">
        <is>
          <t>GÄVLEBORGS LÄN</t>
        </is>
      </c>
      <c r="E2335" t="inlineStr">
        <is>
          <t>OCKELBO</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49178-2023</t>
        </is>
      </c>
      <c r="B2336" s="1" t="n">
        <v>45210</v>
      </c>
      <c r="C2336" s="1" t="n">
        <v>45883</v>
      </c>
      <c r="D2336" t="inlineStr">
        <is>
          <t>GÄVLEBORGS LÄN</t>
        </is>
      </c>
      <c r="E2336" t="inlineStr">
        <is>
          <t>OVANÅKER</t>
        </is>
      </c>
      <c r="F2336" t="inlineStr">
        <is>
          <t>Bergvik skog öst AB</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549-2024</t>
        </is>
      </c>
      <c r="B2337" s="1" t="n">
        <v>45299</v>
      </c>
      <c r="C2337" s="1" t="n">
        <v>45883</v>
      </c>
      <c r="D2337" t="inlineStr">
        <is>
          <t>GÄVLEBORGS LÄN</t>
        </is>
      </c>
      <c r="E2337" t="inlineStr">
        <is>
          <t>BOLLNÄS</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22136-2022</t>
        </is>
      </c>
      <c r="B2338" s="1" t="n">
        <v>44712</v>
      </c>
      <c r="C2338" s="1" t="n">
        <v>45883</v>
      </c>
      <c r="D2338" t="inlineStr">
        <is>
          <t>GÄVLEBORGS LÄN</t>
        </is>
      </c>
      <c r="E2338" t="inlineStr">
        <is>
          <t>HUDIKSVALL</t>
        </is>
      </c>
      <c r="F2338" t="inlineStr">
        <is>
          <t>Holmen skog AB</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22151-2022</t>
        </is>
      </c>
      <c r="B2339" s="1" t="n">
        <v>44712.42891203704</v>
      </c>
      <c r="C2339" s="1" t="n">
        <v>45883</v>
      </c>
      <c r="D2339" t="inlineStr">
        <is>
          <t>GÄVLEBORGS LÄN</t>
        </is>
      </c>
      <c r="E2339" t="inlineStr">
        <is>
          <t>OCKELBO</t>
        </is>
      </c>
      <c r="G2339" t="n">
        <v>4.4</v>
      </c>
      <c r="H2339" t="n">
        <v>0</v>
      </c>
      <c r="I2339" t="n">
        <v>0</v>
      </c>
      <c r="J2339" t="n">
        <v>0</v>
      </c>
      <c r="K2339" t="n">
        <v>0</v>
      </c>
      <c r="L2339" t="n">
        <v>0</v>
      </c>
      <c r="M2339" t="n">
        <v>0</v>
      </c>
      <c r="N2339" t="n">
        <v>0</v>
      </c>
      <c r="O2339" t="n">
        <v>0</v>
      </c>
      <c r="P2339" t="n">
        <v>0</v>
      </c>
      <c r="Q2339" t="n">
        <v>0</v>
      </c>
      <c r="R2339" s="2" t="inlineStr"/>
    </row>
    <row r="2340" ht="15" customHeight="1">
      <c r="A2340" t="inlineStr">
        <is>
          <t>A 60291-2022</t>
        </is>
      </c>
      <c r="B2340" s="1" t="n">
        <v>44910.54173611111</v>
      </c>
      <c r="C2340" s="1" t="n">
        <v>45883</v>
      </c>
      <c r="D2340" t="inlineStr">
        <is>
          <t>GÄVLEBORGS LÄN</t>
        </is>
      </c>
      <c r="E2340" t="inlineStr">
        <is>
          <t>OVANÅKER</t>
        </is>
      </c>
      <c r="F2340" t="inlineStr">
        <is>
          <t>Sveaskog</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42128-2023</t>
        </is>
      </c>
      <c r="B2341" s="1" t="n">
        <v>45177</v>
      </c>
      <c r="C2341" s="1" t="n">
        <v>45883</v>
      </c>
      <c r="D2341" t="inlineStr">
        <is>
          <t>GÄVLEBORGS LÄN</t>
        </is>
      </c>
      <c r="E2341" t="inlineStr">
        <is>
          <t>HUDIKSVALL</t>
        </is>
      </c>
      <c r="F2341" t="inlineStr">
        <is>
          <t>Holmen skog AB</t>
        </is>
      </c>
      <c r="G2341" t="n">
        <v>9.1</v>
      </c>
      <c r="H2341" t="n">
        <v>0</v>
      </c>
      <c r="I2341" t="n">
        <v>0</v>
      </c>
      <c r="J2341" t="n">
        <v>0</v>
      </c>
      <c r="K2341" t="n">
        <v>0</v>
      </c>
      <c r="L2341" t="n">
        <v>0</v>
      </c>
      <c r="M2341" t="n">
        <v>0</v>
      </c>
      <c r="N2341" t="n">
        <v>0</v>
      </c>
      <c r="O2341" t="n">
        <v>0</v>
      </c>
      <c r="P2341" t="n">
        <v>0</v>
      </c>
      <c r="Q2341" t="n">
        <v>0</v>
      </c>
      <c r="R2341" s="2" t="inlineStr"/>
    </row>
    <row r="2342" ht="15" customHeight="1">
      <c r="A2342" t="inlineStr">
        <is>
          <t>A 7485-2025</t>
        </is>
      </c>
      <c r="B2342" s="1" t="n">
        <v>45705.4721412037</v>
      </c>
      <c r="C2342" s="1" t="n">
        <v>45883</v>
      </c>
      <c r="D2342" t="inlineStr">
        <is>
          <t>GÄVLEBORGS LÄN</t>
        </is>
      </c>
      <c r="E2342" t="inlineStr">
        <is>
          <t>HUDIKSVALL</t>
        </is>
      </c>
      <c r="F2342" t="inlineStr">
        <is>
          <t>Holmen skog AB</t>
        </is>
      </c>
      <c r="G2342" t="n">
        <v>9.199999999999999</v>
      </c>
      <c r="H2342" t="n">
        <v>0</v>
      </c>
      <c r="I2342" t="n">
        <v>0</v>
      </c>
      <c r="J2342" t="n">
        <v>0</v>
      </c>
      <c r="K2342" t="n">
        <v>0</v>
      </c>
      <c r="L2342" t="n">
        <v>0</v>
      </c>
      <c r="M2342" t="n">
        <v>0</v>
      </c>
      <c r="N2342" t="n">
        <v>0</v>
      </c>
      <c r="O2342" t="n">
        <v>0</v>
      </c>
      <c r="P2342" t="n">
        <v>0</v>
      </c>
      <c r="Q2342" t="n">
        <v>0</v>
      </c>
      <c r="R2342" s="2" t="inlineStr"/>
    </row>
    <row r="2343" ht="15" customHeight="1">
      <c r="A2343" t="inlineStr">
        <is>
          <t>A 62459-2023</t>
        </is>
      </c>
      <c r="B2343" s="1" t="n">
        <v>45268.51590277778</v>
      </c>
      <c r="C2343" s="1" t="n">
        <v>45883</v>
      </c>
      <c r="D2343" t="inlineStr">
        <is>
          <t>GÄVLEBORGS LÄN</t>
        </is>
      </c>
      <c r="E2343" t="inlineStr">
        <is>
          <t>SANDVIKEN</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60917-2023</t>
        </is>
      </c>
      <c r="B2344" s="1" t="n">
        <v>45261.40464120371</v>
      </c>
      <c r="C2344" s="1" t="n">
        <v>45883</v>
      </c>
      <c r="D2344" t="inlineStr">
        <is>
          <t>GÄVLEBORGS LÄN</t>
        </is>
      </c>
      <c r="E2344" t="inlineStr">
        <is>
          <t>HUDIKSVALL</t>
        </is>
      </c>
      <c r="F2344" t="inlineStr">
        <is>
          <t>Holmen skog AB</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22261-2024</t>
        </is>
      </c>
      <c r="B2345" s="1" t="n">
        <v>45446.49317129629</v>
      </c>
      <c r="C2345" s="1" t="n">
        <v>45883</v>
      </c>
      <c r="D2345" t="inlineStr">
        <is>
          <t>GÄVLEBORGS LÄN</t>
        </is>
      </c>
      <c r="E2345" t="inlineStr">
        <is>
          <t>HUDIKSVALL</t>
        </is>
      </c>
      <c r="G2345" t="n">
        <v>7.6</v>
      </c>
      <c r="H2345" t="n">
        <v>0</v>
      </c>
      <c r="I2345" t="n">
        <v>0</v>
      </c>
      <c r="J2345" t="n">
        <v>0</v>
      </c>
      <c r="K2345" t="n">
        <v>0</v>
      </c>
      <c r="L2345" t="n">
        <v>0</v>
      </c>
      <c r="M2345" t="n">
        <v>0</v>
      </c>
      <c r="N2345" t="n">
        <v>0</v>
      </c>
      <c r="O2345" t="n">
        <v>0</v>
      </c>
      <c r="P2345" t="n">
        <v>0</v>
      </c>
      <c r="Q2345" t="n">
        <v>0</v>
      </c>
      <c r="R2345" s="2" t="inlineStr"/>
    </row>
    <row r="2346" ht="15" customHeight="1">
      <c r="A2346" t="inlineStr">
        <is>
          <t>A 2418-2024</t>
        </is>
      </c>
      <c r="B2346" s="1" t="n">
        <v>45310.92701388889</v>
      </c>
      <c r="C2346" s="1" t="n">
        <v>45883</v>
      </c>
      <c r="D2346" t="inlineStr">
        <is>
          <t>GÄVLEBORGS LÄN</t>
        </is>
      </c>
      <c r="E2346" t="inlineStr">
        <is>
          <t>HUDIKSVALL</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14036-2023</t>
        </is>
      </c>
      <c r="B2347" s="1" t="n">
        <v>45008.6358912037</v>
      </c>
      <c r="C2347" s="1" t="n">
        <v>45883</v>
      </c>
      <c r="D2347" t="inlineStr">
        <is>
          <t>GÄVLEBORGS LÄN</t>
        </is>
      </c>
      <c r="E2347" t="inlineStr">
        <is>
          <t>LJUSDAL</t>
        </is>
      </c>
      <c r="F2347" t="inlineStr">
        <is>
          <t>Holmen skog AB</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19331-2025</t>
        </is>
      </c>
      <c r="B2348" s="1" t="n">
        <v>45769.58547453704</v>
      </c>
      <c r="C2348" s="1" t="n">
        <v>45883</v>
      </c>
      <c r="D2348" t="inlineStr">
        <is>
          <t>GÄVLEBORGS LÄN</t>
        </is>
      </c>
      <c r="E2348" t="inlineStr">
        <is>
          <t>GÄVLE</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19333-2025</t>
        </is>
      </c>
      <c r="B2349" s="1" t="n">
        <v>45769.58668981482</v>
      </c>
      <c r="C2349" s="1" t="n">
        <v>45883</v>
      </c>
      <c r="D2349" t="inlineStr">
        <is>
          <t>GÄVLEBORGS LÄN</t>
        </is>
      </c>
      <c r="E2349" t="inlineStr">
        <is>
          <t>GÄVLE</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31613-2023</t>
        </is>
      </c>
      <c r="B2350" s="1" t="n">
        <v>45117</v>
      </c>
      <c r="C2350" s="1" t="n">
        <v>45883</v>
      </c>
      <c r="D2350" t="inlineStr">
        <is>
          <t>GÄVLEBORGS LÄN</t>
        </is>
      </c>
      <c r="E2350" t="inlineStr">
        <is>
          <t>HOFORS</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52014-2023</t>
        </is>
      </c>
      <c r="B2351" s="1" t="n">
        <v>45223.60538194444</v>
      </c>
      <c r="C2351" s="1" t="n">
        <v>45883</v>
      </c>
      <c r="D2351" t="inlineStr">
        <is>
          <t>GÄVLEBORGS LÄN</t>
        </is>
      </c>
      <c r="E2351" t="inlineStr">
        <is>
          <t>HUDIKSVALL</t>
        </is>
      </c>
      <c r="F2351" t="inlineStr">
        <is>
          <t>Holmen skog AB</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35174-2023</t>
        </is>
      </c>
      <c r="B2352" s="1" t="n">
        <v>45145.58690972222</v>
      </c>
      <c r="C2352" s="1" t="n">
        <v>45883</v>
      </c>
      <c r="D2352" t="inlineStr">
        <is>
          <t>GÄVLEBORGS LÄN</t>
        </is>
      </c>
      <c r="E2352" t="inlineStr">
        <is>
          <t>BOLLNÄS</t>
        </is>
      </c>
      <c r="F2352" t="inlineStr">
        <is>
          <t>Holmen skog AB</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11666-2024</t>
        </is>
      </c>
      <c r="B2353" s="1" t="n">
        <v>45373.55943287037</v>
      </c>
      <c r="C2353" s="1" t="n">
        <v>45883</v>
      </c>
      <c r="D2353" t="inlineStr">
        <is>
          <t>GÄVLEBORGS LÄN</t>
        </is>
      </c>
      <c r="E2353" t="inlineStr">
        <is>
          <t>HUDIKSVALL</t>
        </is>
      </c>
      <c r="F2353" t="inlineStr">
        <is>
          <t>Holmen skog AB</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13143-2024</t>
        </is>
      </c>
      <c r="B2354" s="1" t="n">
        <v>45386.34846064815</v>
      </c>
      <c r="C2354" s="1" t="n">
        <v>45883</v>
      </c>
      <c r="D2354" t="inlineStr">
        <is>
          <t>GÄVLEBORGS LÄN</t>
        </is>
      </c>
      <c r="E2354" t="inlineStr">
        <is>
          <t>BOLLNÄS</t>
        </is>
      </c>
      <c r="G2354" t="n">
        <v>10.7</v>
      </c>
      <c r="H2354" t="n">
        <v>0</v>
      </c>
      <c r="I2354" t="n">
        <v>0</v>
      </c>
      <c r="J2354" t="n">
        <v>0</v>
      </c>
      <c r="K2354" t="n">
        <v>0</v>
      </c>
      <c r="L2354" t="n">
        <v>0</v>
      </c>
      <c r="M2354" t="n">
        <v>0</v>
      </c>
      <c r="N2354" t="n">
        <v>0</v>
      </c>
      <c r="O2354" t="n">
        <v>0</v>
      </c>
      <c r="P2354" t="n">
        <v>0</v>
      </c>
      <c r="Q2354" t="n">
        <v>0</v>
      </c>
      <c r="R2354" s="2" t="inlineStr"/>
    </row>
    <row r="2355" ht="15" customHeight="1">
      <c r="A2355" t="inlineStr">
        <is>
          <t>A 13174-2024</t>
        </is>
      </c>
      <c r="B2355" s="1" t="n">
        <v>45386.41466435185</v>
      </c>
      <c r="C2355" s="1" t="n">
        <v>45883</v>
      </c>
      <c r="D2355" t="inlineStr">
        <is>
          <t>GÄVLEBORGS LÄN</t>
        </is>
      </c>
      <c r="E2355" t="inlineStr">
        <is>
          <t>NORDANSTIG</t>
        </is>
      </c>
      <c r="F2355" t="inlineStr">
        <is>
          <t>Holmen skog AB</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33881-2023</t>
        </is>
      </c>
      <c r="B2356" s="1" t="n">
        <v>45134</v>
      </c>
      <c r="C2356" s="1" t="n">
        <v>45883</v>
      </c>
      <c r="D2356" t="inlineStr">
        <is>
          <t>GÄVLEBORGS LÄN</t>
        </is>
      </c>
      <c r="E2356" t="inlineStr">
        <is>
          <t>OCKELBO</t>
        </is>
      </c>
      <c r="F2356" t="inlineStr">
        <is>
          <t>Bergvik skog väst AB</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13179-2024</t>
        </is>
      </c>
      <c r="B2357" s="1" t="n">
        <v>45386.42899305555</v>
      </c>
      <c r="C2357" s="1" t="n">
        <v>45883</v>
      </c>
      <c r="D2357" t="inlineStr">
        <is>
          <t>GÄVLEBORGS LÄN</t>
        </is>
      </c>
      <c r="E2357" t="inlineStr">
        <is>
          <t>NORDANSTIG</t>
        </is>
      </c>
      <c r="F2357" t="inlineStr">
        <is>
          <t>Holmen skog AB</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11691-2024</t>
        </is>
      </c>
      <c r="B2358" s="1" t="n">
        <v>45373.59789351852</v>
      </c>
      <c r="C2358" s="1" t="n">
        <v>45883</v>
      </c>
      <c r="D2358" t="inlineStr">
        <is>
          <t>GÄVLEBORGS LÄN</t>
        </is>
      </c>
      <c r="E2358" t="inlineStr">
        <is>
          <t>GÄVLE</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52091-2023</t>
        </is>
      </c>
      <c r="B2359" s="1" t="n">
        <v>45223.78762731481</v>
      </c>
      <c r="C2359" s="1" t="n">
        <v>45883</v>
      </c>
      <c r="D2359" t="inlineStr">
        <is>
          <t>GÄVLEBORGS LÄN</t>
        </is>
      </c>
      <c r="E2359" t="inlineStr">
        <is>
          <t>SÖDERHAMN</t>
        </is>
      </c>
      <c r="G2359" t="n">
        <v>4.5</v>
      </c>
      <c r="H2359" t="n">
        <v>0</v>
      </c>
      <c r="I2359" t="n">
        <v>0</v>
      </c>
      <c r="J2359" t="n">
        <v>0</v>
      </c>
      <c r="K2359" t="n">
        <v>0</v>
      </c>
      <c r="L2359" t="n">
        <v>0</v>
      </c>
      <c r="M2359" t="n">
        <v>0</v>
      </c>
      <c r="N2359" t="n">
        <v>0</v>
      </c>
      <c r="O2359" t="n">
        <v>0</v>
      </c>
      <c r="P2359" t="n">
        <v>0</v>
      </c>
      <c r="Q2359" t="n">
        <v>0</v>
      </c>
      <c r="R2359" s="2" t="inlineStr"/>
    </row>
    <row r="2360" ht="15" customHeight="1">
      <c r="A2360" t="inlineStr">
        <is>
          <t>A 19775-2025</t>
        </is>
      </c>
      <c r="B2360" s="1" t="n">
        <v>45771.42274305555</v>
      </c>
      <c r="C2360" s="1" t="n">
        <v>45883</v>
      </c>
      <c r="D2360" t="inlineStr">
        <is>
          <t>GÄVLEBORGS LÄN</t>
        </is>
      </c>
      <c r="E2360" t="inlineStr">
        <is>
          <t>SANDVIKEN</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53450-2024</t>
        </is>
      </c>
      <c r="B2361" s="1" t="n">
        <v>45614.5456712963</v>
      </c>
      <c r="C2361" s="1" t="n">
        <v>45883</v>
      </c>
      <c r="D2361" t="inlineStr">
        <is>
          <t>GÄVLEBORGS LÄN</t>
        </is>
      </c>
      <c r="E2361" t="inlineStr">
        <is>
          <t>LJUSDAL</t>
        </is>
      </c>
      <c r="F2361" t="inlineStr">
        <is>
          <t>Sveaskog</t>
        </is>
      </c>
      <c r="G2361" t="n">
        <v>0.1</v>
      </c>
      <c r="H2361" t="n">
        <v>0</v>
      </c>
      <c r="I2361" t="n">
        <v>0</v>
      </c>
      <c r="J2361" t="n">
        <v>0</v>
      </c>
      <c r="K2361" t="n">
        <v>0</v>
      </c>
      <c r="L2361" t="n">
        <v>0</v>
      </c>
      <c r="M2361" t="n">
        <v>0</v>
      </c>
      <c r="N2361" t="n">
        <v>0</v>
      </c>
      <c r="O2361" t="n">
        <v>0</v>
      </c>
      <c r="P2361" t="n">
        <v>0</v>
      </c>
      <c r="Q2361" t="n">
        <v>0</v>
      </c>
      <c r="R2361" s="2" t="inlineStr"/>
    </row>
    <row r="2362" ht="15" customHeight="1">
      <c r="A2362" t="inlineStr">
        <is>
          <t>A 21878-2024</t>
        </is>
      </c>
      <c r="B2362" s="1" t="n">
        <v>45443.3383912037</v>
      </c>
      <c r="C2362" s="1" t="n">
        <v>45883</v>
      </c>
      <c r="D2362" t="inlineStr">
        <is>
          <t>GÄVLEBORGS LÄN</t>
        </is>
      </c>
      <c r="E2362" t="inlineStr">
        <is>
          <t>OCKELBO</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21936-2024</t>
        </is>
      </c>
      <c r="B2363" s="1" t="n">
        <v>45443.47413194444</v>
      </c>
      <c r="C2363" s="1" t="n">
        <v>45883</v>
      </c>
      <c r="D2363" t="inlineStr">
        <is>
          <t>GÄVLEBORGS LÄN</t>
        </is>
      </c>
      <c r="E2363" t="inlineStr">
        <is>
          <t>OCKELBO</t>
        </is>
      </c>
      <c r="F2363" t="inlineStr">
        <is>
          <t>Bergvik skog väst AB</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47531-2021</t>
        </is>
      </c>
      <c r="B2364" s="1" t="n">
        <v>44447</v>
      </c>
      <c r="C2364" s="1" t="n">
        <v>45883</v>
      </c>
      <c r="D2364" t="inlineStr">
        <is>
          <t>GÄVLEBORGS LÄN</t>
        </is>
      </c>
      <c r="E2364" t="inlineStr">
        <is>
          <t>HOFORS</t>
        </is>
      </c>
      <c r="G2364" t="n">
        <v>7.6</v>
      </c>
      <c r="H2364" t="n">
        <v>0</v>
      </c>
      <c r="I2364" t="n">
        <v>0</v>
      </c>
      <c r="J2364" t="n">
        <v>0</v>
      </c>
      <c r="K2364" t="n">
        <v>0</v>
      </c>
      <c r="L2364" t="n">
        <v>0</v>
      </c>
      <c r="M2364" t="n">
        <v>0</v>
      </c>
      <c r="N2364" t="n">
        <v>0</v>
      </c>
      <c r="O2364" t="n">
        <v>0</v>
      </c>
      <c r="P2364" t="n">
        <v>0</v>
      </c>
      <c r="Q2364" t="n">
        <v>0</v>
      </c>
      <c r="R2364" s="2" t="inlineStr"/>
    </row>
    <row r="2365" ht="15" customHeight="1">
      <c r="A2365" t="inlineStr">
        <is>
          <t>A 24764-2024</t>
        </is>
      </c>
      <c r="B2365" s="1" t="n">
        <v>45460.6910300926</v>
      </c>
      <c r="C2365" s="1" t="n">
        <v>45883</v>
      </c>
      <c r="D2365" t="inlineStr">
        <is>
          <t>GÄVLEBORGS LÄN</t>
        </is>
      </c>
      <c r="E2365" t="inlineStr">
        <is>
          <t>SANDVIKEN</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22164-2023</t>
        </is>
      </c>
      <c r="B2366" s="1" t="n">
        <v>45069</v>
      </c>
      <c r="C2366" s="1" t="n">
        <v>45883</v>
      </c>
      <c r="D2366" t="inlineStr">
        <is>
          <t>GÄVLEBORGS LÄN</t>
        </is>
      </c>
      <c r="E2366" t="inlineStr">
        <is>
          <t>SÖDERHAMN</t>
        </is>
      </c>
      <c r="G2366" t="n">
        <v>9.1</v>
      </c>
      <c r="H2366" t="n">
        <v>0</v>
      </c>
      <c r="I2366" t="n">
        <v>0</v>
      </c>
      <c r="J2366" t="n">
        <v>0</v>
      </c>
      <c r="K2366" t="n">
        <v>0</v>
      </c>
      <c r="L2366" t="n">
        <v>0</v>
      </c>
      <c r="M2366" t="n">
        <v>0</v>
      </c>
      <c r="N2366" t="n">
        <v>0</v>
      </c>
      <c r="O2366" t="n">
        <v>0</v>
      </c>
      <c r="P2366" t="n">
        <v>0</v>
      </c>
      <c r="Q2366" t="n">
        <v>0</v>
      </c>
      <c r="R2366" s="2" t="inlineStr"/>
    </row>
    <row r="2367" ht="15" customHeight="1">
      <c r="A2367" t="inlineStr">
        <is>
          <t>A 24851-2021</t>
        </is>
      </c>
      <c r="B2367" s="1" t="n">
        <v>44340</v>
      </c>
      <c r="C2367" s="1" t="n">
        <v>45883</v>
      </c>
      <c r="D2367" t="inlineStr">
        <is>
          <t>GÄVLEBORGS LÄN</t>
        </is>
      </c>
      <c r="E2367" t="inlineStr">
        <is>
          <t>HOFORS</t>
        </is>
      </c>
      <c r="F2367" t="inlineStr">
        <is>
          <t>Sveaskog</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58103-2023</t>
        </is>
      </c>
      <c r="B2368" s="1" t="n">
        <v>45249.55481481482</v>
      </c>
      <c r="C2368" s="1" t="n">
        <v>45883</v>
      </c>
      <c r="D2368" t="inlineStr">
        <is>
          <t>GÄVLEBORGS LÄN</t>
        </is>
      </c>
      <c r="E2368" t="inlineStr">
        <is>
          <t>LJUSDAL</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56453-2023</t>
        </is>
      </c>
      <c r="B2369" s="1" t="n">
        <v>45243</v>
      </c>
      <c r="C2369" s="1" t="n">
        <v>45883</v>
      </c>
      <c r="D2369" t="inlineStr">
        <is>
          <t>GÄVLEBORGS LÄN</t>
        </is>
      </c>
      <c r="E2369" t="inlineStr">
        <is>
          <t>BOLLNÄS</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59841-2023</t>
        </is>
      </c>
      <c r="B2370" s="1" t="n">
        <v>45257.56163194445</v>
      </c>
      <c r="C2370" s="1" t="n">
        <v>45883</v>
      </c>
      <c r="D2370" t="inlineStr">
        <is>
          <t>GÄVLEBORGS LÄN</t>
        </is>
      </c>
      <c r="E2370" t="inlineStr">
        <is>
          <t>SANDVIKEN</t>
        </is>
      </c>
      <c r="F2370" t="inlineStr">
        <is>
          <t>Bergvik skog öst AB</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22868-2023</t>
        </is>
      </c>
      <c r="B2371" s="1" t="n">
        <v>45072.48825231481</v>
      </c>
      <c r="C2371" s="1" t="n">
        <v>45883</v>
      </c>
      <c r="D2371" t="inlineStr">
        <is>
          <t>GÄVLEBORGS LÄN</t>
        </is>
      </c>
      <c r="E2371" t="inlineStr">
        <is>
          <t>NORDANSTIG</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30577-2021</t>
        </is>
      </c>
      <c r="B2372" s="1" t="n">
        <v>44364</v>
      </c>
      <c r="C2372" s="1" t="n">
        <v>45883</v>
      </c>
      <c r="D2372" t="inlineStr">
        <is>
          <t>GÄVLEBORGS LÄN</t>
        </is>
      </c>
      <c r="E2372" t="inlineStr">
        <is>
          <t>LJUSDAL</t>
        </is>
      </c>
      <c r="G2372" t="n">
        <v>5.7</v>
      </c>
      <c r="H2372" t="n">
        <v>0</v>
      </c>
      <c r="I2372" t="n">
        <v>0</v>
      </c>
      <c r="J2372" t="n">
        <v>0</v>
      </c>
      <c r="K2372" t="n">
        <v>0</v>
      </c>
      <c r="L2372" t="n">
        <v>0</v>
      </c>
      <c r="M2372" t="n">
        <v>0</v>
      </c>
      <c r="N2372" t="n">
        <v>0</v>
      </c>
      <c r="O2372" t="n">
        <v>0</v>
      </c>
      <c r="P2372" t="n">
        <v>0</v>
      </c>
      <c r="Q2372" t="n">
        <v>0</v>
      </c>
      <c r="R2372" s="2" t="inlineStr"/>
    </row>
    <row r="2373" ht="15" customHeight="1">
      <c r="A2373" t="inlineStr">
        <is>
          <t>A 21456-2023</t>
        </is>
      </c>
      <c r="B2373" s="1" t="n">
        <v>45063.45789351852</v>
      </c>
      <c r="C2373" s="1" t="n">
        <v>45883</v>
      </c>
      <c r="D2373" t="inlineStr">
        <is>
          <t>GÄVLEBORGS LÄN</t>
        </is>
      </c>
      <c r="E2373" t="inlineStr">
        <is>
          <t>SANDVIKEN</t>
        </is>
      </c>
      <c r="F2373" t="inlineStr">
        <is>
          <t>Kommuner</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24328-2024</t>
        </is>
      </c>
      <c r="B2374" s="1" t="n">
        <v>45457.53640046297</v>
      </c>
      <c r="C2374" s="1" t="n">
        <v>45883</v>
      </c>
      <c r="D2374" t="inlineStr">
        <is>
          <t>GÄVLEBORGS LÄN</t>
        </is>
      </c>
      <c r="E2374" t="inlineStr">
        <is>
          <t>BOLLNÄS</t>
        </is>
      </c>
      <c r="G2374" t="n">
        <v>5.1</v>
      </c>
      <c r="H2374" t="n">
        <v>0</v>
      </c>
      <c r="I2374" t="n">
        <v>0</v>
      </c>
      <c r="J2374" t="n">
        <v>0</v>
      </c>
      <c r="K2374" t="n">
        <v>0</v>
      </c>
      <c r="L2374" t="n">
        <v>0</v>
      </c>
      <c r="M2374" t="n">
        <v>0</v>
      </c>
      <c r="N2374" t="n">
        <v>0</v>
      </c>
      <c r="O2374" t="n">
        <v>0</v>
      </c>
      <c r="P2374" t="n">
        <v>0</v>
      </c>
      <c r="Q2374" t="n">
        <v>0</v>
      </c>
      <c r="R2374" s="2" t="inlineStr"/>
    </row>
    <row r="2375" ht="15" customHeight="1">
      <c r="A2375" t="inlineStr">
        <is>
          <t>A 28272-2023</t>
        </is>
      </c>
      <c r="B2375" s="1" t="n">
        <v>45099.62010416666</v>
      </c>
      <c r="C2375" s="1" t="n">
        <v>45883</v>
      </c>
      <c r="D2375" t="inlineStr">
        <is>
          <t>GÄVLEBORGS LÄN</t>
        </is>
      </c>
      <c r="E2375" t="inlineStr">
        <is>
          <t>LJUSDAL</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63716-2021</t>
        </is>
      </c>
      <c r="B2376" s="1" t="n">
        <v>44509.43005787037</v>
      </c>
      <c r="C2376" s="1" t="n">
        <v>45883</v>
      </c>
      <c r="D2376" t="inlineStr">
        <is>
          <t>GÄVLEBORGS LÄN</t>
        </is>
      </c>
      <c r="E2376" t="inlineStr">
        <is>
          <t>BOLLNÄS</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35445-2023</t>
        </is>
      </c>
      <c r="B2377" s="1" t="n">
        <v>45146.6455787037</v>
      </c>
      <c r="C2377" s="1" t="n">
        <v>45883</v>
      </c>
      <c r="D2377" t="inlineStr">
        <is>
          <t>GÄVLEBORGS LÄN</t>
        </is>
      </c>
      <c r="E2377" t="inlineStr">
        <is>
          <t>GÄVLE</t>
        </is>
      </c>
      <c r="G2377" t="n">
        <v>6.2</v>
      </c>
      <c r="H2377" t="n">
        <v>0</v>
      </c>
      <c r="I2377" t="n">
        <v>0</v>
      </c>
      <c r="J2377" t="n">
        <v>0</v>
      </c>
      <c r="K2377" t="n">
        <v>0</v>
      </c>
      <c r="L2377" t="n">
        <v>0</v>
      </c>
      <c r="M2377" t="n">
        <v>0</v>
      </c>
      <c r="N2377" t="n">
        <v>0</v>
      </c>
      <c r="O2377" t="n">
        <v>0</v>
      </c>
      <c r="P2377" t="n">
        <v>0</v>
      </c>
      <c r="Q2377" t="n">
        <v>0</v>
      </c>
      <c r="R2377" s="2" t="inlineStr"/>
    </row>
    <row r="2378" ht="15" customHeight="1">
      <c r="A2378" t="inlineStr">
        <is>
          <t>A 61611-2023</t>
        </is>
      </c>
      <c r="B2378" s="1" t="n">
        <v>45265.5184375</v>
      </c>
      <c r="C2378" s="1" t="n">
        <v>45883</v>
      </c>
      <c r="D2378" t="inlineStr">
        <is>
          <t>GÄVLEBORGS LÄN</t>
        </is>
      </c>
      <c r="E2378" t="inlineStr">
        <is>
          <t>HUDIKSVALL</t>
        </is>
      </c>
      <c r="G2378" t="n">
        <v>4.7</v>
      </c>
      <c r="H2378" t="n">
        <v>0</v>
      </c>
      <c r="I2378" t="n">
        <v>0</v>
      </c>
      <c r="J2378" t="n">
        <v>0</v>
      </c>
      <c r="K2378" t="n">
        <v>0</v>
      </c>
      <c r="L2378" t="n">
        <v>0</v>
      </c>
      <c r="M2378" t="n">
        <v>0</v>
      </c>
      <c r="N2378" t="n">
        <v>0</v>
      </c>
      <c r="O2378" t="n">
        <v>0</v>
      </c>
      <c r="P2378" t="n">
        <v>0</v>
      </c>
      <c r="Q2378" t="n">
        <v>0</v>
      </c>
      <c r="R2378" s="2" t="inlineStr"/>
    </row>
    <row r="2379" ht="15" customHeight="1">
      <c r="A2379" t="inlineStr">
        <is>
          <t>A 52391-2023</t>
        </is>
      </c>
      <c r="B2379" s="1" t="n">
        <v>45224.92597222222</v>
      </c>
      <c r="C2379" s="1" t="n">
        <v>45883</v>
      </c>
      <c r="D2379" t="inlineStr">
        <is>
          <t>GÄVLEBORGS LÄN</t>
        </is>
      </c>
      <c r="E2379" t="inlineStr">
        <is>
          <t>LJUSDAL</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943-2024</t>
        </is>
      </c>
      <c r="B2380" s="1" t="n">
        <v>45301.53942129629</v>
      </c>
      <c r="C2380" s="1" t="n">
        <v>45883</v>
      </c>
      <c r="D2380" t="inlineStr">
        <is>
          <t>GÄVLEBORGS LÄN</t>
        </is>
      </c>
      <c r="E2380" t="inlineStr">
        <is>
          <t>OVANÅKER</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15605-2025</t>
        </is>
      </c>
      <c r="B2381" s="1" t="n">
        <v>45748</v>
      </c>
      <c r="C2381" s="1" t="n">
        <v>45883</v>
      </c>
      <c r="D2381" t="inlineStr">
        <is>
          <t>GÄVLEBORGS LÄN</t>
        </is>
      </c>
      <c r="E2381" t="inlineStr">
        <is>
          <t>SÖDERHAMN</t>
        </is>
      </c>
      <c r="F2381" t="inlineStr">
        <is>
          <t>Bergvik skog väst AB</t>
        </is>
      </c>
      <c r="G2381" t="n">
        <v>6.1</v>
      </c>
      <c r="H2381" t="n">
        <v>0</v>
      </c>
      <c r="I2381" t="n">
        <v>0</v>
      </c>
      <c r="J2381" t="n">
        <v>0</v>
      </c>
      <c r="K2381" t="n">
        <v>0</v>
      </c>
      <c r="L2381" t="n">
        <v>0</v>
      </c>
      <c r="M2381" t="n">
        <v>0</v>
      </c>
      <c r="N2381" t="n">
        <v>0</v>
      </c>
      <c r="O2381" t="n">
        <v>0</v>
      </c>
      <c r="P2381" t="n">
        <v>0</v>
      </c>
      <c r="Q2381" t="n">
        <v>0</v>
      </c>
      <c r="R2381" s="2" t="inlineStr"/>
    </row>
    <row r="2382" ht="15" customHeight="1">
      <c r="A2382" t="inlineStr">
        <is>
          <t>A 15608-2025</t>
        </is>
      </c>
      <c r="B2382" s="1" t="n">
        <v>45748</v>
      </c>
      <c r="C2382" s="1" t="n">
        <v>45883</v>
      </c>
      <c r="D2382" t="inlineStr">
        <is>
          <t>GÄVLEBORGS LÄN</t>
        </is>
      </c>
      <c r="E2382" t="inlineStr">
        <is>
          <t>SÖDERHAMN</t>
        </is>
      </c>
      <c r="F2382" t="inlineStr">
        <is>
          <t>Bergvik skog väst AB</t>
        </is>
      </c>
      <c r="G2382" t="n">
        <v>15.6</v>
      </c>
      <c r="H2382" t="n">
        <v>0</v>
      </c>
      <c r="I2382" t="n">
        <v>0</v>
      </c>
      <c r="J2382" t="n">
        <v>0</v>
      </c>
      <c r="K2382" t="n">
        <v>0</v>
      </c>
      <c r="L2382" t="n">
        <v>0</v>
      </c>
      <c r="M2382" t="n">
        <v>0</v>
      </c>
      <c r="N2382" t="n">
        <v>0</v>
      </c>
      <c r="O2382" t="n">
        <v>0</v>
      </c>
      <c r="P2382" t="n">
        <v>0</v>
      </c>
      <c r="Q2382" t="n">
        <v>0</v>
      </c>
      <c r="R2382" s="2" t="inlineStr"/>
    </row>
    <row r="2383" ht="15" customHeight="1">
      <c r="A2383" t="inlineStr">
        <is>
          <t>A 15623-2025</t>
        </is>
      </c>
      <c r="B2383" s="1" t="n">
        <v>45748</v>
      </c>
      <c r="C2383" s="1" t="n">
        <v>45883</v>
      </c>
      <c r="D2383" t="inlineStr">
        <is>
          <t>GÄVLEBORGS LÄN</t>
        </is>
      </c>
      <c r="E2383" t="inlineStr">
        <is>
          <t>SÖDERHAMN</t>
        </is>
      </c>
      <c r="F2383" t="inlineStr">
        <is>
          <t>Bergvik skog väst AB</t>
        </is>
      </c>
      <c r="G2383" t="n">
        <v>10.8</v>
      </c>
      <c r="H2383" t="n">
        <v>0</v>
      </c>
      <c r="I2383" t="n">
        <v>0</v>
      </c>
      <c r="J2383" t="n">
        <v>0</v>
      </c>
      <c r="K2383" t="n">
        <v>0</v>
      </c>
      <c r="L2383" t="n">
        <v>0</v>
      </c>
      <c r="M2383" t="n">
        <v>0</v>
      </c>
      <c r="N2383" t="n">
        <v>0</v>
      </c>
      <c r="O2383" t="n">
        <v>0</v>
      </c>
      <c r="P2383" t="n">
        <v>0</v>
      </c>
      <c r="Q2383" t="n">
        <v>0</v>
      </c>
      <c r="R2383" s="2" t="inlineStr"/>
    </row>
    <row r="2384" ht="15" customHeight="1">
      <c r="A2384" t="inlineStr">
        <is>
          <t>A 15668-2025</t>
        </is>
      </c>
      <c r="B2384" s="1" t="n">
        <v>45748.4383912037</v>
      </c>
      <c r="C2384" s="1" t="n">
        <v>45883</v>
      </c>
      <c r="D2384" t="inlineStr">
        <is>
          <t>GÄVLEBORGS LÄN</t>
        </is>
      </c>
      <c r="E2384" t="inlineStr">
        <is>
          <t>BOLLNÄS</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15671-2025</t>
        </is>
      </c>
      <c r="B2385" s="1" t="n">
        <v>45748.44193287037</v>
      </c>
      <c r="C2385" s="1" t="n">
        <v>45883</v>
      </c>
      <c r="D2385" t="inlineStr">
        <is>
          <t>GÄVLEBORGS LÄN</t>
        </is>
      </c>
      <c r="E2385" t="inlineStr">
        <is>
          <t>BOLLNÄS</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15682-2025</t>
        </is>
      </c>
      <c r="B2386" s="1" t="n">
        <v>45748.45584490741</v>
      </c>
      <c r="C2386" s="1" t="n">
        <v>45883</v>
      </c>
      <c r="D2386" t="inlineStr">
        <is>
          <t>GÄVLEBORGS LÄN</t>
        </is>
      </c>
      <c r="E2386" t="inlineStr">
        <is>
          <t>SÖDERHAMN</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15687-2025</t>
        </is>
      </c>
      <c r="B2387" s="1" t="n">
        <v>45748.46032407408</v>
      </c>
      <c r="C2387" s="1" t="n">
        <v>45883</v>
      </c>
      <c r="D2387" t="inlineStr">
        <is>
          <t>GÄVLEBORGS LÄN</t>
        </is>
      </c>
      <c r="E2387" t="inlineStr">
        <is>
          <t>BOLLNÄS</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42717-2024</t>
        </is>
      </c>
      <c r="B2388" s="1" t="n">
        <v>45566.45481481482</v>
      </c>
      <c r="C2388" s="1" t="n">
        <v>45883</v>
      </c>
      <c r="D2388" t="inlineStr">
        <is>
          <t>GÄVLEBORGS LÄN</t>
        </is>
      </c>
      <c r="E2388" t="inlineStr">
        <is>
          <t>NORDANSTIG</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43589-2021</t>
        </is>
      </c>
      <c r="B2389" s="1" t="n">
        <v>44433</v>
      </c>
      <c r="C2389" s="1" t="n">
        <v>45883</v>
      </c>
      <c r="D2389" t="inlineStr">
        <is>
          <t>GÄVLEBORGS LÄN</t>
        </is>
      </c>
      <c r="E2389" t="inlineStr">
        <is>
          <t>NORDANSTIG</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34513-2021</t>
        </is>
      </c>
      <c r="B2390" s="1" t="n">
        <v>44382.37893518519</v>
      </c>
      <c r="C2390" s="1" t="n">
        <v>45883</v>
      </c>
      <c r="D2390" t="inlineStr">
        <is>
          <t>GÄVLEBORGS LÄN</t>
        </is>
      </c>
      <c r="E2390" t="inlineStr">
        <is>
          <t>OVANÅKER</t>
        </is>
      </c>
      <c r="F2390" t="inlineStr">
        <is>
          <t>Sveaskog</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1072-2025</t>
        </is>
      </c>
      <c r="B2391" s="1" t="n">
        <v>45666.59835648148</v>
      </c>
      <c r="C2391" s="1" t="n">
        <v>45883</v>
      </c>
      <c r="D2391" t="inlineStr">
        <is>
          <t>GÄVLEBORGS LÄN</t>
        </is>
      </c>
      <c r="E2391" t="inlineStr">
        <is>
          <t>OVANÅKER</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59729-2023</t>
        </is>
      </c>
      <c r="B2392" s="1" t="n">
        <v>45257.36038194445</v>
      </c>
      <c r="C2392" s="1" t="n">
        <v>45883</v>
      </c>
      <c r="D2392" t="inlineStr">
        <is>
          <t>GÄVLEBORGS LÄN</t>
        </is>
      </c>
      <c r="E2392" t="inlineStr">
        <is>
          <t>OVANÅKER</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57341-2023</t>
        </is>
      </c>
      <c r="B2393" s="1" t="n">
        <v>45245</v>
      </c>
      <c r="C2393" s="1" t="n">
        <v>45883</v>
      </c>
      <c r="D2393" t="inlineStr">
        <is>
          <t>GÄVLEBORGS LÄN</t>
        </is>
      </c>
      <c r="E2393" t="inlineStr">
        <is>
          <t>GÄVLE</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34856-2024</t>
        </is>
      </c>
      <c r="B2394" s="1" t="n">
        <v>45527.32589120371</v>
      </c>
      <c r="C2394" s="1" t="n">
        <v>45883</v>
      </c>
      <c r="D2394" t="inlineStr">
        <is>
          <t>GÄVLEBORGS LÄN</t>
        </is>
      </c>
      <c r="E2394" t="inlineStr">
        <is>
          <t>BOLLNÄS</t>
        </is>
      </c>
      <c r="F2394" t="inlineStr">
        <is>
          <t>Bergvik skog väst AB</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21999-2023</t>
        </is>
      </c>
      <c r="B2395" s="1" t="n">
        <v>45068.92696759259</v>
      </c>
      <c r="C2395" s="1" t="n">
        <v>45883</v>
      </c>
      <c r="D2395" t="inlineStr">
        <is>
          <t>GÄVLEBORGS LÄN</t>
        </is>
      </c>
      <c r="E2395" t="inlineStr">
        <is>
          <t>NORDANSTIG</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10519-2025</t>
        </is>
      </c>
      <c r="B2396" s="1" t="n">
        <v>45721.42768518518</v>
      </c>
      <c r="C2396" s="1" t="n">
        <v>45883</v>
      </c>
      <c r="D2396" t="inlineStr">
        <is>
          <t>GÄVLEBORGS LÄN</t>
        </is>
      </c>
      <c r="E2396" t="inlineStr">
        <is>
          <t>BOLLNÄS</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10521-2025</t>
        </is>
      </c>
      <c r="B2397" s="1" t="n">
        <v>45721.42797453704</v>
      </c>
      <c r="C2397" s="1" t="n">
        <v>45883</v>
      </c>
      <c r="D2397" t="inlineStr">
        <is>
          <t>GÄVLEBORGS LÄN</t>
        </is>
      </c>
      <c r="E2397" t="inlineStr">
        <is>
          <t>LJUSDAL</t>
        </is>
      </c>
      <c r="F2397" t="inlineStr">
        <is>
          <t>SCA</t>
        </is>
      </c>
      <c r="G2397" t="n">
        <v>14.5</v>
      </c>
      <c r="H2397" t="n">
        <v>0</v>
      </c>
      <c r="I2397" t="n">
        <v>0</v>
      </c>
      <c r="J2397" t="n">
        <v>0</v>
      </c>
      <c r="K2397" t="n">
        <v>0</v>
      </c>
      <c r="L2397" t="n">
        <v>0</v>
      </c>
      <c r="M2397" t="n">
        <v>0</v>
      </c>
      <c r="N2397" t="n">
        <v>0</v>
      </c>
      <c r="O2397" t="n">
        <v>0</v>
      </c>
      <c r="P2397" t="n">
        <v>0</v>
      </c>
      <c r="Q2397" t="n">
        <v>0</v>
      </c>
      <c r="R2397" s="2" t="inlineStr"/>
    </row>
    <row r="2398" ht="15" customHeight="1">
      <c r="A2398" t="inlineStr">
        <is>
          <t>A 10571-2025</t>
        </is>
      </c>
      <c r="B2398" s="1" t="n">
        <v>45721</v>
      </c>
      <c r="C2398" s="1" t="n">
        <v>45883</v>
      </c>
      <c r="D2398" t="inlineStr">
        <is>
          <t>GÄVLEBORGS LÄN</t>
        </is>
      </c>
      <c r="E2398" t="inlineStr">
        <is>
          <t>HUDIKSVALL</t>
        </is>
      </c>
      <c r="F2398" t="inlineStr">
        <is>
          <t>Holmen skog AB</t>
        </is>
      </c>
      <c r="G2398" t="n">
        <v>8.4</v>
      </c>
      <c r="H2398" t="n">
        <v>0</v>
      </c>
      <c r="I2398" t="n">
        <v>0</v>
      </c>
      <c r="J2398" t="n">
        <v>0</v>
      </c>
      <c r="K2398" t="n">
        <v>0</v>
      </c>
      <c r="L2398" t="n">
        <v>0</v>
      </c>
      <c r="M2398" t="n">
        <v>0</v>
      </c>
      <c r="N2398" t="n">
        <v>0</v>
      </c>
      <c r="O2398" t="n">
        <v>0</v>
      </c>
      <c r="P2398" t="n">
        <v>0</v>
      </c>
      <c r="Q2398" t="n">
        <v>0</v>
      </c>
      <c r="R2398" s="2" t="inlineStr"/>
    </row>
    <row r="2399" ht="15" customHeight="1">
      <c r="A2399" t="inlineStr">
        <is>
          <t>A 15654-2025</t>
        </is>
      </c>
      <c r="B2399" s="1" t="n">
        <v>45748.40988425926</v>
      </c>
      <c r="C2399" s="1" t="n">
        <v>45883</v>
      </c>
      <c r="D2399" t="inlineStr">
        <is>
          <t>GÄVLEBORGS LÄN</t>
        </is>
      </c>
      <c r="E2399" t="inlineStr">
        <is>
          <t>BOLLNÄS</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25454-2024</t>
        </is>
      </c>
      <c r="B2400" s="1" t="n">
        <v>45463.423125</v>
      </c>
      <c r="C2400" s="1" t="n">
        <v>45883</v>
      </c>
      <c r="D2400" t="inlineStr">
        <is>
          <t>GÄVLEBORGS LÄN</t>
        </is>
      </c>
      <c r="E2400" t="inlineStr">
        <is>
          <t>HUDIKSVALL</t>
        </is>
      </c>
      <c r="F2400" t="inlineStr">
        <is>
          <t>Holmen skog AB</t>
        </is>
      </c>
      <c r="G2400" t="n">
        <v>14.1</v>
      </c>
      <c r="H2400" t="n">
        <v>0</v>
      </c>
      <c r="I2400" t="n">
        <v>0</v>
      </c>
      <c r="J2400" t="n">
        <v>0</v>
      </c>
      <c r="K2400" t="n">
        <v>0</v>
      </c>
      <c r="L2400" t="n">
        <v>0</v>
      </c>
      <c r="M2400" t="n">
        <v>0</v>
      </c>
      <c r="N2400" t="n">
        <v>0</v>
      </c>
      <c r="O2400" t="n">
        <v>0</v>
      </c>
      <c r="P2400" t="n">
        <v>0</v>
      </c>
      <c r="Q2400" t="n">
        <v>0</v>
      </c>
      <c r="R2400" s="2" t="inlineStr"/>
    </row>
    <row r="2401" ht="15" customHeight="1">
      <c r="A2401" t="inlineStr">
        <is>
          <t>A 104-2023</t>
        </is>
      </c>
      <c r="B2401" s="1" t="n">
        <v>44928.48064814815</v>
      </c>
      <c r="C2401" s="1" t="n">
        <v>45883</v>
      </c>
      <c r="D2401" t="inlineStr">
        <is>
          <t>GÄVLEBORGS LÄN</t>
        </is>
      </c>
      <c r="E2401" t="inlineStr">
        <is>
          <t>HUDIKSVALL</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3615-2024</t>
        </is>
      </c>
      <c r="B2402" s="1" t="n">
        <v>45320</v>
      </c>
      <c r="C2402" s="1" t="n">
        <v>45883</v>
      </c>
      <c r="D2402" t="inlineStr">
        <is>
          <t>GÄVLEBORGS LÄN</t>
        </is>
      </c>
      <c r="E2402" t="inlineStr">
        <is>
          <t>GÄVLE</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50769-2023</t>
        </is>
      </c>
      <c r="B2403" s="1" t="n">
        <v>45217.62091435185</v>
      </c>
      <c r="C2403" s="1" t="n">
        <v>45883</v>
      </c>
      <c r="D2403" t="inlineStr">
        <is>
          <t>GÄVLEBORGS LÄN</t>
        </is>
      </c>
      <c r="E2403" t="inlineStr">
        <is>
          <t>OVANÅKER</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29687-2023</t>
        </is>
      </c>
      <c r="B2404" s="1" t="n">
        <v>45107.38415509259</v>
      </c>
      <c r="C2404" s="1" t="n">
        <v>45883</v>
      </c>
      <c r="D2404" t="inlineStr">
        <is>
          <t>GÄVLEBORGS LÄN</t>
        </is>
      </c>
      <c r="E2404" t="inlineStr">
        <is>
          <t>OCKELBO</t>
        </is>
      </c>
      <c r="F2404" t="inlineStr">
        <is>
          <t>Bergvik skog väst AB</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12846-2024</t>
        </is>
      </c>
      <c r="B2405" s="1" t="n">
        <v>45384.80761574074</v>
      </c>
      <c r="C2405" s="1" t="n">
        <v>45883</v>
      </c>
      <c r="D2405" t="inlineStr">
        <is>
          <t>GÄVLEBORGS LÄN</t>
        </is>
      </c>
      <c r="E2405" t="inlineStr">
        <is>
          <t>HUDIKSVALL</t>
        </is>
      </c>
      <c r="F2405" t="inlineStr">
        <is>
          <t>Holmen skog AB</t>
        </is>
      </c>
      <c r="G2405" t="n">
        <v>4</v>
      </c>
      <c r="H2405" t="n">
        <v>0</v>
      </c>
      <c r="I2405" t="n">
        <v>0</v>
      </c>
      <c r="J2405" t="n">
        <v>0</v>
      </c>
      <c r="K2405" t="n">
        <v>0</v>
      </c>
      <c r="L2405" t="n">
        <v>0</v>
      </c>
      <c r="M2405" t="n">
        <v>0</v>
      </c>
      <c r="N2405" t="n">
        <v>0</v>
      </c>
      <c r="O2405" t="n">
        <v>0</v>
      </c>
      <c r="P2405" t="n">
        <v>0</v>
      </c>
      <c r="Q2405" t="n">
        <v>0</v>
      </c>
      <c r="R2405" s="2" t="inlineStr"/>
    </row>
    <row r="2406" ht="15" customHeight="1">
      <c r="A2406" t="inlineStr">
        <is>
          <t>A 15355-2025</t>
        </is>
      </c>
      <c r="B2406" s="1" t="n">
        <v>45747.3884375</v>
      </c>
      <c r="C2406" s="1" t="n">
        <v>45883</v>
      </c>
      <c r="D2406" t="inlineStr">
        <is>
          <t>GÄVLEBORGS LÄN</t>
        </is>
      </c>
      <c r="E2406" t="inlineStr">
        <is>
          <t>BOLLNÄS</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14792-2023</t>
        </is>
      </c>
      <c r="B2407" s="1" t="n">
        <v>45014</v>
      </c>
      <c r="C2407" s="1" t="n">
        <v>45883</v>
      </c>
      <c r="D2407" t="inlineStr">
        <is>
          <t>GÄVLEBORGS LÄN</t>
        </is>
      </c>
      <c r="E2407" t="inlineStr">
        <is>
          <t>GÄVLE</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28133-2024</t>
        </is>
      </c>
      <c r="B2408" s="1" t="n">
        <v>45476.69053240741</v>
      </c>
      <c r="C2408" s="1" t="n">
        <v>45883</v>
      </c>
      <c r="D2408" t="inlineStr">
        <is>
          <t>GÄVLEBORGS LÄN</t>
        </is>
      </c>
      <c r="E2408" t="inlineStr">
        <is>
          <t>HOFORS</t>
        </is>
      </c>
      <c r="G2408" t="n">
        <v>3.8</v>
      </c>
      <c r="H2408" t="n">
        <v>0</v>
      </c>
      <c r="I2408" t="n">
        <v>0</v>
      </c>
      <c r="J2408" t="n">
        <v>0</v>
      </c>
      <c r="K2408" t="n">
        <v>0</v>
      </c>
      <c r="L2408" t="n">
        <v>0</v>
      </c>
      <c r="M2408" t="n">
        <v>0</v>
      </c>
      <c r="N2408" t="n">
        <v>0</v>
      </c>
      <c r="O2408" t="n">
        <v>0</v>
      </c>
      <c r="P2408" t="n">
        <v>0</v>
      </c>
      <c r="Q2408" t="n">
        <v>0</v>
      </c>
      <c r="R2408" s="2" t="inlineStr"/>
    </row>
    <row r="2409" ht="15" customHeight="1">
      <c r="A2409" t="inlineStr">
        <is>
          <t>A 23587-2024</t>
        </is>
      </c>
      <c r="B2409" s="1" t="n">
        <v>45454</v>
      </c>
      <c r="C2409" s="1" t="n">
        <v>45883</v>
      </c>
      <c r="D2409" t="inlineStr">
        <is>
          <t>GÄVLEBORGS LÄN</t>
        </is>
      </c>
      <c r="E2409" t="inlineStr">
        <is>
          <t>GÄVLE</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43010-2022</t>
        </is>
      </c>
      <c r="B2410" s="1" t="n">
        <v>44833.55001157407</v>
      </c>
      <c r="C2410" s="1" t="n">
        <v>45883</v>
      </c>
      <c r="D2410" t="inlineStr">
        <is>
          <t>GÄVLEBORGS LÄN</t>
        </is>
      </c>
      <c r="E2410" t="inlineStr">
        <is>
          <t>HUDIKSVALL</t>
        </is>
      </c>
      <c r="F2410" t="inlineStr">
        <is>
          <t>Holmen skog AB</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23796-2024</t>
        </is>
      </c>
      <c r="B2411" s="1" t="n">
        <v>45455.43077546296</v>
      </c>
      <c r="C2411" s="1" t="n">
        <v>45883</v>
      </c>
      <c r="D2411" t="inlineStr">
        <is>
          <t>GÄVLEBORGS LÄN</t>
        </is>
      </c>
      <c r="E2411" t="inlineStr">
        <is>
          <t>BOLLNÄS</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35053-2022</t>
        </is>
      </c>
      <c r="B2412" s="1" t="n">
        <v>44797</v>
      </c>
      <c r="C2412" s="1" t="n">
        <v>45883</v>
      </c>
      <c r="D2412" t="inlineStr">
        <is>
          <t>GÄVLEBORGS LÄN</t>
        </is>
      </c>
      <c r="E2412" t="inlineStr">
        <is>
          <t>OVANÅKER</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11373-2024</t>
        </is>
      </c>
      <c r="B2413" s="1" t="n">
        <v>45372.42395833333</v>
      </c>
      <c r="C2413" s="1" t="n">
        <v>45883</v>
      </c>
      <c r="D2413" t="inlineStr">
        <is>
          <t>GÄVLEBORGS LÄN</t>
        </is>
      </c>
      <c r="E2413" t="inlineStr">
        <is>
          <t>HUDIKSVALL</t>
        </is>
      </c>
      <c r="F2413" t="inlineStr">
        <is>
          <t>Holmen skog AB</t>
        </is>
      </c>
      <c r="G2413" t="n">
        <v>5.3</v>
      </c>
      <c r="H2413" t="n">
        <v>0</v>
      </c>
      <c r="I2413" t="n">
        <v>0</v>
      </c>
      <c r="J2413" t="n">
        <v>0</v>
      </c>
      <c r="K2413" t="n">
        <v>0</v>
      </c>
      <c r="L2413" t="n">
        <v>0</v>
      </c>
      <c r="M2413" t="n">
        <v>0</v>
      </c>
      <c r="N2413" t="n">
        <v>0</v>
      </c>
      <c r="O2413" t="n">
        <v>0</v>
      </c>
      <c r="P2413" t="n">
        <v>0</v>
      </c>
      <c r="Q2413" t="n">
        <v>0</v>
      </c>
      <c r="R2413" s="2" t="inlineStr"/>
    </row>
    <row r="2414" ht="15" customHeight="1">
      <c r="A2414" t="inlineStr">
        <is>
          <t>A 21633-2024</t>
        </is>
      </c>
      <c r="B2414" s="1" t="n">
        <v>45442.33913194444</v>
      </c>
      <c r="C2414" s="1" t="n">
        <v>45883</v>
      </c>
      <c r="D2414" t="inlineStr">
        <is>
          <t>GÄVLEBORGS LÄN</t>
        </is>
      </c>
      <c r="E2414" t="inlineStr">
        <is>
          <t>LJUSDAL</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47480-2022</t>
        </is>
      </c>
      <c r="B2415" s="1" t="n">
        <v>44853.64416666667</v>
      </c>
      <c r="C2415" s="1" t="n">
        <v>45883</v>
      </c>
      <c r="D2415" t="inlineStr">
        <is>
          <t>GÄVLEBORGS LÄN</t>
        </is>
      </c>
      <c r="E2415" t="inlineStr">
        <is>
          <t>OVANÅKER</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21347-2024</t>
        </is>
      </c>
      <c r="B2416" s="1" t="n">
        <v>45440.92880787037</v>
      </c>
      <c r="C2416" s="1" t="n">
        <v>45883</v>
      </c>
      <c r="D2416" t="inlineStr">
        <is>
          <t>GÄVLEBORGS LÄN</t>
        </is>
      </c>
      <c r="E2416" t="inlineStr">
        <is>
          <t>LJUSDAL</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13829-2024</t>
        </is>
      </c>
      <c r="B2417" s="1" t="n">
        <v>45391.43280092593</v>
      </c>
      <c r="C2417" s="1" t="n">
        <v>45883</v>
      </c>
      <c r="D2417" t="inlineStr">
        <is>
          <t>GÄVLEBORGS LÄN</t>
        </is>
      </c>
      <c r="E2417" t="inlineStr">
        <is>
          <t>LJUSDAL</t>
        </is>
      </c>
      <c r="F2417" t="inlineStr">
        <is>
          <t>Kommuner</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25208-2024</t>
        </is>
      </c>
      <c r="B2418" s="1" t="n">
        <v>45462.57657407408</v>
      </c>
      <c r="C2418" s="1" t="n">
        <v>45883</v>
      </c>
      <c r="D2418" t="inlineStr">
        <is>
          <t>GÄVLEBORGS LÄN</t>
        </is>
      </c>
      <c r="E2418" t="inlineStr">
        <is>
          <t>LJUSDAL</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24205-2022</t>
        </is>
      </c>
      <c r="B2419" s="1" t="n">
        <v>44725.58780092592</v>
      </c>
      <c r="C2419" s="1" t="n">
        <v>45883</v>
      </c>
      <c r="D2419" t="inlineStr">
        <is>
          <t>GÄVLEBORGS LÄN</t>
        </is>
      </c>
      <c r="E2419" t="inlineStr">
        <is>
          <t>LJUSDAL</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23162-2024</t>
        </is>
      </c>
      <c r="B2420" s="1" t="n">
        <v>45450.73319444444</v>
      </c>
      <c r="C2420" s="1" t="n">
        <v>45883</v>
      </c>
      <c r="D2420" t="inlineStr">
        <is>
          <t>GÄVLEBORGS LÄN</t>
        </is>
      </c>
      <c r="E2420" t="inlineStr">
        <is>
          <t>LJUSDAL</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60283-2022</t>
        </is>
      </c>
      <c r="B2421" s="1" t="n">
        <v>44910</v>
      </c>
      <c r="C2421" s="1" t="n">
        <v>45883</v>
      </c>
      <c r="D2421" t="inlineStr">
        <is>
          <t>GÄVLEBORGS LÄN</t>
        </is>
      </c>
      <c r="E2421" t="inlineStr">
        <is>
          <t>HUDIKSVALL</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36362-2024</t>
        </is>
      </c>
      <c r="B2422" s="1" t="n">
        <v>45534.64778935185</v>
      </c>
      <c r="C2422" s="1" t="n">
        <v>45883</v>
      </c>
      <c r="D2422" t="inlineStr">
        <is>
          <t>GÄVLEBORGS LÄN</t>
        </is>
      </c>
      <c r="E2422" t="inlineStr">
        <is>
          <t>OCKELBO</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35071-2024</t>
        </is>
      </c>
      <c r="B2423" s="1" t="n">
        <v>45527.66324074074</v>
      </c>
      <c r="C2423" s="1" t="n">
        <v>45883</v>
      </c>
      <c r="D2423" t="inlineStr">
        <is>
          <t>GÄVLEBORGS LÄN</t>
        </is>
      </c>
      <c r="E2423" t="inlineStr">
        <is>
          <t>HUDIKSVALL</t>
        </is>
      </c>
      <c r="F2423" t="inlineStr">
        <is>
          <t>Holmen skog AB</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19235-2025</t>
        </is>
      </c>
      <c r="B2424" s="1" t="n">
        <v>45769.46902777778</v>
      </c>
      <c r="C2424" s="1" t="n">
        <v>45883</v>
      </c>
      <c r="D2424" t="inlineStr">
        <is>
          <t>GÄVLEBORGS LÄN</t>
        </is>
      </c>
      <c r="E2424" t="inlineStr">
        <is>
          <t>OVANÅKER</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5806-2022</t>
        </is>
      </c>
      <c r="B2425" s="1" t="n">
        <v>44596.5728125</v>
      </c>
      <c r="C2425" s="1" t="n">
        <v>45883</v>
      </c>
      <c r="D2425" t="inlineStr">
        <is>
          <t>GÄVLEBORGS LÄN</t>
        </is>
      </c>
      <c r="E2425" t="inlineStr">
        <is>
          <t>BOLLNÄS</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35081-2024</t>
        </is>
      </c>
      <c r="B2426" s="1" t="n">
        <v>45527.67694444444</v>
      </c>
      <c r="C2426" s="1" t="n">
        <v>45883</v>
      </c>
      <c r="D2426" t="inlineStr">
        <is>
          <t>GÄVLEBORGS LÄN</t>
        </is>
      </c>
      <c r="E2426" t="inlineStr">
        <is>
          <t>HUDIKSVALL</t>
        </is>
      </c>
      <c r="F2426" t="inlineStr">
        <is>
          <t>Holmen skog AB</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43668-2024</t>
        </is>
      </c>
      <c r="B2427" s="1" t="n">
        <v>45569.56300925926</v>
      </c>
      <c r="C2427" s="1" t="n">
        <v>45883</v>
      </c>
      <c r="D2427" t="inlineStr">
        <is>
          <t>GÄVLEBORGS LÄN</t>
        </is>
      </c>
      <c r="E2427" t="inlineStr">
        <is>
          <t>LJUSDAL</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18525-2025</t>
        </is>
      </c>
      <c r="B2428" s="1" t="n">
        <v>45763.40003472222</v>
      </c>
      <c r="C2428" s="1" t="n">
        <v>45883</v>
      </c>
      <c r="D2428" t="inlineStr">
        <is>
          <t>GÄVLEBORGS LÄN</t>
        </is>
      </c>
      <c r="E2428" t="inlineStr">
        <is>
          <t>NORDANSTIG</t>
        </is>
      </c>
      <c r="F2428" t="inlineStr">
        <is>
          <t>Holmen skog AB</t>
        </is>
      </c>
      <c r="G2428" t="n">
        <v>5</v>
      </c>
      <c r="H2428" t="n">
        <v>0</v>
      </c>
      <c r="I2428" t="n">
        <v>0</v>
      </c>
      <c r="J2428" t="n">
        <v>0</v>
      </c>
      <c r="K2428" t="n">
        <v>0</v>
      </c>
      <c r="L2428" t="n">
        <v>0</v>
      </c>
      <c r="M2428" t="n">
        <v>0</v>
      </c>
      <c r="N2428" t="n">
        <v>0</v>
      </c>
      <c r="O2428" t="n">
        <v>0</v>
      </c>
      <c r="P2428" t="n">
        <v>0</v>
      </c>
      <c r="Q2428" t="n">
        <v>0</v>
      </c>
      <c r="R2428" s="2" t="inlineStr"/>
    </row>
    <row r="2429" ht="15" customHeight="1">
      <c r="A2429" t="inlineStr">
        <is>
          <t>A 18553-2025</t>
        </is>
      </c>
      <c r="B2429" s="1" t="n">
        <v>45763.43831018519</v>
      </c>
      <c r="C2429" s="1" t="n">
        <v>45883</v>
      </c>
      <c r="D2429" t="inlineStr">
        <is>
          <t>GÄVLEBORGS LÄN</t>
        </is>
      </c>
      <c r="E2429" t="inlineStr">
        <is>
          <t>OVANÅKER</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33978-2024</t>
        </is>
      </c>
      <c r="B2430" s="1" t="n">
        <v>45523.51716435186</v>
      </c>
      <c r="C2430" s="1" t="n">
        <v>45883</v>
      </c>
      <c r="D2430" t="inlineStr">
        <is>
          <t>GÄVLEBORGS LÄN</t>
        </is>
      </c>
      <c r="E2430" t="inlineStr">
        <is>
          <t>HOFORS</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33984-2024</t>
        </is>
      </c>
      <c r="B2431" s="1" t="n">
        <v>45523.52378472222</v>
      </c>
      <c r="C2431" s="1" t="n">
        <v>45883</v>
      </c>
      <c r="D2431" t="inlineStr">
        <is>
          <t>GÄVLEBORGS LÄN</t>
        </is>
      </c>
      <c r="E2431" t="inlineStr">
        <is>
          <t>HOFORS</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34013-2024</t>
        </is>
      </c>
      <c r="B2432" s="1" t="n">
        <v>45523.56701388889</v>
      </c>
      <c r="C2432" s="1" t="n">
        <v>45883</v>
      </c>
      <c r="D2432" t="inlineStr">
        <is>
          <t>GÄVLEBORGS LÄN</t>
        </is>
      </c>
      <c r="E2432" t="inlineStr">
        <is>
          <t>SANDVIKEN</t>
        </is>
      </c>
      <c r="F2432" t="inlineStr">
        <is>
          <t>Bergvik skog öst AB</t>
        </is>
      </c>
      <c r="G2432" t="n">
        <v>5.2</v>
      </c>
      <c r="H2432" t="n">
        <v>0</v>
      </c>
      <c r="I2432" t="n">
        <v>0</v>
      </c>
      <c r="J2432" t="n">
        <v>0</v>
      </c>
      <c r="K2432" t="n">
        <v>0</v>
      </c>
      <c r="L2432" t="n">
        <v>0</v>
      </c>
      <c r="M2432" t="n">
        <v>0</v>
      </c>
      <c r="N2432" t="n">
        <v>0</v>
      </c>
      <c r="O2432" t="n">
        <v>0</v>
      </c>
      <c r="P2432" t="n">
        <v>0</v>
      </c>
      <c r="Q2432" t="n">
        <v>0</v>
      </c>
      <c r="R2432" s="2" t="inlineStr"/>
    </row>
    <row r="2433" ht="15" customHeight="1">
      <c r="A2433" t="inlineStr">
        <is>
          <t>A 19574-2025</t>
        </is>
      </c>
      <c r="B2433" s="1" t="n">
        <v>45770.5528587963</v>
      </c>
      <c r="C2433" s="1" t="n">
        <v>45883</v>
      </c>
      <c r="D2433" t="inlineStr">
        <is>
          <t>GÄVLEBORGS LÄN</t>
        </is>
      </c>
      <c r="E2433" t="inlineStr">
        <is>
          <t>LJUSDAL</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44800-2024</t>
        </is>
      </c>
      <c r="B2434" s="1" t="n">
        <v>45574.64898148148</v>
      </c>
      <c r="C2434" s="1" t="n">
        <v>45883</v>
      </c>
      <c r="D2434" t="inlineStr">
        <is>
          <t>GÄVLEBORGS LÄN</t>
        </is>
      </c>
      <c r="E2434" t="inlineStr">
        <is>
          <t>GÄVLE</t>
        </is>
      </c>
      <c r="F2434" t="inlineStr">
        <is>
          <t>Bergvik skog öst AB</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44813-2024</t>
        </is>
      </c>
      <c r="B2435" s="1" t="n">
        <v>45574</v>
      </c>
      <c r="C2435" s="1" t="n">
        <v>45883</v>
      </c>
      <c r="D2435" t="inlineStr">
        <is>
          <t>GÄVLEBORGS LÄN</t>
        </is>
      </c>
      <c r="E2435" t="inlineStr">
        <is>
          <t>HUDIKSVALL</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15142-2023</t>
        </is>
      </c>
      <c r="B2436" s="1" t="n">
        <v>45016</v>
      </c>
      <c r="C2436" s="1" t="n">
        <v>45883</v>
      </c>
      <c r="D2436" t="inlineStr">
        <is>
          <t>GÄVLEBORGS LÄN</t>
        </is>
      </c>
      <c r="E2436" t="inlineStr">
        <is>
          <t>BOLLNÄS</t>
        </is>
      </c>
      <c r="G2436" t="n">
        <v>4.7</v>
      </c>
      <c r="H2436" t="n">
        <v>0</v>
      </c>
      <c r="I2436" t="n">
        <v>0</v>
      </c>
      <c r="J2436" t="n">
        <v>0</v>
      </c>
      <c r="K2436" t="n">
        <v>0</v>
      </c>
      <c r="L2436" t="n">
        <v>0</v>
      </c>
      <c r="M2436" t="n">
        <v>0</v>
      </c>
      <c r="N2436" t="n">
        <v>0</v>
      </c>
      <c r="O2436" t="n">
        <v>0</v>
      </c>
      <c r="P2436" t="n">
        <v>0</v>
      </c>
      <c r="Q2436" t="n">
        <v>0</v>
      </c>
      <c r="R2436" s="2" t="inlineStr"/>
    </row>
    <row r="2437" ht="15" customHeight="1">
      <c r="A2437" t="inlineStr">
        <is>
          <t>A 15171-2023</t>
        </is>
      </c>
      <c r="B2437" s="1" t="n">
        <v>45016</v>
      </c>
      <c r="C2437" s="1" t="n">
        <v>45883</v>
      </c>
      <c r="D2437" t="inlineStr">
        <is>
          <t>GÄVLEBORGS LÄN</t>
        </is>
      </c>
      <c r="E2437" t="inlineStr">
        <is>
          <t>LJUSDAL</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55539-2023</t>
        </is>
      </c>
      <c r="B2438" s="1" t="n">
        <v>45238.60041666667</v>
      </c>
      <c r="C2438" s="1" t="n">
        <v>45883</v>
      </c>
      <c r="D2438" t="inlineStr">
        <is>
          <t>GÄVLEBORGS LÄN</t>
        </is>
      </c>
      <c r="E2438" t="inlineStr">
        <is>
          <t>SANDVIKEN</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2986-2023</t>
        </is>
      </c>
      <c r="B2439" s="1" t="n">
        <v>44945</v>
      </c>
      <c r="C2439" s="1" t="n">
        <v>45883</v>
      </c>
      <c r="D2439" t="inlineStr">
        <is>
          <t>GÄVLEBORGS LÄN</t>
        </is>
      </c>
      <c r="E2439" t="inlineStr">
        <is>
          <t>NORDANSTIG</t>
        </is>
      </c>
      <c r="F2439" t="inlineStr">
        <is>
          <t>Holmen skog AB</t>
        </is>
      </c>
      <c r="G2439" t="n">
        <v>5.4</v>
      </c>
      <c r="H2439" t="n">
        <v>0</v>
      </c>
      <c r="I2439" t="n">
        <v>0</v>
      </c>
      <c r="J2439" t="n">
        <v>0</v>
      </c>
      <c r="K2439" t="n">
        <v>0</v>
      </c>
      <c r="L2439" t="n">
        <v>0</v>
      </c>
      <c r="M2439" t="n">
        <v>0</v>
      </c>
      <c r="N2439" t="n">
        <v>0</v>
      </c>
      <c r="O2439" t="n">
        <v>0</v>
      </c>
      <c r="P2439" t="n">
        <v>0</v>
      </c>
      <c r="Q2439" t="n">
        <v>0</v>
      </c>
      <c r="R2439" s="2" t="inlineStr"/>
    </row>
    <row r="2440" ht="15" customHeight="1">
      <c r="A2440" t="inlineStr">
        <is>
          <t>A 45380-2024</t>
        </is>
      </c>
      <c r="B2440" s="1" t="n">
        <v>45576.5243287037</v>
      </c>
      <c r="C2440" s="1" t="n">
        <v>45883</v>
      </c>
      <c r="D2440" t="inlineStr">
        <is>
          <t>GÄVLEBORGS LÄN</t>
        </is>
      </c>
      <c r="E2440" t="inlineStr">
        <is>
          <t>HUDIKSVALL</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73458-2021</t>
        </is>
      </c>
      <c r="B2441" s="1" t="n">
        <v>44551.58166666667</v>
      </c>
      <c r="C2441" s="1" t="n">
        <v>45883</v>
      </c>
      <c r="D2441" t="inlineStr">
        <is>
          <t>GÄVLEBORGS LÄN</t>
        </is>
      </c>
      <c r="E2441" t="inlineStr">
        <is>
          <t>HUDIKSVALL</t>
        </is>
      </c>
      <c r="F2441" t="inlineStr">
        <is>
          <t>Holmen skog AB</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10193-2023</t>
        </is>
      </c>
      <c r="B2442" s="1" t="n">
        <v>44986</v>
      </c>
      <c r="C2442" s="1" t="n">
        <v>45883</v>
      </c>
      <c r="D2442" t="inlineStr">
        <is>
          <t>GÄVLEBORGS LÄN</t>
        </is>
      </c>
      <c r="E2442" t="inlineStr">
        <is>
          <t>HUDIKSVALL</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29592-2023</t>
        </is>
      </c>
      <c r="B2443" s="1" t="n">
        <v>45106</v>
      </c>
      <c r="C2443" s="1" t="n">
        <v>45883</v>
      </c>
      <c r="D2443" t="inlineStr">
        <is>
          <t>GÄVLEBORGS LÄN</t>
        </is>
      </c>
      <c r="E2443" t="inlineStr">
        <is>
          <t>HUDIKSVALL</t>
        </is>
      </c>
      <c r="G2443" t="n">
        <v>5.1</v>
      </c>
      <c r="H2443" t="n">
        <v>0</v>
      </c>
      <c r="I2443" t="n">
        <v>0</v>
      </c>
      <c r="J2443" t="n">
        <v>0</v>
      </c>
      <c r="K2443" t="n">
        <v>0</v>
      </c>
      <c r="L2443" t="n">
        <v>0</v>
      </c>
      <c r="M2443" t="n">
        <v>0</v>
      </c>
      <c r="N2443" t="n">
        <v>0</v>
      </c>
      <c r="O2443" t="n">
        <v>0</v>
      </c>
      <c r="P2443" t="n">
        <v>0</v>
      </c>
      <c r="Q2443" t="n">
        <v>0</v>
      </c>
      <c r="R2443" s="2" t="inlineStr"/>
    </row>
    <row r="2444" ht="15" customHeight="1">
      <c r="A2444" t="inlineStr">
        <is>
          <t>A 4502-2024</t>
        </is>
      </c>
      <c r="B2444" s="1" t="n">
        <v>45327</v>
      </c>
      <c r="C2444" s="1" t="n">
        <v>45883</v>
      </c>
      <c r="D2444" t="inlineStr">
        <is>
          <t>GÄVLEBORGS LÄN</t>
        </is>
      </c>
      <c r="E2444" t="inlineStr">
        <is>
          <t>SANDVIKEN</t>
        </is>
      </c>
      <c r="G2444" t="n">
        <v>0.2</v>
      </c>
      <c r="H2444" t="n">
        <v>0</v>
      </c>
      <c r="I2444" t="n">
        <v>0</v>
      </c>
      <c r="J2444" t="n">
        <v>0</v>
      </c>
      <c r="K2444" t="n">
        <v>0</v>
      </c>
      <c r="L2444" t="n">
        <v>0</v>
      </c>
      <c r="M2444" t="n">
        <v>0</v>
      </c>
      <c r="N2444" t="n">
        <v>0</v>
      </c>
      <c r="O2444" t="n">
        <v>0</v>
      </c>
      <c r="P2444" t="n">
        <v>0</v>
      </c>
      <c r="Q2444" t="n">
        <v>0</v>
      </c>
      <c r="R2444" s="2" t="inlineStr"/>
    </row>
    <row r="2445" ht="15" customHeight="1">
      <c r="A2445" t="inlineStr">
        <is>
          <t>A 18874-2025</t>
        </is>
      </c>
      <c r="B2445" s="1" t="n">
        <v>45764.43357638889</v>
      </c>
      <c r="C2445" s="1" t="n">
        <v>45883</v>
      </c>
      <c r="D2445" t="inlineStr">
        <is>
          <t>GÄVLEBORGS LÄN</t>
        </is>
      </c>
      <c r="E2445" t="inlineStr">
        <is>
          <t>GÄVLE</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18876-2025</t>
        </is>
      </c>
      <c r="B2446" s="1" t="n">
        <v>45764.43528935185</v>
      </c>
      <c r="C2446" s="1" t="n">
        <v>45883</v>
      </c>
      <c r="D2446" t="inlineStr">
        <is>
          <t>GÄVLEBORGS LÄN</t>
        </is>
      </c>
      <c r="E2446" t="inlineStr">
        <is>
          <t>GÄVLE</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4505-2024</t>
        </is>
      </c>
      <c r="B2447" s="1" t="n">
        <v>45327</v>
      </c>
      <c r="C2447" s="1" t="n">
        <v>45883</v>
      </c>
      <c r="D2447" t="inlineStr">
        <is>
          <t>GÄVLEBORGS LÄN</t>
        </is>
      </c>
      <c r="E2447" t="inlineStr">
        <is>
          <t>HUDIKSVALL</t>
        </is>
      </c>
      <c r="G2447" t="n">
        <v>0.1</v>
      </c>
      <c r="H2447" t="n">
        <v>0</v>
      </c>
      <c r="I2447" t="n">
        <v>0</v>
      </c>
      <c r="J2447" t="n">
        <v>0</v>
      </c>
      <c r="K2447" t="n">
        <v>0</v>
      </c>
      <c r="L2447" t="n">
        <v>0</v>
      </c>
      <c r="M2447" t="n">
        <v>0</v>
      </c>
      <c r="N2447" t="n">
        <v>0</v>
      </c>
      <c r="O2447" t="n">
        <v>0</v>
      </c>
      <c r="P2447" t="n">
        <v>0</v>
      </c>
      <c r="Q2447" t="n">
        <v>0</v>
      </c>
      <c r="R2447" s="2" t="inlineStr"/>
    </row>
    <row r="2448" ht="15" customHeight="1">
      <c r="A2448" t="inlineStr">
        <is>
          <t>A 5571-2024</t>
        </is>
      </c>
      <c r="B2448" s="1" t="n">
        <v>45334</v>
      </c>
      <c r="C2448" s="1" t="n">
        <v>45883</v>
      </c>
      <c r="D2448" t="inlineStr">
        <is>
          <t>GÄVLEBORGS LÄN</t>
        </is>
      </c>
      <c r="E2448" t="inlineStr">
        <is>
          <t>OCKELBO</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45912-2024</t>
        </is>
      </c>
      <c r="B2449" s="1" t="n">
        <v>45580</v>
      </c>
      <c r="C2449" s="1" t="n">
        <v>45883</v>
      </c>
      <c r="D2449" t="inlineStr">
        <is>
          <t>GÄVLEBORGS LÄN</t>
        </is>
      </c>
      <c r="E2449" t="inlineStr">
        <is>
          <t>LJUSDAL</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58165-2023</t>
        </is>
      </c>
      <c r="B2450" s="1" t="n">
        <v>45250.39545138889</v>
      </c>
      <c r="C2450" s="1" t="n">
        <v>45883</v>
      </c>
      <c r="D2450" t="inlineStr">
        <is>
          <t>GÄVLEBORGS LÄN</t>
        </is>
      </c>
      <c r="E2450" t="inlineStr">
        <is>
          <t>NORDANSTIG</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4818-2023</t>
        </is>
      </c>
      <c r="B2451" s="1" t="n">
        <v>44957.6449537037</v>
      </c>
      <c r="C2451" s="1" t="n">
        <v>45883</v>
      </c>
      <c r="D2451" t="inlineStr">
        <is>
          <t>GÄVLEBORGS LÄN</t>
        </is>
      </c>
      <c r="E2451" t="inlineStr">
        <is>
          <t>LJUSDAL</t>
        </is>
      </c>
      <c r="F2451" t="inlineStr">
        <is>
          <t>Holmen skog AB</t>
        </is>
      </c>
      <c r="G2451" t="n">
        <v>5.1</v>
      </c>
      <c r="H2451" t="n">
        <v>0</v>
      </c>
      <c r="I2451" t="n">
        <v>0</v>
      </c>
      <c r="J2451" t="n">
        <v>0</v>
      </c>
      <c r="K2451" t="n">
        <v>0</v>
      </c>
      <c r="L2451" t="n">
        <v>0</v>
      </c>
      <c r="M2451" t="n">
        <v>0</v>
      </c>
      <c r="N2451" t="n">
        <v>0</v>
      </c>
      <c r="O2451" t="n">
        <v>0</v>
      </c>
      <c r="P2451" t="n">
        <v>0</v>
      </c>
      <c r="Q2451" t="n">
        <v>0</v>
      </c>
      <c r="R2451" s="2" t="inlineStr"/>
    </row>
    <row r="2452" ht="15" customHeight="1">
      <c r="A2452" t="inlineStr">
        <is>
          <t>A 43562-2024</t>
        </is>
      </c>
      <c r="B2452" s="1" t="n">
        <v>45569.40412037037</v>
      </c>
      <c r="C2452" s="1" t="n">
        <v>45883</v>
      </c>
      <c r="D2452" t="inlineStr">
        <is>
          <t>GÄVLEBORGS LÄN</t>
        </is>
      </c>
      <c r="E2452" t="inlineStr">
        <is>
          <t>LJUSDAL</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43644-2024</t>
        </is>
      </c>
      <c r="B2453" s="1" t="n">
        <v>45569.51555555555</v>
      </c>
      <c r="C2453" s="1" t="n">
        <v>45883</v>
      </c>
      <c r="D2453" t="inlineStr">
        <is>
          <t>GÄVLEBORGS LÄN</t>
        </is>
      </c>
      <c r="E2453" t="inlineStr">
        <is>
          <t>HUDIKSVALL</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18466-2024</t>
        </is>
      </c>
      <c r="B2454" s="1" t="n">
        <v>45425.49216435185</v>
      </c>
      <c r="C2454" s="1" t="n">
        <v>45883</v>
      </c>
      <c r="D2454" t="inlineStr">
        <is>
          <t>GÄVLEBORGS LÄN</t>
        </is>
      </c>
      <c r="E2454" t="inlineStr">
        <is>
          <t>SÖDERHAMN</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41633-2020</t>
        </is>
      </c>
      <c r="B2455" s="1" t="n">
        <v>44074</v>
      </c>
      <c r="C2455" s="1" t="n">
        <v>45883</v>
      </c>
      <c r="D2455" t="inlineStr">
        <is>
          <t>GÄVLEBORGS LÄN</t>
        </is>
      </c>
      <c r="E2455" t="inlineStr">
        <is>
          <t>SANDVIKEN</t>
        </is>
      </c>
      <c r="G2455" t="n">
        <v>3.5</v>
      </c>
      <c r="H2455" t="n">
        <v>0</v>
      </c>
      <c r="I2455" t="n">
        <v>0</v>
      </c>
      <c r="J2455" t="n">
        <v>0</v>
      </c>
      <c r="K2455" t="n">
        <v>0</v>
      </c>
      <c r="L2455" t="n">
        <v>0</v>
      </c>
      <c r="M2455" t="n">
        <v>0</v>
      </c>
      <c r="N2455" t="n">
        <v>0</v>
      </c>
      <c r="O2455" t="n">
        <v>0</v>
      </c>
      <c r="P2455" t="n">
        <v>0</v>
      </c>
      <c r="Q2455" t="n">
        <v>0</v>
      </c>
      <c r="R2455" s="2" t="inlineStr"/>
    </row>
    <row r="2456" ht="15" customHeight="1">
      <c r="A2456" t="inlineStr">
        <is>
          <t>A 2010-2023</t>
        </is>
      </c>
      <c r="B2456" s="1" t="n">
        <v>44939</v>
      </c>
      <c r="C2456" s="1" t="n">
        <v>45883</v>
      </c>
      <c r="D2456" t="inlineStr">
        <is>
          <t>GÄVLEBORGS LÄN</t>
        </is>
      </c>
      <c r="E2456" t="inlineStr">
        <is>
          <t>HUDIKSVALL</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20557-2023</t>
        </is>
      </c>
      <c r="B2457" s="1" t="n">
        <v>45057.62391203704</v>
      </c>
      <c r="C2457" s="1" t="n">
        <v>45883</v>
      </c>
      <c r="D2457" t="inlineStr">
        <is>
          <t>GÄVLEBORGS LÄN</t>
        </is>
      </c>
      <c r="E2457" t="inlineStr">
        <is>
          <t>BOLLNÄS</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68730-2021</t>
        </is>
      </c>
      <c r="B2458" s="1" t="n">
        <v>44529.78263888889</v>
      </c>
      <c r="C2458" s="1" t="n">
        <v>45883</v>
      </c>
      <c r="D2458" t="inlineStr">
        <is>
          <t>GÄVLEBORGS LÄN</t>
        </is>
      </c>
      <c r="E2458" t="inlineStr">
        <is>
          <t>HUDIKSVALL</t>
        </is>
      </c>
      <c r="G2458" t="n">
        <v>4.4</v>
      </c>
      <c r="H2458" t="n">
        <v>0</v>
      </c>
      <c r="I2458" t="n">
        <v>0</v>
      </c>
      <c r="J2458" t="n">
        <v>0</v>
      </c>
      <c r="K2458" t="n">
        <v>0</v>
      </c>
      <c r="L2458" t="n">
        <v>0</v>
      </c>
      <c r="M2458" t="n">
        <v>0</v>
      </c>
      <c r="N2458" t="n">
        <v>0</v>
      </c>
      <c r="O2458" t="n">
        <v>0</v>
      </c>
      <c r="P2458" t="n">
        <v>0</v>
      </c>
      <c r="Q2458" t="n">
        <v>0</v>
      </c>
      <c r="R2458" s="2" t="inlineStr"/>
    </row>
    <row r="2459" ht="15" customHeight="1">
      <c r="A2459" t="inlineStr">
        <is>
          <t>A 16962-2025</t>
        </is>
      </c>
      <c r="B2459" s="1" t="n">
        <v>45755</v>
      </c>
      <c r="C2459" s="1" t="n">
        <v>45883</v>
      </c>
      <c r="D2459" t="inlineStr">
        <is>
          <t>GÄVLEBORGS LÄN</t>
        </is>
      </c>
      <c r="E2459" t="inlineStr">
        <is>
          <t>LJUSDAL</t>
        </is>
      </c>
      <c r="F2459" t="inlineStr">
        <is>
          <t>Bergvik skog väst AB</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13313-2025</t>
        </is>
      </c>
      <c r="B2460" s="1" t="n">
        <v>45735.5925462963</v>
      </c>
      <c r="C2460" s="1" t="n">
        <v>45883</v>
      </c>
      <c r="D2460" t="inlineStr">
        <is>
          <t>GÄVLEBORGS LÄN</t>
        </is>
      </c>
      <c r="E2460" t="inlineStr">
        <is>
          <t>SANDVIKEN</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16989-2025</t>
        </is>
      </c>
      <c r="B2461" s="1" t="n">
        <v>45755.4960300926</v>
      </c>
      <c r="C2461" s="1" t="n">
        <v>45883</v>
      </c>
      <c r="D2461" t="inlineStr">
        <is>
          <t>GÄVLEBORGS LÄN</t>
        </is>
      </c>
      <c r="E2461" t="inlineStr">
        <is>
          <t>OCKELBO</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49445-2021</t>
        </is>
      </c>
      <c r="B2462" s="1" t="n">
        <v>44454</v>
      </c>
      <c r="C2462" s="1" t="n">
        <v>45883</v>
      </c>
      <c r="D2462" t="inlineStr">
        <is>
          <t>GÄVLEBORGS LÄN</t>
        </is>
      </c>
      <c r="E2462" t="inlineStr">
        <is>
          <t>BOLLNÄS</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18011-2025</t>
        </is>
      </c>
      <c r="B2463" s="1" t="n">
        <v>45761.43108796296</v>
      </c>
      <c r="C2463" s="1" t="n">
        <v>45883</v>
      </c>
      <c r="D2463" t="inlineStr">
        <is>
          <t>GÄVLEBORGS LÄN</t>
        </is>
      </c>
      <c r="E2463" t="inlineStr">
        <is>
          <t>LJUSDAL</t>
        </is>
      </c>
      <c r="F2463" t="inlineStr">
        <is>
          <t>Bergvik skog väst AB</t>
        </is>
      </c>
      <c r="G2463" t="n">
        <v>5.6</v>
      </c>
      <c r="H2463" t="n">
        <v>0</v>
      </c>
      <c r="I2463" t="n">
        <v>0</v>
      </c>
      <c r="J2463" t="n">
        <v>0</v>
      </c>
      <c r="K2463" t="n">
        <v>0</v>
      </c>
      <c r="L2463" t="n">
        <v>0</v>
      </c>
      <c r="M2463" t="n">
        <v>0</v>
      </c>
      <c r="N2463" t="n">
        <v>0</v>
      </c>
      <c r="O2463" t="n">
        <v>0</v>
      </c>
      <c r="P2463" t="n">
        <v>0</v>
      </c>
      <c r="Q2463" t="n">
        <v>0</v>
      </c>
      <c r="R2463" s="2" t="inlineStr"/>
    </row>
    <row r="2464" ht="15" customHeight="1">
      <c r="A2464" t="inlineStr">
        <is>
          <t>A 52568-2022</t>
        </is>
      </c>
      <c r="B2464" s="1" t="n">
        <v>44874</v>
      </c>
      <c r="C2464" s="1" t="n">
        <v>45883</v>
      </c>
      <c r="D2464" t="inlineStr">
        <is>
          <t>GÄVLEBORGS LÄN</t>
        </is>
      </c>
      <c r="E2464" t="inlineStr">
        <is>
          <t>LJUSDAL</t>
        </is>
      </c>
      <c r="F2464" t="inlineStr">
        <is>
          <t>Kyrkan</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55962-2022</t>
        </is>
      </c>
      <c r="B2465" s="1" t="n">
        <v>44889</v>
      </c>
      <c r="C2465" s="1" t="n">
        <v>45883</v>
      </c>
      <c r="D2465" t="inlineStr">
        <is>
          <t>GÄVLEBORGS LÄN</t>
        </is>
      </c>
      <c r="E2465" t="inlineStr">
        <is>
          <t>LJUSDAL</t>
        </is>
      </c>
      <c r="G2465" t="n">
        <v>0.1</v>
      </c>
      <c r="H2465" t="n">
        <v>0</v>
      </c>
      <c r="I2465" t="n">
        <v>0</v>
      </c>
      <c r="J2465" t="n">
        <v>0</v>
      </c>
      <c r="K2465" t="n">
        <v>0</v>
      </c>
      <c r="L2465" t="n">
        <v>0</v>
      </c>
      <c r="M2465" t="n">
        <v>0</v>
      </c>
      <c r="N2465" t="n">
        <v>0</v>
      </c>
      <c r="O2465" t="n">
        <v>0</v>
      </c>
      <c r="P2465" t="n">
        <v>0</v>
      </c>
      <c r="Q2465" t="n">
        <v>0</v>
      </c>
      <c r="R2465" s="2" t="inlineStr"/>
    </row>
    <row r="2466" ht="15" customHeight="1">
      <c r="A2466" t="inlineStr">
        <is>
          <t>A 51364-2024</t>
        </is>
      </c>
      <c r="B2466" s="1" t="n">
        <v>45604.36947916666</v>
      </c>
      <c r="C2466" s="1" t="n">
        <v>45883</v>
      </c>
      <c r="D2466" t="inlineStr">
        <is>
          <t>GÄVLEBORGS LÄN</t>
        </is>
      </c>
      <c r="E2466" t="inlineStr">
        <is>
          <t>LJUSDAL</t>
        </is>
      </c>
      <c r="G2466" t="n">
        <v>10.7</v>
      </c>
      <c r="H2466" t="n">
        <v>0</v>
      </c>
      <c r="I2466" t="n">
        <v>0</v>
      </c>
      <c r="J2466" t="n">
        <v>0</v>
      </c>
      <c r="K2466" t="n">
        <v>0</v>
      </c>
      <c r="L2466" t="n">
        <v>0</v>
      </c>
      <c r="M2466" t="n">
        <v>0</v>
      </c>
      <c r="N2466" t="n">
        <v>0</v>
      </c>
      <c r="O2466" t="n">
        <v>0</v>
      </c>
      <c r="P2466" t="n">
        <v>0</v>
      </c>
      <c r="Q2466" t="n">
        <v>0</v>
      </c>
      <c r="R2466" s="2" t="inlineStr"/>
    </row>
    <row r="2467" ht="15" customHeight="1">
      <c r="A2467" t="inlineStr">
        <is>
          <t>A 30418-2023</t>
        </is>
      </c>
      <c r="B2467" s="1" t="n">
        <v>45111.52043981481</v>
      </c>
      <c r="C2467" s="1" t="n">
        <v>45883</v>
      </c>
      <c r="D2467" t="inlineStr">
        <is>
          <t>GÄVLEBORGS LÄN</t>
        </is>
      </c>
      <c r="E2467" t="inlineStr">
        <is>
          <t>OCKELBO</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37442-2023</t>
        </is>
      </c>
      <c r="B2468" s="1" t="n">
        <v>45156</v>
      </c>
      <c r="C2468" s="1" t="n">
        <v>45883</v>
      </c>
      <c r="D2468" t="inlineStr">
        <is>
          <t>GÄVLEBORGS LÄN</t>
        </is>
      </c>
      <c r="E2468" t="inlineStr">
        <is>
          <t>OCKELBO</t>
        </is>
      </c>
      <c r="F2468" t="inlineStr">
        <is>
          <t>Bergvik skog väst AB</t>
        </is>
      </c>
      <c r="G2468" t="n">
        <v>4.2</v>
      </c>
      <c r="H2468" t="n">
        <v>0</v>
      </c>
      <c r="I2468" t="n">
        <v>0</v>
      </c>
      <c r="J2468" t="n">
        <v>0</v>
      </c>
      <c r="K2468" t="n">
        <v>0</v>
      </c>
      <c r="L2468" t="n">
        <v>0</v>
      </c>
      <c r="M2468" t="n">
        <v>0</v>
      </c>
      <c r="N2468" t="n">
        <v>0</v>
      </c>
      <c r="O2468" t="n">
        <v>0</v>
      </c>
      <c r="P2468" t="n">
        <v>0</v>
      </c>
      <c r="Q2468" t="n">
        <v>0</v>
      </c>
      <c r="R2468" s="2" t="inlineStr"/>
    </row>
    <row r="2469" ht="15" customHeight="1">
      <c r="A2469" t="inlineStr">
        <is>
          <t>A 8379-2025</t>
        </is>
      </c>
      <c r="B2469" s="1" t="n">
        <v>45709.33609953704</v>
      </c>
      <c r="C2469" s="1" t="n">
        <v>45883</v>
      </c>
      <c r="D2469" t="inlineStr">
        <is>
          <t>GÄVLEBORGS LÄN</t>
        </is>
      </c>
      <c r="E2469" t="inlineStr">
        <is>
          <t>SANDVIKEN</t>
        </is>
      </c>
      <c r="G2469" t="n">
        <v>4.3</v>
      </c>
      <c r="H2469" t="n">
        <v>0</v>
      </c>
      <c r="I2469" t="n">
        <v>0</v>
      </c>
      <c r="J2469" t="n">
        <v>0</v>
      </c>
      <c r="K2469" t="n">
        <v>0</v>
      </c>
      <c r="L2469" t="n">
        <v>0</v>
      </c>
      <c r="M2469" t="n">
        <v>0</v>
      </c>
      <c r="N2469" t="n">
        <v>0</v>
      </c>
      <c r="O2469" t="n">
        <v>0</v>
      </c>
      <c r="P2469" t="n">
        <v>0</v>
      </c>
      <c r="Q2469" t="n">
        <v>0</v>
      </c>
      <c r="R2469" s="2" t="inlineStr"/>
    </row>
    <row r="2470" ht="15" customHeight="1">
      <c r="A2470" t="inlineStr">
        <is>
          <t>A 59912-2023</t>
        </is>
      </c>
      <c r="B2470" s="1" t="n">
        <v>45257.63767361111</v>
      </c>
      <c r="C2470" s="1" t="n">
        <v>45883</v>
      </c>
      <c r="D2470" t="inlineStr">
        <is>
          <t>GÄVLEBORGS LÄN</t>
        </is>
      </c>
      <c r="E2470" t="inlineStr">
        <is>
          <t>OVANÅKER</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59922-2023</t>
        </is>
      </c>
      <c r="B2471" s="1" t="n">
        <v>45254</v>
      </c>
      <c r="C2471" s="1" t="n">
        <v>45883</v>
      </c>
      <c r="D2471" t="inlineStr">
        <is>
          <t>GÄVLEBORGS LÄN</t>
        </is>
      </c>
      <c r="E2471" t="inlineStr">
        <is>
          <t>SÖDERHAMN</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68662-2021</t>
        </is>
      </c>
      <c r="B2472" s="1" t="n">
        <v>44529</v>
      </c>
      <c r="C2472" s="1" t="n">
        <v>45883</v>
      </c>
      <c r="D2472" t="inlineStr">
        <is>
          <t>GÄVLEBORGS LÄN</t>
        </is>
      </c>
      <c r="E2472" t="inlineStr">
        <is>
          <t>HUDIKSVALL</t>
        </is>
      </c>
      <c r="F2472" t="inlineStr">
        <is>
          <t>Holmen skog AB</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52495-2021</t>
        </is>
      </c>
      <c r="B2473" s="1" t="n">
        <v>44466.43295138889</v>
      </c>
      <c r="C2473" s="1" t="n">
        <v>45883</v>
      </c>
      <c r="D2473" t="inlineStr">
        <is>
          <t>GÄVLEBORGS LÄN</t>
        </is>
      </c>
      <c r="E2473" t="inlineStr">
        <is>
          <t>GÄVLE</t>
        </is>
      </c>
      <c r="F2473" t="inlineStr">
        <is>
          <t>Bergvik skog väst AB</t>
        </is>
      </c>
      <c r="G2473" t="n">
        <v>5.9</v>
      </c>
      <c r="H2473" t="n">
        <v>0</v>
      </c>
      <c r="I2473" t="n">
        <v>0</v>
      </c>
      <c r="J2473" t="n">
        <v>0</v>
      </c>
      <c r="K2473" t="n">
        <v>0</v>
      </c>
      <c r="L2473" t="n">
        <v>0</v>
      </c>
      <c r="M2473" t="n">
        <v>0</v>
      </c>
      <c r="N2473" t="n">
        <v>0</v>
      </c>
      <c r="O2473" t="n">
        <v>0</v>
      </c>
      <c r="P2473" t="n">
        <v>0</v>
      </c>
      <c r="Q2473" t="n">
        <v>0</v>
      </c>
      <c r="R2473" s="2" t="inlineStr"/>
    </row>
    <row r="2474" ht="15" customHeight="1">
      <c r="A2474" t="inlineStr">
        <is>
          <t>A 55565-2023</t>
        </is>
      </c>
      <c r="B2474" s="1" t="n">
        <v>45238.64454861111</v>
      </c>
      <c r="C2474" s="1" t="n">
        <v>45883</v>
      </c>
      <c r="D2474" t="inlineStr">
        <is>
          <t>GÄVLEBORGS LÄN</t>
        </is>
      </c>
      <c r="E2474" t="inlineStr">
        <is>
          <t>SANDVIKEN</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816-2022</t>
        </is>
      </c>
      <c r="B2475" s="1" t="n">
        <v>44571</v>
      </c>
      <c r="C2475" s="1" t="n">
        <v>45883</v>
      </c>
      <c r="D2475" t="inlineStr">
        <is>
          <t>GÄVLEBORGS LÄN</t>
        </is>
      </c>
      <c r="E2475" t="inlineStr">
        <is>
          <t>HUDIKSVALL</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52608-2021</t>
        </is>
      </c>
      <c r="B2476" s="1" t="n">
        <v>44466.599375</v>
      </c>
      <c r="C2476" s="1" t="n">
        <v>45883</v>
      </c>
      <c r="D2476" t="inlineStr">
        <is>
          <t>GÄVLEBORGS LÄN</t>
        </is>
      </c>
      <c r="E2476" t="inlineStr">
        <is>
          <t>OVANÅKER</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69007-2021</t>
        </is>
      </c>
      <c r="B2477" s="1" t="n">
        <v>44530.59005787037</v>
      </c>
      <c r="C2477" s="1" t="n">
        <v>45883</v>
      </c>
      <c r="D2477" t="inlineStr">
        <is>
          <t>GÄVLEBORGS LÄN</t>
        </is>
      </c>
      <c r="E2477" t="inlineStr">
        <is>
          <t>OVANÅKER</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61060-2023</t>
        </is>
      </c>
      <c r="B2478" s="1" t="n">
        <v>45261.61160879629</v>
      </c>
      <c r="C2478" s="1" t="n">
        <v>45883</v>
      </c>
      <c r="D2478" t="inlineStr">
        <is>
          <t>GÄVLEBORGS LÄN</t>
        </is>
      </c>
      <c r="E2478" t="inlineStr">
        <is>
          <t>BOLLNÄS</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18576-2024</t>
        </is>
      </c>
      <c r="B2479" s="1" t="n">
        <v>45425</v>
      </c>
      <c r="C2479" s="1" t="n">
        <v>45883</v>
      </c>
      <c r="D2479" t="inlineStr">
        <is>
          <t>GÄVLEBORGS LÄN</t>
        </is>
      </c>
      <c r="E2479" t="inlineStr">
        <is>
          <t>LJUSDAL</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15147-2023</t>
        </is>
      </c>
      <c r="B2480" s="1" t="n">
        <v>45016</v>
      </c>
      <c r="C2480" s="1" t="n">
        <v>45883</v>
      </c>
      <c r="D2480" t="inlineStr">
        <is>
          <t>GÄVLEBORGS LÄN</t>
        </is>
      </c>
      <c r="E2480" t="inlineStr">
        <is>
          <t>BOLLNÄS</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15150-2023</t>
        </is>
      </c>
      <c r="B2481" s="1" t="n">
        <v>45016</v>
      </c>
      <c r="C2481" s="1" t="n">
        <v>45883</v>
      </c>
      <c r="D2481" t="inlineStr">
        <is>
          <t>GÄVLEBORGS LÄN</t>
        </is>
      </c>
      <c r="E2481" t="inlineStr">
        <is>
          <t>BOLLNÄS</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58870-2023</t>
        </is>
      </c>
      <c r="B2482" s="1" t="n">
        <v>45252</v>
      </c>
      <c r="C2482" s="1" t="n">
        <v>45883</v>
      </c>
      <c r="D2482" t="inlineStr">
        <is>
          <t>GÄVLEBORGS LÄN</t>
        </is>
      </c>
      <c r="E2482" t="inlineStr">
        <is>
          <t>NORDANSTIG</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53988-2023</t>
        </is>
      </c>
      <c r="B2483" s="1" t="n">
        <v>45231.66075231481</v>
      </c>
      <c r="C2483" s="1" t="n">
        <v>45883</v>
      </c>
      <c r="D2483" t="inlineStr">
        <is>
          <t>GÄVLEBORGS LÄN</t>
        </is>
      </c>
      <c r="E2483" t="inlineStr">
        <is>
          <t>NORDANSTIG</t>
        </is>
      </c>
      <c r="G2483" t="n">
        <v>6.2</v>
      </c>
      <c r="H2483" t="n">
        <v>0</v>
      </c>
      <c r="I2483" t="n">
        <v>0</v>
      </c>
      <c r="J2483" t="n">
        <v>0</v>
      </c>
      <c r="K2483" t="n">
        <v>0</v>
      </c>
      <c r="L2483" t="n">
        <v>0</v>
      </c>
      <c r="M2483" t="n">
        <v>0</v>
      </c>
      <c r="N2483" t="n">
        <v>0</v>
      </c>
      <c r="O2483" t="n">
        <v>0</v>
      </c>
      <c r="P2483" t="n">
        <v>0</v>
      </c>
      <c r="Q2483" t="n">
        <v>0</v>
      </c>
      <c r="R2483" s="2" t="inlineStr"/>
    </row>
    <row r="2484" ht="15" customHeight="1">
      <c r="A2484" t="inlineStr">
        <is>
          <t>A 6455-2025</t>
        </is>
      </c>
      <c r="B2484" s="1" t="n">
        <v>45699.55270833334</v>
      </c>
      <c r="C2484" s="1" t="n">
        <v>45883</v>
      </c>
      <c r="D2484" t="inlineStr">
        <is>
          <t>GÄVLEBORGS LÄN</t>
        </is>
      </c>
      <c r="E2484" t="inlineStr">
        <is>
          <t>SÖDERHAMN</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18013-2023</t>
        </is>
      </c>
      <c r="B2485" s="1" t="n">
        <v>45040.57412037037</v>
      </c>
      <c r="C2485" s="1" t="n">
        <v>45883</v>
      </c>
      <c r="D2485" t="inlineStr">
        <is>
          <t>GÄVLEBORGS LÄN</t>
        </is>
      </c>
      <c r="E2485" t="inlineStr">
        <is>
          <t>BOLLNÄS</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35879-2024</t>
        </is>
      </c>
      <c r="B2486" s="1" t="n">
        <v>45533.35337962963</v>
      </c>
      <c r="C2486" s="1" t="n">
        <v>45883</v>
      </c>
      <c r="D2486" t="inlineStr">
        <is>
          <t>GÄVLEBORGS LÄN</t>
        </is>
      </c>
      <c r="E2486" t="inlineStr">
        <is>
          <t>HUDIKSVALL</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47472-2023</t>
        </is>
      </c>
      <c r="B2487" s="1" t="n">
        <v>45202.92271990741</v>
      </c>
      <c r="C2487" s="1" t="n">
        <v>45883</v>
      </c>
      <c r="D2487" t="inlineStr">
        <is>
          <t>GÄVLEBORGS LÄN</t>
        </is>
      </c>
      <c r="E2487" t="inlineStr">
        <is>
          <t>HUDIKSVALL</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3620-2023</t>
        </is>
      </c>
      <c r="B2488" s="1" t="n">
        <v>44950</v>
      </c>
      <c r="C2488" s="1" t="n">
        <v>45883</v>
      </c>
      <c r="D2488" t="inlineStr">
        <is>
          <t>GÄVLEBORGS LÄN</t>
        </is>
      </c>
      <c r="E2488" t="inlineStr">
        <is>
          <t>OCKELBO</t>
        </is>
      </c>
      <c r="G2488" t="n">
        <v>3.8</v>
      </c>
      <c r="H2488" t="n">
        <v>0</v>
      </c>
      <c r="I2488" t="n">
        <v>0</v>
      </c>
      <c r="J2488" t="n">
        <v>0</v>
      </c>
      <c r="K2488" t="n">
        <v>0</v>
      </c>
      <c r="L2488" t="n">
        <v>0</v>
      </c>
      <c r="M2488" t="n">
        <v>0</v>
      </c>
      <c r="N2488" t="n">
        <v>0</v>
      </c>
      <c r="O2488" t="n">
        <v>0</v>
      </c>
      <c r="P2488" t="n">
        <v>0</v>
      </c>
      <c r="Q2488" t="n">
        <v>0</v>
      </c>
      <c r="R2488" s="2" t="inlineStr"/>
    </row>
    <row r="2489" ht="15" customHeight="1">
      <c r="A2489" t="inlineStr">
        <is>
          <t>A 15124-2022</t>
        </is>
      </c>
      <c r="B2489" s="1" t="n">
        <v>44658</v>
      </c>
      <c r="C2489" s="1" t="n">
        <v>45883</v>
      </c>
      <c r="D2489" t="inlineStr">
        <is>
          <t>GÄVLEBORGS LÄN</t>
        </is>
      </c>
      <c r="E2489" t="inlineStr">
        <is>
          <t>SANDVIKEN</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46739-2024</t>
        </is>
      </c>
      <c r="B2490" s="1" t="n">
        <v>45583.4724074074</v>
      </c>
      <c r="C2490" s="1" t="n">
        <v>45883</v>
      </c>
      <c r="D2490" t="inlineStr">
        <is>
          <t>GÄVLEBORGS LÄN</t>
        </is>
      </c>
      <c r="E2490" t="inlineStr">
        <is>
          <t>BOLLNÄS</t>
        </is>
      </c>
      <c r="G2490" t="n">
        <v>5.1</v>
      </c>
      <c r="H2490" t="n">
        <v>0</v>
      </c>
      <c r="I2490" t="n">
        <v>0</v>
      </c>
      <c r="J2490" t="n">
        <v>0</v>
      </c>
      <c r="K2490" t="n">
        <v>0</v>
      </c>
      <c r="L2490" t="n">
        <v>0</v>
      </c>
      <c r="M2490" t="n">
        <v>0</v>
      </c>
      <c r="N2490" t="n">
        <v>0</v>
      </c>
      <c r="O2490" t="n">
        <v>0</v>
      </c>
      <c r="P2490" t="n">
        <v>0</v>
      </c>
      <c r="Q2490" t="n">
        <v>0</v>
      </c>
      <c r="R2490" s="2" t="inlineStr"/>
    </row>
    <row r="2491" ht="15" customHeight="1">
      <c r="A2491" t="inlineStr">
        <is>
          <t>A 835-2023</t>
        </is>
      </c>
      <c r="B2491" s="1" t="n">
        <v>44931</v>
      </c>
      <c r="C2491" s="1" t="n">
        <v>45883</v>
      </c>
      <c r="D2491" t="inlineStr">
        <is>
          <t>GÄVLEBORGS LÄN</t>
        </is>
      </c>
      <c r="E2491" t="inlineStr">
        <is>
          <t>LJUSDAL</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23638-2024</t>
        </is>
      </c>
      <c r="B2492" s="1" t="n">
        <v>45454.48969907407</v>
      </c>
      <c r="C2492" s="1" t="n">
        <v>45883</v>
      </c>
      <c r="D2492" t="inlineStr">
        <is>
          <t>GÄVLEBORGS LÄN</t>
        </is>
      </c>
      <c r="E2492" t="inlineStr">
        <is>
          <t>GÄVLE</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38599-2020</t>
        </is>
      </c>
      <c r="B2493" s="1" t="n">
        <v>44061</v>
      </c>
      <c r="C2493" s="1" t="n">
        <v>45883</v>
      </c>
      <c r="D2493" t="inlineStr">
        <is>
          <t>GÄVLEBORGS LÄN</t>
        </is>
      </c>
      <c r="E2493" t="inlineStr">
        <is>
          <t>LJUSDAL</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38633-2020</t>
        </is>
      </c>
      <c r="B2494" s="1" t="n">
        <v>44061</v>
      </c>
      <c r="C2494" s="1" t="n">
        <v>45883</v>
      </c>
      <c r="D2494" t="inlineStr">
        <is>
          <t>GÄVLEBORGS LÄN</t>
        </is>
      </c>
      <c r="E2494" t="inlineStr">
        <is>
          <t>NORDANSTIG</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16980-2025</t>
        </is>
      </c>
      <c r="B2495" s="1" t="n">
        <v>45755.47873842593</v>
      </c>
      <c r="C2495" s="1" t="n">
        <v>45883</v>
      </c>
      <c r="D2495" t="inlineStr">
        <is>
          <t>GÄVLEBORGS LÄN</t>
        </is>
      </c>
      <c r="E2495" t="inlineStr">
        <is>
          <t>SANDVIKEN</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40087-2020</t>
        </is>
      </c>
      <c r="B2496" s="1" t="n">
        <v>44068</v>
      </c>
      <c r="C2496" s="1" t="n">
        <v>45883</v>
      </c>
      <c r="D2496" t="inlineStr">
        <is>
          <t>GÄVLEBORGS LÄN</t>
        </is>
      </c>
      <c r="E2496" t="inlineStr">
        <is>
          <t>GÄVLE</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18985-2025</t>
        </is>
      </c>
      <c r="B2497" s="1" t="n">
        <v>45764.56071759259</v>
      </c>
      <c r="C2497" s="1" t="n">
        <v>45883</v>
      </c>
      <c r="D2497" t="inlineStr">
        <is>
          <t>GÄVLEBORGS LÄN</t>
        </is>
      </c>
      <c r="E2497" t="inlineStr">
        <is>
          <t>HUDIKSVALL</t>
        </is>
      </c>
      <c r="F2497" t="inlineStr">
        <is>
          <t>Holmen skog AB</t>
        </is>
      </c>
      <c r="G2497" t="n">
        <v>8.1</v>
      </c>
      <c r="H2497" t="n">
        <v>0</v>
      </c>
      <c r="I2497" t="n">
        <v>0</v>
      </c>
      <c r="J2497" t="n">
        <v>0</v>
      </c>
      <c r="K2497" t="n">
        <v>0</v>
      </c>
      <c r="L2497" t="n">
        <v>0</v>
      </c>
      <c r="M2497" t="n">
        <v>0</v>
      </c>
      <c r="N2497" t="n">
        <v>0</v>
      </c>
      <c r="O2497" t="n">
        <v>0</v>
      </c>
      <c r="P2497" t="n">
        <v>0</v>
      </c>
      <c r="Q2497" t="n">
        <v>0</v>
      </c>
      <c r="R2497" s="2" t="inlineStr"/>
    </row>
    <row r="2498" ht="15" customHeight="1">
      <c r="A2498" t="inlineStr">
        <is>
          <t>A 19008-2025</t>
        </is>
      </c>
      <c r="B2498" s="1" t="n">
        <v>45764.59033564815</v>
      </c>
      <c r="C2498" s="1" t="n">
        <v>45883</v>
      </c>
      <c r="D2498" t="inlineStr">
        <is>
          <t>GÄVLEBORGS LÄN</t>
        </is>
      </c>
      <c r="E2498" t="inlineStr">
        <is>
          <t>OVANÅKER</t>
        </is>
      </c>
      <c r="F2498" t="inlineStr">
        <is>
          <t>Bergvik skog öst AB</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32291-2024</t>
        </is>
      </c>
      <c r="B2499" s="1" t="n">
        <v>45512.42832175926</v>
      </c>
      <c r="C2499" s="1" t="n">
        <v>45883</v>
      </c>
      <c r="D2499" t="inlineStr">
        <is>
          <t>GÄVLEBORGS LÄN</t>
        </is>
      </c>
      <c r="E2499" t="inlineStr">
        <is>
          <t>SANDVIKEN</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42780-2022</t>
        </is>
      </c>
      <c r="B2500" s="1" t="n">
        <v>44832.5190625</v>
      </c>
      <c r="C2500" s="1" t="n">
        <v>45883</v>
      </c>
      <c r="D2500" t="inlineStr">
        <is>
          <t>GÄVLEBORGS LÄN</t>
        </is>
      </c>
      <c r="E2500" t="inlineStr">
        <is>
          <t>NORDANSTIG</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32308-2024</t>
        </is>
      </c>
      <c r="B2501" s="1" t="n">
        <v>45512.45641203703</v>
      </c>
      <c r="C2501" s="1" t="n">
        <v>45883</v>
      </c>
      <c r="D2501" t="inlineStr">
        <is>
          <t>GÄVLEBORGS LÄN</t>
        </is>
      </c>
      <c r="E2501" t="inlineStr">
        <is>
          <t>HUDIKSVALL</t>
        </is>
      </c>
      <c r="F2501" t="inlineStr">
        <is>
          <t>Holmen skog AB</t>
        </is>
      </c>
      <c r="G2501" t="n">
        <v>6.8</v>
      </c>
      <c r="H2501" t="n">
        <v>0</v>
      </c>
      <c r="I2501" t="n">
        <v>0</v>
      </c>
      <c r="J2501" t="n">
        <v>0</v>
      </c>
      <c r="K2501" t="n">
        <v>0</v>
      </c>
      <c r="L2501" t="n">
        <v>0</v>
      </c>
      <c r="M2501" t="n">
        <v>0</v>
      </c>
      <c r="N2501" t="n">
        <v>0</v>
      </c>
      <c r="O2501" t="n">
        <v>0</v>
      </c>
      <c r="P2501" t="n">
        <v>0</v>
      </c>
      <c r="Q2501" t="n">
        <v>0</v>
      </c>
      <c r="R2501" s="2" t="inlineStr"/>
    </row>
    <row r="2502" ht="15" customHeight="1">
      <c r="A2502" t="inlineStr">
        <is>
          <t>A 32345-2024</t>
        </is>
      </c>
      <c r="B2502" s="1" t="n">
        <v>45512.52994212963</v>
      </c>
      <c r="C2502" s="1" t="n">
        <v>45883</v>
      </c>
      <c r="D2502" t="inlineStr">
        <is>
          <t>GÄVLEBORGS LÄN</t>
        </is>
      </c>
      <c r="E2502" t="inlineStr">
        <is>
          <t>OVANÅKER</t>
        </is>
      </c>
      <c r="F2502" t="inlineStr">
        <is>
          <t>Bergvik skog väst AB</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20572-2024</t>
        </is>
      </c>
      <c r="B2503" s="1" t="n">
        <v>45436</v>
      </c>
      <c r="C2503" s="1" t="n">
        <v>45883</v>
      </c>
      <c r="D2503" t="inlineStr">
        <is>
          <t>GÄVLEBORGS LÄN</t>
        </is>
      </c>
      <c r="E2503" t="inlineStr">
        <is>
          <t>BOLLNÄS</t>
        </is>
      </c>
      <c r="F2503" t="inlineStr">
        <is>
          <t>Bergvik skog väst AB</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59817-2023</t>
        </is>
      </c>
      <c r="B2504" s="1" t="n">
        <v>45257.52494212963</v>
      </c>
      <c r="C2504" s="1" t="n">
        <v>45883</v>
      </c>
      <c r="D2504" t="inlineStr">
        <is>
          <t>GÄVLEBORGS LÄN</t>
        </is>
      </c>
      <c r="E2504" t="inlineStr">
        <is>
          <t>GÄVLE</t>
        </is>
      </c>
      <c r="F2504" t="inlineStr">
        <is>
          <t>Bergvik skog väst AB</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51734-2022</t>
        </is>
      </c>
      <c r="B2505" s="1" t="n">
        <v>44872.47747685185</v>
      </c>
      <c r="C2505" s="1" t="n">
        <v>45883</v>
      </c>
      <c r="D2505" t="inlineStr">
        <is>
          <t>GÄVLEBORGS LÄN</t>
        </is>
      </c>
      <c r="E2505" t="inlineStr">
        <is>
          <t>OVANÅKER</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39156-2021</t>
        </is>
      </c>
      <c r="B2506" s="1" t="n">
        <v>44412.7115162037</v>
      </c>
      <c r="C2506" s="1" t="n">
        <v>45883</v>
      </c>
      <c r="D2506" t="inlineStr">
        <is>
          <t>GÄVLEBORGS LÄN</t>
        </is>
      </c>
      <c r="E2506" t="inlineStr">
        <is>
          <t>HUDIKSVALL</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43216-2024</t>
        </is>
      </c>
      <c r="B2507" s="1" t="n">
        <v>45567.79040509259</v>
      </c>
      <c r="C2507" s="1" t="n">
        <v>45883</v>
      </c>
      <c r="D2507" t="inlineStr">
        <is>
          <t>GÄVLEBORGS LÄN</t>
        </is>
      </c>
      <c r="E2507" t="inlineStr">
        <is>
          <t>HUDIKSVALL</t>
        </is>
      </c>
      <c r="F2507" t="inlineStr">
        <is>
          <t>Holmen skog AB</t>
        </is>
      </c>
      <c r="G2507" t="n">
        <v>22.4</v>
      </c>
      <c r="H2507" t="n">
        <v>0</v>
      </c>
      <c r="I2507" t="n">
        <v>0</v>
      </c>
      <c r="J2507" t="n">
        <v>0</v>
      </c>
      <c r="K2507" t="n">
        <v>0</v>
      </c>
      <c r="L2507" t="n">
        <v>0</v>
      </c>
      <c r="M2507" t="n">
        <v>0</v>
      </c>
      <c r="N2507" t="n">
        <v>0</v>
      </c>
      <c r="O2507" t="n">
        <v>0</v>
      </c>
      <c r="P2507" t="n">
        <v>0</v>
      </c>
      <c r="Q2507" t="n">
        <v>0</v>
      </c>
      <c r="R2507" s="2" t="inlineStr"/>
    </row>
    <row r="2508" ht="15" customHeight="1">
      <c r="A2508" t="inlineStr">
        <is>
          <t>A 23772-2024</t>
        </is>
      </c>
      <c r="B2508" s="1" t="n">
        <v>45455.3833912037</v>
      </c>
      <c r="C2508" s="1" t="n">
        <v>45883</v>
      </c>
      <c r="D2508" t="inlineStr">
        <is>
          <t>GÄVLEBORGS LÄN</t>
        </is>
      </c>
      <c r="E2508" t="inlineStr">
        <is>
          <t>OCKELBO</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25828-2024</t>
        </is>
      </c>
      <c r="B2509" s="1" t="n">
        <v>45467.40458333334</v>
      </c>
      <c r="C2509" s="1" t="n">
        <v>45883</v>
      </c>
      <c r="D2509" t="inlineStr">
        <is>
          <t>GÄVLEBORGS LÄN</t>
        </is>
      </c>
      <c r="E2509" t="inlineStr">
        <is>
          <t>SANDVIKEN</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23809-2024</t>
        </is>
      </c>
      <c r="B2510" s="1" t="n">
        <v>45455.44559027778</v>
      </c>
      <c r="C2510" s="1" t="n">
        <v>45883</v>
      </c>
      <c r="D2510" t="inlineStr">
        <is>
          <t>GÄVLEBORGS LÄN</t>
        </is>
      </c>
      <c r="E2510" t="inlineStr">
        <is>
          <t>BOLLNÄS</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61774-2023</t>
        </is>
      </c>
      <c r="B2511" s="1" t="n">
        <v>45265</v>
      </c>
      <c r="C2511" s="1" t="n">
        <v>45883</v>
      </c>
      <c r="D2511" t="inlineStr">
        <is>
          <t>GÄVLEBORGS LÄN</t>
        </is>
      </c>
      <c r="E2511" t="inlineStr">
        <is>
          <t>HUDIKSVALL</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61848-2023</t>
        </is>
      </c>
      <c r="B2512" s="1" t="n">
        <v>45265</v>
      </c>
      <c r="C2512" s="1" t="n">
        <v>45883</v>
      </c>
      <c r="D2512" t="inlineStr">
        <is>
          <t>GÄVLEBORGS LÄN</t>
        </is>
      </c>
      <c r="E2512" t="inlineStr">
        <is>
          <t>SANDVIKEN</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16115-2025</t>
        </is>
      </c>
      <c r="B2513" s="1" t="n">
        <v>45750.3860300926</v>
      </c>
      <c r="C2513" s="1" t="n">
        <v>45883</v>
      </c>
      <c r="D2513" t="inlineStr">
        <is>
          <t>GÄVLEBORGS LÄN</t>
        </is>
      </c>
      <c r="E2513" t="inlineStr">
        <is>
          <t>SANDVIKEN</t>
        </is>
      </c>
      <c r="F2513" t="inlineStr">
        <is>
          <t>Bergvik skog öst AB</t>
        </is>
      </c>
      <c r="G2513" t="n">
        <v>14.9</v>
      </c>
      <c r="H2513" t="n">
        <v>0</v>
      </c>
      <c r="I2513" t="n">
        <v>0</v>
      </c>
      <c r="J2513" t="n">
        <v>0</v>
      </c>
      <c r="K2513" t="n">
        <v>0</v>
      </c>
      <c r="L2513" t="n">
        <v>0</v>
      </c>
      <c r="M2513" t="n">
        <v>0</v>
      </c>
      <c r="N2513" t="n">
        <v>0</v>
      </c>
      <c r="O2513" t="n">
        <v>0</v>
      </c>
      <c r="P2513" t="n">
        <v>0</v>
      </c>
      <c r="Q2513" t="n">
        <v>0</v>
      </c>
      <c r="R2513" s="2" t="inlineStr"/>
    </row>
    <row r="2514" ht="15" customHeight="1">
      <c r="A2514" t="inlineStr">
        <is>
          <t>A 60194-2023</t>
        </is>
      </c>
      <c r="B2514" s="1" t="n">
        <v>45258.58299768518</v>
      </c>
      <c r="C2514" s="1" t="n">
        <v>45883</v>
      </c>
      <c r="D2514" t="inlineStr">
        <is>
          <t>GÄVLEBORGS LÄN</t>
        </is>
      </c>
      <c r="E2514" t="inlineStr">
        <is>
          <t>HUDIKSVALL</t>
        </is>
      </c>
      <c r="F2514" t="inlineStr">
        <is>
          <t>Holmen skog AB</t>
        </is>
      </c>
      <c r="G2514" t="n">
        <v>5.8</v>
      </c>
      <c r="H2514" t="n">
        <v>0</v>
      </c>
      <c r="I2514" t="n">
        <v>0</v>
      </c>
      <c r="J2514" t="n">
        <v>0</v>
      </c>
      <c r="K2514" t="n">
        <v>0</v>
      </c>
      <c r="L2514" t="n">
        <v>0</v>
      </c>
      <c r="M2514" t="n">
        <v>0</v>
      </c>
      <c r="N2514" t="n">
        <v>0</v>
      </c>
      <c r="O2514" t="n">
        <v>0</v>
      </c>
      <c r="P2514" t="n">
        <v>0</v>
      </c>
      <c r="Q2514" t="n">
        <v>0</v>
      </c>
      <c r="R2514" s="2" t="inlineStr"/>
    </row>
    <row r="2515" ht="15" customHeight="1">
      <c r="A2515" t="inlineStr">
        <is>
          <t>A 60218-2023</t>
        </is>
      </c>
      <c r="B2515" s="1" t="n">
        <v>45258.61202546296</v>
      </c>
      <c r="C2515" s="1" t="n">
        <v>45883</v>
      </c>
      <c r="D2515" t="inlineStr">
        <is>
          <t>GÄVLEBORGS LÄN</t>
        </is>
      </c>
      <c r="E2515" t="inlineStr">
        <is>
          <t>OVANÅKER</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18825-2024</t>
        </is>
      </c>
      <c r="B2516" s="1" t="n">
        <v>45426</v>
      </c>
      <c r="C2516" s="1" t="n">
        <v>45883</v>
      </c>
      <c r="D2516" t="inlineStr">
        <is>
          <t>GÄVLEBORGS LÄN</t>
        </is>
      </c>
      <c r="E2516" t="inlineStr">
        <is>
          <t>HUDIKSVALL</t>
        </is>
      </c>
      <c r="G2516" t="n">
        <v>0.3</v>
      </c>
      <c r="H2516" t="n">
        <v>0</v>
      </c>
      <c r="I2516" t="n">
        <v>0</v>
      </c>
      <c r="J2516" t="n">
        <v>0</v>
      </c>
      <c r="K2516" t="n">
        <v>0</v>
      </c>
      <c r="L2516" t="n">
        <v>0</v>
      </c>
      <c r="M2516" t="n">
        <v>0</v>
      </c>
      <c r="N2516" t="n">
        <v>0</v>
      </c>
      <c r="O2516" t="n">
        <v>0</v>
      </c>
      <c r="P2516" t="n">
        <v>0</v>
      </c>
      <c r="Q2516" t="n">
        <v>0</v>
      </c>
      <c r="R2516" s="2" t="inlineStr"/>
    </row>
    <row r="2517" ht="15" customHeight="1">
      <c r="A2517" t="inlineStr">
        <is>
          <t>A 18832-2024</t>
        </is>
      </c>
      <c r="B2517" s="1" t="n">
        <v>45426</v>
      </c>
      <c r="C2517" s="1" t="n">
        <v>45883</v>
      </c>
      <c r="D2517" t="inlineStr">
        <is>
          <t>GÄVLEBORGS LÄN</t>
        </is>
      </c>
      <c r="E2517" t="inlineStr">
        <is>
          <t>HUDIKSVALL</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5660-2023</t>
        </is>
      </c>
      <c r="B2518" s="1" t="n">
        <v>44960.62733796296</v>
      </c>
      <c r="C2518" s="1" t="n">
        <v>45883</v>
      </c>
      <c r="D2518" t="inlineStr">
        <is>
          <t>GÄVLEBORGS LÄN</t>
        </is>
      </c>
      <c r="E2518" t="inlineStr">
        <is>
          <t>NORDANSTIG</t>
        </is>
      </c>
      <c r="F2518" t="inlineStr">
        <is>
          <t>Holmen skog AB</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56766-2022</t>
        </is>
      </c>
      <c r="B2519" s="1" t="n">
        <v>44894</v>
      </c>
      <c r="C2519" s="1" t="n">
        <v>45883</v>
      </c>
      <c r="D2519" t="inlineStr">
        <is>
          <t>GÄVLEBORGS LÄN</t>
        </is>
      </c>
      <c r="E2519" t="inlineStr">
        <is>
          <t>LJUSDAL</t>
        </is>
      </c>
      <c r="F2519" t="inlineStr">
        <is>
          <t>Holmen skog AB</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49125-2023</t>
        </is>
      </c>
      <c r="B2520" s="1" t="n">
        <v>45210.46990740741</v>
      </c>
      <c r="C2520" s="1" t="n">
        <v>45883</v>
      </c>
      <c r="D2520" t="inlineStr">
        <is>
          <t>GÄVLEBORGS LÄN</t>
        </is>
      </c>
      <c r="E2520" t="inlineStr">
        <is>
          <t>OVANÅKER</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56813-2022</t>
        </is>
      </c>
      <c r="B2521" s="1" t="n">
        <v>44894.44023148148</v>
      </c>
      <c r="C2521" s="1" t="n">
        <v>45883</v>
      </c>
      <c r="D2521" t="inlineStr">
        <is>
          <t>GÄVLEBORGS LÄN</t>
        </is>
      </c>
      <c r="E2521" t="inlineStr">
        <is>
          <t>HUDIKSVALL</t>
        </is>
      </c>
      <c r="F2521" t="inlineStr">
        <is>
          <t>Kommuner</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52785-2023</t>
        </is>
      </c>
      <c r="B2522" s="1" t="n">
        <v>45226.34331018518</v>
      </c>
      <c r="C2522" s="1" t="n">
        <v>45883</v>
      </c>
      <c r="D2522" t="inlineStr">
        <is>
          <t>GÄVLEBORGS LÄN</t>
        </is>
      </c>
      <c r="E2522" t="inlineStr">
        <is>
          <t>SANDVIKEN</t>
        </is>
      </c>
      <c r="F2522" t="inlineStr">
        <is>
          <t>Bergvik skog öst AB</t>
        </is>
      </c>
      <c r="G2522" t="n">
        <v>5.4</v>
      </c>
      <c r="H2522" t="n">
        <v>0</v>
      </c>
      <c r="I2522" t="n">
        <v>0</v>
      </c>
      <c r="J2522" t="n">
        <v>0</v>
      </c>
      <c r="K2522" t="n">
        <v>0</v>
      </c>
      <c r="L2522" t="n">
        <v>0</v>
      </c>
      <c r="M2522" t="n">
        <v>0</v>
      </c>
      <c r="N2522" t="n">
        <v>0</v>
      </c>
      <c r="O2522" t="n">
        <v>0</v>
      </c>
      <c r="P2522" t="n">
        <v>0</v>
      </c>
      <c r="Q2522" t="n">
        <v>0</v>
      </c>
      <c r="R2522" s="2" t="inlineStr"/>
    </row>
    <row r="2523" ht="15" customHeight="1">
      <c r="A2523" t="inlineStr">
        <is>
          <t>A 12476-2021</t>
        </is>
      </c>
      <c r="B2523" s="1" t="n">
        <v>44267</v>
      </c>
      <c r="C2523" s="1" t="n">
        <v>45883</v>
      </c>
      <c r="D2523" t="inlineStr">
        <is>
          <t>GÄVLEBORGS LÄN</t>
        </is>
      </c>
      <c r="E2523" t="inlineStr">
        <is>
          <t>BOLLNÄS</t>
        </is>
      </c>
      <c r="G2523" t="n">
        <v>0.2</v>
      </c>
      <c r="H2523" t="n">
        <v>0</v>
      </c>
      <c r="I2523" t="n">
        <v>0</v>
      </c>
      <c r="J2523" t="n">
        <v>0</v>
      </c>
      <c r="K2523" t="n">
        <v>0</v>
      </c>
      <c r="L2523" t="n">
        <v>0</v>
      </c>
      <c r="M2523" t="n">
        <v>0</v>
      </c>
      <c r="N2523" t="n">
        <v>0</v>
      </c>
      <c r="O2523" t="n">
        <v>0</v>
      </c>
      <c r="P2523" t="n">
        <v>0</v>
      </c>
      <c r="Q2523" t="n">
        <v>0</v>
      </c>
      <c r="R2523" s="2" t="inlineStr"/>
    </row>
    <row r="2524" ht="15" customHeight="1">
      <c r="A2524" t="inlineStr">
        <is>
          <t>A 40486-2024</t>
        </is>
      </c>
      <c r="B2524" s="1" t="n">
        <v>45555.5541087963</v>
      </c>
      <c r="C2524" s="1" t="n">
        <v>45883</v>
      </c>
      <c r="D2524" t="inlineStr">
        <is>
          <t>GÄVLEBORGS LÄN</t>
        </is>
      </c>
      <c r="E2524" t="inlineStr">
        <is>
          <t>BOLLNÄS</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49211-2023</t>
        </is>
      </c>
      <c r="B2525" s="1" t="n">
        <v>45210.60303240741</v>
      </c>
      <c r="C2525" s="1" t="n">
        <v>45883</v>
      </c>
      <c r="D2525" t="inlineStr">
        <is>
          <t>GÄVLEBORGS LÄN</t>
        </is>
      </c>
      <c r="E2525" t="inlineStr">
        <is>
          <t>SANDVIKEN</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30336-2022</t>
        </is>
      </c>
      <c r="B2526" s="1" t="n">
        <v>44760.47226851852</v>
      </c>
      <c r="C2526" s="1" t="n">
        <v>45883</v>
      </c>
      <c r="D2526" t="inlineStr">
        <is>
          <t>GÄVLEBORGS LÄN</t>
        </is>
      </c>
      <c r="E2526" t="inlineStr">
        <is>
          <t>SÖDERHAMN</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42947-2022</t>
        </is>
      </c>
      <c r="B2527" s="1" t="n">
        <v>44833.38618055556</v>
      </c>
      <c r="C2527" s="1" t="n">
        <v>45883</v>
      </c>
      <c r="D2527" t="inlineStr">
        <is>
          <t>GÄVLEBORGS LÄN</t>
        </is>
      </c>
      <c r="E2527" t="inlineStr">
        <is>
          <t>NORDANSTIG</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42964-2022</t>
        </is>
      </c>
      <c r="B2528" s="1" t="n">
        <v>44833.41857638889</v>
      </c>
      <c r="C2528" s="1" t="n">
        <v>45883</v>
      </c>
      <c r="D2528" t="inlineStr">
        <is>
          <t>GÄVLEBORGS LÄN</t>
        </is>
      </c>
      <c r="E2528" t="inlineStr">
        <is>
          <t>LJUSDAL</t>
        </is>
      </c>
      <c r="F2528" t="inlineStr">
        <is>
          <t>Bergvik skog väst AB</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11643-2025</t>
        </is>
      </c>
      <c r="B2529" s="1" t="n">
        <v>45727.47241898148</v>
      </c>
      <c r="C2529" s="1" t="n">
        <v>45883</v>
      </c>
      <c r="D2529" t="inlineStr">
        <is>
          <t>GÄVLEBORGS LÄN</t>
        </is>
      </c>
      <c r="E2529" t="inlineStr">
        <is>
          <t>GÄVLE</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45822-2022</t>
        </is>
      </c>
      <c r="B2530" s="1" t="n">
        <v>44846</v>
      </c>
      <c r="C2530" s="1" t="n">
        <v>45883</v>
      </c>
      <c r="D2530" t="inlineStr">
        <is>
          <t>GÄVLEBORGS LÄN</t>
        </is>
      </c>
      <c r="E2530" t="inlineStr">
        <is>
          <t>SÖDERHAMN</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10081-2025</t>
        </is>
      </c>
      <c r="B2531" s="1" t="n">
        <v>45719</v>
      </c>
      <c r="C2531" s="1" t="n">
        <v>45883</v>
      </c>
      <c r="D2531" t="inlineStr">
        <is>
          <t>GÄVLEBORGS LÄN</t>
        </is>
      </c>
      <c r="E2531" t="inlineStr">
        <is>
          <t>NORDANSTIG</t>
        </is>
      </c>
      <c r="G2531" t="n">
        <v>6.4</v>
      </c>
      <c r="H2531" t="n">
        <v>0</v>
      </c>
      <c r="I2531" t="n">
        <v>0</v>
      </c>
      <c r="J2531" t="n">
        <v>0</v>
      </c>
      <c r="K2531" t="n">
        <v>0</v>
      </c>
      <c r="L2531" t="n">
        <v>0</v>
      </c>
      <c r="M2531" t="n">
        <v>0</v>
      </c>
      <c r="N2531" t="n">
        <v>0</v>
      </c>
      <c r="O2531" t="n">
        <v>0</v>
      </c>
      <c r="P2531" t="n">
        <v>0</v>
      </c>
      <c r="Q2531" t="n">
        <v>0</v>
      </c>
      <c r="R2531" s="2" t="inlineStr"/>
    </row>
    <row r="2532" ht="15" customHeight="1">
      <c r="A2532" t="inlineStr">
        <is>
          <t>A 25647-2024</t>
        </is>
      </c>
      <c r="B2532" s="1" t="n">
        <v>45463.6680324074</v>
      </c>
      <c r="C2532" s="1" t="n">
        <v>45883</v>
      </c>
      <c r="D2532" t="inlineStr">
        <is>
          <t>GÄVLEBORGS LÄN</t>
        </is>
      </c>
      <c r="E2532" t="inlineStr">
        <is>
          <t>HUDIKSVALL</t>
        </is>
      </c>
      <c r="F2532" t="inlineStr">
        <is>
          <t>Sveaskog</t>
        </is>
      </c>
      <c r="G2532" t="n">
        <v>7.7</v>
      </c>
      <c r="H2532" t="n">
        <v>0</v>
      </c>
      <c r="I2532" t="n">
        <v>0</v>
      </c>
      <c r="J2532" t="n">
        <v>0</v>
      </c>
      <c r="K2532" t="n">
        <v>0</v>
      </c>
      <c r="L2532" t="n">
        <v>0</v>
      </c>
      <c r="M2532" t="n">
        <v>0</v>
      </c>
      <c r="N2532" t="n">
        <v>0</v>
      </c>
      <c r="O2532" t="n">
        <v>0</v>
      </c>
      <c r="P2532" t="n">
        <v>0</v>
      </c>
      <c r="Q2532" t="n">
        <v>0</v>
      </c>
      <c r="R2532" s="2" t="inlineStr"/>
    </row>
    <row r="2533" ht="15" customHeight="1">
      <c r="A2533" t="inlineStr">
        <is>
          <t>A 35993-2024</t>
        </is>
      </c>
      <c r="B2533" s="1" t="n">
        <v>45533.53946759259</v>
      </c>
      <c r="C2533" s="1" t="n">
        <v>45883</v>
      </c>
      <c r="D2533" t="inlineStr">
        <is>
          <t>GÄVLEBORGS LÄN</t>
        </is>
      </c>
      <c r="E2533" t="inlineStr">
        <is>
          <t>OVANÅKER</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53796-2023</t>
        </is>
      </c>
      <c r="B2534" s="1" t="n">
        <v>45231.35012731481</v>
      </c>
      <c r="C2534" s="1" t="n">
        <v>45883</v>
      </c>
      <c r="D2534" t="inlineStr">
        <is>
          <t>GÄVLEBORGS LÄN</t>
        </is>
      </c>
      <c r="E2534" t="inlineStr">
        <is>
          <t>HUDIKSVALL</t>
        </is>
      </c>
      <c r="G2534" t="n">
        <v>17.6</v>
      </c>
      <c r="H2534" t="n">
        <v>0</v>
      </c>
      <c r="I2534" t="n">
        <v>0</v>
      </c>
      <c r="J2534" t="n">
        <v>0</v>
      </c>
      <c r="K2534" t="n">
        <v>0</v>
      </c>
      <c r="L2534" t="n">
        <v>0</v>
      </c>
      <c r="M2534" t="n">
        <v>0</v>
      </c>
      <c r="N2534" t="n">
        <v>0</v>
      </c>
      <c r="O2534" t="n">
        <v>0</v>
      </c>
      <c r="P2534" t="n">
        <v>0</v>
      </c>
      <c r="Q2534" t="n">
        <v>0</v>
      </c>
      <c r="R2534" s="2" t="inlineStr"/>
    </row>
    <row r="2535" ht="15" customHeight="1">
      <c r="A2535" t="inlineStr">
        <is>
          <t>A 53821-2023</t>
        </is>
      </c>
      <c r="B2535" s="1" t="n">
        <v>45231.40760416666</v>
      </c>
      <c r="C2535" s="1" t="n">
        <v>45883</v>
      </c>
      <c r="D2535" t="inlineStr">
        <is>
          <t>GÄVLEBORGS LÄN</t>
        </is>
      </c>
      <c r="E2535" t="inlineStr">
        <is>
          <t>OVANÅKER</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19518-2025</t>
        </is>
      </c>
      <c r="B2536" s="1" t="n">
        <v>45770.44512731482</v>
      </c>
      <c r="C2536" s="1" t="n">
        <v>45883</v>
      </c>
      <c r="D2536" t="inlineStr">
        <is>
          <t>GÄVLEBORGS LÄN</t>
        </is>
      </c>
      <c r="E2536" t="inlineStr">
        <is>
          <t>GÄVLE</t>
        </is>
      </c>
      <c r="G2536" t="n">
        <v>8.6</v>
      </c>
      <c r="H2536" t="n">
        <v>0</v>
      </c>
      <c r="I2536" t="n">
        <v>0</v>
      </c>
      <c r="J2536" t="n">
        <v>0</v>
      </c>
      <c r="K2536" t="n">
        <v>0</v>
      </c>
      <c r="L2536" t="n">
        <v>0</v>
      </c>
      <c r="M2536" t="n">
        <v>0</v>
      </c>
      <c r="N2536" t="n">
        <v>0</v>
      </c>
      <c r="O2536" t="n">
        <v>0</v>
      </c>
      <c r="P2536" t="n">
        <v>0</v>
      </c>
      <c r="Q2536" t="n">
        <v>0</v>
      </c>
      <c r="R2536" s="2" t="inlineStr"/>
    </row>
    <row r="2537" ht="15" customHeight="1">
      <c r="A2537" t="inlineStr">
        <is>
          <t>A 61351-2021</t>
        </is>
      </c>
      <c r="B2537" s="1" t="n">
        <v>44498.8419212963</v>
      </c>
      <c r="C2537" s="1" t="n">
        <v>45883</v>
      </c>
      <c r="D2537" t="inlineStr">
        <is>
          <t>GÄVLEBORGS LÄN</t>
        </is>
      </c>
      <c r="E2537" t="inlineStr">
        <is>
          <t>GÄVLE</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58240-2021</t>
        </is>
      </c>
      <c r="B2538" s="1" t="n">
        <v>44487.88978009259</v>
      </c>
      <c r="C2538" s="1" t="n">
        <v>45883</v>
      </c>
      <c r="D2538" t="inlineStr">
        <is>
          <t>GÄVLEBORGS LÄN</t>
        </is>
      </c>
      <c r="E2538" t="inlineStr">
        <is>
          <t>HOFORS</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9400-2024</t>
        </is>
      </c>
      <c r="B2539" s="1" t="n">
        <v>45359.42087962963</v>
      </c>
      <c r="C2539" s="1" t="n">
        <v>45883</v>
      </c>
      <c r="D2539" t="inlineStr">
        <is>
          <t>GÄVLEBORGS LÄN</t>
        </is>
      </c>
      <c r="E2539" t="inlineStr">
        <is>
          <t>HUDIKSVALL</t>
        </is>
      </c>
      <c r="F2539" t="inlineStr">
        <is>
          <t>Holmen skog AB</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64010-2023</t>
        </is>
      </c>
      <c r="B2540" s="1" t="n">
        <v>45278.92585648148</v>
      </c>
      <c r="C2540" s="1" t="n">
        <v>45883</v>
      </c>
      <c r="D2540" t="inlineStr">
        <is>
          <t>GÄVLEBORGS LÄN</t>
        </is>
      </c>
      <c r="E2540" t="inlineStr">
        <is>
          <t>HUDIKSVALL</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64019-2023</t>
        </is>
      </c>
      <c r="B2541" s="1" t="n">
        <v>45278.92652777778</v>
      </c>
      <c r="C2541" s="1" t="n">
        <v>45883</v>
      </c>
      <c r="D2541" t="inlineStr">
        <is>
          <t>GÄVLEBORGS LÄN</t>
        </is>
      </c>
      <c r="E2541" t="inlineStr">
        <is>
          <t>LJUSDAL</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7743-2025</t>
        </is>
      </c>
      <c r="B2542" s="1" t="n">
        <v>45706.47894675926</v>
      </c>
      <c r="C2542" s="1" t="n">
        <v>45883</v>
      </c>
      <c r="D2542" t="inlineStr">
        <is>
          <t>GÄVLEBORGS LÄN</t>
        </is>
      </c>
      <c r="E2542" t="inlineStr">
        <is>
          <t>GÄVLE</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7755-2025</t>
        </is>
      </c>
      <c r="B2543" s="1" t="n">
        <v>45706</v>
      </c>
      <c r="C2543" s="1" t="n">
        <v>45883</v>
      </c>
      <c r="D2543" t="inlineStr">
        <is>
          <t>GÄVLEBORGS LÄN</t>
        </is>
      </c>
      <c r="E2543" t="inlineStr">
        <is>
          <t>GÄVLE</t>
        </is>
      </c>
      <c r="F2543" t="inlineStr">
        <is>
          <t>Bergvik skog öst AB</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7768-2025</t>
        </is>
      </c>
      <c r="B2544" s="1" t="n">
        <v>45706.56024305556</v>
      </c>
      <c r="C2544" s="1" t="n">
        <v>45883</v>
      </c>
      <c r="D2544" t="inlineStr">
        <is>
          <t>GÄVLEBORGS LÄN</t>
        </is>
      </c>
      <c r="E2544" t="inlineStr">
        <is>
          <t>NORDANSTIG</t>
        </is>
      </c>
      <c r="G2544" t="n">
        <v>12.3</v>
      </c>
      <c r="H2544" t="n">
        <v>0</v>
      </c>
      <c r="I2544" t="n">
        <v>0</v>
      </c>
      <c r="J2544" t="n">
        <v>0</v>
      </c>
      <c r="K2544" t="n">
        <v>0</v>
      </c>
      <c r="L2544" t="n">
        <v>0</v>
      </c>
      <c r="M2544" t="n">
        <v>0</v>
      </c>
      <c r="N2544" t="n">
        <v>0</v>
      </c>
      <c r="O2544" t="n">
        <v>0</v>
      </c>
      <c r="P2544" t="n">
        <v>0</v>
      </c>
      <c r="Q2544" t="n">
        <v>0</v>
      </c>
      <c r="R2544" s="2" t="inlineStr"/>
    </row>
    <row r="2545" ht="15" customHeight="1">
      <c r="A2545" t="inlineStr">
        <is>
          <t>A 30877-2023</t>
        </is>
      </c>
      <c r="B2545" s="1" t="n">
        <v>45113.32282407407</v>
      </c>
      <c r="C2545" s="1" t="n">
        <v>45883</v>
      </c>
      <c r="D2545" t="inlineStr">
        <is>
          <t>GÄVLEBORGS LÄN</t>
        </is>
      </c>
      <c r="E2545" t="inlineStr">
        <is>
          <t>BOLLNÄS</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32722-2023</t>
        </is>
      </c>
      <c r="B2546" s="1" t="n">
        <v>45121.92335648148</v>
      </c>
      <c r="C2546" s="1" t="n">
        <v>45883</v>
      </c>
      <c r="D2546" t="inlineStr">
        <is>
          <t>GÄVLEBORGS LÄN</t>
        </is>
      </c>
      <c r="E2546" t="inlineStr">
        <is>
          <t>NORDANSTIG</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42712-2024</t>
        </is>
      </c>
      <c r="B2547" s="1" t="n">
        <v>45566.44934027778</v>
      </c>
      <c r="C2547" s="1" t="n">
        <v>45883</v>
      </c>
      <c r="D2547" t="inlineStr">
        <is>
          <t>GÄVLEBORGS LÄN</t>
        </is>
      </c>
      <c r="E2547" t="inlineStr">
        <is>
          <t>LJUSDAL</t>
        </is>
      </c>
      <c r="F2547" t="inlineStr">
        <is>
          <t>Kommuner</t>
        </is>
      </c>
      <c r="G2547" t="n">
        <v>6.9</v>
      </c>
      <c r="H2547" t="n">
        <v>0</v>
      </c>
      <c r="I2547" t="n">
        <v>0</v>
      </c>
      <c r="J2547" t="n">
        <v>0</v>
      </c>
      <c r="K2547" t="n">
        <v>0</v>
      </c>
      <c r="L2547" t="n">
        <v>0</v>
      </c>
      <c r="M2547" t="n">
        <v>0</v>
      </c>
      <c r="N2547" t="n">
        <v>0</v>
      </c>
      <c r="O2547" t="n">
        <v>0</v>
      </c>
      <c r="P2547" t="n">
        <v>0</v>
      </c>
      <c r="Q2547" t="n">
        <v>0</v>
      </c>
      <c r="R2547" s="2" t="inlineStr"/>
    </row>
    <row r="2548" ht="15" customHeight="1">
      <c r="A2548" t="inlineStr">
        <is>
          <t>A 10445-2024</t>
        </is>
      </c>
      <c r="B2548" s="1" t="n">
        <v>45366.33762731482</v>
      </c>
      <c r="C2548" s="1" t="n">
        <v>45883</v>
      </c>
      <c r="D2548" t="inlineStr">
        <is>
          <t>GÄVLEBORGS LÄN</t>
        </is>
      </c>
      <c r="E2548" t="inlineStr">
        <is>
          <t>OCKELBO</t>
        </is>
      </c>
      <c r="F2548" t="inlineStr">
        <is>
          <t>Bergvik skog väst AB</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59738-2022</t>
        </is>
      </c>
      <c r="B2549" s="1" t="n">
        <v>44908</v>
      </c>
      <c r="C2549" s="1" t="n">
        <v>45883</v>
      </c>
      <c r="D2549" t="inlineStr">
        <is>
          <t>GÄVLEBORGS LÄN</t>
        </is>
      </c>
      <c r="E2549" t="inlineStr">
        <is>
          <t>SANDVIKEN</t>
        </is>
      </c>
      <c r="G2549" t="n">
        <v>3.9</v>
      </c>
      <c r="H2549" t="n">
        <v>0</v>
      </c>
      <c r="I2549" t="n">
        <v>0</v>
      </c>
      <c r="J2549" t="n">
        <v>0</v>
      </c>
      <c r="K2549" t="n">
        <v>0</v>
      </c>
      <c r="L2549" t="n">
        <v>0</v>
      </c>
      <c r="M2549" t="n">
        <v>0</v>
      </c>
      <c r="N2549" t="n">
        <v>0</v>
      </c>
      <c r="O2549" t="n">
        <v>0</v>
      </c>
      <c r="P2549" t="n">
        <v>0</v>
      </c>
      <c r="Q2549" t="n">
        <v>0</v>
      </c>
      <c r="R2549" s="2" t="inlineStr"/>
    </row>
    <row r="2550" ht="15" customHeight="1">
      <c r="A2550" t="inlineStr">
        <is>
          <t>A 59741-2022</t>
        </is>
      </c>
      <c r="B2550" s="1" t="n">
        <v>44908</v>
      </c>
      <c r="C2550" s="1" t="n">
        <v>45883</v>
      </c>
      <c r="D2550" t="inlineStr">
        <is>
          <t>GÄVLEBORGS LÄN</t>
        </is>
      </c>
      <c r="E2550" t="inlineStr">
        <is>
          <t>HUDIKSVALL</t>
        </is>
      </c>
      <c r="G2550" t="n">
        <v>7.3</v>
      </c>
      <c r="H2550" t="n">
        <v>0</v>
      </c>
      <c r="I2550" t="n">
        <v>0</v>
      </c>
      <c r="J2550" t="n">
        <v>0</v>
      </c>
      <c r="K2550" t="n">
        <v>0</v>
      </c>
      <c r="L2550" t="n">
        <v>0</v>
      </c>
      <c r="M2550" t="n">
        <v>0</v>
      </c>
      <c r="N2550" t="n">
        <v>0</v>
      </c>
      <c r="O2550" t="n">
        <v>0</v>
      </c>
      <c r="P2550" t="n">
        <v>0</v>
      </c>
      <c r="Q2550" t="n">
        <v>0</v>
      </c>
      <c r="R2550" s="2" t="inlineStr"/>
    </row>
    <row r="2551" ht="15" customHeight="1">
      <c r="A2551" t="inlineStr">
        <is>
          <t>A 39424-2024</t>
        </is>
      </c>
      <c r="B2551" s="1" t="n">
        <v>45551.58315972222</v>
      </c>
      <c r="C2551" s="1" t="n">
        <v>45883</v>
      </c>
      <c r="D2551" t="inlineStr">
        <is>
          <t>GÄVLEBORGS LÄN</t>
        </is>
      </c>
      <c r="E2551" t="inlineStr">
        <is>
          <t>OCKELBO</t>
        </is>
      </c>
      <c r="G2551" t="n">
        <v>3.6</v>
      </c>
      <c r="H2551" t="n">
        <v>0</v>
      </c>
      <c r="I2551" t="n">
        <v>0</v>
      </c>
      <c r="J2551" t="n">
        <v>0</v>
      </c>
      <c r="K2551" t="n">
        <v>0</v>
      </c>
      <c r="L2551" t="n">
        <v>0</v>
      </c>
      <c r="M2551" t="n">
        <v>0</v>
      </c>
      <c r="N2551" t="n">
        <v>0</v>
      </c>
      <c r="O2551" t="n">
        <v>0</v>
      </c>
      <c r="P2551" t="n">
        <v>0</v>
      </c>
      <c r="Q2551" t="n">
        <v>0</v>
      </c>
      <c r="R2551" s="2" t="inlineStr"/>
    </row>
    <row r="2552" ht="15" customHeight="1">
      <c r="A2552" t="inlineStr">
        <is>
          <t>A 40487-2024</t>
        </is>
      </c>
      <c r="B2552" s="1" t="n">
        <v>45555.55648148148</v>
      </c>
      <c r="C2552" s="1" t="n">
        <v>45883</v>
      </c>
      <c r="D2552" t="inlineStr">
        <is>
          <t>GÄVLEBORGS LÄN</t>
        </is>
      </c>
      <c r="E2552" t="inlineStr">
        <is>
          <t>BOLLNÄS</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49954-2024</t>
        </is>
      </c>
      <c r="B2553" s="1" t="n">
        <v>45597.61638888889</v>
      </c>
      <c r="C2553" s="1" t="n">
        <v>45883</v>
      </c>
      <c r="D2553" t="inlineStr">
        <is>
          <t>GÄVLEBORGS LÄN</t>
        </is>
      </c>
      <c r="E2553" t="inlineStr">
        <is>
          <t>SÖDERHAMN</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49961-2024</t>
        </is>
      </c>
      <c r="B2554" s="1" t="n">
        <v>45597.62934027778</v>
      </c>
      <c r="C2554" s="1" t="n">
        <v>45883</v>
      </c>
      <c r="D2554" t="inlineStr">
        <is>
          <t>GÄVLEBORGS LÄN</t>
        </is>
      </c>
      <c r="E2554" t="inlineStr">
        <is>
          <t>SÖDERHAMN</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35071-2023</t>
        </is>
      </c>
      <c r="B2555" s="1" t="n">
        <v>45145.42189814815</v>
      </c>
      <c r="C2555" s="1" t="n">
        <v>45883</v>
      </c>
      <c r="D2555" t="inlineStr">
        <is>
          <t>GÄVLEBORGS LÄN</t>
        </is>
      </c>
      <c r="E2555" t="inlineStr">
        <is>
          <t>BOLLNÄS</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3404-2025</t>
        </is>
      </c>
      <c r="B2556" s="1" t="n">
        <v>45680.37916666667</v>
      </c>
      <c r="C2556" s="1" t="n">
        <v>45883</v>
      </c>
      <c r="D2556" t="inlineStr">
        <is>
          <t>GÄVLEBORGS LÄN</t>
        </is>
      </c>
      <c r="E2556" t="inlineStr">
        <is>
          <t>NORDANSTIG</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17088-2023</t>
        </is>
      </c>
      <c r="B2557" s="1" t="n">
        <v>45034.52115740741</v>
      </c>
      <c r="C2557" s="1" t="n">
        <v>45883</v>
      </c>
      <c r="D2557" t="inlineStr">
        <is>
          <t>GÄVLEBORGS LÄN</t>
        </is>
      </c>
      <c r="E2557" t="inlineStr">
        <is>
          <t>GÄVLE</t>
        </is>
      </c>
      <c r="F2557" t="inlineStr">
        <is>
          <t>Bergvik skog öst AB</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4980-2025</t>
        </is>
      </c>
      <c r="B2558" s="1" t="n">
        <v>45691.24708333334</v>
      </c>
      <c r="C2558" s="1" t="n">
        <v>45883</v>
      </c>
      <c r="D2558" t="inlineStr">
        <is>
          <t>GÄVLEBORGS LÄN</t>
        </is>
      </c>
      <c r="E2558" t="inlineStr">
        <is>
          <t>OVANÅKER</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13806-2024</t>
        </is>
      </c>
      <c r="B2559" s="1" t="n">
        <v>45391.39333333333</v>
      </c>
      <c r="C2559" s="1" t="n">
        <v>45883</v>
      </c>
      <c r="D2559" t="inlineStr">
        <is>
          <t>GÄVLEBORGS LÄN</t>
        </is>
      </c>
      <c r="E2559" t="inlineStr">
        <is>
          <t>HUDIKSVALL</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4287-2021</t>
        </is>
      </c>
      <c r="B2560" s="1" t="n">
        <v>44223</v>
      </c>
      <c r="C2560" s="1" t="n">
        <v>45883</v>
      </c>
      <c r="D2560" t="inlineStr">
        <is>
          <t>GÄVLEBORGS LÄN</t>
        </is>
      </c>
      <c r="E2560" t="inlineStr">
        <is>
          <t>OVANÅKER</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16713-2021</t>
        </is>
      </c>
      <c r="B2561" s="1" t="n">
        <v>44294.64568287037</v>
      </c>
      <c r="C2561" s="1" t="n">
        <v>45883</v>
      </c>
      <c r="D2561" t="inlineStr">
        <is>
          <t>GÄVLEBORGS LÄN</t>
        </is>
      </c>
      <c r="E2561" t="inlineStr">
        <is>
          <t>GÄVLE</t>
        </is>
      </c>
      <c r="F2561" t="inlineStr">
        <is>
          <t>Bergvik skog öst AB</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31876-2023</t>
        </is>
      </c>
      <c r="B2562" s="1" t="n">
        <v>45118.6359375</v>
      </c>
      <c r="C2562" s="1" t="n">
        <v>45883</v>
      </c>
      <c r="D2562" t="inlineStr">
        <is>
          <t>GÄVLEBORGS LÄN</t>
        </is>
      </c>
      <c r="E2562" t="inlineStr">
        <is>
          <t>HUDIKSVALL</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9135-2023</t>
        </is>
      </c>
      <c r="B2563" s="1" t="n">
        <v>44980.34918981481</v>
      </c>
      <c r="C2563" s="1" t="n">
        <v>45883</v>
      </c>
      <c r="D2563" t="inlineStr">
        <is>
          <t>GÄVLEBORGS LÄN</t>
        </is>
      </c>
      <c r="E2563" t="inlineStr">
        <is>
          <t>HUDIKSVALL</t>
        </is>
      </c>
      <c r="F2563" t="inlineStr">
        <is>
          <t>Holmen skog AB</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9172-2023</t>
        </is>
      </c>
      <c r="B2564" s="1" t="n">
        <v>44980.42094907408</v>
      </c>
      <c r="C2564" s="1" t="n">
        <v>45883</v>
      </c>
      <c r="D2564" t="inlineStr">
        <is>
          <t>GÄVLEBORGS LÄN</t>
        </is>
      </c>
      <c r="E2564" t="inlineStr">
        <is>
          <t>HUDIKSVALL</t>
        </is>
      </c>
      <c r="F2564" t="inlineStr">
        <is>
          <t>Holmen skog AB</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6853-2024</t>
        </is>
      </c>
      <c r="B2565" s="1" t="n">
        <v>45342</v>
      </c>
      <c r="C2565" s="1" t="n">
        <v>45883</v>
      </c>
      <c r="D2565" t="inlineStr">
        <is>
          <t>GÄVLEBORGS LÄN</t>
        </is>
      </c>
      <c r="E2565" t="inlineStr">
        <is>
          <t>SÖDERHAMN</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6958-2024</t>
        </is>
      </c>
      <c r="B2566" s="1" t="n">
        <v>45343</v>
      </c>
      <c r="C2566" s="1" t="n">
        <v>45883</v>
      </c>
      <c r="D2566" t="inlineStr">
        <is>
          <t>GÄVLEBORGS LÄN</t>
        </is>
      </c>
      <c r="E2566" t="inlineStr">
        <is>
          <t>HOFORS</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64587-2023</t>
        </is>
      </c>
      <c r="B2567" s="1" t="n">
        <v>45281.46988425926</v>
      </c>
      <c r="C2567" s="1" t="n">
        <v>45883</v>
      </c>
      <c r="D2567" t="inlineStr">
        <is>
          <t>GÄVLEBORGS LÄN</t>
        </is>
      </c>
      <c r="E2567" t="inlineStr">
        <is>
          <t>SANDVIKEN</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64593-2023</t>
        </is>
      </c>
      <c r="B2568" s="1" t="n">
        <v>45281</v>
      </c>
      <c r="C2568" s="1" t="n">
        <v>45883</v>
      </c>
      <c r="D2568" t="inlineStr">
        <is>
          <t>GÄVLEBORGS LÄN</t>
        </is>
      </c>
      <c r="E2568" t="inlineStr">
        <is>
          <t>HUDIKSVALL</t>
        </is>
      </c>
      <c r="F2568" t="inlineStr">
        <is>
          <t>Holmen skog AB</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39440-2024</t>
        </is>
      </c>
      <c r="B2569" s="1" t="n">
        <v>45551.6096875</v>
      </c>
      <c r="C2569" s="1" t="n">
        <v>45883</v>
      </c>
      <c r="D2569" t="inlineStr">
        <is>
          <t>GÄVLEBORGS LÄN</t>
        </is>
      </c>
      <c r="E2569" t="inlineStr">
        <is>
          <t>HUDIKSVALL</t>
        </is>
      </c>
      <c r="F2569" t="inlineStr">
        <is>
          <t>Holmen skog AB</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16968-2023</t>
        </is>
      </c>
      <c r="B2570" s="1" t="n">
        <v>45033</v>
      </c>
      <c r="C2570" s="1" t="n">
        <v>45883</v>
      </c>
      <c r="D2570" t="inlineStr">
        <is>
          <t>GÄVLEBORGS LÄN</t>
        </is>
      </c>
      <c r="E2570" t="inlineStr">
        <is>
          <t>OVANÅKER</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45701-2021</t>
        </is>
      </c>
      <c r="B2571" s="1" t="n">
        <v>44441.38833333334</v>
      </c>
      <c r="C2571" s="1" t="n">
        <v>45883</v>
      </c>
      <c r="D2571" t="inlineStr">
        <is>
          <t>GÄVLEBORGS LÄN</t>
        </is>
      </c>
      <c r="E2571" t="inlineStr">
        <is>
          <t>LJUSDAL</t>
        </is>
      </c>
      <c r="F2571" t="inlineStr">
        <is>
          <t>Allmännings- och besparingsskogar</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49966-2024</t>
        </is>
      </c>
      <c r="B2572" s="1" t="n">
        <v>45597.63407407407</v>
      </c>
      <c r="C2572" s="1" t="n">
        <v>45883</v>
      </c>
      <c r="D2572" t="inlineStr">
        <is>
          <t>GÄVLEBORGS LÄN</t>
        </is>
      </c>
      <c r="E2572" t="inlineStr">
        <is>
          <t>SÖDERHAMN</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47924-2021</t>
        </is>
      </c>
      <c r="B2573" s="1" t="n">
        <v>44448</v>
      </c>
      <c r="C2573" s="1" t="n">
        <v>45883</v>
      </c>
      <c r="D2573" t="inlineStr">
        <is>
          <t>GÄVLEBORGS LÄN</t>
        </is>
      </c>
      <c r="E2573" t="inlineStr">
        <is>
          <t>LJUSDAL</t>
        </is>
      </c>
      <c r="G2573" t="n">
        <v>6</v>
      </c>
      <c r="H2573" t="n">
        <v>0</v>
      </c>
      <c r="I2573" t="n">
        <v>0</v>
      </c>
      <c r="J2573" t="n">
        <v>0</v>
      </c>
      <c r="K2573" t="n">
        <v>0</v>
      </c>
      <c r="L2573" t="n">
        <v>0</v>
      </c>
      <c r="M2573" t="n">
        <v>0</v>
      </c>
      <c r="N2573" t="n">
        <v>0</v>
      </c>
      <c r="O2573" t="n">
        <v>0</v>
      </c>
      <c r="P2573" t="n">
        <v>0</v>
      </c>
      <c r="Q2573" t="n">
        <v>0</v>
      </c>
      <c r="R2573" s="2" t="inlineStr"/>
    </row>
    <row r="2574" ht="15" customHeight="1">
      <c r="A2574" t="inlineStr">
        <is>
          <t>A 1474-2022</t>
        </is>
      </c>
      <c r="B2574" s="1" t="n">
        <v>44573.50443287037</v>
      </c>
      <c r="C2574" s="1" t="n">
        <v>45883</v>
      </c>
      <c r="D2574" t="inlineStr">
        <is>
          <t>GÄVLEBORGS LÄN</t>
        </is>
      </c>
      <c r="E2574" t="inlineStr">
        <is>
          <t>BOLLNÄS</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1483-2022</t>
        </is>
      </c>
      <c r="B2575" s="1" t="n">
        <v>44573.52768518519</v>
      </c>
      <c r="C2575" s="1" t="n">
        <v>45883</v>
      </c>
      <c r="D2575" t="inlineStr">
        <is>
          <t>GÄVLEBORGS LÄN</t>
        </is>
      </c>
      <c r="E2575" t="inlineStr">
        <is>
          <t>NORDANSTIG</t>
        </is>
      </c>
      <c r="G2575" t="n">
        <v>7.8</v>
      </c>
      <c r="H2575" t="n">
        <v>0</v>
      </c>
      <c r="I2575" t="n">
        <v>0</v>
      </c>
      <c r="J2575" t="n">
        <v>0</v>
      </c>
      <c r="K2575" t="n">
        <v>0</v>
      </c>
      <c r="L2575" t="n">
        <v>0</v>
      </c>
      <c r="M2575" t="n">
        <v>0</v>
      </c>
      <c r="N2575" t="n">
        <v>0</v>
      </c>
      <c r="O2575" t="n">
        <v>0</v>
      </c>
      <c r="P2575" t="n">
        <v>0</v>
      </c>
      <c r="Q2575" t="n">
        <v>0</v>
      </c>
      <c r="R2575" s="2" t="inlineStr"/>
    </row>
    <row r="2576" ht="15" customHeight="1">
      <c r="A2576" t="inlineStr">
        <is>
          <t>A 23643-2024</t>
        </is>
      </c>
      <c r="B2576" s="1" t="n">
        <v>45454.49773148148</v>
      </c>
      <c r="C2576" s="1" t="n">
        <v>45883</v>
      </c>
      <c r="D2576" t="inlineStr">
        <is>
          <t>GÄVLEBORGS LÄN</t>
        </is>
      </c>
      <c r="E2576" t="inlineStr">
        <is>
          <t>GÄVLE</t>
        </is>
      </c>
      <c r="G2576" t="n">
        <v>4.5</v>
      </c>
      <c r="H2576" t="n">
        <v>0</v>
      </c>
      <c r="I2576" t="n">
        <v>0</v>
      </c>
      <c r="J2576" t="n">
        <v>0</v>
      </c>
      <c r="K2576" t="n">
        <v>0</v>
      </c>
      <c r="L2576" t="n">
        <v>0</v>
      </c>
      <c r="M2576" t="n">
        <v>0</v>
      </c>
      <c r="N2576" t="n">
        <v>0</v>
      </c>
      <c r="O2576" t="n">
        <v>0</v>
      </c>
      <c r="P2576" t="n">
        <v>0</v>
      </c>
      <c r="Q2576" t="n">
        <v>0</v>
      </c>
      <c r="R2576" s="2" t="inlineStr"/>
    </row>
    <row r="2577" ht="15" customHeight="1">
      <c r="A2577" t="inlineStr">
        <is>
          <t>A 48110-2022</t>
        </is>
      </c>
      <c r="B2577" s="1" t="n">
        <v>44856.96982638889</v>
      </c>
      <c r="C2577" s="1" t="n">
        <v>45883</v>
      </c>
      <c r="D2577" t="inlineStr">
        <is>
          <t>GÄVLEBORGS LÄN</t>
        </is>
      </c>
      <c r="E2577" t="inlineStr">
        <is>
          <t>BOLLNÄS</t>
        </is>
      </c>
      <c r="F2577" t="inlineStr">
        <is>
          <t>Bergvik skog väst AB</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58796-2024</t>
        </is>
      </c>
      <c r="B2578" s="1" t="n">
        <v>45636.29079861111</v>
      </c>
      <c r="C2578" s="1" t="n">
        <v>45883</v>
      </c>
      <c r="D2578" t="inlineStr">
        <is>
          <t>GÄVLEBORGS LÄN</t>
        </is>
      </c>
      <c r="E2578" t="inlineStr">
        <is>
          <t>SANDVIKEN</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47746-2023</t>
        </is>
      </c>
      <c r="B2579" s="1" t="n">
        <v>45203</v>
      </c>
      <c r="C2579" s="1" t="n">
        <v>45883</v>
      </c>
      <c r="D2579" t="inlineStr">
        <is>
          <t>GÄVLEBORGS LÄN</t>
        </is>
      </c>
      <c r="E2579" t="inlineStr">
        <is>
          <t>GÄVLE</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60700-2023</t>
        </is>
      </c>
      <c r="B2580" s="1" t="n">
        <v>45260.50872685185</v>
      </c>
      <c r="C2580" s="1" t="n">
        <v>45883</v>
      </c>
      <c r="D2580" t="inlineStr">
        <is>
          <t>GÄVLEBORGS LÄN</t>
        </is>
      </c>
      <c r="E2580" t="inlineStr">
        <is>
          <t>SANDVIKEN</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28965-2024</t>
        </is>
      </c>
      <c r="B2581" s="1" t="n">
        <v>45481.43787037037</v>
      </c>
      <c r="C2581" s="1" t="n">
        <v>45883</v>
      </c>
      <c r="D2581" t="inlineStr">
        <is>
          <t>GÄVLEBORGS LÄN</t>
        </is>
      </c>
      <c r="E2581" t="inlineStr">
        <is>
          <t>OCKELBO</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5561-2022</t>
        </is>
      </c>
      <c r="B2582" s="1" t="n">
        <v>44595</v>
      </c>
      <c r="C2582" s="1" t="n">
        <v>45883</v>
      </c>
      <c r="D2582" t="inlineStr">
        <is>
          <t>GÄVLEBORGS LÄN</t>
        </is>
      </c>
      <c r="E2582" t="inlineStr">
        <is>
          <t>BOLLNÄS</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53852-2023</t>
        </is>
      </c>
      <c r="B2583" s="1" t="n">
        <v>45231.46224537037</v>
      </c>
      <c r="C2583" s="1" t="n">
        <v>45883</v>
      </c>
      <c r="D2583" t="inlineStr">
        <is>
          <t>GÄVLEBORGS LÄN</t>
        </is>
      </c>
      <c r="E2583" t="inlineStr">
        <is>
          <t>LJUSDAL</t>
        </is>
      </c>
      <c r="G2583" t="n">
        <v>0.1</v>
      </c>
      <c r="H2583" t="n">
        <v>0</v>
      </c>
      <c r="I2583" t="n">
        <v>0</v>
      </c>
      <c r="J2583" t="n">
        <v>0</v>
      </c>
      <c r="K2583" t="n">
        <v>0</v>
      </c>
      <c r="L2583" t="n">
        <v>0</v>
      </c>
      <c r="M2583" t="n">
        <v>0</v>
      </c>
      <c r="N2583" t="n">
        <v>0</v>
      </c>
      <c r="O2583" t="n">
        <v>0</v>
      </c>
      <c r="P2583" t="n">
        <v>0</v>
      </c>
      <c r="Q2583" t="n">
        <v>0</v>
      </c>
      <c r="R2583" s="2" t="inlineStr"/>
    </row>
    <row r="2584" ht="15" customHeight="1">
      <c r="A2584" t="inlineStr">
        <is>
          <t>A 7297-2025</t>
        </is>
      </c>
      <c r="B2584" s="1" t="n">
        <v>45702.65013888889</v>
      </c>
      <c r="C2584" s="1" t="n">
        <v>45883</v>
      </c>
      <c r="D2584" t="inlineStr">
        <is>
          <t>GÄVLEBORGS LÄN</t>
        </is>
      </c>
      <c r="E2584" t="inlineStr">
        <is>
          <t>GÄVLE</t>
        </is>
      </c>
      <c r="F2584" t="inlineStr">
        <is>
          <t>Bergvik skog öst AB</t>
        </is>
      </c>
      <c r="G2584" t="n">
        <v>11.5</v>
      </c>
      <c r="H2584" t="n">
        <v>0</v>
      </c>
      <c r="I2584" t="n">
        <v>0</v>
      </c>
      <c r="J2584" t="n">
        <v>0</v>
      </c>
      <c r="K2584" t="n">
        <v>0</v>
      </c>
      <c r="L2584" t="n">
        <v>0</v>
      </c>
      <c r="M2584" t="n">
        <v>0</v>
      </c>
      <c r="N2584" t="n">
        <v>0</v>
      </c>
      <c r="O2584" t="n">
        <v>0</v>
      </c>
      <c r="P2584" t="n">
        <v>0</v>
      </c>
      <c r="Q2584" t="n">
        <v>0</v>
      </c>
      <c r="R2584" s="2" t="inlineStr"/>
    </row>
    <row r="2585" ht="15" customHeight="1">
      <c r="A2585" t="inlineStr">
        <is>
          <t>A 24838-2024</t>
        </is>
      </c>
      <c r="B2585" s="1" t="n">
        <v>45461.40820601852</v>
      </c>
      <c r="C2585" s="1" t="n">
        <v>45883</v>
      </c>
      <c r="D2585" t="inlineStr">
        <is>
          <t>GÄVLEBORGS LÄN</t>
        </is>
      </c>
      <c r="E2585" t="inlineStr">
        <is>
          <t>LJUSDAL</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53702-2024</t>
        </is>
      </c>
      <c r="B2586" s="1" t="n">
        <v>45615.39707175926</v>
      </c>
      <c r="C2586" s="1" t="n">
        <v>45883</v>
      </c>
      <c r="D2586" t="inlineStr">
        <is>
          <t>GÄVLEBORGS LÄN</t>
        </is>
      </c>
      <c r="E2586" t="inlineStr">
        <is>
          <t>OCKELBO</t>
        </is>
      </c>
      <c r="G2586" t="n">
        <v>5.8</v>
      </c>
      <c r="H2586" t="n">
        <v>0</v>
      </c>
      <c r="I2586" t="n">
        <v>0</v>
      </c>
      <c r="J2586" t="n">
        <v>0</v>
      </c>
      <c r="K2586" t="n">
        <v>0</v>
      </c>
      <c r="L2586" t="n">
        <v>0</v>
      </c>
      <c r="M2586" t="n">
        <v>0</v>
      </c>
      <c r="N2586" t="n">
        <v>0</v>
      </c>
      <c r="O2586" t="n">
        <v>0</v>
      </c>
      <c r="P2586" t="n">
        <v>0</v>
      </c>
      <c r="Q2586" t="n">
        <v>0</v>
      </c>
      <c r="R2586" s="2" t="inlineStr"/>
    </row>
    <row r="2587" ht="15" customHeight="1">
      <c r="A2587" t="inlineStr">
        <is>
          <t>A 25724-2024</t>
        </is>
      </c>
      <c r="B2587" s="1" t="n">
        <v>45463.95799768518</v>
      </c>
      <c r="C2587" s="1" t="n">
        <v>45883</v>
      </c>
      <c r="D2587" t="inlineStr">
        <is>
          <t>GÄVLEBORGS LÄN</t>
        </is>
      </c>
      <c r="E2587" t="inlineStr">
        <is>
          <t>NORDANSTIG</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17843-2023</t>
        </is>
      </c>
      <c r="B2588" s="1" t="n">
        <v>45037</v>
      </c>
      <c r="C2588" s="1" t="n">
        <v>45883</v>
      </c>
      <c r="D2588" t="inlineStr">
        <is>
          <t>GÄVLEBORGS LÄN</t>
        </is>
      </c>
      <c r="E2588" t="inlineStr">
        <is>
          <t>NORDANSTIG</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32255-2023</t>
        </is>
      </c>
      <c r="B2589" s="1" t="n">
        <v>45120.29087962963</v>
      </c>
      <c r="C2589" s="1" t="n">
        <v>45883</v>
      </c>
      <c r="D2589" t="inlineStr">
        <is>
          <t>GÄVLEBORGS LÄN</t>
        </is>
      </c>
      <c r="E2589" t="inlineStr">
        <is>
          <t>GÄVLE</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58141-2024</t>
        </is>
      </c>
      <c r="B2590" s="1" t="n">
        <v>45632.42275462963</v>
      </c>
      <c r="C2590" s="1" t="n">
        <v>45883</v>
      </c>
      <c r="D2590" t="inlineStr">
        <is>
          <t>GÄVLEBORGS LÄN</t>
        </is>
      </c>
      <c r="E2590" t="inlineStr">
        <is>
          <t>SÖDERHAMN</t>
        </is>
      </c>
      <c r="F2590" t="inlineStr">
        <is>
          <t>Bergvik skog väst AB</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64727-2023</t>
        </is>
      </c>
      <c r="B2591" s="1" t="n">
        <v>45281.76929398148</v>
      </c>
      <c r="C2591" s="1" t="n">
        <v>45883</v>
      </c>
      <c r="D2591" t="inlineStr">
        <is>
          <t>GÄVLEBORGS LÄN</t>
        </is>
      </c>
      <c r="E2591" t="inlineStr">
        <is>
          <t>HUDIKSVALL</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60884-2022</t>
        </is>
      </c>
      <c r="B2592" s="1" t="n">
        <v>44914.56515046296</v>
      </c>
      <c r="C2592" s="1" t="n">
        <v>45883</v>
      </c>
      <c r="D2592" t="inlineStr">
        <is>
          <t>GÄVLEBORGS LÄN</t>
        </is>
      </c>
      <c r="E2592" t="inlineStr">
        <is>
          <t>BOLLNÄS</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29205-2023</t>
        </is>
      </c>
      <c r="B2593" s="1" t="n">
        <v>45105.56778935185</v>
      </c>
      <c r="C2593" s="1" t="n">
        <v>45883</v>
      </c>
      <c r="D2593" t="inlineStr">
        <is>
          <t>GÄVLEBORGS LÄN</t>
        </is>
      </c>
      <c r="E2593" t="inlineStr">
        <is>
          <t>LJUSDAL</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60908-2022</t>
        </is>
      </c>
      <c r="B2594" s="1" t="n">
        <v>44914</v>
      </c>
      <c r="C2594" s="1" t="n">
        <v>45883</v>
      </c>
      <c r="D2594" t="inlineStr">
        <is>
          <t>GÄVLEBORGS LÄN</t>
        </is>
      </c>
      <c r="E2594" t="inlineStr">
        <is>
          <t>SANDVIKEN</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30224-2023</t>
        </is>
      </c>
      <c r="B2595" s="1" t="n">
        <v>45110</v>
      </c>
      <c r="C2595" s="1" t="n">
        <v>45883</v>
      </c>
      <c r="D2595" t="inlineStr">
        <is>
          <t>GÄVLEBORGS LÄN</t>
        </is>
      </c>
      <c r="E2595" t="inlineStr">
        <is>
          <t>BOLLNÄS</t>
        </is>
      </c>
      <c r="G2595" t="n">
        <v>5.2</v>
      </c>
      <c r="H2595" t="n">
        <v>0</v>
      </c>
      <c r="I2595" t="n">
        <v>0</v>
      </c>
      <c r="J2595" t="n">
        <v>0</v>
      </c>
      <c r="K2595" t="n">
        <v>0</v>
      </c>
      <c r="L2595" t="n">
        <v>0</v>
      </c>
      <c r="M2595" t="n">
        <v>0</v>
      </c>
      <c r="N2595" t="n">
        <v>0</v>
      </c>
      <c r="O2595" t="n">
        <v>0</v>
      </c>
      <c r="P2595" t="n">
        <v>0</v>
      </c>
      <c r="Q2595" t="n">
        <v>0</v>
      </c>
      <c r="R2595" s="2" t="inlineStr"/>
    </row>
    <row r="2596" ht="15" customHeight="1">
      <c r="A2596" t="inlineStr">
        <is>
          <t>A 31724-2024</t>
        </is>
      </c>
      <c r="B2596" s="1" t="n">
        <v>45509.33159722222</v>
      </c>
      <c r="C2596" s="1" t="n">
        <v>45883</v>
      </c>
      <c r="D2596" t="inlineStr">
        <is>
          <t>GÄVLEBORGS LÄN</t>
        </is>
      </c>
      <c r="E2596" t="inlineStr">
        <is>
          <t>NORDANSTIG</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12815-2023</t>
        </is>
      </c>
      <c r="B2597" s="1" t="n">
        <v>45001</v>
      </c>
      <c r="C2597" s="1" t="n">
        <v>45883</v>
      </c>
      <c r="D2597" t="inlineStr">
        <is>
          <t>GÄVLEBORGS LÄN</t>
        </is>
      </c>
      <c r="E2597" t="inlineStr">
        <is>
          <t>NORDANSTIG</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30242-2024</t>
        </is>
      </c>
      <c r="B2598" s="1" t="n">
        <v>45490</v>
      </c>
      <c r="C2598" s="1" t="n">
        <v>45883</v>
      </c>
      <c r="D2598" t="inlineStr">
        <is>
          <t>GÄVLEBORGS LÄN</t>
        </is>
      </c>
      <c r="E2598" t="inlineStr">
        <is>
          <t>OCKELBO</t>
        </is>
      </c>
      <c r="F2598" t="inlineStr">
        <is>
          <t>Bergvik skog väst AB</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10575-2025</t>
        </is>
      </c>
      <c r="B2599" s="1" t="n">
        <v>45721.54357638889</v>
      </c>
      <c r="C2599" s="1" t="n">
        <v>45883</v>
      </c>
      <c r="D2599" t="inlineStr">
        <is>
          <t>GÄVLEBORGS LÄN</t>
        </is>
      </c>
      <c r="E2599" t="inlineStr">
        <is>
          <t>SANDVIKEN</t>
        </is>
      </c>
      <c r="F2599" t="inlineStr">
        <is>
          <t>Sveaskog</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10580-2025</t>
        </is>
      </c>
      <c r="B2600" s="1" t="n">
        <v>45721.54834490741</v>
      </c>
      <c r="C2600" s="1" t="n">
        <v>45883</v>
      </c>
      <c r="D2600" t="inlineStr">
        <is>
          <t>GÄVLEBORGS LÄN</t>
        </is>
      </c>
      <c r="E2600" t="inlineStr">
        <is>
          <t>SANDVIKEN</t>
        </is>
      </c>
      <c r="F2600" t="inlineStr">
        <is>
          <t>Sveaskog</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30083-2024</t>
        </is>
      </c>
      <c r="B2601" s="1" t="n">
        <v>45489</v>
      </c>
      <c r="C2601" s="1" t="n">
        <v>45883</v>
      </c>
      <c r="D2601" t="inlineStr">
        <is>
          <t>GÄVLEBORGS LÄN</t>
        </is>
      </c>
      <c r="E2601" t="inlineStr">
        <is>
          <t>HUDIKSVALL</t>
        </is>
      </c>
      <c r="F2601" t="inlineStr">
        <is>
          <t>Holmen skog AB</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36048-2024</t>
        </is>
      </c>
      <c r="B2602" s="1" t="n">
        <v>45533.61841435185</v>
      </c>
      <c r="C2602" s="1" t="n">
        <v>45883</v>
      </c>
      <c r="D2602" t="inlineStr">
        <is>
          <t>GÄVLEBORGS LÄN</t>
        </is>
      </c>
      <c r="E2602" t="inlineStr">
        <is>
          <t>OVANÅKER</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54171-2023</t>
        </is>
      </c>
      <c r="B2603" s="1" t="n">
        <v>45232.48421296296</v>
      </c>
      <c r="C2603" s="1" t="n">
        <v>45883</v>
      </c>
      <c r="D2603" t="inlineStr">
        <is>
          <t>GÄVLEBORGS LÄN</t>
        </is>
      </c>
      <c r="E2603" t="inlineStr">
        <is>
          <t>HUDIKSVALL</t>
        </is>
      </c>
      <c r="G2603" t="n">
        <v>4.6</v>
      </c>
      <c r="H2603" t="n">
        <v>0</v>
      </c>
      <c r="I2603" t="n">
        <v>0</v>
      </c>
      <c r="J2603" t="n">
        <v>0</v>
      </c>
      <c r="K2603" t="n">
        <v>0</v>
      </c>
      <c r="L2603" t="n">
        <v>0</v>
      </c>
      <c r="M2603" t="n">
        <v>0</v>
      </c>
      <c r="N2603" t="n">
        <v>0</v>
      </c>
      <c r="O2603" t="n">
        <v>0</v>
      </c>
      <c r="P2603" t="n">
        <v>0</v>
      </c>
      <c r="Q2603" t="n">
        <v>0</v>
      </c>
      <c r="R2603" s="2" t="inlineStr"/>
    </row>
    <row r="2604" ht="15" customHeight="1">
      <c r="A2604" t="inlineStr">
        <is>
          <t>A 24158-2021</t>
        </is>
      </c>
      <c r="B2604" s="1" t="n">
        <v>44336</v>
      </c>
      <c r="C2604" s="1" t="n">
        <v>45883</v>
      </c>
      <c r="D2604" t="inlineStr">
        <is>
          <t>GÄVLEBORGS LÄN</t>
        </is>
      </c>
      <c r="E2604" t="inlineStr">
        <is>
          <t>LJUSDAL</t>
        </is>
      </c>
      <c r="G2604" t="n">
        <v>9</v>
      </c>
      <c r="H2604" t="n">
        <v>0</v>
      </c>
      <c r="I2604" t="n">
        <v>0</v>
      </c>
      <c r="J2604" t="n">
        <v>0</v>
      </c>
      <c r="K2604" t="n">
        <v>0</v>
      </c>
      <c r="L2604" t="n">
        <v>0</v>
      </c>
      <c r="M2604" t="n">
        <v>0</v>
      </c>
      <c r="N2604" t="n">
        <v>0</v>
      </c>
      <c r="O2604" t="n">
        <v>0</v>
      </c>
      <c r="P2604" t="n">
        <v>0</v>
      </c>
      <c r="Q2604" t="n">
        <v>0</v>
      </c>
      <c r="R2604" s="2" t="inlineStr"/>
      <c r="U2604">
        <f>HYPERLINK("https://klasma.github.io/Logging_2161/knärot/A 24158-2021 karta knärot.png", "A 24158-2021")</f>
        <v/>
      </c>
      <c r="V2604">
        <f>HYPERLINK("https://klasma.github.io/Logging_2161/klagomål/A 24158-2021 FSC-klagomål.docx", "A 24158-2021")</f>
        <v/>
      </c>
      <c r="W2604">
        <f>HYPERLINK("https://klasma.github.io/Logging_2161/klagomålsmail/A 24158-2021 FSC-klagomål mail.docx", "A 24158-2021")</f>
        <v/>
      </c>
      <c r="X2604">
        <f>HYPERLINK("https://klasma.github.io/Logging_2161/tillsyn/A 24158-2021 tillsynsbegäran.docx", "A 24158-2021")</f>
        <v/>
      </c>
      <c r="Y2604">
        <f>HYPERLINK("https://klasma.github.io/Logging_2161/tillsynsmail/A 24158-2021 tillsynsbegäran mail.docx", "A 24158-2021")</f>
        <v/>
      </c>
    </row>
    <row r="2605" ht="15" customHeight="1">
      <c r="A2605" t="inlineStr">
        <is>
          <t>A 30150-2024</t>
        </is>
      </c>
      <c r="B2605" s="1" t="n">
        <v>45489.60886574074</v>
      </c>
      <c r="C2605" s="1" t="n">
        <v>45883</v>
      </c>
      <c r="D2605" t="inlineStr">
        <is>
          <t>GÄVLEBORGS LÄN</t>
        </is>
      </c>
      <c r="E2605" t="inlineStr">
        <is>
          <t>NORDANSTIG</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30199-2024</t>
        </is>
      </c>
      <c r="B2606" s="1" t="n">
        <v>45490.34996527778</v>
      </c>
      <c r="C2606" s="1" t="n">
        <v>45883</v>
      </c>
      <c r="D2606" t="inlineStr">
        <is>
          <t>GÄVLEBORGS LÄN</t>
        </is>
      </c>
      <c r="E2606" t="inlineStr">
        <is>
          <t>OVANÅKER</t>
        </is>
      </c>
      <c r="F2606" t="inlineStr">
        <is>
          <t>Bergvik skog väst AB</t>
        </is>
      </c>
      <c r="G2606" t="n">
        <v>20.8</v>
      </c>
      <c r="H2606" t="n">
        <v>0</v>
      </c>
      <c r="I2606" t="n">
        <v>0</v>
      </c>
      <c r="J2606" t="n">
        <v>0</v>
      </c>
      <c r="K2606" t="n">
        <v>0</v>
      </c>
      <c r="L2606" t="n">
        <v>0</v>
      </c>
      <c r="M2606" t="n">
        <v>0</v>
      </c>
      <c r="N2606" t="n">
        <v>0</v>
      </c>
      <c r="O2606" t="n">
        <v>0</v>
      </c>
      <c r="P2606" t="n">
        <v>0</v>
      </c>
      <c r="Q2606" t="n">
        <v>0</v>
      </c>
      <c r="R2606" s="2" t="inlineStr"/>
    </row>
    <row r="2607" ht="15" customHeight="1">
      <c r="A2607" t="inlineStr">
        <is>
          <t>A 30229-2024</t>
        </is>
      </c>
      <c r="B2607" s="1" t="n">
        <v>45490.46946759259</v>
      </c>
      <c r="C2607" s="1" t="n">
        <v>45883</v>
      </c>
      <c r="D2607" t="inlineStr">
        <is>
          <t>GÄVLEBORGS LÄN</t>
        </is>
      </c>
      <c r="E2607" t="inlineStr">
        <is>
          <t>HOFORS</t>
        </is>
      </c>
      <c r="F2607" t="inlineStr">
        <is>
          <t>Sveaskog</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32412-2024</t>
        </is>
      </c>
      <c r="B2608" s="1" t="n">
        <v>45512.71197916667</v>
      </c>
      <c r="C2608" s="1" t="n">
        <v>45883</v>
      </c>
      <c r="D2608" t="inlineStr">
        <is>
          <t>GÄVLEBORGS LÄN</t>
        </is>
      </c>
      <c r="E2608" t="inlineStr">
        <is>
          <t>HUDIKSVALL</t>
        </is>
      </c>
      <c r="F2608" t="inlineStr">
        <is>
          <t>Holmen skog AB</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32414-2024</t>
        </is>
      </c>
      <c r="B2609" s="1" t="n">
        <v>45512.72439814815</v>
      </c>
      <c r="C2609" s="1" t="n">
        <v>45883</v>
      </c>
      <c r="D2609" t="inlineStr">
        <is>
          <t>GÄVLEBORGS LÄN</t>
        </is>
      </c>
      <c r="E2609" t="inlineStr">
        <is>
          <t>HUDIKSVALL</t>
        </is>
      </c>
      <c r="F2609" t="inlineStr">
        <is>
          <t>Holmen skog AB</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18591-2025</t>
        </is>
      </c>
      <c r="B2610" s="1" t="n">
        <v>45763.48015046296</v>
      </c>
      <c r="C2610" s="1" t="n">
        <v>45883</v>
      </c>
      <c r="D2610" t="inlineStr">
        <is>
          <t>GÄVLEBORGS LÄN</t>
        </is>
      </c>
      <c r="E2610" t="inlineStr">
        <is>
          <t>OVANÅKER</t>
        </is>
      </c>
      <c r="G2610" t="n">
        <v>4.7</v>
      </c>
      <c r="H2610" t="n">
        <v>0</v>
      </c>
      <c r="I2610" t="n">
        <v>0</v>
      </c>
      <c r="J2610" t="n">
        <v>0</v>
      </c>
      <c r="K2610" t="n">
        <v>0</v>
      </c>
      <c r="L2610" t="n">
        <v>0</v>
      </c>
      <c r="M2610" t="n">
        <v>0</v>
      </c>
      <c r="N2610" t="n">
        <v>0</v>
      </c>
      <c r="O2610" t="n">
        <v>0</v>
      </c>
      <c r="P2610" t="n">
        <v>0</v>
      </c>
      <c r="Q2610" t="n">
        <v>0</v>
      </c>
      <c r="R2610" s="2" t="inlineStr"/>
    </row>
    <row r="2611" ht="15" customHeight="1">
      <c r="A2611" t="inlineStr">
        <is>
          <t>A 6678-2021</t>
        </is>
      </c>
      <c r="B2611" s="1" t="n">
        <v>44236</v>
      </c>
      <c r="C2611" s="1" t="n">
        <v>45883</v>
      </c>
      <c r="D2611" t="inlineStr">
        <is>
          <t>GÄVLEBORGS LÄN</t>
        </is>
      </c>
      <c r="E2611" t="inlineStr">
        <is>
          <t>SANDVIKEN</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19632-2024</t>
        </is>
      </c>
      <c r="B2612" s="1" t="n">
        <v>45432.36549768518</v>
      </c>
      <c r="C2612" s="1" t="n">
        <v>45883</v>
      </c>
      <c r="D2612" t="inlineStr">
        <is>
          <t>GÄVLEBORGS LÄN</t>
        </is>
      </c>
      <c r="E2612" t="inlineStr">
        <is>
          <t>OVANÅKER</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28586-2024</t>
        </is>
      </c>
      <c r="B2613" s="1" t="n">
        <v>45478</v>
      </c>
      <c r="C2613" s="1" t="n">
        <v>45883</v>
      </c>
      <c r="D2613" t="inlineStr">
        <is>
          <t>GÄVLEBORGS LÄN</t>
        </is>
      </c>
      <c r="E2613" t="inlineStr">
        <is>
          <t>OCKELBO</t>
        </is>
      </c>
      <c r="F2613" t="inlineStr">
        <is>
          <t>Bergvik skog väst AB</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44058-2022</t>
        </is>
      </c>
      <c r="B2614" s="1" t="n">
        <v>44839</v>
      </c>
      <c r="C2614" s="1" t="n">
        <v>45883</v>
      </c>
      <c r="D2614" t="inlineStr">
        <is>
          <t>GÄVLEBORGS LÄN</t>
        </is>
      </c>
      <c r="E2614" t="inlineStr">
        <is>
          <t>HUDIKSVALL</t>
        </is>
      </c>
      <c r="F2614" t="inlineStr">
        <is>
          <t>Holmen skog AB</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22466-2023</t>
        </is>
      </c>
      <c r="B2615" s="1" t="n">
        <v>45070</v>
      </c>
      <c r="C2615" s="1" t="n">
        <v>45883</v>
      </c>
      <c r="D2615" t="inlineStr">
        <is>
          <t>GÄVLEBORGS LÄN</t>
        </is>
      </c>
      <c r="E2615" t="inlineStr">
        <is>
          <t>GÄVLE</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59742-2022</t>
        </is>
      </c>
      <c r="B2616" s="1" t="n">
        <v>44908</v>
      </c>
      <c r="C2616" s="1" t="n">
        <v>45883</v>
      </c>
      <c r="D2616" t="inlineStr">
        <is>
          <t>GÄVLEBORGS LÄN</t>
        </is>
      </c>
      <c r="E2616" t="inlineStr">
        <is>
          <t>HUDIKSVALL</t>
        </is>
      </c>
      <c r="F2616" t="inlineStr">
        <is>
          <t>Holmen skog AB</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19456-2025</t>
        </is>
      </c>
      <c r="B2617" s="1" t="n">
        <v>45770.36226851852</v>
      </c>
      <c r="C2617" s="1" t="n">
        <v>45883</v>
      </c>
      <c r="D2617" t="inlineStr">
        <is>
          <t>GÄVLEBORGS LÄN</t>
        </is>
      </c>
      <c r="E2617" t="inlineStr">
        <is>
          <t>HUDIKSVALL</t>
        </is>
      </c>
      <c r="G2617" t="n">
        <v>5.2</v>
      </c>
      <c r="H2617" t="n">
        <v>0</v>
      </c>
      <c r="I2617" t="n">
        <v>0</v>
      </c>
      <c r="J2617" t="n">
        <v>0</v>
      </c>
      <c r="K2617" t="n">
        <v>0</v>
      </c>
      <c r="L2617" t="n">
        <v>0</v>
      </c>
      <c r="M2617" t="n">
        <v>0</v>
      </c>
      <c r="N2617" t="n">
        <v>0</v>
      </c>
      <c r="O2617" t="n">
        <v>0</v>
      </c>
      <c r="P2617" t="n">
        <v>0</v>
      </c>
      <c r="Q2617" t="n">
        <v>0</v>
      </c>
      <c r="R2617" s="2" t="inlineStr"/>
    </row>
    <row r="2618" ht="15" customHeight="1">
      <c r="A2618" t="inlineStr">
        <is>
          <t>A 2348-2024</t>
        </is>
      </c>
      <c r="B2618" s="1" t="n">
        <v>45310.5827662037</v>
      </c>
      <c r="C2618" s="1" t="n">
        <v>45883</v>
      </c>
      <c r="D2618" t="inlineStr">
        <is>
          <t>GÄVLEBORGS LÄN</t>
        </is>
      </c>
      <c r="E2618" t="inlineStr">
        <is>
          <t>BOLLNÄS</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17605-2025</t>
        </is>
      </c>
      <c r="B2619" s="1" t="n">
        <v>45757.73100694444</v>
      </c>
      <c r="C2619" s="1" t="n">
        <v>45883</v>
      </c>
      <c r="D2619" t="inlineStr">
        <is>
          <t>GÄVLEBORGS LÄN</t>
        </is>
      </c>
      <c r="E2619" t="inlineStr">
        <is>
          <t>GÄVLE</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17607-2025</t>
        </is>
      </c>
      <c r="B2620" s="1" t="n">
        <v>45757.74027777778</v>
      </c>
      <c r="C2620" s="1" t="n">
        <v>45883</v>
      </c>
      <c r="D2620" t="inlineStr">
        <is>
          <t>GÄVLEBORGS LÄN</t>
        </is>
      </c>
      <c r="E2620" t="inlineStr">
        <is>
          <t>GÄVLE</t>
        </is>
      </c>
      <c r="G2620" t="n">
        <v>7.6</v>
      </c>
      <c r="H2620" t="n">
        <v>0</v>
      </c>
      <c r="I2620" t="n">
        <v>0</v>
      </c>
      <c r="J2620" t="n">
        <v>0</v>
      </c>
      <c r="K2620" t="n">
        <v>0</v>
      </c>
      <c r="L2620" t="n">
        <v>0</v>
      </c>
      <c r="M2620" t="n">
        <v>0</v>
      </c>
      <c r="N2620" t="n">
        <v>0</v>
      </c>
      <c r="O2620" t="n">
        <v>0</v>
      </c>
      <c r="P2620" t="n">
        <v>0</v>
      </c>
      <c r="Q2620" t="n">
        <v>0</v>
      </c>
      <c r="R2620" s="2" t="inlineStr"/>
    </row>
    <row r="2621" ht="15" customHeight="1">
      <c r="A2621" t="inlineStr">
        <is>
          <t>A 17617-2025</t>
        </is>
      </c>
      <c r="B2621" s="1" t="n">
        <v>45757.82751157408</v>
      </c>
      <c r="C2621" s="1" t="n">
        <v>45883</v>
      </c>
      <c r="D2621" t="inlineStr">
        <is>
          <t>GÄVLEBORGS LÄN</t>
        </is>
      </c>
      <c r="E2621" t="inlineStr">
        <is>
          <t>OVANÅKER</t>
        </is>
      </c>
      <c r="F2621" t="inlineStr">
        <is>
          <t>Holmen skog AB</t>
        </is>
      </c>
      <c r="G2621" t="n">
        <v>6.9</v>
      </c>
      <c r="H2621" t="n">
        <v>0</v>
      </c>
      <c r="I2621" t="n">
        <v>0</v>
      </c>
      <c r="J2621" t="n">
        <v>0</v>
      </c>
      <c r="K2621" t="n">
        <v>0</v>
      </c>
      <c r="L2621" t="n">
        <v>0</v>
      </c>
      <c r="M2621" t="n">
        <v>0</v>
      </c>
      <c r="N2621" t="n">
        <v>0</v>
      </c>
      <c r="O2621" t="n">
        <v>0</v>
      </c>
      <c r="P2621" t="n">
        <v>0</v>
      </c>
      <c r="Q2621" t="n">
        <v>0</v>
      </c>
      <c r="R2621" s="2" t="inlineStr"/>
    </row>
    <row r="2622" ht="15" customHeight="1">
      <c r="A2622" t="inlineStr">
        <is>
          <t>A 18933-2023</t>
        </is>
      </c>
      <c r="B2622" s="1" t="n">
        <v>45044.61585648148</v>
      </c>
      <c r="C2622" s="1" t="n">
        <v>45883</v>
      </c>
      <c r="D2622" t="inlineStr">
        <is>
          <t>GÄVLEBORGS LÄN</t>
        </is>
      </c>
      <c r="E2622" t="inlineStr">
        <is>
          <t>NORDANSTIG</t>
        </is>
      </c>
      <c r="G2622" t="n">
        <v>26.6</v>
      </c>
      <c r="H2622" t="n">
        <v>0</v>
      </c>
      <c r="I2622" t="n">
        <v>0</v>
      </c>
      <c r="J2622" t="n">
        <v>0</v>
      </c>
      <c r="K2622" t="n">
        <v>0</v>
      </c>
      <c r="L2622" t="n">
        <v>0</v>
      </c>
      <c r="M2622" t="n">
        <v>0</v>
      </c>
      <c r="N2622" t="n">
        <v>0</v>
      </c>
      <c r="O2622" t="n">
        <v>0</v>
      </c>
      <c r="P2622" t="n">
        <v>0</v>
      </c>
      <c r="Q2622" t="n">
        <v>0</v>
      </c>
      <c r="R2622" s="2" t="inlineStr"/>
    </row>
    <row r="2623" ht="15" customHeight="1">
      <c r="A2623" t="inlineStr">
        <is>
          <t>A 72644-2021</t>
        </is>
      </c>
      <c r="B2623" s="1" t="n">
        <v>44546.58009259259</v>
      </c>
      <c r="C2623" s="1" t="n">
        <v>45883</v>
      </c>
      <c r="D2623" t="inlineStr">
        <is>
          <t>GÄVLEBORGS LÄN</t>
        </is>
      </c>
      <c r="E2623" t="inlineStr">
        <is>
          <t>SÖDERHAMN</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57679-2022</t>
        </is>
      </c>
      <c r="B2624" s="1" t="n">
        <v>44897.46665509259</v>
      </c>
      <c r="C2624" s="1" t="n">
        <v>45883</v>
      </c>
      <c r="D2624" t="inlineStr">
        <is>
          <t>GÄVLEBORGS LÄN</t>
        </is>
      </c>
      <c r="E2624" t="inlineStr">
        <is>
          <t>HUDIKSVALL</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23284-2024</t>
        </is>
      </c>
      <c r="B2625" s="1" t="n">
        <v>45453</v>
      </c>
      <c r="C2625" s="1" t="n">
        <v>45883</v>
      </c>
      <c r="D2625" t="inlineStr">
        <is>
          <t>GÄVLEBORGS LÄN</t>
        </is>
      </c>
      <c r="E2625" t="inlineStr">
        <is>
          <t>LJUSDAL</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25810-2023</t>
        </is>
      </c>
      <c r="B2626" s="1" t="n">
        <v>45090.52650462963</v>
      </c>
      <c r="C2626" s="1" t="n">
        <v>45883</v>
      </c>
      <c r="D2626" t="inlineStr">
        <is>
          <t>GÄVLEBORGS LÄN</t>
        </is>
      </c>
      <c r="E2626" t="inlineStr">
        <is>
          <t>GÄVLE</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25812-2023</t>
        </is>
      </c>
      <c r="B2627" s="1" t="n">
        <v>45090.52939814814</v>
      </c>
      <c r="C2627" s="1" t="n">
        <v>45883</v>
      </c>
      <c r="D2627" t="inlineStr">
        <is>
          <t>GÄVLEBORGS LÄN</t>
        </is>
      </c>
      <c r="E2627" t="inlineStr">
        <is>
          <t>GÄVLE</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8595-2023</t>
        </is>
      </c>
      <c r="B2628" s="1" t="n">
        <v>44977</v>
      </c>
      <c r="C2628" s="1" t="n">
        <v>45883</v>
      </c>
      <c r="D2628" t="inlineStr">
        <is>
          <t>GÄVLEBORGS LÄN</t>
        </is>
      </c>
      <c r="E2628" t="inlineStr">
        <is>
          <t>HUDIKSVALL</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19886-2023</t>
        </is>
      </c>
      <c r="B2629" s="1" t="n">
        <v>45054.36821759259</v>
      </c>
      <c r="C2629" s="1" t="n">
        <v>45883</v>
      </c>
      <c r="D2629" t="inlineStr">
        <is>
          <t>GÄVLEBORGS LÄN</t>
        </is>
      </c>
      <c r="E2629" t="inlineStr">
        <is>
          <t>OCKELBO</t>
        </is>
      </c>
      <c r="F2629" t="inlineStr">
        <is>
          <t>Bergvik skog väst AB</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9010-2023</t>
        </is>
      </c>
      <c r="B2630" s="1" t="n">
        <v>44979</v>
      </c>
      <c r="C2630" s="1" t="n">
        <v>45883</v>
      </c>
      <c r="D2630" t="inlineStr">
        <is>
          <t>GÄVLEBORGS LÄN</t>
        </is>
      </c>
      <c r="E2630" t="inlineStr">
        <is>
          <t>OVANÅKER</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34826-2024</t>
        </is>
      </c>
      <c r="B2631" s="1" t="n">
        <v>45526.72263888889</v>
      </c>
      <c r="C2631" s="1" t="n">
        <v>45883</v>
      </c>
      <c r="D2631" t="inlineStr">
        <is>
          <t>GÄVLEBORGS LÄN</t>
        </is>
      </c>
      <c r="E2631" t="inlineStr">
        <is>
          <t>SÖDERHAMN</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40459-2024</t>
        </is>
      </c>
      <c r="B2632" s="1" t="n">
        <v>45555.50454861111</v>
      </c>
      <c r="C2632" s="1" t="n">
        <v>45883</v>
      </c>
      <c r="D2632" t="inlineStr">
        <is>
          <t>GÄVLEBORGS LÄN</t>
        </is>
      </c>
      <c r="E2632" t="inlineStr">
        <is>
          <t>BOLLNÄS</t>
        </is>
      </c>
      <c r="F2632" t="inlineStr">
        <is>
          <t>Bergvik skog väst AB</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34664-2022</t>
        </is>
      </c>
      <c r="B2633" s="1" t="n">
        <v>44795</v>
      </c>
      <c r="C2633" s="1" t="n">
        <v>45883</v>
      </c>
      <c r="D2633" t="inlineStr">
        <is>
          <t>GÄVLEBORGS LÄN</t>
        </is>
      </c>
      <c r="E2633" t="inlineStr">
        <is>
          <t>HUDIKSVALL</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33879-2023</t>
        </is>
      </c>
      <c r="B2634" s="1" t="n">
        <v>45134.05142361111</v>
      </c>
      <c r="C2634" s="1" t="n">
        <v>45883</v>
      </c>
      <c r="D2634" t="inlineStr">
        <is>
          <t>GÄVLEBORGS LÄN</t>
        </is>
      </c>
      <c r="E2634" t="inlineStr">
        <is>
          <t>OCKELBO</t>
        </is>
      </c>
      <c r="F2634" t="inlineStr">
        <is>
          <t>Bergvik skog väst AB</t>
        </is>
      </c>
      <c r="G2634" t="n">
        <v>4</v>
      </c>
      <c r="H2634" t="n">
        <v>0</v>
      </c>
      <c r="I2634" t="n">
        <v>0</v>
      </c>
      <c r="J2634" t="n">
        <v>0</v>
      </c>
      <c r="K2634" t="n">
        <v>0</v>
      </c>
      <c r="L2634" t="n">
        <v>0</v>
      </c>
      <c r="M2634" t="n">
        <v>0</v>
      </c>
      <c r="N2634" t="n">
        <v>0</v>
      </c>
      <c r="O2634" t="n">
        <v>0</v>
      </c>
      <c r="P2634" t="n">
        <v>0</v>
      </c>
      <c r="Q2634" t="n">
        <v>0</v>
      </c>
      <c r="R2634" s="2" t="inlineStr"/>
    </row>
    <row r="2635" ht="15" customHeight="1">
      <c r="A2635" t="inlineStr">
        <is>
          <t>A 73748-2021</t>
        </is>
      </c>
      <c r="B2635" s="1" t="n">
        <v>44552.57103009259</v>
      </c>
      <c r="C2635" s="1" t="n">
        <v>45883</v>
      </c>
      <c r="D2635" t="inlineStr">
        <is>
          <t>GÄVLEBORGS LÄN</t>
        </is>
      </c>
      <c r="E2635" t="inlineStr">
        <is>
          <t>NORDANSTIG</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18457-2025</t>
        </is>
      </c>
      <c r="B2636" s="1" t="n">
        <v>45762.67177083333</v>
      </c>
      <c r="C2636" s="1" t="n">
        <v>45883</v>
      </c>
      <c r="D2636" t="inlineStr">
        <is>
          <t>GÄVLEBORGS LÄN</t>
        </is>
      </c>
      <c r="E2636" t="inlineStr">
        <is>
          <t>HUDIKSVALL</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49654-2022</t>
        </is>
      </c>
      <c r="B2637" s="1" t="n">
        <v>44862</v>
      </c>
      <c r="C2637" s="1" t="n">
        <v>45883</v>
      </c>
      <c r="D2637" t="inlineStr">
        <is>
          <t>GÄVLEBORGS LÄN</t>
        </is>
      </c>
      <c r="E2637" t="inlineStr">
        <is>
          <t>OVANÅKER</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33850-2023</t>
        </is>
      </c>
      <c r="B2638" s="1" t="n">
        <v>45133.69795138889</v>
      </c>
      <c r="C2638" s="1" t="n">
        <v>45883</v>
      </c>
      <c r="D2638" t="inlineStr">
        <is>
          <t>GÄVLEBORGS LÄN</t>
        </is>
      </c>
      <c r="E2638" t="inlineStr">
        <is>
          <t>LJUSDAL</t>
        </is>
      </c>
      <c r="F2638" t="inlineStr">
        <is>
          <t>Holmen skog AB</t>
        </is>
      </c>
      <c r="G2638" t="n">
        <v>5.4</v>
      </c>
      <c r="H2638" t="n">
        <v>0</v>
      </c>
      <c r="I2638" t="n">
        <v>0</v>
      </c>
      <c r="J2638" t="n">
        <v>0</v>
      </c>
      <c r="K2638" t="n">
        <v>0</v>
      </c>
      <c r="L2638" t="n">
        <v>0</v>
      </c>
      <c r="M2638" t="n">
        <v>0</v>
      </c>
      <c r="N2638" t="n">
        <v>0</v>
      </c>
      <c r="O2638" t="n">
        <v>0</v>
      </c>
      <c r="P2638" t="n">
        <v>0</v>
      </c>
      <c r="Q2638" t="n">
        <v>0</v>
      </c>
      <c r="R2638" s="2" t="inlineStr"/>
    </row>
    <row r="2639" ht="15" customHeight="1">
      <c r="A2639" t="inlineStr">
        <is>
          <t>A 16919-2025</t>
        </is>
      </c>
      <c r="B2639" s="1" t="n">
        <v>45755.37341435185</v>
      </c>
      <c r="C2639" s="1" t="n">
        <v>45883</v>
      </c>
      <c r="D2639" t="inlineStr">
        <is>
          <t>GÄVLEBORGS LÄN</t>
        </is>
      </c>
      <c r="E2639" t="inlineStr">
        <is>
          <t>BOLLNÄS</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3434-2024</t>
        </is>
      </c>
      <c r="B2640" s="1" t="n">
        <v>45320.35980324074</v>
      </c>
      <c r="C2640" s="1" t="n">
        <v>45883</v>
      </c>
      <c r="D2640" t="inlineStr">
        <is>
          <t>GÄVLEBORGS LÄN</t>
        </is>
      </c>
      <c r="E2640" t="inlineStr">
        <is>
          <t>LJUSDAL</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9286-2022</t>
        </is>
      </c>
      <c r="B2641" s="1" t="n">
        <v>44616.45451388889</v>
      </c>
      <c r="C2641" s="1" t="n">
        <v>45883</v>
      </c>
      <c r="D2641" t="inlineStr">
        <is>
          <t>GÄVLEBORGS LÄN</t>
        </is>
      </c>
      <c r="E2641" t="inlineStr">
        <is>
          <t>OVANÅKER</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26038-2024</t>
        </is>
      </c>
      <c r="B2642" s="1" t="n">
        <v>45468.26278935185</v>
      </c>
      <c r="C2642" s="1" t="n">
        <v>45883</v>
      </c>
      <c r="D2642" t="inlineStr">
        <is>
          <t>GÄVLEBORGS LÄN</t>
        </is>
      </c>
      <c r="E2642" t="inlineStr">
        <is>
          <t>BOLLNÄS</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25093-2024</t>
        </is>
      </c>
      <c r="B2643" s="1" t="n">
        <v>45462</v>
      </c>
      <c r="C2643" s="1" t="n">
        <v>45883</v>
      </c>
      <c r="D2643" t="inlineStr">
        <is>
          <t>GÄVLEBORGS LÄN</t>
        </is>
      </c>
      <c r="E2643" t="inlineStr">
        <is>
          <t>LJUSDAL</t>
        </is>
      </c>
      <c r="F2643" t="inlineStr">
        <is>
          <t>Bergvik skog väst AB</t>
        </is>
      </c>
      <c r="G2643" t="n">
        <v>10.6</v>
      </c>
      <c r="H2643" t="n">
        <v>0</v>
      </c>
      <c r="I2643" t="n">
        <v>0</v>
      </c>
      <c r="J2643" t="n">
        <v>0</v>
      </c>
      <c r="K2643" t="n">
        <v>0</v>
      </c>
      <c r="L2643" t="n">
        <v>0</v>
      </c>
      <c r="M2643" t="n">
        <v>0</v>
      </c>
      <c r="N2643" t="n">
        <v>0</v>
      </c>
      <c r="O2643" t="n">
        <v>0</v>
      </c>
      <c r="P2643" t="n">
        <v>0</v>
      </c>
      <c r="Q2643" t="n">
        <v>0</v>
      </c>
      <c r="R2643" s="2" t="inlineStr"/>
    </row>
    <row r="2644" ht="15" customHeight="1">
      <c r="A2644" t="inlineStr">
        <is>
          <t>A 46177-2022</t>
        </is>
      </c>
      <c r="B2644" s="1" t="n">
        <v>44847.49043981481</v>
      </c>
      <c r="C2644" s="1" t="n">
        <v>45883</v>
      </c>
      <c r="D2644" t="inlineStr">
        <is>
          <t>GÄVLEBORGS LÄN</t>
        </is>
      </c>
      <c r="E2644" t="inlineStr">
        <is>
          <t>SANDVIKEN</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13443-2024</t>
        </is>
      </c>
      <c r="B2645" s="1" t="n">
        <v>45387.49703703704</v>
      </c>
      <c r="C2645" s="1" t="n">
        <v>45883</v>
      </c>
      <c r="D2645" t="inlineStr">
        <is>
          <t>GÄVLEBORGS LÄN</t>
        </is>
      </c>
      <c r="E2645" t="inlineStr">
        <is>
          <t>OVANÅKER</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48007-2022</t>
        </is>
      </c>
      <c r="B2646" s="1" t="n">
        <v>44855.65891203703</v>
      </c>
      <c r="C2646" s="1" t="n">
        <v>45883</v>
      </c>
      <c r="D2646" t="inlineStr">
        <is>
          <t>GÄVLEBORGS LÄN</t>
        </is>
      </c>
      <c r="E2646" t="inlineStr">
        <is>
          <t>BOLLNÄS</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57967-2022</t>
        </is>
      </c>
      <c r="B2647" s="1" t="n">
        <v>44900.43909722222</v>
      </c>
      <c r="C2647" s="1" t="n">
        <v>45883</v>
      </c>
      <c r="D2647" t="inlineStr">
        <is>
          <t>GÄVLEBORGS LÄN</t>
        </is>
      </c>
      <c r="E2647" t="inlineStr">
        <is>
          <t>HUDIKSVALL</t>
        </is>
      </c>
      <c r="F2647" t="inlineStr">
        <is>
          <t>Holmen skog AB</t>
        </is>
      </c>
      <c r="G2647" t="n">
        <v>7</v>
      </c>
      <c r="H2647" t="n">
        <v>0</v>
      </c>
      <c r="I2647" t="n">
        <v>0</v>
      </c>
      <c r="J2647" t="n">
        <v>0</v>
      </c>
      <c r="K2647" t="n">
        <v>0</v>
      </c>
      <c r="L2647" t="n">
        <v>0</v>
      </c>
      <c r="M2647" t="n">
        <v>0</v>
      </c>
      <c r="N2647" t="n">
        <v>0</v>
      </c>
      <c r="O2647" t="n">
        <v>0</v>
      </c>
      <c r="P2647" t="n">
        <v>0</v>
      </c>
      <c r="Q2647" t="n">
        <v>0</v>
      </c>
      <c r="R2647" s="2" t="inlineStr"/>
    </row>
    <row r="2648" ht="15" customHeight="1">
      <c r="A2648" t="inlineStr">
        <is>
          <t>A 27202-2024</t>
        </is>
      </c>
      <c r="B2648" s="1" t="n">
        <v>45471.6062962963</v>
      </c>
      <c r="C2648" s="1" t="n">
        <v>45883</v>
      </c>
      <c r="D2648" t="inlineStr">
        <is>
          <t>GÄVLEBORGS LÄN</t>
        </is>
      </c>
      <c r="E2648" t="inlineStr">
        <is>
          <t>BOLLNÄS</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39690-2021</t>
        </is>
      </c>
      <c r="B2649" s="1" t="n">
        <v>44417.45425925926</v>
      </c>
      <c r="C2649" s="1" t="n">
        <v>45883</v>
      </c>
      <c r="D2649" t="inlineStr">
        <is>
          <t>GÄVLEBORGS LÄN</t>
        </is>
      </c>
      <c r="E2649" t="inlineStr">
        <is>
          <t>HUDIKSVALL</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40498-2022</t>
        </is>
      </c>
      <c r="B2650" s="1" t="n">
        <v>44823.600625</v>
      </c>
      <c r="C2650" s="1" t="n">
        <v>45883</v>
      </c>
      <c r="D2650" t="inlineStr">
        <is>
          <t>GÄVLEBORGS LÄN</t>
        </is>
      </c>
      <c r="E2650" t="inlineStr">
        <is>
          <t>GÄVLE</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60197-2023</t>
        </is>
      </c>
      <c r="B2651" s="1" t="n">
        <v>45258.58435185185</v>
      </c>
      <c r="C2651" s="1" t="n">
        <v>45883</v>
      </c>
      <c r="D2651" t="inlineStr">
        <is>
          <t>GÄVLEBORGS LÄN</t>
        </is>
      </c>
      <c r="E2651" t="inlineStr">
        <is>
          <t>LJUSDAL</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42959-2021</t>
        </is>
      </c>
      <c r="B2652" s="1" t="n">
        <v>44431.40888888889</v>
      </c>
      <c r="C2652" s="1" t="n">
        <v>45883</v>
      </c>
      <c r="D2652" t="inlineStr">
        <is>
          <t>GÄVLEBORGS LÄN</t>
        </is>
      </c>
      <c r="E2652" t="inlineStr">
        <is>
          <t>LJUSDAL</t>
        </is>
      </c>
      <c r="F2652" t="inlineStr">
        <is>
          <t>Bergvik skog väst AB</t>
        </is>
      </c>
      <c r="G2652" t="n">
        <v>4.2</v>
      </c>
      <c r="H2652" t="n">
        <v>0</v>
      </c>
      <c r="I2652" t="n">
        <v>0</v>
      </c>
      <c r="J2652" t="n">
        <v>0</v>
      </c>
      <c r="K2652" t="n">
        <v>0</v>
      </c>
      <c r="L2652" t="n">
        <v>0</v>
      </c>
      <c r="M2652" t="n">
        <v>0</v>
      </c>
      <c r="N2652" t="n">
        <v>0</v>
      </c>
      <c r="O2652" t="n">
        <v>0</v>
      </c>
      <c r="P2652" t="n">
        <v>0</v>
      </c>
      <c r="Q2652" t="n">
        <v>0</v>
      </c>
      <c r="R2652" s="2" t="inlineStr"/>
    </row>
    <row r="2653" ht="15" customHeight="1">
      <c r="A2653" t="inlineStr">
        <is>
          <t>A 26027-2024</t>
        </is>
      </c>
      <c r="B2653" s="1" t="n">
        <v>45467.96223379629</v>
      </c>
      <c r="C2653" s="1" t="n">
        <v>45883</v>
      </c>
      <c r="D2653" t="inlineStr">
        <is>
          <t>GÄVLEBORGS LÄN</t>
        </is>
      </c>
      <c r="E2653" t="inlineStr">
        <is>
          <t>OVANÅKER</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61704-2020</t>
        </is>
      </c>
      <c r="B2654" s="1" t="n">
        <v>44158</v>
      </c>
      <c r="C2654" s="1" t="n">
        <v>45883</v>
      </c>
      <c r="D2654" t="inlineStr">
        <is>
          <t>GÄVLEBORGS LÄN</t>
        </is>
      </c>
      <c r="E2654" t="inlineStr">
        <is>
          <t>GÄVLE</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29837-2023</t>
        </is>
      </c>
      <c r="B2655" s="1" t="n">
        <v>45107.58168981481</v>
      </c>
      <c r="C2655" s="1" t="n">
        <v>45883</v>
      </c>
      <c r="D2655" t="inlineStr">
        <is>
          <t>GÄVLEBORGS LÄN</t>
        </is>
      </c>
      <c r="E2655" t="inlineStr">
        <is>
          <t>LJUSDAL</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29840-2023</t>
        </is>
      </c>
      <c r="B2656" s="1" t="n">
        <v>45107.58261574074</v>
      </c>
      <c r="C2656" s="1" t="n">
        <v>45883</v>
      </c>
      <c r="D2656" t="inlineStr">
        <is>
          <t>GÄVLEBORGS LÄN</t>
        </is>
      </c>
      <c r="E2656" t="inlineStr">
        <is>
          <t>GÄVLE</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31176-2023</t>
        </is>
      </c>
      <c r="B2657" s="1" t="n">
        <v>45113.90611111111</v>
      </c>
      <c r="C2657" s="1" t="n">
        <v>45883</v>
      </c>
      <c r="D2657" t="inlineStr">
        <is>
          <t>GÄVLEBORGS LÄN</t>
        </is>
      </c>
      <c r="E2657" t="inlineStr">
        <is>
          <t>SÖDERHAMN</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27015-2024</t>
        </is>
      </c>
      <c r="B2658" s="1" t="n">
        <v>45471.40547453704</v>
      </c>
      <c r="C2658" s="1" t="n">
        <v>45883</v>
      </c>
      <c r="D2658" t="inlineStr">
        <is>
          <t>GÄVLEBORGS LÄN</t>
        </is>
      </c>
      <c r="E2658" t="inlineStr">
        <is>
          <t>BOLLNÄS</t>
        </is>
      </c>
      <c r="F2658" t="inlineStr">
        <is>
          <t>Sveaskog</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36656-2024</t>
        </is>
      </c>
      <c r="B2659" s="1" t="n">
        <v>45537.61835648148</v>
      </c>
      <c r="C2659" s="1" t="n">
        <v>45883</v>
      </c>
      <c r="D2659" t="inlineStr">
        <is>
          <t>GÄVLEBORGS LÄN</t>
        </is>
      </c>
      <c r="E2659" t="inlineStr">
        <is>
          <t>SANDVIKEN</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34339-2023</t>
        </is>
      </c>
      <c r="B2660" s="1" t="n">
        <v>45139.35453703703</v>
      </c>
      <c r="C2660" s="1" t="n">
        <v>45883</v>
      </c>
      <c r="D2660" t="inlineStr">
        <is>
          <t>GÄVLEBORGS LÄN</t>
        </is>
      </c>
      <c r="E2660" t="inlineStr">
        <is>
          <t>NORDANSTIG</t>
        </is>
      </c>
      <c r="F2660" t="inlineStr">
        <is>
          <t>Holmen skog AB</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36763-2024</t>
        </is>
      </c>
      <c r="B2661" s="1" t="n">
        <v>45538.36181712963</v>
      </c>
      <c r="C2661" s="1" t="n">
        <v>45883</v>
      </c>
      <c r="D2661" t="inlineStr">
        <is>
          <t>GÄVLEBORGS LÄN</t>
        </is>
      </c>
      <c r="E2661" t="inlineStr">
        <is>
          <t>HOFORS</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26131-2024</t>
        </is>
      </c>
      <c r="B2662" s="1" t="n">
        <v>45468.47575231481</v>
      </c>
      <c r="C2662" s="1" t="n">
        <v>45883</v>
      </c>
      <c r="D2662" t="inlineStr">
        <is>
          <t>GÄVLEBORGS LÄN</t>
        </is>
      </c>
      <c r="E2662" t="inlineStr">
        <is>
          <t>GÄVLE</t>
        </is>
      </c>
      <c r="F2662" t="inlineStr">
        <is>
          <t>Bergvik skog väst AB</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26149-2024</t>
        </is>
      </c>
      <c r="B2663" s="1" t="n">
        <v>45468.50820601852</v>
      </c>
      <c r="C2663" s="1" t="n">
        <v>45883</v>
      </c>
      <c r="D2663" t="inlineStr">
        <is>
          <t>GÄVLEBORGS LÄN</t>
        </is>
      </c>
      <c r="E2663" t="inlineStr">
        <is>
          <t>SANDVIKEN</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4095-2024</t>
        </is>
      </c>
      <c r="B2664" s="1" t="n">
        <v>45323</v>
      </c>
      <c r="C2664" s="1" t="n">
        <v>45883</v>
      </c>
      <c r="D2664" t="inlineStr">
        <is>
          <t>GÄVLEBORGS LÄN</t>
        </is>
      </c>
      <c r="E2664" t="inlineStr">
        <is>
          <t>LJUSDAL</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42356-2020</t>
        </is>
      </c>
      <c r="B2665" s="1" t="n">
        <v>44076</v>
      </c>
      <c r="C2665" s="1" t="n">
        <v>45883</v>
      </c>
      <c r="D2665" t="inlineStr">
        <is>
          <t>GÄVLEBORGS LÄN</t>
        </is>
      </c>
      <c r="E2665" t="inlineStr">
        <is>
          <t>GÄVLE</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49924-2020</t>
        </is>
      </c>
      <c r="B2666" s="1" t="n">
        <v>44109</v>
      </c>
      <c r="C2666" s="1" t="n">
        <v>45883</v>
      </c>
      <c r="D2666" t="inlineStr">
        <is>
          <t>GÄVLEBORGS LÄN</t>
        </is>
      </c>
      <c r="E2666" t="inlineStr">
        <is>
          <t>LJUSDAL</t>
        </is>
      </c>
      <c r="F2666" t="inlineStr">
        <is>
          <t>Kommuner</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24220-2024</t>
        </is>
      </c>
      <c r="B2667" s="1" t="n">
        <v>45457.32453703704</v>
      </c>
      <c r="C2667" s="1" t="n">
        <v>45883</v>
      </c>
      <c r="D2667" t="inlineStr">
        <is>
          <t>GÄVLEBORGS LÄN</t>
        </is>
      </c>
      <c r="E2667" t="inlineStr">
        <is>
          <t>HUDIKSVALL</t>
        </is>
      </c>
      <c r="F2667" t="inlineStr">
        <is>
          <t>Holmen skog AB</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4384-2023</t>
        </is>
      </c>
      <c r="B2668" s="1" t="n">
        <v>44955</v>
      </c>
      <c r="C2668" s="1" t="n">
        <v>45883</v>
      </c>
      <c r="D2668" t="inlineStr">
        <is>
          <t>GÄVLEBORGS LÄN</t>
        </is>
      </c>
      <c r="E2668" t="inlineStr">
        <is>
          <t>SANDVIKEN</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72535-2021</t>
        </is>
      </c>
      <c r="B2669" s="1" t="n">
        <v>44546</v>
      </c>
      <c r="C2669" s="1" t="n">
        <v>45883</v>
      </c>
      <c r="D2669" t="inlineStr">
        <is>
          <t>GÄVLEBORGS LÄN</t>
        </is>
      </c>
      <c r="E2669" t="inlineStr">
        <is>
          <t>HUDIKSVALL</t>
        </is>
      </c>
      <c r="F2669" t="inlineStr">
        <is>
          <t>Sveaskog</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11923-2023</t>
        </is>
      </c>
      <c r="B2670" s="1" t="n">
        <v>44995.47401620371</v>
      </c>
      <c r="C2670" s="1" t="n">
        <v>45883</v>
      </c>
      <c r="D2670" t="inlineStr">
        <is>
          <t>GÄVLEBORGS LÄN</t>
        </is>
      </c>
      <c r="E2670" t="inlineStr">
        <is>
          <t>LJUSDAL</t>
        </is>
      </c>
      <c r="F2670" t="inlineStr">
        <is>
          <t>Holmen skog AB</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48580-2024</t>
        </is>
      </c>
      <c r="B2671" s="1" t="n">
        <v>45593.41601851852</v>
      </c>
      <c r="C2671" s="1" t="n">
        <v>45883</v>
      </c>
      <c r="D2671" t="inlineStr">
        <is>
          <t>GÄVLEBORGS LÄN</t>
        </is>
      </c>
      <c r="E2671" t="inlineStr">
        <is>
          <t>LJUSDAL</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35931-2023</t>
        </is>
      </c>
      <c r="B2672" s="1" t="n">
        <v>45148.66540509259</v>
      </c>
      <c r="C2672" s="1" t="n">
        <v>45883</v>
      </c>
      <c r="D2672" t="inlineStr">
        <is>
          <t>GÄVLEBORGS LÄN</t>
        </is>
      </c>
      <c r="E2672" t="inlineStr">
        <is>
          <t>NORDANSTIG</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48597-2024</t>
        </is>
      </c>
      <c r="B2673" s="1" t="n">
        <v>45593.44456018518</v>
      </c>
      <c r="C2673" s="1" t="n">
        <v>45883</v>
      </c>
      <c r="D2673" t="inlineStr">
        <is>
          <t>GÄVLEBORGS LÄN</t>
        </is>
      </c>
      <c r="E2673" t="inlineStr">
        <is>
          <t>HUDIKSVALL</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48645-2024</t>
        </is>
      </c>
      <c r="B2674" s="1" t="n">
        <v>45593.47621527778</v>
      </c>
      <c r="C2674" s="1" t="n">
        <v>45883</v>
      </c>
      <c r="D2674" t="inlineStr">
        <is>
          <t>GÄVLEBORGS LÄN</t>
        </is>
      </c>
      <c r="E2674" t="inlineStr">
        <is>
          <t>HUDIKSVALL</t>
        </is>
      </c>
      <c r="G2674" t="n">
        <v>5.9</v>
      </c>
      <c r="H2674" t="n">
        <v>0</v>
      </c>
      <c r="I2674" t="n">
        <v>0</v>
      </c>
      <c r="J2674" t="n">
        <v>0</v>
      </c>
      <c r="K2674" t="n">
        <v>0</v>
      </c>
      <c r="L2674" t="n">
        <v>0</v>
      </c>
      <c r="M2674" t="n">
        <v>0</v>
      </c>
      <c r="N2674" t="n">
        <v>0</v>
      </c>
      <c r="O2674" t="n">
        <v>0</v>
      </c>
      <c r="P2674" t="n">
        <v>0</v>
      </c>
      <c r="Q2674" t="n">
        <v>0</v>
      </c>
      <c r="R2674" s="2" t="inlineStr"/>
    </row>
    <row r="2675" ht="15" customHeight="1">
      <c r="A2675" t="inlineStr">
        <is>
          <t>A 24852-2024</t>
        </is>
      </c>
      <c r="B2675" s="1" t="n">
        <v>45461.45328703704</v>
      </c>
      <c r="C2675" s="1" t="n">
        <v>45883</v>
      </c>
      <c r="D2675" t="inlineStr">
        <is>
          <t>GÄVLEBORGS LÄN</t>
        </is>
      </c>
      <c r="E2675" t="inlineStr">
        <is>
          <t>HUDIKSVALL</t>
        </is>
      </c>
      <c r="F2675" t="inlineStr">
        <is>
          <t>Holmen skog AB</t>
        </is>
      </c>
      <c r="G2675" t="n">
        <v>19.2</v>
      </c>
      <c r="H2675" t="n">
        <v>0</v>
      </c>
      <c r="I2675" t="n">
        <v>0</v>
      </c>
      <c r="J2675" t="n">
        <v>0</v>
      </c>
      <c r="K2675" t="n">
        <v>0</v>
      </c>
      <c r="L2675" t="n">
        <v>0</v>
      </c>
      <c r="M2675" t="n">
        <v>0</v>
      </c>
      <c r="N2675" t="n">
        <v>0</v>
      </c>
      <c r="O2675" t="n">
        <v>0</v>
      </c>
      <c r="P2675" t="n">
        <v>0</v>
      </c>
      <c r="Q2675" t="n">
        <v>0</v>
      </c>
      <c r="R2675" s="2" t="inlineStr"/>
    </row>
    <row r="2676" ht="15" customHeight="1">
      <c r="A2676" t="inlineStr">
        <is>
          <t>A 30122-2023</t>
        </is>
      </c>
      <c r="B2676" s="1" t="n">
        <v>45110</v>
      </c>
      <c r="C2676" s="1" t="n">
        <v>45883</v>
      </c>
      <c r="D2676" t="inlineStr">
        <is>
          <t>GÄVLEBORGS LÄN</t>
        </is>
      </c>
      <c r="E2676" t="inlineStr">
        <is>
          <t>HUDIKSVALL</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24374-2024</t>
        </is>
      </c>
      <c r="B2677" s="1" t="n">
        <v>45457.61493055556</v>
      </c>
      <c r="C2677" s="1" t="n">
        <v>45883</v>
      </c>
      <c r="D2677" t="inlineStr">
        <is>
          <t>GÄVLEBORGS LÄN</t>
        </is>
      </c>
      <c r="E2677" t="inlineStr">
        <is>
          <t>NORDANSTIG</t>
        </is>
      </c>
      <c r="F2677" t="inlineStr">
        <is>
          <t>Holmen skog AB</t>
        </is>
      </c>
      <c r="G2677" t="n">
        <v>5.4</v>
      </c>
      <c r="H2677" t="n">
        <v>0</v>
      </c>
      <c r="I2677" t="n">
        <v>0</v>
      </c>
      <c r="J2677" t="n">
        <v>0</v>
      </c>
      <c r="K2677" t="n">
        <v>0</v>
      </c>
      <c r="L2677" t="n">
        <v>0</v>
      </c>
      <c r="M2677" t="n">
        <v>0</v>
      </c>
      <c r="N2677" t="n">
        <v>0</v>
      </c>
      <c r="O2677" t="n">
        <v>0</v>
      </c>
      <c r="P2677" t="n">
        <v>0</v>
      </c>
      <c r="Q2677" t="n">
        <v>0</v>
      </c>
      <c r="R2677" s="2" t="inlineStr"/>
    </row>
    <row r="2678" ht="15" customHeight="1">
      <c r="A2678" t="inlineStr">
        <is>
          <t>A 33959-2023</t>
        </is>
      </c>
      <c r="B2678" s="1" t="n">
        <v>45124</v>
      </c>
      <c r="C2678" s="1" t="n">
        <v>45883</v>
      </c>
      <c r="D2678" t="inlineStr">
        <is>
          <t>GÄVLEBORGS LÄN</t>
        </is>
      </c>
      <c r="E2678" t="inlineStr">
        <is>
          <t>HUDIKSVALL</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33987-2023</t>
        </is>
      </c>
      <c r="B2679" s="1" t="n">
        <v>45134</v>
      </c>
      <c r="C2679" s="1" t="n">
        <v>45883</v>
      </c>
      <c r="D2679" t="inlineStr">
        <is>
          <t>GÄVLEBORGS LÄN</t>
        </is>
      </c>
      <c r="E2679" t="inlineStr">
        <is>
          <t>OCKELBO</t>
        </is>
      </c>
      <c r="F2679" t="inlineStr">
        <is>
          <t>Bergvik skog väst AB</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15615-2021</t>
        </is>
      </c>
      <c r="B2680" s="1" t="n">
        <v>44285</v>
      </c>
      <c r="C2680" s="1" t="n">
        <v>45883</v>
      </c>
      <c r="D2680" t="inlineStr">
        <is>
          <t>GÄVLEBORGS LÄN</t>
        </is>
      </c>
      <c r="E2680" t="inlineStr">
        <is>
          <t>HUDIKSVALL</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386-2023</t>
        </is>
      </c>
      <c r="B2681" s="1" t="n">
        <v>44929.59525462963</v>
      </c>
      <c r="C2681" s="1" t="n">
        <v>45883</v>
      </c>
      <c r="D2681" t="inlineStr">
        <is>
          <t>GÄVLEBORGS LÄN</t>
        </is>
      </c>
      <c r="E2681" t="inlineStr">
        <is>
          <t>HUDIKSVALL</t>
        </is>
      </c>
      <c r="F2681" t="inlineStr">
        <is>
          <t>Holmen skog AB</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51241-2023</t>
        </is>
      </c>
      <c r="B2682" s="1" t="n">
        <v>45219.47429398148</v>
      </c>
      <c r="C2682" s="1" t="n">
        <v>45883</v>
      </c>
      <c r="D2682" t="inlineStr">
        <is>
          <t>GÄVLEBORGS LÄN</t>
        </is>
      </c>
      <c r="E2682" t="inlineStr">
        <is>
          <t>HUDIKSVALL</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51306-2023</t>
        </is>
      </c>
      <c r="B2683" s="1" t="n">
        <v>45219</v>
      </c>
      <c r="C2683" s="1" t="n">
        <v>45883</v>
      </c>
      <c r="D2683" t="inlineStr">
        <is>
          <t>GÄVLEBORGS LÄN</t>
        </is>
      </c>
      <c r="E2683" t="inlineStr">
        <is>
          <t>BOLLNÄS</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31803-2024</t>
        </is>
      </c>
      <c r="B2684" s="1" t="n">
        <v>45509</v>
      </c>
      <c r="C2684" s="1" t="n">
        <v>45883</v>
      </c>
      <c r="D2684" t="inlineStr">
        <is>
          <t>GÄVLEBORGS LÄN</t>
        </is>
      </c>
      <c r="E2684" t="inlineStr">
        <is>
          <t>SÖDERHAMN</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44594-2022</t>
        </is>
      </c>
      <c r="B2685" s="1" t="n">
        <v>44840</v>
      </c>
      <c r="C2685" s="1" t="n">
        <v>45883</v>
      </c>
      <c r="D2685" t="inlineStr">
        <is>
          <t>GÄVLEBORGS LÄN</t>
        </is>
      </c>
      <c r="E2685" t="inlineStr">
        <is>
          <t>OVANÅKER</t>
        </is>
      </c>
      <c r="G2685" t="n">
        <v>5</v>
      </c>
      <c r="H2685" t="n">
        <v>0</v>
      </c>
      <c r="I2685" t="n">
        <v>0</v>
      </c>
      <c r="J2685" t="n">
        <v>0</v>
      </c>
      <c r="K2685" t="n">
        <v>0</v>
      </c>
      <c r="L2685" t="n">
        <v>0</v>
      </c>
      <c r="M2685" t="n">
        <v>0</v>
      </c>
      <c r="N2685" t="n">
        <v>0</v>
      </c>
      <c r="O2685" t="n">
        <v>0</v>
      </c>
      <c r="P2685" t="n">
        <v>0</v>
      </c>
      <c r="Q2685" t="n">
        <v>0</v>
      </c>
      <c r="R2685" s="2" t="inlineStr"/>
    </row>
    <row r="2686" ht="15" customHeight="1">
      <c r="A2686" t="inlineStr">
        <is>
          <t>A 57044-2022</t>
        </is>
      </c>
      <c r="B2686" s="1" t="n">
        <v>44895</v>
      </c>
      <c r="C2686" s="1" t="n">
        <v>45883</v>
      </c>
      <c r="D2686" t="inlineStr">
        <is>
          <t>GÄVLEBORGS LÄN</t>
        </is>
      </c>
      <c r="E2686" t="inlineStr">
        <is>
          <t>SÖDERHAMN</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11813-2024</t>
        </is>
      </c>
      <c r="B2687" s="1" t="n">
        <v>45376.30138888889</v>
      </c>
      <c r="C2687" s="1" t="n">
        <v>45883</v>
      </c>
      <c r="D2687" t="inlineStr">
        <is>
          <t>GÄVLEBORGS LÄN</t>
        </is>
      </c>
      <c r="E2687" t="inlineStr">
        <is>
          <t>HOFORS</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44109-2023</t>
        </is>
      </c>
      <c r="B2688" s="1" t="n">
        <v>45188.43717592592</v>
      </c>
      <c r="C2688" s="1" t="n">
        <v>45883</v>
      </c>
      <c r="D2688" t="inlineStr">
        <is>
          <t>GÄVLEBORGS LÄN</t>
        </is>
      </c>
      <c r="E2688" t="inlineStr">
        <is>
          <t>HUDIKSVALL</t>
        </is>
      </c>
      <c r="F2688" t="inlineStr">
        <is>
          <t>Holmen skog AB</t>
        </is>
      </c>
      <c r="G2688" t="n">
        <v>7.2</v>
      </c>
      <c r="H2688" t="n">
        <v>0</v>
      </c>
      <c r="I2688" t="n">
        <v>0</v>
      </c>
      <c r="J2688" t="n">
        <v>0</v>
      </c>
      <c r="K2688" t="n">
        <v>0</v>
      </c>
      <c r="L2688" t="n">
        <v>0</v>
      </c>
      <c r="M2688" t="n">
        <v>0</v>
      </c>
      <c r="N2688" t="n">
        <v>0</v>
      </c>
      <c r="O2688" t="n">
        <v>0</v>
      </c>
      <c r="P2688" t="n">
        <v>0</v>
      </c>
      <c r="Q2688" t="n">
        <v>0</v>
      </c>
      <c r="R2688" s="2" t="inlineStr"/>
    </row>
    <row r="2689" ht="15" customHeight="1">
      <c r="A2689" t="inlineStr">
        <is>
          <t>A 17405-2025</t>
        </is>
      </c>
      <c r="B2689" s="1" t="n">
        <v>45757.36209490741</v>
      </c>
      <c r="C2689" s="1" t="n">
        <v>45883</v>
      </c>
      <c r="D2689" t="inlineStr">
        <is>
          <t>GÄVLEBORGS LÄN</t>
        </is>
      </c>
      <c r="E2689" t="inlineStr">
        <is>
          <t>SANDVIKEN</t>
        </is>
      </c>
      <c r="F2689" t="inlineStr">
        <is>
          <t>Bergvik skog öst AB</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16623-2025</t>
        </is>
      </c>
      <c r="B2690" s="1" t="n">
        <v>45754.34134259259</v>
      </c>
      <c r="C2690" s="1" t="n">
        <v>45883</v>
      </c>
      <c r="D2690" t="inlineStr">
        <is>
          <t>GÄVLEBORGS LÄN</t>
        </is>
      </c>
      <c r="E2690" t="inlineStr">
        <is>
          <t>OCKELBO</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16629-2025</t>
        </is>
      </c>
      <c r="B2691" s="1" t="n">
        <v>45754.36008101852</v>
      </c>
      <c r="C2691" s="1" t="n">
        <v>45883</v>
      </c>
      <c r="D2691" t="inlineStr">
        <is>
          <t>GÄVLEBORGS LÄN</t>
        </is>
      </c>
      <c r="E2691" t="inlineStr">
        <is>
          <t>OCKELBO</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17400-2025</t>
        </is>
      </c>
      <c r="B2692" s="1" t="n">
        <v>45757</v>
      </c>
      <c r="C2692" s="1" t="n">
        <v>45883</v>
      </c>
      <c r="D2692" t="inlineStr">
        <is>
          <t>GÄVLEBORGS LÄN</t>
        </is>
      </c>
      <c r="E2692" t="inlineStr">
        <is>
          <t>SÖDERHAMN</t>
        </is>
      </c>
      <c r="F2692" t="inlineStr">
        <is>
          <t>Bergvik skog väst AB</t>
        </is>
      </c>
      <c r="G2692" t="n">
        <v>7.1</v>
      </c>
      <c r="H2692" t="n">
        <v>0</v>
      </c>
      <c r="I2692" t="n">
        <v>0</v>
      </c>
      <c r="J2692" t="n">
        <v>0</v>
      </c>
      <c r="K2692" t="n">
        <v>0</v>
      </c>
      <c r="L2692" t="n">
        <v>0</v>
      </c>
      <c r="M2692" t="n">
        <v>0</v>
      </c>
      <c r="N2692" t="n">
        <v>0</v>
      </c>
      <c r="O2692" t="n">
        <v>0</v>
      </c>
      <c r="P2692" t="n">
        <v>0</v>
      </c>
      <c r="Q2692" t="n">
        <v>0</v>
      </c>
      <c r="R2692" s="2" t="inlineStr"/>
    </row>
    <row r="2693" ht="15" customHeight="1">
      <c r="A2693" t="inlineStr">
        <is>
          <t>A 17401-2025</t>
        </is>
      </c>
      <c r="B2693" s="1" t="n">
        <v>45757.35046296296</v>
      </c>
      <c r="C2693" s="1" t="n">
        <v>45883</v>
      </c>
      <c r="D2693" t="inlineStr">
        <is>
          <t>GÄVLEBORGS LÄN</t>
        </is>
      </c>
      <c r="E2693" t="inlineStr">
        <is>
          <t>BOLLNÄS</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17404-2025</t>
        </is>
      </c>
      <c r="B2694" s="1" t="n">
        <v>45757.35831018518</v>
      </c>
      <c r="C2694" s="1" t="n">
        <v>45883</v>
      </c>
      <c r="D2694" t="inlineStr">
        <is>
          <t>GÄVLEBORGS LÄN</t>
        </is>
      </c>
      <c r="E2694" t="inlineStr">
        <is>
          <t>GÄVLE</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22646-2022</t>
        </is>
      </c>
      <c r="B2695" s="1" t="n">
        <v>44714.4553125</v>
      </c>
      <c r="C2695" s="1" t="n">
        <v>45883</v>
      </c>
      <c r="D2695" t="inlineStr">
        <is>
          <t>GÄVLEBORGS LÄN</t>
        </is>
      </c>
      <c r="E2695" t="inlineStr">
        <is>
          <t>BOLLNÄS</t>
        </is>
      </c>
      <c r="F2695" t="inlineStr">
        <is>
          <t>Bergvik skog väst AB</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30296-2024</t>
        </is>
      </c>
      <c r="B2696" s="1" t="n">
        <v>45490</v>
      </c>
      <c r="C2696" s="1" t="n">
        <v>45883</v>
      </c>
      <c r="D2696" t="inlineStr">
        <is>
          <t>GÄVLEBORGS LÄN</t>
        </is>
      </c>
      <c r="E2696" t="inlineStr">
        <is>
          <t>LJUSDAL</t>
        </is>
      </c>
      <c r="G2696" t="n">
        <v>5.7</v>
      </c>
      <c r="H2696" t="n">
        <v>0</v>
      </c>
      <c r="I2696" t="n">
        <v>0</v>
      </c>
      <c r="J2696" t="n">
        <v>0</v>
      </c>
      <c r="K2696" t="n">
        <v>0</v>
      </c>
      <c r="L2696" t="n">
        <v>0</v>
      </c>
      <c r="M2696" t="n">
        <v>0</v>
      </c>
      <c r="N2696" t="n">
        <v>0</v>
      </c>
      <c r="O2696" t="n">
        <v>0</v>
      </c>
      <c r="P2696" t="n">
        <v>0</v>
      </c>
      <c r="Q2696" t="n">
        <v>0</v>
      </c>
      <c r="R2696" s="2" t="inlineStr"/>
    </row>
    <row r="2697" ht="15" customHeight="1">
      <c r="A2697" t="inlineStr">
        <is>
          <t>A 44130-2020</t>
        </is>
      </c>
      <c r="B2697" s="1" t="n">
        <v>44083</v>
      </c>
      <c r="C2697" s="1" t="n">
        <v>45883</v>
      </c>
      <c r="D2697" t="inlineStr">
        <is>
          <t>GÄVLEBORGS LÄN</t>
        </is>
      </c>
      <c r="E2697" t="inlineStr">
        <is>
          <t>OVANÅKER</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51525-2023</t>
        </is>
      </c>
      <c r="B2698" s="1" t="n">
        <v>45222.39458333333</v>
      </c>
      <c r="C2698" s="1" t="n">
        <v>45883</v>
      </c>
      <c r="D2698" t="inlineStr">
        <is>
          <t>GÄVLEBORGS LÄN</t>
        </is>
      </c>
      <c r="E2698" t="inlineStr">
        <is>
          <t>LJUSDAL</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59798-2022</t>
        </is>
      </c>
      <c r="B2699" s="1" t="n">
        <v>44908.5655787037</v>
      </c>
      <c r="C2699" s="1" t="n">
        <v>45883</v>
      </c>
      <c r="D2699" t="inlineStr">
        <is>
          <t>GÄVLEBORGS LÄN</t>
        </is>
      </c>
      <c r="E2699" t="inlineStr">
        <is>
          <t>HUDIKSVALL</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59826-2022</t>
        </is>
      </c>
      <c r="B2700" s="1" t="n">
        <v>44908.60137731482</v>
      </c>
      <c r="C2700" s="1" t="n">
        <v>45883</v>
      </c>
      <c r="D2700" t="inlineStr">
        <is>
          <t>GÄVLEBORGS LÄN</t>
        </is>
      </c>
      <c r="E2700" t="inlineStr">
        <is>
          <t>LJUSDAL</t>
        </is>
      </c>
      <c r="F2700" t="inlineStr">
        <is>
          <t>Kommuner</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62983-2023</t>
        </is>
      </c>
      <c r="B2701" s="1" t="n">
        <v>45272</v>
      </c>
      <c r="C2701" s="1" t="n">
        <v>45883</v>
      </c>
      <c r="D2701" t="inlineStr">
        <is>
          <t>GÄVLEBORGS LÄN</t>
        </is>
      </c>
      <c r="E2701" t="inlineStr">
        <is>
          <t>GÄVLE</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13505-2025</t>
        </is>
      </c>
      <c r="B2702" s="1" t="n">
        <v>45736.46898148148</v>
      </c>
      <c r="C2702" s="1" t="n">
        <v>45883</v>
      </c>
      <c r="D2702" t="inlineStr">
        <is>
          <t>GÄVLEBORGS LÄN</t>
        </is>
      </c>
      <c r="E2702" t="inlineStr">
        <is>
          <t>LJUSDAL</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17964-2025</t>
        </is>
      </c>
      <c r="B2703" s="1" t="n">
        <v>45761</v>
      </c>
      <c r="C2703" s="1" t="n">
        <v>45883</v>
      </c>
      <c r="D2703" t="inlineStr">
        <is>
          <t>GÄVLEBORGS LÄN</t>
        </is>
      </c>
      <c r="E2703" t="inlineStr">
        <is>
          <t>BOLLNÄS</t>
        </is>
      </c>
      <c r="F2703" t="inlineStr">
        <is>
          <t>Kyrkan</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2311-2024</t>
        </is>
      </c>
      <c r="B2704" s="1" t="n">
        <v>45310</v>
      </c>
      <c r="C2704" s="1" t="n">
        <v>45883</v>
      </c>
      <c r="D2704" t="inlineStr">
        <is>
          <t>GÄVLEBORGS LÄN</t>
        </is>
      </c>
      <c r="E2704" t="inlineStr">
        <is>
          <t>BOLLNÄS</t>
        </is>
      </c>
      <c r="F2704" t="inlineStr">
        <is>
          <t>Övriga statliga verk och myndigheter</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52387-2022</t>
        </is>
      </c>
      <c r="B2705" s="1" t="n">
        <v>44874</v>
      </c>
      <c r="C2705" s="1" t="n">
        <v>45883</v>
      </c>
      <c r="D2705" t="inlineStr">
        <is>
          <t>GÄVLEBORGS LÄN</t>
        </is>
      </c>
      <c r="E2705" t="inlineStr">
        <is>
          <t>GÄVLE</t>
        </is>
      </c>
      <c r="F2705" t="inlineStr">
        <is>
          <t>Kommuner</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57632-2021</t>
        </is>
      </c>
      <c r="B2706" s="1" t="n">
        <v>44484.39166666667</v>
      </c>
      <c r="C2706" s="1" t="n">
        <v>45883</v>
      </c>
      <c r="D2706" t="inlineStr">
        <is>
          <t>GÄVLEBORGS LÄN</t>
        </is>
      </c>
      <c r="E2706" t="inlineStr">
        <is>
          <t>HOFORS</t>
        </is>
      </c>
      <c r="G2706" t="n">
        <v>4.1</v>
      </c>
      <c r="H2706" t="n">
        <v>0</v>
      </c>
      <c r="I2706" t="n">
        <v>0</v>
      </c>
      <c r="J2706" t="n">
        <v>0</v>
      </c>
      <c r="K2706" t="n">
        <v>0</v>
      </c>
      <c r="L2706" t="n">
        <v>0</v>
      </c>
      <c r="M2706" t="n">
        <v>0</v>
      </c>
      <c r="N2706" t="n">
        <v>0</v>
      </c>
      <c r="O2706" t="n">
        <v>0</v>
      </c>
      <c r="P2706" t="n">
        <v>0</v>
      </c>
      <c r="Q2706" t="n">
        <v>0</v>
      </c>
      <c r="R2706" s="2" t="inlineStr"/>
    </row>
    <row r="2707" ht="15" customHeight="1">
      <c r="A2707" t="inlineStr">
        <is>
          <t>A 2247-2023</t>
        </is>
      </c>
      <c r="B2707" s="1" t="n">
        <v>44942.47491898148</v>
      </c>
      <c r="C2707" s="1" t="n">
        <v>45883</v>
      </c>
      <c r="D2707" t="inlineStr">
        <is>
          <t>GÄVLEBORGS LÄN</t>
        </is>
      </c>
      <c r="E2707" t="inlineStr">
        <is>
          <t>GÄVLE</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15454-2025</t>
        </is>
      </c>
      <c r="B2708" s="1" t="n">
        <v>45747.49863425926</v>
      </c>
      <c r="C2708" s="1" t="n">
        <v>45883</v>
      </c>
      <c r="D2708" t="inlineStr">
        <is>
          <t>GÄVLEBORGS LÄN</t>
        </is>
      </c>
      <c r="E2708" t="inlineStr">
        <is>
          <t>SÖDERHAMN</t>
        </is>
      </c>
      <c r="G2708" t="n">
        <v>6.2</v>
      </c>
      <c r="H2708" t="n">
        <v>0</v>
      </c>
      <c r="I2708" t="n">
        <v>0</v>
      </c>
      <c r="J2708" t="n">
        <v>0</v>
      </c>
      <c r="K2708" t="n">
        <v>0</v>
      </c>
      <c r="L2708" t="n">
        <v>0</v>
      </c>
      <c r="M2708" t="n">
        <v>0</v>
      </c>
      <c r="N2708" t="n">
        <v>0</v>
      </c>
      <c r="O2708" t="n">
        <v>0</v>
      </c>
      <c r="P2708" t="n">
        <v>0</v>
      </c>
      <c r="Q2708" t="n">
        <v>0</v>
      </c>
      <c r="R2708" s="2" t="inlineStr"/>
    </row>
    <row r="2709" ht="15" customHeight="1">
      <c r="A2709" t="inlineStr">
        <is>
          <t>A 57716-2022</t>
        </is>
      </c>
      <c r="B2709" s="1" t="n">
        <v>44897</v>
      </c>
      <c r="C2709" s="1" t="n">
        <v>45883</v>
      </c>
      <c r="D2709" t="inlineStr">
        <is>
          <t>GÄVLEBORGS LÄN</t>
        </is>
      </c>
      <c r="E2709" t="inlineStr">
        <is>
          <t>HUDIKSVALL</t>
        </is>
      </c>
      <c r="F2709" t="inlineStr">
        <is>
          <t>Holmen skog AB</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4619-2024</t>
        </is>
      </c>
      <c r="B2710" s="1" t="n">
        <v>45328</v>
      </c>
      <c r="C2710" s="1" t="n">
        <v>45883</v>
      </c>
      <c r="D2710" t="inlineStr">
        <is>
          <t>GÄVLEBORGS LÄN</t>
        </is>
      </c>
      <c r="E2710" t="inlineStr">
        <is>
          <t>HUDIKSVALL</t>
        </is>
      </c>
      <c r="F2710" t="inlineStr">
        <is>
          <t>Holmen skog AB</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19875-2025</t>
        </is>
      </c>
      <c r="B2711" s="1" t="n">
        <v>45771.55023148148</v>
      </c>
      <c r="C2711" s="1" t="n">
        <v>45883</v>
      </c>
      <c r="D2711" t="inlineStr">
        <is>
          <t>GÄVLEBORGS LÄN</t>
        </is>
      </c>
      <c r="E2711" t="inlineStr">
        <is>
          <t>OVANÅKER</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19896-2025</t>
        </is>
      </c>
      <c r="B2712" s="1" t="n">
        <v>45771.5834837963</v>
      </c>
      <c r="C2712" s="1" t="n">
        <v>45883</v>
      </c>
      <c r="D2712" t="inlineStr">
        <is>
          <t>GÄVLEBORGS LÄN</t>
        </is>
      </c>
      <c r="E2712" t="inlineStr">
        <is>
          <t>NORDANSTIG</t>
        </is>
      </c>
      <c r="F2712" t="inlineStr">
        <is>
          <t>Holmen skog AB</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17840-2023</t>
        </is>
      </c>
      <c r="B2713" s="1" t="n">
        <v>45037</v>
      </c>
      <c r="C2713" s="1" t="n">
        <v>45883</v>
      </c>
      <c r="D2713" t="inlineStr">
        <is>
          <t>GÄVLEBORGS LÄN</t>
        </is>
      </c>
      <c r="E2713" t="inlineStr">
        <is>
          <t>NORDANSTIG</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19918-2025</t>
        </is>
      </c>
      <c r="B2714" s="1" t="n">
        <v>45771.62268518518</v>
      </c>
      <c r="C2714" s="1" t="n">
        <v>45883</v>
      </c>
      <c r="D2714" t="inlineStr">
        <is>
          <t>GÄVLEBORGS LÄN</t>
        </is>
      </c>
      <c r="E2714" t="inlineStr">
        <is>
          <t>LJUSDAL</t>
        </is>
      </c>
      <c r="G2714" t="n">
        <v>6.9</v>
      </c>
      <c r="H2714" t="n">
        <v>0</v>
      </c>
      <c r="I2714" t="n">
        <v>0</v>
      </c>
      <c r="J2714" t="n">
        <v>0</v>
      </c>
      <c r="K2714" t="n">
        <v>0</v>
      </c>
      <c r="L2714" t="n">
        <v>0</v>
      </c>
      <c r="M2714" t="n">
        <v>0</v>
      </c>
      <c r="N2714" t="n">
        <v>0</v>
      </c>
      <c r="O2714" t="n">
        <v>0</v>
      </c>
      <c r="P2714" t="n">
        <v>0</v>
      </c>
      <c r="Q2714" t="n">
        <v>0</v>
      </c>
      <c r="R2714" s="2" t="inlineStr"/>
    </row>
    <row r="2715" ht="15" customHeight="1">
      <c r="A2715" t="inlineStr">
        <is>
          <t>A 50871-2022</t>
        </is>
      </c>
      <c r="B2715" s="1" t="n">
        <v>44867</v>
      </c>
      <c r="C2715" s="1" t="n">
        <v>45883</v>
      </c>
      <c r="D2715" t="inlineStr">
        <is>
          <t>GÄVLEBORGS LÄN</t>
        </is>
      </c>
      <c r="E2715" t="inlineStr">
        <is>
          <t>GÄVLE</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37002-2024</t>
        </is>
      </c>
      <c r="B2716" s="1" t="n">
        <v>45539</v>
      </c>
      <c r="C2716" s="1" t="n">
        <v>45883</v>
      </c>
      <c r="D2716" t="inlineStr">
        <is>
          <t>GÄVLEBORGS LÄN</t>
        </is>
      </c>
      <c r="E2716" t="inlineStr">
        <is>
          <t>NORDANSTIG</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45947-2022</t>
        </is>
      </c>
      <c r="B2717" s="1" t="n">
        <v>44846.65460648148</v>
      </c>
      <c r="C2717" s="1" t="n">
        <v>45883</v>
      </c>
      <c r="D2717" t="inlineStr">
        <is>
          <t>GÄVLEBORGS LÄN</t>
        </is>
      </c>
      <c r="E2717" t="inlineStr">
        <is>
          <t>OVANÅKER</t>
        </is>
      </c>
      <c r="G2717" t="n">
        <v>4.4</v>
      </c>
      <c r="H2717" t="n">
        <v>0</v>
      </c>
      <c r="I2717" t="n">
        <v>0</v>
      </c>
      <c r="J2717" t="n">
        <v>0</v>
      </c>
      <c r="K2717" t="n">
        <v>0</v>
      </c>
      <c r="L2717" t="n">
        <v>0</v>
      </c>
      <c r="M2717" t="n">
        <v>0</v>
      </c>
      <c r="N2717" t="n">
        <v>0</v>
      </c>
      <c r="O2717" t="n">
        <v>0</v>
      </c>
      <c r="P2717" t="n">
        <v>0</v>
      </c>
      <c r="Q2717" t="n">
        <v>0</v>
      </c>
      <c r="R2717" s="2" t="inlineStr"/>
    </row>
    <row r="2718" ht="15" customHeight="1">
      <c r="A2718" t="inlineStr">
        <is>
          <t>A 36829-2024</t>
        </is>
      </c>
      <c r="B2718" s="1" t="n">
        <v>45538.50928240741</v>
      </c>
      <c r="C2718" s="1" t="n">
        <v>45883</v>
      </c>
      <c r="D2718" t="inlineStr">
        <is>
          <t>GÄVLEBORGS LÄN</t>
        </is>
      </c>
      <c r="E2718" t="inlineStr">
        <is>
          <t>HUDIKSVALL</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37739-2024</t>
        </is>
      </c>
      <c r="B2719" s="1" t="n">
        <v>45541.67366898148</v>
      </c>
      <c r="C2719" s="1" t="n">
        <v>45883</v>
      </c>
      <c r="D2719" t="inlineStr">
        <is>
          <t>GÄVLEBORGS LÄN</t>
        </is>
      </c>
      <c r="E2719" t="inlineStr">
        <is>
          <t>NORDANSTIG</t>
        </is>
      </c>
      <c r="F2719" t="inlineStr">
        <is>
          <t>Holmen skog AB</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14594-2021</t>
        </is>
      </c>
      <c r="B2720" s="1" t="n">
        <v>44279</v>
      </c>
      <c r="C2720" s="1" t="n">
        <v>45883</v>
      </c>
      <c r="D2720" t="inlineStr">
        <is>
          <t>GÄVLEBORGS LÄN</t>
        </is>
      </c>
      <c r="E2720" t="inlineStr">
        <is>
          <t>GÄVLE</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25058-2022</t>
        </is>
      </c>
      <c r="B2721" s="1" t="n">
        <v>44729.31721064815</v>
      </c>
      <c r="C2721" s="1" t="n">
        <v>45883</v>
      </c>
      <c r="D2721" t="inlineStr">
        <is>
          <t>GÄVLEBORGS LÄN</t>
        </is>
      </c>
      <c r="E2721" t="inlineStr">
        <is>
          <t>OVANÅKER</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29904-2024</t>
        </is>
      </c>
      <c r="B2722" s="1" t="n">
        <v>45487.71040509259</v>
      </c>
      <c r="C2722" s="1" t="n">
        <v>45883</v>
      </c>
      <c r="D2722" t="inlineStr">
        <is>
          <t>GÄVLEBORGS LÄN</t>
        </is>
      </c>
      <c r="E2722" t="inlineStr">
        <is>
          <t>HUDIKSVALL</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13843-2025</t>
        </is>
      </c>
      <c r="B2723" s="1" t="n">
        <v>45737.55868055556</v>
      </c>
      <c r="C2723" s="1" t="n">
        <v>45883</v>
      </c>
      <c r="D2723" t="inlineStr">
        <is>
          <t>GÄVLEBORGS LÄN</t>
        </is>
      </c>
      <c r="E2723" t="inlineStr">
        <is>
          <t>LJUSDAL</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23985-2022</t>
        </is>
      </c>
      <c r="B2724" s="1" t="n">
        <v>44722.9260300926</v>
      </c>
      <c r="C2724" s="1" t="n">
        <v>45883</v>
      </c>
      <c r="D2724" t="inlineStr">
        <is>
          <t>GÄVLEBORGS LÄN</t>
        </is>
      </c>
      <c r="E2724" t="inlineStr">
        <is>
          <t>LJUSDAL</t>
        </is>
      </c>
      <c r="G2724" t="n">
        <v>6.6</v>
      </c>
      <c r="H2724" t="n">
        <v>0</v>
      </c>
      <c r="I2724" t="n">
        <v>0</v>
      </c>
      <c r="J2724" t="n">
        <v>0</v>
      </c>
      <c r="K2724" t="n">
        <v>0</v>
      </c>
      <c r="L2724" t="n">
        <v>0</v>
      </c>
      <c r="M2724" t="n">
        <v>0</v>
      </c>
      <c r="N2724" t="n">
        <v>0</v>
      </c>
      <c r="O2724" t="n">
        <v>0</v>
      </c>
      <c r="P2724" t="n">
        <v>0</v>
      </c>
      <c r="Q2724" t="n">
        <v>0</v>
      </c>
      <c r="R2724" s="2" t="inlineStr"/>
    </row>
    <row r="2725" ht="15" customHeight="1">
      <c r="A2725" t="inlineStr">
        <is>
          <t>A 33734-2024</t>
        </is>
      </c>
      <c r="B2725" s="1" t="n">
        <v>45520</v>
      </c>
      <c r="C2725" s="1" t="n">
        <v>45883</v>
      </c>
      <c r="D2725" t="inlineStr">
        <is>
          <t>GÄVLEBORGS LÄN</t>
        </is>
      </c>
      <c r="E2725" t="inlineStr">
        <is>
          <t>HOFORS</t>
        </is>
      </c>
      <c r="F2725" t="inlineStr">
        <is>
          <t>Sveaskog</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11533-2021</t>
        </is>
      </c>
      <c r="B2726" s="1" t="n">
        <v>44264</v>
      </c>
      <c r="C2726" s="1" t="n">
        <v>45883</v>
      </c>
      <c r="D2726" t="inlineStr">
        <is>
          <t>GÄVLEBORGS LÄN</t>
        </is>
      </c>
      <c r="E2726" t="inlineStr">
        <is>
          <t>OVANÅKER</t>
        </is>
      </c>
      <c r="G2726" t="n">
        <v>0</v>
      </c>
      <c r="H2726" t="n">
        <v>0</v>
      </c>
      <c r="I2726" t="n">
        <v>0</v>
      </c>
      <c r="J2726" t="n">
        <v>0</v>
      </c>
      <c r="K2726" t="n">
        <v>0</v>
      </c>
      <c r="L2726" t="n">
        <v>0</v>
      </c>
      <c r="M2726" t="n">
        <v>0</v>
      </c>
      <c r="N2726" t="n">
        <v>0</v>
      </c>
      <c r="O2726" t="n">
        <v>0</v>
      </c>
      <c r="P2726" t="n">
        <v>0</v>
      </c>
      <c r="Q2726" t="n">
        <v>0</v>
      </c>
      <c r="R2726" s="2" t="inlineStr"/>
    </row>
    <row r="2727" ht="15" customHeight="1">
      <c r="A2727" t="inlineStr">
        <is>
          <t>A 47288-2023</t>
        </is>
      </c>
      <c r="B2727" s="1" t="n">
        <v>45202</v>
      </c>
      <c r="C2727" s="1" t="n">
        <v>45883</v>
      </c>
      <c r="D2727" t="inlineStr">
        <is>
          <t>GÄVLEBORGS LÄN</t>
        </is>
      </c>
      <c r="E2727" t="inlineStr">
        <is>
          <t>SÖDERHAMN</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26304-2022</t>
        </is>
      </c>
      <c r="B2728" s="1" t="n">
        <v>44735.58756944445</v>
      </c>
      <c r="C2728" s="1" t="n">
        <v>45883</v>
      </c>
      <c r="D2728" t="inlineStr">
        <is>
          <t>GÄVLEBORGS LÄN</t>
        </is>
      </c>
      <c r="E2728" t="inlineStr">
        <is>
          <t>BOLLNÄS</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20044-2024</t>
        </is>
      </c>
      <c r="B2729" s="1" t="n">
        <v>45434.36261574074</v>
      </c>
      <c r="C2729" s="1" t="n">
        <v>45883</v>
      </c>
      <c r="D2729" t="inlineStr">
        <is>
          <t>GÄVLEBORGS LÄN</t>
        </is>
      </c>
      <c r="E2729" t="inlineStr">
        <is>
          <t>NORDANSTIG</t>
        </is>
      </c>
      <c r="F2729" t="inlineStr">
        <is>
          <t>Holmen skog AB</t>
        </is>
      </c>
      <c r="G2729" t="n">
        <v>9.1</v>
      </c>
      <c r="H2729" t="n">
        <v>0</v>
      </c>
      <c r="I2729" t="n">
        <v>0</v>
      </c>
      <c r="J2729" t="n">
        <v>0</v>
      </c>
      <c r="K2729" t="n">
        <v>0</v>
      </c>
      <c r="L2729" t="n">
        <v>0</v>
      </c>
      <c r="M2729" t="n">
        <v>0</v>
      </c>
      <c r="N2729" t="n">
        <v>0</v>
      </c>
      <c r="O2729" t="n">
        <v>0</v>
      </c>
      <c r="P2729" t="n">
        <v>0</v>
      </c>
      <c r="Q2729" t="n">
        <v>0</v>
      </c>
      <c r="R2729" s="2" t="inlineStr"/>
    </row>
    <row r="2730" ht="15" customHeight="1">
      <c r="A2730" t="inlineStr">
        <is>
          <t>A 61416-2024</t>
        </is>
      </c>
      <c r="B2730" s="1" t="n">
        <v>45646.44552083333</v>
      </c>
      <c r="C2730" s="1" t="n">
        <v>45883</v>
      </c>
      <c r="D2730" t="inlineStr">
        <is>
          <t>GÄVLEBORGS LÄN</t>
        </is>
      </c>
      <c r="E2730" t="inlineStr">
        <is>
          <t>LJUSDAL</t>
        </is>
      </c>
      <c r="F2730" t="inlineStr">
        <is>
          <t>Sveaskog</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61419-2024</t>
        </is>
      </c>
      <c r="B2731" s="1" t="n">
        <v>45646.4496875</v>
      </c>
      <c r="C2731" s="1" t="n">
        <v>45883</v>
      </c>
      <c r="D2731" t="inlineStr">
        <is>
          <t>GÄVLEBORGS LÄN</t>
        </is>
      </c>
      <c r="E2731" t="inlineStr">
        <is>
          <t>NORDANSTIG</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8441-2023</t>
        </is>
      </c>
      <c r="B2732" s="1" t="n">
        <v>44977</v>
      </c>
      <c r="C2732" s="1" t="n">
        <v>45883</v>
      </c>
      <c r="D2732" t="inlineStr">
        <is>
          <t>GÄVLEBORGS LÄN</t>
        </is>
      </c>
      <c r="E2732" t="inlineStr">
        <is>
          <t>HUDIKSVALL</t>
        </is>
      </c>
      <c r="F2732" t="inlineStr">
        <is>
          <t>Holmen skog AB</t>
        </is>
      </c>
      <c r="G2732" t="n">
        <v>10</v>
      </c>
      <c r="H2732" t="n">
        <v>0</v>
      </c>
      <c r="I2732" t="n">
        <v>0</v>
      </c>
      <c r="J2732" t="n">
        <v>0</v>
      </c>
      <c r="K2732" t="n">
        <v>0</v>
      </c>
      <c r="L2732" t="n">
        <v>0</v>
      </c>
      <c r="M2732" t="n">
        <v>0</v>
      </c>
      <c r="N2732" t="n">
        <v>0</v>
      </c>
      <c r="O2732" t="n">
        <v>0</v>
      </c>
      <c r="P2732" t="n">
        <v>0</v>
      </c>
      <c r="Q2732" t="n">
        <v>0</v>
      </c>
      <c r="R2732" s="2" t="inlineStr"/>
    </row>
    <row r="2733" ht="15" customHeight="1">
      <c r="A2733" t="inlineStr">
        <is>
          <t>A 24201-2023</t>
        </is>
      </c>
      <c r="B2733" s="1" t="n">
        <v>45079</v>
      </c>
      <c r="C2733" s="1" t="n">
        <v>45883</v>
      </c>
      <c r="D2733" t="inlineStr">
        <is>
          <t>GÄVLEBORGS LÄN</t>
        </is>
      </c>
      <c r="E2733" t="inlineStr">
        <is>
          <t>HUDIKSVALL</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52695-2024</t>
        </is>
      </c>
      <c r="B2734" s="1" t="n">
        <v>45610.40315972222</v>
      </c>
      <c r="C2734" s="1" t="n">
        <v>45883</v>
      </c>
      <c r="D2734" t="inlineStr">
        <is>
          <t>GÄVLEBORGS LÄN</t>
        </is>
      </c>
      <c r="E2734" t="inlineStr">
        <is>
          <t>NORDANSTIG</t>
        </is>
      </c>
      <c r="F2734" t="inlineStr">
        <is>
          <t>Holmen skog AB</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13825-2025</t>
        </is>
      </c>
      <c r="B2735" s="1" t="n">
        <v>45737.54068287037</v>
      </c>
      <c r="C2735" s="1" t="n">
        <v>45883</v>
      </c>
      <c r="D2735" t="inlineStr">
        <is>
          <t>GÄVLEBORGS LÄN</t>
        </is>
      </c>
      <c r="E2735" t="inlineStr">
        <is>
          <t>GÄVLE</t>
        </is>
      </c>
      <c r="G2735" t="n">
        <v>4.9</v>
      </c>
      <c r="H2735" t="n">
        <v>0</v>
      </c>
      <c r="I2735" t="n">
        <v>0</v>
      </c>
      <c r="J2735" t="n">
        <v>0</v>
      </c>
      <c r="K2735" t="n">
        <v>0</v>
      </c>
      <c r="L2735" t="n">
        <v>0</v>
      </c>
      <c r="M2735" t="n">
        <v>0</v>
      </c>
      <c r="N2735" t="n">
        <v>0</v>
      </c>
      <c r="O2735" t="n">
        <v>0</v>
      </c>
      <c r="P2735" t="n">
        <v>0</v>
      </c>
      <c r="Q2735" t="n">
        <v>0</v>
      </c>
      <c r="R2735" s="2" t="inlineStr"/>
    </row>
    <row r="2736" ht="15" customHeight="1">
      <c r="A2736" t="inlineStr">
        <is>
          <t>A 12624-2025</t>
        </is>
      </c>
      <c r="B2736" s="1" t="n">
        <v>45733.36315972222</v>
      </c>
      <c r="C2736" s="1" t="n">
        <v>45883</v>
      </c>
      <c r="D2736" t="inlineStr">
        <is>
          <t>GÄVLEBORGS LÄN</t>
        </is>
      </c>
      <c r="E2736" t="inlineStr">
        <is>
          <t>BOLLNÄS</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54625-2023</t>
        </is>
      </c>
      <c r="B2737" s="1" t="n">
        <v>45234</v>
      </c>
      <c r="C2737" s="1" t="n">
        <v>45883</v>
      </c>
      <c r="D2737" t="inlineStr">
        <is>
          <t>GÄVLEBORGS LÄN</t>
        </is>
      </c>
      <c r="E2737" t="inlineStr">
        <is>
          <t>HUDIKSVALL</t>
        </is>
      </c>
      <c r="G2737" t="n">
        <v>4</v>
      </c>
      <c r="H2737" t="n">
        <v>0</v>
      </c>
      <c r="I2737" t="n">
        <v>0</v>
      </c>
      <c r="J2737" t="n">
        <v>0</v>
      </c>
      <c r="K2737" t="n">
        <v>0</v>
      </c>
      <c r="L2737" t="n">
        <v>0</v>
      </c>
      <c r="M2737" t="n">
        <v>0</v>
      </c>
      <c r="N2737" t="n">
        <v>0</v>
      </c>
      <c r="O2737" t="n">
        <v>0</v>
      </c>
      <c r="P2737" t="n">
        <v>0</v>
      </c>
      <c r="Q2737" t="n">
        <v>0</v>
      </c>
      <c r="R2737" s="2" t="inlineStr"/>
    </row>
    <row r="2738" ht="15" customHeight="1">
      <c r="A2738" t="inlineStr">
        <is>
          <t>A 47710-2022</t>
        </is>
      </c>
      <c r="B2738" s="1" t="n">
        <v>44854</v>
      </c>
      <c r="C2738" s="1" t="n">
        <v>45883</v>
      </c>
      <c r="D2738" t="inlineStr">
        <is>
          <t>GÄVLEBORGS LÄN</t>
        </is>
      </c>
      <c r="E2738" t="inlineStr">
        <is>
          <t>SANDVIKEN</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47711-2022</t>
        </is>
      </c>
      <c r="B2739" s="1" t="n">
        <v>44854</v>
      </c>
      <c r="C2739" s="1" t="n">
        <v>45883</v>
      </c>
      <c r="D2739" t="inlineStr">
        <is>
          <t>GÄVLEBORGS LÄN</t>
        </is>
      </c>
      <c r="E2739" t="inlineStr">
        <is>
          <t>SANDVIKEN</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18920-2025</t>
        </is>
      </c>
      <c r="B2740" s="1" t="n">
        <v>45764.47677083333</v>
      </c>
      <c r="C2740" s="1" t="n">
        <v>45883</v>
      </c>
      <c r="D2740" t="inlineStr">
        <is>
          <t>GÄVLEBORGS LÄN</t>
        </is>
      </c>
      <c r="E2740" t="inlineStr">
        <is>
          <t>SÖDERHAMN</t>
        </is>
      </c>
      <c r="F2740" t="inlineStr">
        <is>
          <t>Kommuner</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57110-2022</t>
        </is>
      </c>
      <c r="B2741" s="1" t="n">
        <v>44895.51792824074</v>
      </c>
      <c r="C2741" s="1" t="n">
        <v>45883</v>
      </c>
      <c r="D2741" t="inlineStr">
        <is>
          <t>GÄVLEBORGS LÄN</t>
        </is>
      </c>
      <c r="E2741" t="inlineStr">
        <is>
          <t>LJUSDAL</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49931-2023</t>
        </is>
      </c>
      <c r="B2742" s="1" t="n">
        <v>45215</v>
      </c>
      <c r="C2742" s="1" t="n">
        <v>45883</v>
      </c>
      <c r="D2742" t="inlineStr">
        <is>
          <t>GÄVLEBORGS LÄN</t>
        </is>
      </c>
      <c r="E2742" t="inlineStr">
        <is>
          <t>BOLLNÄS</t>
        </is>
      </c>
      <c r="G2742" t="n">
        <v>5.1</v>
      </c>
      <c r="H2742" t="n">
        <v>0</v>
      </c>
      <c r="I2742" t="n">
        <v>0</v>
      </c>
      <c r="J2742" t="n">
        <v>0</v>
      </c>
      <c r="K2742" t="n">
        <v>0</v>
      </c>
      <c r="L2742" t="n">
        <v>0</v>
      </c>
      <c r="M2742" t="n">
        <v>0</v>
      </c>
      <c r="N2742" t="n">
        <v>0</v>
      </c>
      <c r="O2742" t="n">
        <v>0</v>
      </c>
      <c r="P2742" t="n">
        <v>0</v>
      </c>
      <c r="Q2742" t="n">
        <v>0</v>
      </c>
      <c r="R2742" s="2" t="inlineStr"/>
    </row>
    <row r="2743" ht="15" customHeight="1">
      <c r="A2743" t="inlineStr">
        <is>
          <t>A 11838-2024</t>
        </is>
      </c>
      <c r="B2743" s="1" t="n">
        <v>45376.37584490741</v>
      </c>
      <c r="C2743" s="1" t="n">
        <v>45883</v>
      </c>
      <c r="D2743" t="inlineStr">
        <is>
          <t>GÄVLEBORGS LÄN</t>
        </is>
      </c>
      <c r="E2743" t="inlineStr">
        <is>
          <t>LJUSDAL</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61399-2023</t>
        </is>
      </c>
      <c r="B2744" s="1" t="n">
        <v>45264</v>
      </c>
      <c r="C2744" s="1" t="n">
        <v>45883</v>
      </c>
      <c r="D2744" t="inlineStr">
        <is>
          <t>GÄVLEBORGS LÄN</t>
        </is>
      </c>
      <c r="E2744" t="inlineStr">
        <is>
          <t>BOLLNÄS</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35941-2022</t>
        </is>
      </c>
      <c r="B2745" s="1" t="n">
        <v>44802.5419675926</v>
      </c>
      <c r="C2745" s="1" t="n">
        <v>45883</v>
      </c>
      <c r="D2745" t="inlineStr">
        <is>
          <t>GÄVLEBORGS LÄN</t>
        </is>
      </c>
      <c r="E2745" t="inlineStr">
        <is>
          <t>BOLLNÄS</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59522-2022</t>
        </is>
      </c>
      <c r="B2746" s="1" t="n">
        <v>44907.54619212963</v>
      </c>
      <c r="C2746" s="1" t="n">
        <v>45883</v>
      </c>
      <c r="D2746" t="inlineStr">
        <is>
          <t>GÄVLEBORGS LÄN</t>
        </is>
      </c>
      <c r="E2746" t="inlineStr">
        <is>
          <t>HUDIKSVALL</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8752-2023</t>
        </is>
      </c>
      <c r="B2747" s="1" t="n">
        <v>44978.47886574074</v>
      </c>
      <c r="C2747" s="1" t="n">
        <v>45883</v>
      </c>
      <c r="D2747" t="inlineStr">
        <is>
          <t>GÄVLEBORGS LÄN</t>
        </is>
      </c>
      <c r="E2747" t="inlineStr">
        <is>
          <t>HUDIKSVALL</t>
        </is>
      </c>
      <c r="G2747" t="n">
        <v>5</v>
      </c>
      <c r="H2747" t="n">
        <v>0</v>
      </c>
      <c r="I2747" t="n">
        <v>0</v>
      </c>
      <c r="J2747" t="n">
        <v>0</v>
      </c>
      <c r="K2747" t="n">
        <v>0</v>
      </c>
      <c r="L2747" t="n">
        <v>0</v>
      </c>
      <c r="M2747" t="n">
        <v>0</v>
      </c>
      <c r="N2747" t="n">
        <v>0</v>
      </c>
      <c r="O2747" t="n">
        <v>0</v>
      </c>
      <c r="P2747" t="n">
        <v>0</v>
      </c>
      <c r="Q2747" t="n">
        <v>0</v>
      </c>
      <c r="R2747" s="2" t="inlineStr"/>
    </row>
    <row r="2748" ht="15" customHeight="1">
      <c r="A2748" t="inlineStr">
        <is>
          <t>A 17526-2025</t>
        </is>
      </c>
      <c r="B2748" s="1" t="n">
        <v>45757</v>
      </c>
      <c r="C2748" s="1" t="n">
        <v>45883</v>
      </c>
      <c r="D2748" t="inlineStr">
        <is>
          <t>GÄVLEBORGS LÄN</t>
        </is>
      </c>
      <c r="E2748" t="inlineStr">
        <is>
          <t>SÖDERHAMN</t>
        </is>
      </c>
      <c r="F2748" t="inlineStr">
        <is>
          <t>Bergvik skog väst AB</t>
        </is>
      </c>
      <c r="G2748" t="n">
        <v>7.3</v>
      </c>
      <c r="H2748" t="n">
        <v>0</v>
      </c>
      <c r="I2748" t="n">
        <v>0</v>
      </c>
      <c r="J2748" t="n">
        <v>0</v>
      </c>
      <c r="K2748" t="n">
        <v>0</v>
      </c>
      <c r="L2748" t="n">
        <v>0</v>
      </c>
      <c r="M2748" t="n">
        <v>0</v>
      </c>
      <c r="N2748" t="n">
        <v>0</v>
      </c>
      <c r="O2748" t="n">
        <v>0</v>
      </c>
      <c r="P2748" t="n">
        <v>0</v>
      </c>
      <c r="Q2748" t="n">
        <v>0</v>
      </c>
      <c r="R2748" s="2" t="inlineStr"/>
    </row>
    <row r="2749" ht="15" customHeight="1">
      <c r="A2749" t="inlineStr">
        <is>
          <t>A 59822-2024</t>
        </is>
      </c>
      <c r="B2749" s="1" t="n">
        <v>45639.63640046296</v>
      </c>
      <c r="C2749" s="1" t="n">
        <v>45883</v>
      </c>
      <c r="D2749" t="inlineStr">
        <is>
          <t>GÄVLEBORGS LÄN</t>
        </is>
      </c>
      <c r="E2749" t="inlineStr">
        <is>
          <t>HUDIKSVALL</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26533-2021</t>
        </is>
      </c>
      <c r="B2750" s="1" t="n">
        <v>44348.48729166666</v>
      </c>
      <c r="C2750" s="1" t="n">
        <v>45883</v>
      </c>
      <c r="D2750" t="inlineStr">
        <is>
          <t>GÄVLEBORGS LÄN</t>
        </is>
      </c>
      <c r="E2750" t="inlineStr">
        <is>
          <t>SÖDERHAMN</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34447-2022</t>
        </is>
      </c>
      <c r="B2751" s="1" t="n">
        <v>44792</v>
      </c>
      <c r="C2751" s="1" t="n">
        <v>45883</v>
      </c>
      <c r="D2751" t="inlineStr">
        <is>
          <t>GÄVLEBORGS LÄN</t>
        </is>
      </c>
      <c r="E2751" t="inlineStr">
        <is>
          <t>LJUSDAL</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11599-2024</t>
        </is>
      </c>
      <c r="B2752" s="1" t="n">
        <v>45373.38446759259</v>
      </c>
      <c r="C2752" s="1" t="n">
        <v>45883</v>
      </c>
      <c r="D2752" t="inlineStr">
        <is>
          <t>GÄVLEBORGS LÄN</t>
        </is>
      </c>
      <c r="E2752" t="inlineStr">
        <is>
          <t>NORDANSTIG</t>
        </is>
      </c>
      <c r="F2752" t="inlineStr">
        <is>
          <t>Holmen skog AB</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44168-2022</t>
        </is>
      </c>
      <c r="B2753" s="1" t="n">
        <v>44839.44467592592</v>
      </c>
      <c r="C2753" s="1" t="n">
        <v>45883</v>
      </c>
      <c r="D2753" t="inlineStr">
        <is>
          <t>GÄVLEBORGS LÄN</t>
        </is>
      </c>
      <c r="E2753" t="inlineStr">
        <is>
          <t>HUDIKSVALL</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59354-2024</t>
        </is>
      </c>
      <c r="B2754" s="1" t="n">
        <v>45638.3077662037</v>
      </c>
      <c r="C2754" s="1" t="n">
        <v>45883</v>
      </c>
      <c r="D2754" t="inlineStr">
        <is>
          <t>GÄVLEBORGS LÄN</t>
        </is>
      </c>
      <c r="E2754" t="inlineStr">
        <is>
          <t>OVANÅKER</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11668-2024</t>
        </is>
      </c>
      <c r="B2755" s="1" t="n">
        <v>45373.56177083333</v>
      </c>
      <c r="C2755" s="1" t="n">
        <v>45883</v>
      </c>
      <c r="D2755" t="inlineStr">
        <is>
          <t>GÄVLEBORGS LÄN</t>
        </is>
      </c>
      <c r="E2755" t="inlineStr">
        <is>
          <t>HUDIKSVALL</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19163-2024</t>
        </is>
      </c>
      <c r="B2756" s="1" t="n">
        <v>45428</v>
      </c>
      <c r="C2756" s="1" t="n">
        <v>45883</v>
      </c>
      <c r="D2756" t="inlineStr">
        <is>
          <t>GÄVLEBORGS LÄN</t>
        </is>
      </c>
      <c r="E2756" t="inlineStr">
        <is>
          <t>OVANÅKER</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43665-2024</t>
        </is>
      </c>
      <c r="B2757" s="1" t="n">
        <v>45569.56012731481</v>
      </c>
      <c r="C2757" s="1" t="n">
        <v>45883</v>
      </c>
      <c r="D2757" t="inlineStr">
        <is>
          <t>GÄVLEBORGS LÄN</t>
        </is>
      </c>
      <c r="E2757" t="inlineStr">
        <is>
          <t>HUDIKSVALL</t>
        </is>
      </c>
      <c r="F2757" t="inlineStr">
        <is>
          <t>Kommuner</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63932-2023</t>
        </is>
      </c>
      <c r="B2758" s="1" t="n">
        <v>45278.6055324074</v>
      </c>
      <c r="C2758" s="1" t="n">
        <v>45883</v>
      </c>
      <c r="D2758" t="inlineStr">
        <is>
          <t>GÄVLEBORGS LÄN</t>
        </is>
      </c>
      <c r="E2758" t="inlineStr">
        <is>
          <t>SÖDERHAMN</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50544-2023</t>
        </is>
      </c>
      <c r="B2759" s="1" t="n">
        <v>45217.35626157407</v>
      </c>
      <c r="C2759" s="1" t="n">
        <v>45883</v>
      </c>
      <c r="D2759" t="inlineStr">
        <is>
          <t>GÄVLEBORGS LÄN</t>
        </is>
      </c>
      <c r="E2759" t="inlineStr">
        <is>
          <t>BOLLNÄS</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63045-2023</t>
        </is>
      </c>
      <c r="B2760" s="1" t="n">
        <v>45272.90516203704</v>
      </c>
      <c r="C2760" s="1" t="n">
        <v>45883</v>
      </c>
      <c r="D2760" t="inlineStr">
        <is>
          <t>GÄVLEBORGS LÄN</t>
        </is>
      </c>
      <c r="E2760" t="inlineStr">
        <is>
          <t>HUDIKSVALL</t>
        </is>
      </c>
      <c r="G2760" t="n">
        <v>6</v>
      </c>
      <c r="H2760" t="n">
        <v>0</v>
      </c>
      <c r="I2760" t="n">
        <v>0</v>
      </c>
      <c r="J2760" t="n">
        <v>0</v>
      </c>
      <c r="K2760" t="n">
        <v>0</v>
      </c>
      <c r="L2760" t="n">
        <v>0</v>
      </c>
      <c r="M2760" t="n">
        <v>0</v>
      </c>
      <c r="N2760" t="n">
        <v>0</v>
      </c>
      <c r="O2760" t="n">
        <v>0</v>
      </c>
      <c r="P2760" t="n">
        <v>0</v>
      </c>
      <c r="Q2760" t="n">
        <v>0</v>
      </c>
      <c r="R2760" s="2" t="inlineStr"/>
    </row>
    <row r="2761" ht="15" customHeight="1">
      <c r="A2761" t="inlineStr">
        <is>
          <t>A 32360-2024</t>
        </is>
      </c>
      <c r="B2761" s="1" t="n">
        <v>45512.56657407407</v>
      </c>
      <c r="C2761" s="1" t="n">
        <v>45883</v>
      </c>
      <c r="D2761" t="inlineStr">
        <is>
          <t>GÄVLEBORGS LÄN</t>
        </is>
      </c>
      <c r="E2761" t="inlineStr">
        <is>
          <t>LJUSDAL</t>
        </is>
      </c>
      <c r="F2761" t="inlineStr">
        <is>
          <t>Sveaskog</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9111-2024</t>
        </is>
      </c>
      <c r="B2762" s="1" t="n">
        <v>45357.96122685185</v>
      </c>
      <c r="C2762" s="1" t="n">
        <v>45883</v>
      </c>
      <c r="D2762" t="inlineStr">
        <is>
          <t>GÄVLEBORGS LÄN</t>
        </is>
      </c>
      <c r="E2762" t="inlineStr">
        <is>
          <t>LJUSDAL</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34058-2022</t>
        </is>
      </c>
      <c r="B2763" s="1" t="n">
        <v>44791.37611111111</v>
      </c>
      <c r="C2763" s="1" t="n">
        <v>45883</v>
      </c>
      <c r="D2763" t="inlineStr">
        <is>
          <t>GÄVLEBORGS LÄN</t>
        </is>
      </c>
      <c r="E2763" t="inlineStr">
        <is>
          <t>LJUSDAL</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2345-2024</t>
        </is>
      </c>
      <c r="B2764" s="1" t="n">
        <v>45310.581875</v>
      </c>
      <c r="C2764" s="1" t="n">
        <v>45883</v>
      </c>
      <c r="D2764" t="inlineStr">
        <is>
          <t>GÄVLEBORGS LÄN</t>
        </is>
      </c>
      <c r="E2764" t="inlineStr">
        <is>
          <t>BOLLNÄS</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4498-2024</t>
        </is>
      </c>
      <c r="B2765" s="1" t="n">
        <v>45327.61053240741</v>
      </c>
      <c r="C2765" s="1" t="n">
        <v>45883</v>
      </c>
      <c r="D2765" t="inlineStr">
        <is>
          <t>GÄVLEBORGS LÄN</t>
        </is>
      </c>
      <c r="E2765" t="inlineStr">
        <is>
          <t>SANDVIKEN</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32402-2024</t>
        </is>
      </c>
      <c r="B2766" s="1" t="n">
        <v>45512.66758101852</v>
      </c>
      <c r="C2766" s="1" t="n">
        <v>45883</v>
      </c>
      <c r="D2766" t="inlineStr">
        <is>
          <t>GÄVLEBORGS LÄN</t>
        </is>
      </c>
      <c r="E2766" t="inlineStr">
        <is>
          <t>HUDIKSVALL</t>
        </is>
      </c>
      <c r="F2766" t="inlineStr">
        <is>
          <t>Holmen skog AB</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59856-2022</t>
        </is>
      </c>
      <c r="B2767" s="1" t="n">
        <v>44908</v>
      </c>
      <c r="C2767" s="1" t="n">
        <v>45883</v>
      </c>
      <c r="D2767" t="inlineStr">
        <is>
          <t>GÄVLEBORGS LÄN</t>
        </is>
      </c>
      <c r="E2767" t="inlineStr">
        <is>
          <t>HUDIKSVALL</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52778-2021</t>
        </is>
      </c>
      <c r="B2768" s="1" t="n">
        <v>44467.35164351852</v>
      </c>
      <c r="C2768" s="1" t="n">
        <v>45883</v>
      </c>
      <c r="D2768" t="inlineStr">
        <is>
          <t>GÄVLEBORGS LÄN</t>
        </is>
      </c>
      <c r="E2768" t="inlineStr">
        <is>
          <t>LJUSDAL</t>
        </is>
      </c>
      <c r="F2768" t="inlineStr">
        <is>
          <t>Sveaskog</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26073-2024</t>
        </is>
      </c>
      <c r="B2769" s="1" t="n">
        <v>45468.3650462963</v>
      </c>
      <c r="C2769" s="1" t="n">
        <v>45883</v>
      </c>
      <c r="D2769" t="inlineStr">
        <is>
          <t>GÄVLEBORGS LÄN</t>
        </is>
      </c>
      <c r="E2769" t="inlineStr">
        <is>
          <t>LJUSDAL</t>
        </is>
      </c>
      <c r="G2769" t="n">
        <v>5.9</v>
      </c>
      <c r="H2769" t="n">
        <v>0</v>
      </c>
      <c r="I2769" t="n">
        <v>0</v>
      </c>
      <c r="J2769" t="n">
        <v>0</v>
      </c>
      <c r="K2769" t="n">
        <v>0</v>
      </c>
      <c r="L2769" t="n">
        <v>0</v>
      </c>
      <c r="M2769" t="n">
        <v>0</v>
      </c>
      <c r="N2769" t="n">
        <v>0</v>
      </c>
      <c r="O2769" t="n">
        <v>0</v>
      </c>
      <c r="P2769" t="n">
        <v>0</v>
      </c>
      <c r="Q2769" t="n">
        <v>0</v>
      </c>
      <c r="R2769" s="2" t="inlineStr"/>
    </row>
    <row r="2770" ht="15" customHeight="1">
      <c r="A2770" t="inlineStr">
        <is>
          <t>A 26078-2024</t>
        </is>
      </c>
      <c r="B2770" s="1" t="n">
        <v>45468.37726851852</v>
      </c>
      <c r="C2770" s="1" t="n">
        <v>45883</v>
      </c>
      <c r="D2770" t="inlineStr">
        <is>
          <t>GÄVLEBORGS LÄN</t>
        </is>
      </c>
      <c r="E2770" t="inlineStr">
        <is>
          <t>LJUSDAL</t>
        </is>
      </c>
      <c r="G2770" t="n">
        <v>4</v>
      </c>
      <c r="H2770" t="n">
        <v>0</v>
      </c>
      <c r="I2770" t="n">
        <v>0</v>
      </c>
      <c r="J2770" t="n">
        <v>0</v>
      </c>
      <c r="K2770" t="n">
        <v>0</v>
      </c>
      <c r="L2770" t="n">
        <v>0</v>
      </c>
      <c r="M2770" t="n">
        <v>0</v>
      </c>
      <c r="N2770" t="n">
        <v>0</v>
      </c>
      <c r="O2770" t="n">
        <v>0</v>
      </c>
      <c r="P2770" t="n">
        <v>0</v>
      </c>
      <c r="Q2770" t="n">
        <v>0</v>
      </c>
      <c r="R2770" s="2" t="inlineStr"/>
    </row>
    <row r="2771" ht="15" customHeight="1">
      <c r="A2771" t="inlineStr">
        <is>
          <t>A 24161-2021</t>
        </is>
      </c>
      <c r="B2771" s="1" t="n">
        <v>44336.60329861111</v>
      </c>
      <c r="C2771" s="1" t="n">
        <v>45883</v>
      </c>
      <c r="D2771" t="inlineStr">
        <is>
          <t>GÄVLEBORGS LÄN</t>
        </is>
      </c>
      <c r="E2771" t="inlineStr">
        <is>
          <t>SÖDERHAMN</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62651-2023</t>
        </is>
      </c>
      <c r="B2772" s="1" t="n">
        <v>45271</v>
      </c>
      <c r="C2772" s="1" t="n">
        <v>45883</v>
      </c>
      <c r="D2772" t="inlineStr">
        <is>
          <t>GÄVLEBORGS LÄN</t>
        </is>
      </c>
      <c r="E2772" t="inlineStr">
        <is>
          <t>OVANÅKER</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47995-2024</t>
        </is>
      </c>
      <c r="B2773" s="1" t="n">
        <v>45589.4359375</v>
      </c>
      <c r="C2773" s="1" t="n">
        <v>45883</v>
      </c>
      <c r="D2773" t="inlineStr">
        <is>
          <t>GÄVLEBORGS LÄN</t>
        </is>
      </c>
      <c r="E2773" t="inlineStr">
        <is>
          <t>HUDIKSVALL</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54099-2023</t>
        </is>
      </c>
      <c r="B2774" s="1" t="n">
        <v>45225</v>
      </c>
      <c r="C2774" s="1" t="n">
        <v>45883</v>
      </c>
      <c r="D2774" t="inlineStr">
        <is>
          <t>GÄVLEBORGS LÄN</t>
        </is>
      </c>
      <c r="E2774" t="inlineStr">
        <is>
          <t>OVANÅKER</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19484-2023</t>
        </is>
      </c>
      <c r="B2775" s="1" t="n">
        <v>45050</v>
      </c>
      <c r="C2775" s="1" t="n">
        <v>45883</v>
      </c>
      <c r="D2775" t="inlineStr">
        <is>
          <t>GÄVLEBORGS LÄN</t>
        </is>
      </c>
      <c r="E2775" t="inlineStr">
        <is>
          <t>HUDIKSVALL</t>
        </is>
      </c>
      <c r="F2775" t="inlineStr">
        <is>
          <t>Holmen skog AB</t>
        </is>
      </c>
      <c r="G2775" t="n">
        <v>3.9</v>
      </c>
      <c r="H2775" t="n">
        <v>0</v>
      </c>
      <c r="I2775" t="n">
        <v>0</v>
      </c>
      <c r="J2775" t="n">
        <v>0</v>
      </c>
      <c r="K2775" t="n">
        <v>0</v>
      </c>
      <c r="L2775" t="n">
        <v>0</v>
      </c>
      <c r="M2775" t="n">
        <v>0</v>
      </c>
      <c r="N2775" t="n">
        <v>0</v>
      </c>
      <c r="O2775" t="n">
        <v>0</v>
      </c>
      <c r="P2775" t="n">
        <v>0</v>
      </c>
      <c r="Q2775" t="n">
        <v>0</v>
      </c>
      <c r="R2775" s="2" t="inlineStr"/>
    </row>
    <row r="2776" ht="15" customHeight="1">
      <c r="A2776" t="inlineStr">
        <is>
          <t>A 49209-2024</t>
        </is>
      </c>
      <c r="B2776" s="1" t="n">
        <v>45595.37880787037</v>
      </c>
      <c r="C2776" s="1" t="n">
        <v>45883</v>
      </c>
      <c r="D2776" t="inlineStr">
        <is>
          <t>GÄVLEBORGS LÄN</t>
        </is>
      </c>
      <c r="E2776" t="inlineStr">
        <is>
          <t>SANDVIKEN</t>
        </is>
      </c>
      <c r="G2776" t="n">
        <v>5.2</v>
      </c>
      <c r="H2776" t="n">
        <v>0</v>
      </c>
      <c r="I2776" t="n">
        <v>0</v>
      </c>
      <c r="J2776" t="n">
        <v>0</v>
      </c>
      <c r="K2776" t="n">
        <v>0</v>
      </c>
      <c r="L2776" t="n">
        <v>0</v>
      </c>
      <c r="M2776" t="n">
        <v>0</v>
      </c>
      <c r="N2776" t="n">
        <v>0</v>
      </c>
      <c r="O2776" t="n">
        <v>0</v>
      </c>
      <c r="P2776" t="n">
        <v>0</v>
      </c>
      <c r="Q2776" t="n">
        <v>0</v>
      </c>
      <c r="R2776" s="2" t="inlineStr"/>
    </row>
    <row r="2777" ht="15" customHeight="1">
      <c r="A2777" t="inlineStr">
        <is>
          <t>A 61774-2024</t>
        </is>
      </c>
      <c r="B2777" s="1" t="n">
        <v>45649.46215277778</v>
      </c>
      <c r="C2777" s="1" t="n">
        <v>45883</v>
      </c>
      <c r="D2777" t="inlineStr">
        <is>
          <t>GÄVLEBORGS LÄN</t>
        </is>
      </c>
      <c r="E2777" t="inlineStr">
        <is>
          <t>SANDVIKEN</t>
        </is>
      </c>
      <c r="G2777" t="n">
        <v>5.6</v>
      </c>
      <c r="H2777" t="n">
        <v>0</v>
      </c>
      <c r="I2777" t="n">
        <v>0</v>
      </c>
      <c r="J2777" t="n">
        <v>0</v>
      </c>
      <c r="K2777" t="n">
        <v>0</v>
      </c>
      <c r="L2777" t="n">
        <v>0</v>
      </c>
      <c r="M2777" t="n">
        <v>0</v>
      </c>
      <c r="N2777" t="n">
        <v>0</v>
      </c>
      <c r="O2777" t="n">
        <v>0</v>
      </c>
      <c r="P2777" t="n">
        <v>0</v>
      </c>
      <c r="Q2777" t="n">
        <v>0</v>
      </c>
      <c r="R2777" s="2" t="inlineStr"/>
    </row>
    <row r="2778" ht="15" customHeight="1">
      <c r="A2778" t="inlineStr">
        <is>
          <t>A 61795-2024</t>
        </is>
      </c>
      <c r="B2778" s="1" t="n">
        <v>45646</v>
      </c>
      <c r="C2778" s="1" t="n">
        <v>45883</v>
      </c>
      <c r="D2778" t="inlineStr">
        <is>
          <t>GÄVLEBORGS LÄN</t>
        </is>
      </c>
      <c r="E2778" t="inlineStr">
        <is>
          <t>BOLLNÄS</t>
        </is>
      </c>
      <c r="G2778" t="n">
        <v>10.6</v>
      </c>
      <c r="H2778" t="n">
        <v>0</v>
      </c>
      <c r="I2778" t="n">
        <v>0</v>
      </c>
      <c r="J2778" t="n">
        <v>0</v>
      </c>
      <c r="K2778" t="n">
        <v>0</v>
      </c>
      <c r="L2778" t="n">
        <v>0</v>
      </c>
      <c r="M2778" t="n">
        <v>0</v>
      </c>
      <c r="N2778" t="n">
        <v>0</v>
      </c>
      <c r="O2778" t="n">
        <v>0</v>
      </c>
      <c r="P2778" t="n">
        <v>0</v>
      </c>
      <c r="Q2778" t="n">
        <v>0</v>
      </c>
      <c r="R2778" s="2" t="inlineStr"/>
    </row>
    <row r="2779" ht="15" customHeight="1">
      <c r="A2779" t="inlineStr">
        <is>
          <t>A 32632-2024</t>
        </is>
      </c>
      <c r="B2779" s="1" t="n">
        <v>45513.88582175926</v>
      </c>
      <c r="C2779" s="1" t="n">
        <v>45883</v>
      </c>
      <c r="D2779" t="inlineStr">
        <is>
          <t>GÄVLEBORGS LÄN</t>
        </is>
      </c>
      <c r="E2779" t="inlineStr">
        <is>
          <t>HUDIKSVALL</t>
        </is>
      </c>
      <c r="F2779" t="inlineStr">
        <is>
          <t>Holmen skog AB</t>
        </is>
      </c>
      <c r="G2779" t="n">
        <v>6.6</v>
      </c>
      <c r="H2779" t="n">
        <v>0</v>
      </c>
      <c r="I2779" t="n">
        <v>0</v>
      </c>
      <c r="J2779" t="n">
        <v>0</v>
      </c>
      <c r="K2779" t="n">
        <v>0</v>
      </c>
      <c r="L2779" t="n">
        <v>0</v>
      </c>
      <c r="M2779" t="n">
        <v>0</v>
      </c>
      <c r="N2779" t="n">
        <v>0</v>
      </c>
      <c r="O2779" t="n">
        <v>0</v>
      </c>
      <c r="P2779" t="n">
        <v>0</v>
      </c>
      <c r="Q2779" t="n">
        <v>0</v>
      </c>
      <c r="R2779" s="2" t="inlineStr"/>
    </row>
    <row r="2780" ht="15" customHeight="1">
      <c r="A2780" t="inlineStr">
        <is>
          <t>A 26752-2021</t>
        </is>
      </c>
      <c r="B2780" s="1" t="n">
        <v>44349.41986111111</v>
      </c>
      <c r="C2780" s="1" t="n">
        <v>45883</v>
      </c>
      <c r="D2780" t="inlineStr">
        <is>
          <t>GÄVLEBORGS LÄN</t>
        </is>
      </c>
      <c r="E2780" t="inlineStr">
        <is>
          <t>OVANÅKER</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26776-2021</t>
        </is>
      </c>
      <c r="B2781" s="1" t="n">
        <v>44349.48065972222</v>
      </c>
      <c r="C2781" s="1" t="n">
        <v>45883</v>
      </c>
      <c r="D2781" t="inlineStr">
        <is>
          <t>GÄVLEBORGS LÄN</t>
        </is>
      </c>
      <c r="E2781" t="inlineStr">
        <is>
          <t>GÄVLE</t>
        </is>
      </c>
      <c r="F2781" t="inlineStr">
        <is>
          <t>Bergvik skog öst AB</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18545-2025</t>
        </is>
      </c>
      <c r="B2782" s="1" t="n">
        <v>45763.42251157408</v>
      </c>
      <c r="C2782" s="1" t="n">
        <v>45883</v>
      </c>
      <c r="D2782" t="inlineStr">
        <is>
          <t>GÄVLEBORGS LÄN</t>
        </is>
      </c>
      <c r="E2782" t="inlineStr">
        <is>
          <t>OVANÅKER</t>
        </is>
      </c>
      <c r="F2782" t="inlineStr">
        <is>
          <t>Holmen skog AB</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7593-2023</t>
        </is>
      </c>
      <c r="B2783" s="1" t="n">
        <v>44972</v>
      </c>
      <c r="C2783" s="1" t="n">
        <v>45883</v>
      </c>
      <c r="D2783" t="inlineStr">
        <is>
          <t>GÄVLEBORGS LÄN</t>
        </is>
      </c>
      <c r="E2783" t="inlineStr">
        <is>
          <t>HUDIKSVALL</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34792-2024</t>
        </is>
      </c>
      <c r="B2784" s="1" t="n">
        <v>45526.66439814815</v>
      </c>
      <c r="C2784" s="1" t="n">
        <v>45883</v>
      </c>
      <c r="D2784" t="inlineStr">
        <is>
          <t>GÄVLEBORGS LÄN</t>
        </is>
      </c>
      <c r="E2784" t="inlineStr">
        <is>
          <t>OCKELBO</t>
        </is>
      </c>
      <c r="F2784" t="inlineStr">
        <is>
          <t>Bergvik skog väst AB</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23230-2024</t>
        </is>
      </c>
      <c r="B2785" s="1" t="n">
        <v>45453</v>
      </c>
      <c r="C2785" s="1" t="n">
        <v>45883</v>
      </c>
      <c r="D2785" t="inlineStr">
        <is>
          <t>GÄVLEBORGS LÄN</t>
        </is>
      </c>
      <c r="E2785" t="inlineStr">
        <is>
          <t>SÖDERHAMN</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55513-2024</t>
        </is>
      </c>
      <c r="B2786" s="1" t="n">
        <v>45622</v>
      </c>
      <c r="C2786" s="1" t="n">
        <v>45883</v>
      </c>
      <c r="D2786" t="inlineStr">
        <is>
          <t>GÄVLEBORGS LÄN</t>
        </is>
      </c>
      <c r="E2786" t="inlineStr">
        <is>
          <t>NORDANSTIG</t>
        </is>
      </c>
      <c r="F2786" t="inlineStr">
        <is>
          <t>Holmen skog AB</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59710-2022</t>
        </is>
      </c>
      <c r="B2787" s="1" t="n">
        <v>44908.40505787037</v>
      </c>
      <c r="C2787" s="1" t="n">
        <v>45883</v>
      </c>
      <c r="D2787" t="inlineStr">
        <is>
          <t>GÄVLEBORGS LÄN</t>
        </is>
      </c>
      <c r="E2787" t="inlineStr">
        <is>
          <t>LJUSDAL</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67088-2021</t>
        </is>
      </c>
      <c r="B2788" s="1" t="n">
        <v>44522</v>
      </c>
      <c r="C2788" s="1" t="n">
        <v>45883</v>
      </c>
      <c r="D2788" t="inlineStr">
        <is>
          <t>GÄVLEBORGS LÄN</t>
        </is>
      </c>
      <c r="E2788" t="inlineStr">
        <is>
          <t>HUDIKSVALL</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59759-2022</t>
        </is>
      </c>
      <c r="B2789" s="1" t="n">
        <v>44908.48275462963</v>
      </c>
      <c r="C2789" s="1" t="n">
        <v>45883</v>
      </c>
      <c r="D2789" t="inlineStr">
        <is>
          <t>GÄVLEBORGS LÄN</t>
        </is>
      </c>
      <c r="E2789" t="inlineStr">
        <is>
          <t>HUDIKSVALL</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54156-2022</t>
        </is>
      </c>
      <c r="B2790" s="1" t="n">
        <v>44881</v>
      </c>
      <c r="C2790" s="1" t="n">
        <v>45883</v>
      </c>
      <c r="D2790" t="inlineStr">
        <is>
          <t>GÄVLEBORGS LÄN</t>
        </is>
      </c>
      <c r="E2790" t="inlineStr">
        <is>
          <t>SÖDERHAMN</t>
        </is>
      </c>
      <c r="G2790" t="n">
        <v>5.8</v>
      </c>
      <c r="H2790" t="n">
        <v>0</v>
      </c>
      <c r="I2790" t="n">
        <v>0</v>
      </c>
      <c r="J2790" t="n">
        <v>0</v>
      </c>
      <c r="K2790" t="n">
        <v>0</v>
      </c>
      <c r="L2790" t="n">
        <v>0</v>
      </c>
      <c r="M2790" t="n">
        <v>0</v>
      </c>
      <c r="N2790" t="n">
        <v>0</v>
      </c>
      <c r="O2790" t="n">
        <v>0</v>
      </c>
      <c r="P2790" t="n">
        <v>0</v>
      </c>
      <c r="Q2790" t="n">
        <v>0</v>
      </c>
      <c r="R2790" s="2" t="inlineStr"/>
    </row>
    <row r="2791" ht="15" customHeight="1">
      <c r="A2791" t="inlineStr">
        <is>
          <t>A 41730-2023</t>
        </is>
      </c>
      <c r="B2791" s="1" t="n">
        <v>45176</v>
      </c>
      <c r="C2791" s="1" t="n">
        <v>45883</v>
      </c>
      <c r="D2791" t="inlineStr">
        <is>
          <t>GÄVLEBORGS LÄN</t>
        </is>
      </c>
      <c r="E2791" t="inlineStr">
        <is>
          <t>BOLLNÄS</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50283-2024</t>
        </is>
      </c>
      <c r="B2792" s="1" t="n">
        <v>45600.6139699074</v>
      </c>
      <c r="C2792" s="1" t="n">
        <v>45883</v>
      </c>
      <c r="D2792" t="inlineStr">
        <is>
          <t>GÄVLEBORGS LÄN</t>
        </is>
      </c>
      <c r="E2792" t="inlineStr">
        <is>
          <t>SÖDERHAMN</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41747-2023</t>
        </is>
      </c>
      <c r="B2793" s="1" t="n">
        <v>45176.43505787037</v>
      </c>
      <c r="C2793" s="1" t="n">
        <v>45883</v>
      </c>
      <c r="D2793" t="inlineStr">
        <is>
          <t>GÄVLEBORGS LÄN</t>
        </is>
      </c>
      <c r="E2793" t="inlineStr">
        <is>
          <t>HUDIKSVALL</t>
        </is>
      </c>
      <c r="F2793" t="inlineStr">
        <is>
          <t>Holmen skog AB</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35857-2024</t>
        </is>
      </c>
      <c r="B2794" s="1" t="n">
        <v>45533.32619212963</v>
      </c>
      <c r="C2794" s="1" t="n">
        <v>45883</v>
      </c>
      <c r="D2794" t="inlineStr">
        <is>
          <t>GÄVLEBORGS LÄN</t>
        </is>
      </c>
      <c r="E2794" t="inlineStr">
        <is>
          <t>BOLLNÄS</t>
        </is>
      </c>
      <c r="F2794" t="inlineStr">
        <is>
          <t>Bergvik skog väst AB</t>
        </is>
      </c>
      <c r="G2794" t="n">
        <v>13.1</v>
      </c>
      <c r="H2794" t="n">
        <v>0</v>
      </c>
      <c r="I2794" t="n">
        <v>0</v>
      </c>
      <c r="J2794" t="n">
        <v>0</v>
      </c>
      <c r="K2794" t="n">
        <v>0</v>
      </c>
      <c r="L2794" t="n">
        <v>0</v>
      </c>
      <c r="M2794" t="n">
        <v>0</v>
      </c>
      <c r="N2794" t="n">
        <v>0</v>
      </c>
      <c r="O2794" t="n">
        <v>0</v>
      </c>
      <c r="P2794" t="n">
        <v>0</v>
      </c>
      <c r="Q2794" t="n">
        <v>0</v>
      </c>
      <c r="R2794" s="2" t="inlineStr"/>
    </row>
    <row r="2795" ht="15" customHeight="1">
      <c r="A2795" t="inlineStr">
        <is>
          <t>A 22869-2024</t>
        </is>
      </c>
      <c r="B2795" s="1" t="n">
        <v>45448.64054398148</v>
      </c>
      <c r="C2795" s="1" t="n">
        <v>45883</v>
      </c>
      <c r="D2795" t="inlineStr">
        <is>
          <t>GÄVLEBORGS LÄN</t>
        </is>
      </c>
      <c r="E2795" t="inlineStr">
        <is>
          <t>HUDIKSVALL</t>
        </is>
      </c>
      <c r="F2795" t="inlineStr">
        <is>
          <t>Holmen skog AB</t>
        </is>
      </c>
      <c r="G2795" t="n">
        <v>5.7</v>
      </c>
      <c r="H2795" t="n">
        <v>0</v>
      </c>
      <c r="I2795" t="n">
        <v>0</v>
      </c>
      <c r="J2795" t="n">
        <v>0</v>
      </c>
      <c r="K2795" t="n">
        <v>0</v>
      </c>
      <c r="L2795" t="n">
        <v>0</v>
      </c>
      <c r="M2795" t="n">
        <v>0</v>
      </c>
      <c r="N2795" t="n">
        <v>0</v>
      </c>
      <c r="O2795" t="n">
        <v>0</v>
      </c>
      <c r="P2795" t="n">
        <v>0</v>
      </c>
      <c r="Q2795" t="n">
        <v>0</v>
      </c>
      <c r="R2795" s="2" t="inlineStr"/>
    </row>
    <row r="2796" ht="15" customHeight="1">
      <c r="A2796" t="inlineStr">
        <is>
          <t>A 31175-2024</t>
        </is>
      </c>
      <c r="B2796" s="1" t="n">
        <v>45503</v>
      </c>
      <c r="C2796" s="1" t="n">
        <v>45883</v>
      </c>
      <c r="D2796" t="inlineStr">
        <is>
          <t>GÄVLEBORGS LÄN</t>
        </is>
      </c>
      <c r="E2796" t="inlineStr">
        <is>
          <t>OVANÅKER</t>
        </is>
      </c>
      <c r="F2796" t="inlineStr">
        <is>
          <t>Bergvik skog väst AB</t>
        </is>
      </c>
      <c r="G2796" t="n">
        <v>5</v>
      </c>
      <c r="H2796" t="n">
        <v>0</v>
      </c>
      <c r="I2796" t="n">
        <v>0</v>
      </c>
      <c r="J2796" t="n">
        <v>0</v>
      </c>
      <c r="K2796" t="n">
        <v>0</v>
      </c>
      <c r="L2796" t="n">
        <v>0</v>
      </c>
      <c r="M2796" t="n">
        <v>0</v>
      </c>
      <c r="N2796" t="n">
        <v>0</v>
      </c>
      <c r="O2796" t="n">
        <v>0</v>
      </c>
      <c r="P2796" t="n">
        <v>0</v>
      </c>
      <c r="Q2796" t="n">
        <v>0</v>
      </c>
      <c r="R2796" s="2" t="inlineStr"/>
    </row>
    <row r="2797" ht="15" customHeight="1">
      <c r="A2797" t="inlineStr">
        <is>
          <t>A 56958-2022</t>
        </is>
      </c>
      <c r="B2797" s="1" t="n">
        <v>44894.66045138889</v>
      </c>
      <c r="C2797" s="1" t="n">
        <v>45883</v>
      </c>
      <c r="D2797" t="inlineStr">
        <is>
          <t>GÄVLEBORGS LÄN</t>
        </is>
      </c>
      <c r="E2797" t="inlineStr">
        <is>
          <t>SANDVIKEN</t>
        </is>
      </c>
      <c r="G2797" t="n">
        <v>5.7</v>
      </c>
      <c r="H2797" t="n">
        <v>0</v>
      </c>
      <c r="I2797" t="n">
        <v>0</v>
      </c>
      <c r="J2797" t="n">
        <v>0</v>
      </c>
      <c r="K2797" t="n">
        <v>0</v>
      </c>
      <c r="L2797" t="n">
        <v>0</v>
      </c>
      <c r="M2797" t="n">
        <v>0</v>
      </c>
      <c r="N2797" t="n">
        <v>0</v>
      </c>
      <c r="O2797" t="n">
        <v>0</v>
      </c>
      <c r="P2797" t="n">
        <v>0</v>
      </c>
      <c r="Q2797" t="n">
        <v>0</v>
      </c>
      <c r="R2797" s="2" t="inlineStr"/>
    </row>
    <row r="2798" ht="15" customHeight="1">
      <c r="A2798" t="inlineStr">
        <is>
          <t>A 32376-2024</t>
        </is>
      </c>
      <c r="B2798" s="1" t="n">
        <v>45512.6081712963</v>
      </c>
      <c r="C2798" s="1" t="n">
        <v>45883</v>
      </c>
      <c r="D2798" t="inlineStr">
        <is>
          <t>GÄVLEBORGS LÄN</t>
        </is>
      </c>
      <c r="E2798" t="inlineStr">
        <is>
          <t>HUDIKSVALL</t>
        </is>
      </c>
      <c r="F2798" t="inlineStr">
        <is>
          <t>Holmen skog AB</t>
        </is>
      </c>
      <c r="G2798" t="n">
        <v>6.7</v>
      </c>
      <c r="H2798" t="n">
        <v>0</v>
      </c>
      <c r="I2798" t="n">
        <v>0</v>
      </c>
      <c r="J2798" t="n">
        <v>0</v>
      </c>
      <c r="K2798" t="n">
        <v>0</v>
      </c>
      <c r="L2798" t="n">
        <v>0</v>
      </c>
      <c r="M2798" t="n">
        <v>0</v>
      </c>
      <c r="N2798" t="n">
        <v>0</v>
      </c>
      <c r="O2798" t="n">
        <v>0</v>
      </c>
      <c r="P2798" t="n">
        <v>0</v>
      </c>
      <c r="Q2798" t="n">
        <v>0</v>
      </c>
      <c r="R2798" s="2" t="inlineStr"/>
    </row>
    <row r="2799" ht="15" customHeight="1">
      <c r="A2799" t="inlineStr">
        <is>
          <t>A 30842-2024</t>
        </is>
      </c>
      <c r="B2799" s="1" t="n">
        <v>45497.57481481481</v>
      </c>
      <c r="C2799" s="1" t="n">
        <v>45883</v>
      </c>
      <c r="D2799" t="inlineStr">
        <is>
          <t>GÄVLEBORGS LÄN</t>
        </is>
      </c>
      <c r="E2799" t="inlineStr">
        <is>
          <t>NORDANSTIG</t>
        </is>
      </c>
      <c r="F2799" t="inlineStr">
        <is>
          <t>Holmen skog AB</t>
        </is>
      </c>
      <c r="G2799" t="n">
        <v>6.9</v>
      </c>
      <c r="H2799" t="n">
        <v>0</v>
      </c>
      <c r="I2799" t="n">
        <v>0</v>
      </c>
      <c r="J2799" t="n">
        <v>0</v>
      </c>
      <c r="K2799" t="n">
        <v>0</v>
      </c>
      <c r="L2799" t="n">
        <v>0</v>
      </c>
      <c r="M2799" t="n">
        <v>0</v>
      </c>
      <c r="N2799" t="n">
        <v>0</v>
      </c>
      <c r="O2799" t="n">
        <v>0</v>
      </c>
      <c r="P2799" t="n">
        <v>0</v>
      </c>
      <c r="Q2799" t="n">
        <v>0</v>
      </c>
      <c r="R2799" s="2" t="inlineStr"/>
    </row>
    <row r="2800" ht="15" customHeight="1">
      <c r="A2800" t="inlineStr">
        <is>
          <t>A 21039-2024</t>
        </is>
      </c>
      <c r="B2800" s="1" t="n">
        <v>45439</v>
      </c>
      <c r="C2800" s="1" t="n">
        <v>45883</v>
      </c>
      <c r="D2800" t="inlineStr">
        <is>
          <t>GÄVLEBORGS LÄN</t>
        </is>
      </c>
      <c r="E2800" t="inlineStr">
        <is>
          <t>HOFORS</t>
        </is>
      </c>
      <c r="F2800" t="inlineStr">
        <is>
          <t>Sveaskog</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49607-2022</t>
        </is>
      </c>
      <c r="B2801" s="1" t="n">
        <v>44862.41356481481</v>
      </c>
      <c r="C2801" s="1" t="n">
        <v>45883</v>
      </c>
      <c r="D2801" t="inlineStr">
        <is>
          <t>GÄVLEBORGS LÄN</t>
        </is>
      </c>
      <c r="E2801" t="inlineStr">
        <is>
          <t>NORDANSTIG</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31725-2023</t>
        </is>
      </c>
      <c r="B2802" s="1" t="n">
        <v>45117.92003472222</v>
      </c>
      <c r="C2802" s="1" t="n">
        <v>45883</v>
      </c>
      <c r="D2802" t="inlineStr">
        <is>
          <t>GÄVLEBORGS LÄN</t>
        </is>
      </c>
      <c r="E2802" t="inlineStr">
        <is>
          <t>OVANÅKER</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50169-2024</t>
        </is>
      </c>
      <c r="B2803" s="1" t="n">
        <v>45600.46696759259</v>
      </c>
      <c r="C2803" s="1" t="n">
        <v>45883</v>
      </c>
      <c r="D2803" t="inlineStr">
        <is>
          <t>GÄVLEBORGS LÄN</t>
        </is>
      </c>
      <c r="E2803" t="inlineStr">
        <is>
          <t>LJUSDAL</t>
        </is>
      </c>
      <c r="F2803" t="inlineStr">
        <is>
          <t>Sveaskog</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71068-2021</t>
        </is>
      </c>
      <c r="B2804" s="1" t="n">
        <v>44538</v>
      </c>
      <c r="C2804" s="1" t="n">
        <v>45883</v>
      </c>
      <c r="D2804" t="inlineStr">
        <is>
          <t>GÄVLEBORGS LÄN</t>
        </is>
      </c>
      <c r="E2804" t="inlineStr">
        <is>
          <t>LJUSDAL</t>
        </is>
      </c>
      <c r="G2804" t="n">
        <v>5.8</v>
      </c>
      <c r="H2804" t="n">
        <v>0</v>
      </c>
      <c r="I2804" t="n">
        <v>0</v>
      </c>
      <c r="J2804" t="n">
        <v>0</v>
      </c>
      <c r="K2804" t="n">
        <v>0</v>
      </c>
      <c r="L2804" t="n">
        <v>0</v>
      </c>
      <c r="M2804" t="n">
        <v>0</v>
      </c>
      <c r="N2804" t="n">
        <v>0</v>
      </c>
      <c r="O2804" t="n">
        <v>0</v>
      </c>
      <c r="P2804" t="n">
        <v>0</v>
      </c>
      <c r="Q2804" t="n">
        <v>0</v>
      </c>
      <c r="R2804" s="2" t="inlineStr"/>
    </row>
    <row r="2805" ht="15" customHeight="1">
      <c r="A2805" t="inlineStr">
        <is>
          <t>A 25465-2024</t>
        </is>
      </c>
      <c r="B2805" s="1" t="n">
        <v>45463.43416666667</v>
      </c>
      <c r="C2805" s="1" t="n">
        <v>45883</v>
      </c>
      <c r="D2805" t="inlineStr">
        <is>
          <t>GÄVLEBORGS LÄN</t>
        </is>
      </c>
      <c r="E2805" t="inlineStr">
        <is>
          <t>HOFORS</t>
        </is>
      </c>
      <c r="F2805" t="inlineStr">
        <is>
          <t>Sveaskog</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20909-2023</t>
        </is>
      </c>
      <c r="B2806" s="1" t="n">
        <v>45060</v>
      </c>
      <c r="C2806" s="1" t="n">
        <v>45883</v>
      </c>
      <c r="D2806" t="inlineStr">
        <is>
          <t>GÄVLEBORGS LÄN</t>
        </is>
      </c>
      <c r="E2806" t="inlineStr">
        <is>
          <t>LJUSDAL</t>
        </is>
      </c>
      <c r="G2806" t="n">
        <v>5.3</v>
      </c>
      <c r="H2806" t="n">
        <v>0</v>
      </c>
      <c r="I2806" t="n">
        <v>0</v>
      </c>
      <c r="J2806" t="n">
        <v>0</v>
      </c>
      <c r="K2806" t="n">
        <v>0</v>
      </c>
      <c r="L2806" t="n">
        <v>0</v>
      </c>
      <c r="M2806" t="n">
        <v>0</v>
      </c>
      <c r="N2806" t="n">
        <v>0</v>
      </c>
      <c r="O2806" t="n">
        <v>0</v>
      </c>
      <c r="P2806" t="n">
        <v>0</v>
      </c>
      <c r="Q2806" t="n">
        <v>0</v>
      </c>
      <c r="R2806" s="2" t="inlineStr"/>
    </row>
    <row r="2807" ht="15" customHeight="1">
      <c r="A2807" t="inlineStr">
        <is>
          <t>A 58184-2022</t>
        </is>
      </c>
      <c r="B2807" s="1" t="n">
        <v>44900</v>
      </c>
      <c r="C2807" s="1" t="n">
        <v>45883</v>
      </c>
      <c r="D2807" t="inlineStr">
        <is>
          <t>GÄVLEBORGS LÄN</t>
        </is>
      </c>
      <c r="E2807" t="inlineStr">
        <is>
          <t>NORDANSTIG</t>
        </is>
      </c>
      <c r="F2807" t="inlineStr">
        <is>
          <t>SCA</t>
        </is>
      </c>
      <c r="G2807" t="n">
        <v>5</v>
      </c>
      <c r="H2807" t="n">
        <v>0</v>
      </c>
      <c r="I2807" t="n">
        <v>0</v>
      </c>
      <c r="J2807" t="n">
        <v>0</v>
      </c>
      <c r="K2807" t="n">
        <v>0</v>
      </c>
      <c r="L2807" t="n">
        <v>0</v>
      </c>
      <c r="M2807" t="n">
        <v>0</v>
      </c>
      <c r="N2807" t="n">
        <v>0</v>
      </c>
      <c r="O2807" t="n">
        <v>0</v>
      </c>
      <c r="P2807" t="n">
        <v>0</v>
      </c>
      <c r="Q2807" t="n">
        <v>0</v>
      </c>
      <c r="R2807" s="2" t="inlineStr"/>
    </row>
    <row r="2808" ht="15" customHeight="1">
      <c r="A2808" t="inlineStr">
        <is>
          <t>A 25476-2024</t>
        </is>
      </c>
      <c r="B2808" s="1" t="n">
        <v>45463.44922453703</v>
      </c>
      <c r="C2808" s="1" t="n">
        <v>45883</v>
      </c>
      <c r="D2808" t="inlineStr">
        <is>
          <t>GÄVLEBORGS LÄN</t>
        </is>
      </c>
      <c r="E2808" t="inlineStr">
        <is>
          <t>HOFORS</t>
        </is>
      </c>
      <c r="F2808" t="inlineStr">
        <is>
          <t>Sveaskog</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3442-2023</t>
        </is>
      </c>
      <c r="B2809" s="1" t="n">
        <v>44949.60355324074</v>
      </c>
      <c r="C2809" s="1" t="n">
        <v>45883</v>
      </c>
      <c r="D2809" t="inlineStr">
        <is>
          <t>GÄVLEBORGS LÄN</t>
        </is>
      </c>
      <c r="E2809" t="inlineStr">
        <is>
          <t>SANDVIKEN</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23928-2023</t>
        </is>
      </c>
      <c r="B2810" s="1" t="n">
        <v>45078</v>
      </c>
      <c r="C2810" s="1" t="n">
        <v>45883</v>
      </c>
      <c r="D2810" t="inlineStr">
        <is>
          <t>GÄVLEBORGS LÄN</t>
        </is>
      </c>
      <c r="E2810" t="inlineStr">
        <is>
          <t>HUDIKSVALL</t>
        </is>
      </c>
      <c r="F2810" t="inlineStr">
        <is>
          <t>Holmen skog AB</t>
        </is>
      </c>
      <c r="G2810" t="n">
        <v>5.7</v>
      </c>
      <c r="H2810" t="n">
        <v>0</v>
      </c>
      <c r="I2810" t="n">
        <v>0</v>
      </c>
      <c r="J2810" t="n">
        <v>0</v>
      </c>
      <c r="K2810" t="n">
        <v>0</v>
      </c>
      <c r="L2810" t="n">
        <v>0</v>
      </c>
      <c r="M2810" t="n">
        <v>0</v>
      </c>
      <c r="N2810" t="n">
        <v>0</v>
      </c>
      <c r="O2810" t="n">
        <v>0</v>
      </c>
      <c r="P2810" t="n">
        <v>0</v>
      </c>
      <c r="Q2810" t="n">
        <v>0</v>
      </c>
      <c r="R2810" s="2" t="inlineStr"/>
    </row>
    <row r="2811" ht="15" customHeight="1">
      <c r="A2811" t="inlineStr">
        <is>
          <t>A 23930-2023</t>
        </is>
      </c>
      <c r="B2811" s="1" t="n">
        <v>45078</v>
      </c>
      <c r="C2811" s="1" t="n">
        <v>45883</v>
      </c>
      <c r="D2811" t="inlineStr">
        <is>
          <t>GÄVLEBORGS LÄN</t>
        </is>
      </c>
      <c r="E2811" t="inlineStr">
        <is>
          <t>LJUSDAL</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62596-2023</t>
        </is>
      </c>
      <c r="B2812" s="1" t="n">
        <v>45271</v>
      </c>
      <c r="C2812" s="1" t="n">
        <v>45883</v>
      </c>
      <c r="D2812" t="inlineStr">
        <is>
          <t>GÄVLEBORGS LÄN</t>
        </is>
      </c>
      <c r="E2812" t="inlineStr">
        <is>
          <t>HOFORS</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20711-2023</t>
        </is>
      </c>
      <c r="B2813" s="1" t="n">
        <v>45058</v>
      </c>
      <c r="C2813" s="1" t="n">
        <v>45883</v>
      </c>
      <c r="D2813" t="inlineStr">
        <is>
          <t>GÄVLEBORGS LÄN</t>
        </is>
      </c>
      <c r="E2813" t="inlineStr">
        <is>
          <t>HUDIKSVALL</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34451-2024</t>
        </is>
      </c>
      <c r="B2814" s="1" t="n">
        <v>45525.55493055555</v>
      </c>
      <c r="C2814" s="1" t="n">
        <v>45883</v>
      </c>
      <c r="D2814" t="inlineStr">
        <is>
          <t>GÄVLEBORGS LÄN</t>
        </is>
      </c>
      <c r="E2814" t="inlineStr">
        <is>
          <t>OVANÅKER</t>
        </is>
      </c>
      <c r="F2814" t="inlineStr">
        <is>
          <t>Bergvik skog öst AB</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52206-2022</t>
        </is>
      </c>
      <c r="B2815" s="1" t="n">
        <v>44869</v>
      </c>
      <c r="C2815" s="1" t="n">
        <v>45883</v>
      </c>
      <c r="D2815" t="inlineStr">
        <is>
          <t>GÄVLEBORGS LÄN</t>
        </is>
      </c>
      <c r="E2815" t="inlineStr">
        <is>
          <t>NORDANSTIG</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34560-2023</t>
        </is>
      </c>
      <c r="B2816" s="1" t="n">
        <v>45140.51533564815</v>
      </c>
      <c r="C2816" s="1" t="n">
        <v>45883</v>
      </c>
      <c r="D2816" t="inlineStr">
        <is>
          <t>GÄVLEBORGS LÄN</t>
        </is>
      </c>
      <c r="E2816" t="inlineStr">
        <is>
          <t>NORDANSTIG</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3047-2022</t>
        </is>
      </c>
      <c r="B2817" s="1" t="n">
        <v>44581</v>
      </c>
      <c r="C2817" s="1" t="n">
        <v>45883</v>
      </c>
      <c r="D2817" t="inlineStr">
        <is>
          <t>GÄVLEBORGS LÄN</t>
        </is>
      </c>
      <c r="E2817" t="inlineStr">
        <is>
          <t>OVANÅKER</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14261-2025</t>
        </is>
      </c>
      <c r="B2818" s="1" t="n">
        <v>45740.629375</v>
      </c>
      <c r="C2818" s="1" t="n">
        <v>45883</v>
      </c>
      <c r="D2818" t="inlineStr">
        <is>
          <t>GÄVLEBORGS LÄN</t>
        </is>
      </c>
      <c r="E2818" t="inlineStr">
        <is>
          <t>BOLLNÄS</t>
        </is>
      </c>
      <c r="G2818" t="n">
        <v>0.1</v>
      </c>
      <c r="H2818" t="n">
        <v>0</v>
      </c>
      <c r="I2818" t="n">
        <v>0</v>
      </c>
      <c r="J2818" t="n">
        <v>0</v>
      </c>
      <c r="K2818" t="n">
        <v>0</v>
      </c>
      <c r="L2818" t="n">
        <v>0</v>
      </c>
      <c r="M2818" t="n">
        <v>0</v>
      </c>
      <c r="N2818" t="n">
        <v>0</v>
      </c>
      <c r="O2818" t="n">
        <v>0</v>
      </c>
      <c r="P2818" t="n">
        <v>0</v>
      </c>
      <c r="Q2818" t="n">
        <v>0</v>
      </c>
      <c r="R2818" s="2" t="inlineStr"/>
    </row>
    <row r="2819" ht="15" customHeight="1">
      <c r="A2819" t="inlineStr">
        <is>
          <t>A 36694-2024</t>
        </is>
      </c>
      <c r="B2819" s="1" t="n">
        <v>45537.67020833334</v>
      </c>
      <c r="C2819" s="1" t="n">
        <v>45883</v>
      </c>
      <c r="D2819" t="inlineStr">
        <is>
          <t>GÄVLEBORGS LÄN</t>
        </is>
      </c>
      <c r="E2819" t="inlineStr">
        <is>
          <t>NORDANSTIG</t>
        </is>
      </c>
      <c r="F2819" t="inlineStr">
        <is>
          <t>Holmen skog AB</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15112-2025</t>
        </is>
      </c>
      <c r="B2820" s="1" t="n">
        <v>45744.35600694444</v>
      </c>
      <c r="C2820" s="1" t="n">
        <v>45883</v>
      </c>
      <c r="D2820" t="inlineStr">
        <is>
          <t>GÄVLEBORGS LÄN</t>
        </is>
      </c>
      <c r="E2820" t="inlineStr">
        <is>
          <t>GÄVLE</t>
        </is>
      </c>
      <c r="F2820" t="inlineStr">
        <is>
          <t>Bergvik skog öst AB</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49941-2024</t>
        </is>
      </c>
      <c r="B2821" s="1" t="n">
        <v>45597.59409722222</v>
      </c>
      <c r="C2821" s="1" t="n">
        <v>45883</v>
      </c>
      <c r="D2821" t="inlineStr">
        <is>
          <t>GÄVLEBORGS LÄN</t>
        </is>
      </c>
      <c r="E2821" t="inlineStr">
        <is>
          <t>SÖDERHAMN</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364-2024</t>
        </is>
      </c>
      <c r="B2822" s="1" t="n">
        <v>45295.92856481481</v>
      </c>
      <c r="C2822" s="1" t="n">
        <v>45883</v>
      </c>
      <c r="D2822" t="inlineStr">
        <is>
          <t>GÄVLEBORGS LÄN</t>
        </is>
      </c>
      <c r="E2822" t="inlineStr">
        <is>
          <t>HUDIKSVALL</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469-2024</t>
        </is>
      </c>
      <c r="B2823" s="1" t="n">
        <v>45297.67460648148</v>
      </c>
      <c r="C2823" s="1" t="n">
        <v>45883</v>
      </c>
      <c r="D2823" t="inlineStr">
        <is>
          <t>GÄVLEBORGS LÄN</t>
        </is>
      </c>
      <c r="E2823" t="inlineStr">
        <is>
          <t>NORDANSTIG</t>
        </is>
      </c>
      <c r="F2823" t="inlineStr">
        <is>
          <t>Holmen skog AB</t>
        </is>
      </c>
      <c r="G2823" t="n">
        <v>4.4</v>
      </c>
      <c r="H2823" t="n">
        <v>0</v>
      </c>
      <c r="I2823" t="n">
        <v>0</v>
      </c>
      <c r="J2823" t="n">
        <v>0</v>
      </c>
      <c r="K2823" t="n">
        <v>0</v>
      </c>
      <c r="L2823" t="n">
        <v>0</v>
      </c>
      <c r="M2823" t="n">
        <v>0</v>
      </c>
      <c r="N2823" t="n">
        <v>0</v>
      </c>
      <c r="O2823" t="n">
        <v>0</v>
      </c>
      <c r="P2823" t="n">
        <v>0</v>
      </c>
      <c r="Q2823" t="n">
        <v>0</v>
      </c>
      <c r="R2823" s="2" t="inlineStr"/>
    </row>
    <row r="2824" ht="15" customHeight="1">
      <c r="A2824" t="inlineStr">
        <is>
          <t>A 17730-2025</t>
        </is>
      </c>
      <c r="B2824" s="1" t="n">
        <v>45758.46114583333</v>
      </c>
      <c r="C2824" s="1" t="n">
        <v>45883</v>
      </c>
      <c r="D2824" t="inlineStr">
        <is>
          <t>GÄVLEBORGS LÄN</t>
        </is>
      </c>
      <c r="E2824" t="inlineStr">
        <is>
          <t>OCKELBO</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61207-2022</t>
        </is>
      </c>
      <c r="B2825" s="1" t="n">
        <v>44915.53925925926</v>
      </c>
      <c r="C2825" s="1" t="n">
        <v>45883</v>
      </c>
      <c r="D2825" t="inlineStr">
        <is>
          <t>GÄVLEBORGS LÄN</t>
        </is>
      </c>
      <c r="E2825" t="inlineStr">
        <is>
          <t>HUDIKSVALL</t>
        </is>
      </c>
      <c r="F2825" t="inlineStr">
        <is>
          <t>Holmen skog AB</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16360-2025</t>
        </is>
      </c>
      <c r="B2826" s="1" t="n">
        <v>45751.39</v>
      </c>
      <c r="C2826" s="1" t="n">
        <v>45883</v>
      </c>
      <c r="D2826" t="inlineStr">
        <is>
          <t>GÄVLEBORGS LÄN</t>
        </is>
      </c>
      <c r="E2826" t="inlineStr">
        <is>
          <t>OVANÅKER</t>
        </is>
      </c>
      <c r="F2826" t="inlineStr">
        <is>
          <t>Bergvik skog öst AB</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28174-2023</t>
        </is>
      </c>
      <c r="B2827" s="1" t="n">
        <v>45099</v>
      </c>
      <c r="C2827" s="1" t="n">
        <v>45883</v>
      </c>
      <c r="D2827" t="inlineStr">
        <is>
          <t>GÄVLEBORGS LÄN</t>
        </is>
      </c>
      <c r="E2827" t="inlineStr">
        <is>
          <t>HUDIKSVALL</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28179-2023</t>
        </is>
      </c>
      <c r="B2828" s="1" t="n">
        <v>45099.53201388889</v>
      </c>
      <c r="C2828" s="1" t="n">
        <v>45883</v>
      </c>
      <c r="D2828" t="inlineStr">
        <is>
          <t>GÄVLEBORGS LÄN</t>
        </is>
      </c>
      <c r="E2828" t="inlineStr">
        <is>
          <t>BOLLNÄS</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28024-2024</t>
        </is>
      </c>
      <c r="B2829" s="1" t="n">
        <v>45476.48216435185</v>
      </c>
      <c r="C2829" s="1" t="n">
        <v>45883</v>
      </c>
      <c r="D2829" t="inlineStr">
        <is>
          <t>GÄVLEBORGS LÄN</t>
        </is>
      </c>
      <c r="E2829" t="inlineStr">
        <is>
          <t>LJUSDAL</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2478-2023</t>
        </is>
      </c>
      <c r="B2830" s="1" t="n">
        <v>44943</v>
      </c>
      <c r="C2830" s="1" t="n">
        <v>45883</v>
      </c>
      <c r="D2830" t="inlineStr">
        <is>
          <t>GÄVLEBORGS LÄN</t>
        </is>
      </c>
      <c r="E2830" t="inlineStr">
        <is>
          <t>OVANÅKER</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14280-2025</t>
        </is>
      </c>
      <c r="B2831" s="1" t="n">
        <v>45740.65372685185</v>
      </c>
      <c r="C2831" s="1" t="n">
        <v>45883</v>
      </c>
      <c r="D2831" t="inlineStr">
        <is>
          <t>GÄVLEBORGS LÄN</t>
        </is>
      </c>
      <c r="E2831" t="inlineStr">
        <is>
          <t>SANDVIKEN</t>
        </is>
      </c>
      <c r="F2831" t="inlineStr">
        <is>
          <t>Bergvik skog öst AB</t>
        </is>
      </c>
      <c r="G2831" t="n">
        <v>7.4</v>
      </c>
      <c r="H2831" t="n">
        <v>0</v>
      </c>
      <c r="I2831" t="n">
        <v>0</v>
      </c>
      <c r="J2831" t="n">
        <v>0</v>
      </c>
      <c r="K2831" t="n">
        <v>0</v>
      </c>
      <c r="L2831" t="n">
        <v>0</v>
      </c>
      <c r="M2831" t="n">
        <v>0</v>
      </c>
      <c r="N2831" t="n">
        <v>0</v>
      </c>
      <c r="O2831" t="n">
        <v>0</v>
      </c>
      <c r="P2831" t="n">
        <v>0</v>
      </c>
      <c r="Q2831" t="n">
        <v>0</v>
      </c>
      <c r="R2831" s="2" t="inlineStr"/>
    </row>
    <row r="2832" ht="15" customHeight="1">
      <c r="A2832" t="inlineStr">
        <is>
          <t>A 20115-2025</t>
        </is>
      </c>
      <c r="B2832" s="1" t="n">
        <v>45772.48476851852</v>
      </c>
      <c r="C2832" s="1" t="n">
        <v>45883</v>
      </c>
      <c r="D2832" t="inlineStr">
        <is>
          <t>GÄVLEBORGS LÄN</t>
        </is>
      </c>
      <c r="E2832" t="inlineStr">
        <is>
          <t>OVANÅKER</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22227-2024</t>
        </is>
      </c>
      <c r="B2833" s="1" t="n">
        <v>45446.42173611111</v>
      </c>
      <c r="C2833" s="1" t="n">
        <v>45883</v>
      </c>
      <c r="D2833" t="inlineStr">
        <is>
          <t>GÄVLEBORGS LÄN</t>
        </is>
      </c>
      <c r="E2833" t="inlineStr">
        <is>
          <t>SÖDERHAMN</t>
        </is>
      </c>
      <c r="G2833" t="n">
        <v>8.9</v>
      </c>
      <c r="H2833" t="n">
        <v>0</v>
      </c>
      <c r="I2833" t="n">
        <v>0</v>
      </c>
      <c r="J2833" t="n">
        <v>0</v>
      </c>
      <c r="K2833" t="n">
        <v>0</v>
      </c>
      <c r="L2833" t="n">
        <v>0</v>
      </c>
      <c r="M2833" t="n">
        <v>0</v>
      </c>
      <c r="N2833" t="n">
        <v>0</v>
      </c>
      <c r="O2833" t="n">
        <v>0</v>
      </c>
      <c r="P2833" t="n">
        <v>0</v>
      </c>
      <c r="Q2833" t="n">
        <v>0</v>
      </c>
      <c r="R2833" s="2" t="inlineStr"/>
    </row>
    <row r="2834" ht="15" customHeight="1">
      <c r="A2834" t="inlineStr">
        <is>
          <t>A 22248-2024</t>
        </is>
      </c>
      <c r="B2834" s="1" t="n">
        <v>45446.45638888889</v>
      </c>
      <c r="C2834" s="1" t="n">
        <v>45883</v>
      </c>
      <c r="D2834" t="inlineStr">
        <is>
          <t>GÄVLEBORGS LÄN</t>
        </is>
      </c>
      <c r="E2834" t="inlineStr">
        <is>
          <t>LJUSDAL</t>
        </is>
      </c>
      <c r="G2834" t="n">
        <v>4.1</v>
      </c>
      <c r="H2834" t="n">
        <v>0</v>
      </c>
      <c r="I2834" t="n">
        <v>0</v>
      </c>
      <c r="J2834" t="n">
        <v>0</v>
      </c>
      <c r="K2834" t="n">
        <v>0</v>
      </c>
      <c r="L2834" t="n">
        <v>0</v>
      </c>
      <c r="M2834" t="n">
        <v>0</v>
      </c>
      <c r="N2834" t="n">
        <v>0</v>
      </c>
      <c r="O2834" t="n">
        <v>0</v>
      </c>
      <c r="P2834" t="n">
        <v>0</v>
      </c>
      <c r="Q2834" t="n">
        <v>0</v>
      </c>
      <c r="R2834" s="2" t="inlineStr"/>
    </row>
    <row r="2835" ht="15" customHeight="1">
      <c r="A2835" t="inlineStr">
        <is>
          <t>A 33880-2023</t>
        </is>
      </c>
      <c r="B2835" s="1" t="n">
        <v>45134</v>
      </c>
      <c r="C2835" s="1" t="n">
        <v>45883</v>
      </c>
      <c r="D2835" t="inlineStr">
        <is>
          <t>GÄVLEBORGS LÄN</t>
        </is>
      </c>
      <c r="E2835" t="inlineStr">
        <is>
          <t>OCKELBO</t>
        </is>
      </c>
      <c r="F2835" t="inlineStr">
        <is>
          <t>Bergvik skog väst AB</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35364-2024</t>
        </is>
      </c>
      <c r="B2836" s="1" t="n">
        <v>45531.34303240741</v>
      </c>
      <c r="C2836" s="1" t="n">
        <v>45883</v>
      </c>
      <c r="D2836" t="inlineStr">
        <is>
          <t>GÄVLEBORGS LÄN</t>
        </is>
      </c>
      <c r="E2836" t="inlineStr">
        <is>
          <t>LJUSDAL</t>
        </is>
      </c>
      <c r="G2836" t="n">
        <v>5.1</v>
      </c>
      <c r="H2836" t="n">
        <v>0</v>
      </c>
      <c r="I2836" t="n">
        <v>0</v>
      </c>
      <c r="J2836" t="n">
        <v>0</v>
      </c>
      <c r="K2836" t="n">
        <v>0</v>
      </c>
      <c r="L2836" t="n">
        <v>0</v>
      </c>
      <c r="M2836" t="n">
        <v>0</v>
      </c>
      <c r="N2836" t="n">
        <v>0</v>
      </c>
      <c r="O2836" t="n">
        <v>0</v>
      </c>
      <c r="P2836" t="n">
        <v>0</v>
      </c>
      <c r="Q2836" t="n">
        <v>0</v>
      </c>
      <c r="R2836" s="2" t="inlineStr"/>
    </row>
    <row r="2837" ht="15" customHeight="1">
      <c r="A2837" t="inlineStr">
        <is>
          <t>A 14119-2025</t>
        </is>
      </c>
      <c r="B2837" s="1" t="n">
        <v>45740.4659837963</v>
      </c>
      <c r="C2837" s="1" t="n">
        <v>45883</v>
      </c>
      <c r="D2837" t="inlineStr">
        <is>
          <t>GÄVLEBORGS LÄN</t>
        </is>
      </c>
      <c r="E2837" t="inlineStr">
        <is>
          <t>HOFORS</t>
        </is>
      </c>
      <c r="F2837" t="inlineStr">
        <is>
          <t>Bergvik skog öst AB</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37338-2024</t>
        </is>
      </c>
      <c r="B2838" s="1" t="n">
        <v>45540</v>
      </c>
      <c r="C2838" s="1" t="n">
        <v>45883</v>
      </c>
      <c r="D2838" t="inlineStr">
        <is>
          <t>GÄVLEBORGS LÄN</t>
        </is>
      </c>
      <c r="E2838" t="inlineStr">
        <is>
          <t>OVANÅKER</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38110-2024</t>
        </is>
      </c>
      <c r="B2839" s="1" t="n">
        <v>45545</v>
      </c>
      <c r="C2839" s="1" t="n">
        <v>45883</v>
      </c>
      <c r="D2839" t="inlineStr">
        <is>
          <t>GÄVLEBORGS LÄN</t>
        </is>
      </c>
      <c r="E2839" t="inlineStr">
        <is>
          <t>SÖDERHAMN</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38111-2024</t>
        </is>
      </c>
      <c r="B2840" s="1" t="n">
        <v>45545.38399305556</v>
      </c>
      <c r="C2840" s="1" t="n">
        <v>45883</v>
      </c>
      <c r="D2840" t="inlineStr">
        <is>
          <t>GÄVLEBORGS LÄN</t>
        </is>
      </c>
      <c r="E2840" t="inlineStr">
        <is>
          <t>SÖDERHAMN</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38142-2024</t>
        </is>
      </c>
      <c r="B2841" s="1" t="n">
        <v>45545.42521990741</v>
      </c>
      <c r="C2841" s="1" t="n">
        <v>45883</v>
      </c>
      <c r="D2841" t="inlineStr">
        <is>
          <t>GÄVLEBORGS LÄN</t>
        </is>
      </c>
      <c r="E2841" t="inlineStr">
        <is>
          <t>HUDIKSVALL</t>
        </is>
      </c>
      <c r="F2841" t="inlineStr">
        <is>
          <t>Holmen skog AB</t>
        </is>
      </c>
      <c r="G2841" t="n">
        <v>5</v>
      </c>
      <c r="H2841" t="n">
        <v>0</v>
      </c>
      <c r="I2841" t="n">
        <v>0</v>
      </c>
      <c r="J2841" t="n">
        <v>0</v>
      </c>
      <c r="K2841" t="n">
        <v>0</v>
      </c>
      <c r="L2841" t="n">
        <v>0</v>
      </c>
      <c r="M2841" t="n">
        <v>0</v>
      </c>
      <c r="N2841" t="n">
        <v>0</v>
      </c>
      <c r="O2841" t="n">
        <v>0</v>
      </c>
      <c r="P2841" t="n">
        <v>0</v>
      </c>
      <c r="Q2841" t="n">
        <v>0</v>
      </c>
      <c r="R2841" s="2" t="inlineStr"/>
    </row>
    <row r="2842" ht="15" customHeight="1">
      <c r="A2842" t="inlineStr">
        <is>
          <t>A 34293-2024</t>
        </is>
      </c>
      <c r="B2842" s="1" t="n">
        <v>45524.64042824074</v>
      </c>
      <c r="C2842" s="1" t="n">
        <v>45883</v>
      </c>
      <c r="D2842" t="inlineStr">
        <is>
          <t>GÄVLEBORGS LÄN</t>
        </is>
      </c>
      <c r="E2842" t="inlineStr">
        <is>
          <t>HUDIKSVALL</t>
        </is>
      </c>
      <c r="F2842" t="inlineStr">
        <is>
          <t>Holmen skog AB</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57-2024</t>
        </is>
      </c>
      <c r="B2843" s="1" t="n">
        <v>45293.60358796296</v>
      </c>
      <c r="C2843" s="1" t="n">
        <v>45883</v>
      </c>
      <c r="D2843" t="inlineStr">
        <is>
          <t>GÄVLEBORGS LÄN</t>
        </is>
      </c>
      <c r="E2843" t="inlineStr">
        <is>
          <t>LJUSDAL</t>
        </is>
      </c>
      <c r="F2843" t="inlineStr">
        <is>
          <t>Holmen skog AB</t>
        </is>
      </c>
      <c r="G2843" t="n">
        <v>5.8</v>
      </c>
      <c r="H2843" t="n">
        <v>0</v>
      </c>
      <c r="I2843" t="n">
        <v>0</v>
      </c>
      <c r="J2843" t="n">
        <v>0</v>
      </c>
      <c r="K2843" t="n">
        <v>0</v>
      </c>
      <c r="L2843" t="n">
        <v>0</v>
      </c>
      <c r="M2843" t="n">
        <v>0</v>
      </c>
      <c r="N2843" t="n">
        <v>0</v>
      </c>
      <c r="O2843" t="n">
        <v>0</v>
      </c>
      <c r="P2843" t="n">
        <v>0</v>
      </c>
      <c r="Q2843" t="n">
        <v>0</v>
      </c>
      <c r="R2843" s="2" t="inlineStr"/>
    </row>
    <row r="2844" ht="15" customHeight="1">
      <c r="A2844" t="inlineStr">
        <is>
          <t>A 54349-2022</t>
        </is>
      </c>
      <c r="B2844" s="1" t="n">
        <v>44882.45284722222</v>
      </c>
      <c r="C2844" s="1" t="n">
        <v>45883</v>
      </c>
      <c r="D2844" t="inlineStr">
        <is>
          <t>GÄVLEBORGS LÄN</t>
        </is>
      </c>
      <c r="E2844" t="inlineStr">
        <is>
          <t>LJUSDAL</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6742-2024</t>
        </is>
      </c>
      <c r="B2845" s="1" t="n">
        <v>45342.40693287037</v>
      </c>
      <c r="C2845" s="1" t="n">
        <v>45883</v>
      </c>
      <c r="D2845" t="inlineStr">
        <is>
          <t>GÄVLEBORGS LÄN</t>
        </is>
      </c>
      <c r="E2845" t="inlineStr">
        <is>
          <t>OCKELBO</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51666-2022</t>
        </is>
      </c>
      <c r="B2846" s="1" t="n">
        <v>44872.42103009259</v>
      </c>
      <c r="C2846" s="1" t="n">
        <v>45883</v>
      </c>
      <c r="D2846" t="inlineStr">
        <is>
          <t>GÄVLEBORGS LÄN</t>
        </is>
      </c>
      <c r="E2846" t="inlineStr">
        <is>
          <t>BOLLNÄS</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63134-2023</t>
        </is>
      </c>
      <c r="B2847" s="1" t="n">
        <v>45273.46143518519</v>
      </c>
      <c r="C2847" s="1" t="n">
        <v>45883</v>
      </c>
      <c r="D2847" t="inlineStr">
        <is>
          <t>GÄVLEBORGS LÄN</t>
        </is>
      </c>
      <c r="E2847" t="inlineStr">
        <is>
          <t>HUDIKSVALL</t>
        </is>
      </c>
      <c r="F2847" t="inlineStr">
        <is>
          <t>Holmen skog AB</t>
        </is>
      </c>
      <c r="G2847" t="n">
        <v>5.3</v>
      </c>
      <c r="H2847" t="n">
        <v>0</v>
      </c>
      <c r="I2847" t="n">
        <v>0</v>
      </c>
      <c r="J2847" t="n">
        <v>0</v>
      </c>
      <c r="K2847" t="n">
        <v>0</v>
      </c>
      <c r="L2847" t="n">
        <v>0</v>
      </c>
      <c r="M2847" t="n">
        <v>0</v>
      </c>
      <c r="N2847" t="n">
        <v>0</v>
      </c>
      <c r="O2847" t="n">
        <v>0</v>
      </c>
      <c r="P2847" t="n">
        <v>0</v>
      </c>
      <c r="Q2847" t="n">
        <v>0</v>
      </c>
      <c r="R2847" s="2" t="inlineStr"/>
    </row>
    <row r="2848" ht="15" customHeight="1">
      <c r="A2848" t="inlineStr">
        <is>
          <t>A 51700-2022</t>
        </is>
      </c>
      <c r="B2848" s="1" t="n">
        <v>44872</v>
      </c>
      <c r="C2848" s="1" t="n">
        <v>45883</v>
      </c>
      <c r="D2848" t="inlineStr">
        <is>
          <t>GÄVLEBORGS LÄN</t>
        </is>
      </c>
      <c r="E2848" t="inlineStr">
        <is>
          <t>OVANÅKER</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64138-2023</t>
        </is>
      </c>
      <c r="B2849" s="1" t="n">
        <v>45279</v>
      </c>
      <c r="C2849" s="1" t="n">
        <v>45883</v>
      </c>
      <c r="D2849" t="inlineStr">
        <is>
          <t>GÄVLEBORGS LÄN</t>
        </is>
      </c>
      <c r="E2849" t="inlineStr">
        <is>
          <t>SÖDERHAMN</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49925-2021</t>
        </is>
      </c>
      <c r="B2850" s="1" t="n">
        <v>44455.92104166667</v>
      </c>
      <c r="C2850" s="1" t="n">
        <v>45883</v>
      </c>
      <c r="D2850" t="inlineStr">
        <is>
          <t>GÄVLEBORGS LÄN</t>
        </is>
      </c>
      <c r="E2850" t="inlineStr">
        <is>
          <t>HUDIKSVALL</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63309-2023</t>
        </is>
      </c>
      <c r="B2851" s="1" t="n">
        <v>45274.3437037037</v>
      </c>
      <c r="C2851" s="1" t="n">
        <v>45883</v>
      </c>
      <c r="D2851" t="inlineStr">
        <is>
          <t>GÄVLEBORGS LÄN</t>
        </is>
      </c>
      <c r="E2851" t="inlineStr">
        <is>
          <t>SANDVIKEN</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59064-2022</t>
        </is>
      </c>
      <c r="B2852" s="1" t="n">
        <v>44904.33759259259</v>
      </c>
      <c r="C2852" s="1" t="n">
        <v>45883</v>
      </c>
      <c r="D2852" t="inlineStr">
        <is>
          <t>GÄVLEBORGS LÄN</t>
        </is>
      </c>
      <c r="E2852" t="inlineStr">
        <is>
          <t>HUDIKSVALL</t>
        </is>
      </c>
      <c r="F2852" t="inlineStr">
        <is>
          <t>Kyrkan</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29716-2023</t>
        </is>
      </c>
      <c r="B2853" s="1" t="n">
        <v>45107</v>
      </c>
      <c r="C2853" s="1" t="n">
        <v>45883</v>
      </c>
      <c r="D2853" t="inlineStr">
        <is>
          <t>GÄVLEBORGS LÄN</t>
        </is>
      </c>
      <c r="E2853" t="inlineStr">
        <is>
          <t>BOLLNÄS</t>
        </is>
      </c>
      <c r="F2853" t="inlineStr">
        <is>
          <t>Sveaskog</t>
        </is>
      </c>
      <c r="G2853" t="n">
        <v>7.3</v>
      </c>
      <c r="H2853" t="n">
        <v>0</v>
      </c>
      <c r="I2853" t="n">
        <v>0</v>
      </c>
      <c r="J2853" t="n">
        <v>0</v>
      </c>
      <c r="K2853" t="n">
        <v>0</v>
      </c>
      <c r="L2853" t="n">
        <v>0</v>
      </c>
      <c r="M2853" t="n">
        <v>0</v>
      </c>
      <c r="N2853" t="n">
        <v>0</v>
      </c>
      <c r="O2853" t="n">
        <v>0</v>
      </c>
      <c r="P2853" t="n">
        <v>0</v>
      </c>
      <c r="Q2853" t="n">
        <v>0</v>
      </c>
      <c r="R2853" s="2" t="inlineStr"/>
    </row>
    <row r="2854" ht="15" customHeight="1">
      <c r="A2854" t="inlineStr">
        <is>
          <t>A 16389-2025</t>
        </is>
      </c>
      <c r="B2854" s="1" t="n">
        <v>45751</v>
      </c>
      <c r="C2854" s="1" t="n">
        <v>45883</v>
      </c>
      <c r="D2854" t="inlineStr">
        <is>
          <t>GÄVLEBORGS LÄN</t>
        </is>
      </c>
      <c r="E2854" t="inlineStr">
        <is>
          <t>GÄVLE</t>
        </is>
      </c>
      <c r="F2854" t="inlineStr">
        <is>
          <t>Bergvik skog väst AB</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5633-2024</t>
        </is>
      </c>
      <c r="B2855" s="1" t="n">
        <v>45334.61027777778</v>
      </c>
      <c r="C2855" s="1" t="n">
        <v>45883</v>
      </c>
      <c r="D2855" t="inlineStr">
        <is>
          <t>GÄVLEBORGS LÄN</t>
        </is>
      </c>
      <c r="E2855" t="inlineStr">
        <is>
          <t>GÄVLE</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30697-2024</t>
        </is>
      </c>
      <c r="B2856" s="1" t="n">
        <v>45496.34385416667</v>
      </c>
      <c r="C2856" s="1" t="n">
        <v>45883</v>
      </c>
      <c r="D2856" t="inlineStr">
        <is>
          <t>GÄVLEBORGS LÄN</t>
        </is>
      </c>
      <c r="E2856" t="inlineStr">
        <is>
          <t>HUDIKSVALL</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30702-2024</t>
        </is>
      </c>
      <c r="B2857" s="1" t="n">
        <v>45496.3709375</v>
      </c>
      <c r="C2857" s="1" t="n">
        <v>45883</v>
      </c>
      <c r="D2857" t="inlineStr">
        <is>
          <t>GÄVLEBORGS LÄN</t>
        </is>
      </c>
      <c r="E2857" t="inlineStr">
        <is>
          <t>NORDANSTIG</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51725-2024</t>
        </is>
      </c>
      <c r="B2858" s="1" t="n">
        <v>45607.383125</v>
      </c>
      <c r="C2858" s="1" t="n">
        <v>45883</v>
      </c>
      <c r="D2858" t="inlineStr">
        <is>
          <t>GÄVLEBORGS LÄN</t>
        </is>
      </c>
      <c r="E2858" t="inlineStr">
        <is>
          <t>LJUSDAL</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51277-2022</t>
        </is>
      </c>
      <c r="B2859" s="1" t="n">
        <v>44868.7127662037</v>
      </c>
      <c r="C2859" s="1" t="n">
        <v>45883</v>
      </c>
      <c r="D2859" t="inlineStr">
        <is>
          <t>GÄVLEBORGS LÄN</t>
        </is>
      </c>
      <c r="E2859" t="inlineStr">
        <is>
          <t>HOFORS</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39154-2021</t>
        </is>
      </c>
      <c r="B2860" s="1" t="n">
        <v>44412</v>
      </c>
      <c r="C2860" s="1" t="n">
        <v>45883</v>
      </c>
      <c r="D2860" t="inlineStr">
        <is>
          <t>GÄVLEBORGS LÄN</t>
        </is>
      </c>
      <c r="E2860" t="inlineStr">
        <is>
          <t>HUDIKSVALL</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11338-2023</t>
        </is>
      </c>
      <c r="B2861" s="1" t="n">
        <v>44993.35480324074</v>
      </c>
      <c r="C2861" s="1" t="n">
        <v>45883</v>
      </c>
      <c r="D2861" t="inlineStr">
        <is>
          <t>GÄVLEBORGS LÄN</t>
        </is>
      </c>
      <c r="E2861" t="inlineStr">
        <is>
          <t>NORDANSTIG</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54053-2020</t>
        </is>
      </c>
      <c r="B2862" s="1" t="n">
        <v>44125</v>
      </c>
      <c r="C2862" s="1" t="n">
        <v>45883</v>
      </c>
      <c r="D2862" t="inlineStr">
        <is>
          <t>GÄVLEBORGS LÄN</t>
        </is>
      </c>
      <c r="E2862" t="inlineStr">
        <is>
          <t>GÄVLE</t>
        </is>
      </c>
      <c r="F2862" t="inlineStr">
        <is>
          <t>Bergvik skog öst AB</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54065-2020</t>
        </is>
      </c>
      <c r="B2863" s="1" t="n">
        <v>44125</v>
      </c>
      <c r="C2863" s="1" t="n">
        <v>45883</v>
      </c>
      <c r="D2863" t="inlineStr">
        <is>
          <t>GÄVLEBORGS LÄN</t>
        </is>
      </c>
      <c r="E2863" t="inlineStr">
        <is>
          <t>GÄVLE</t>
        </is>
      </c>
      <c r="F2863" t="inlineStr">
        <is>
          <t>Bergvik skog öst AB</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31646-2024</t>
        </is>
      </c>
      <c r="B2864" s="1" t="n">
        <v>45506.60877314815</v>
      </c>
      <c r="C2864" s="1" t="n">
        <v>45883</v>
      </c>
      <c r="D2864" t="inlineStr">
        <is>
          <t>GÄVLEBORGS LÄN</t>
        </is>
      </c>
      <c r="E2864" t="inlineStr">
        <is>
          <t>SANDVIKEN</t>
        </is>
      </c>
      <c r="F2864" t="inlineStr">
        <is>
          <t>Sveaskog</t>
        </is>
      </c>
      <c r="G2864" t="n">
        <v>5.9</v>
      </c>
      <c r="H2864" t="n">
        <v>0</v>
      </c>
      <c r="I2864" t="n">
        <v>0</v>
      </c>
      <c r="J2864" t="n">
        <v>0</v>
      </c>
      <c r="K2864" t="n">
        <v>0</v>
      </c>
      <c r="L2864" t="n">
        <v>0</v>
      </c>
      <c r="M2864" t="n">
        <v>0</v>
      </c>
      <c r="N2864" t="n">
        <v>0</v>
      </c>
      <c r="O2864" t="n">
        <v>0</v>
      </c>
      <c r="P2864" t="n">
        <v>0</v>
      </c>
      <c r="Q2864" t="n">
        <v>0</v>
      </c>
      <c r="R2864" s="2" t="inlineStr"/>
    </row>
    <row r="2865" ht="15" customHeight="1">
      <c r="A2865" t="inlineStr">
        <is>
          <t>A 70043-2021</t>
        </is>
      </c>
      <c r="B2865" s="1" t="n">
        <v>44533</v>
      </c>
      <c r="C2865" s="1" t="n">
        <v>45883</v>
      </c>
      <c r="D2865" t="inlineStr">
        <is>
          <t>GÄVLEBORGS LÄN</t>
        </is>
      </c>
      <c r="E2865" t="inlineStr">
        <is>
          <t>GÄVLE</t>
        </is>
      </c>
      <c r="F2865" t="inlineStr">
        <is>
          <t>Bergvik skog öst AB</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19724-2024</t>
        </is>
      </c>
      <c r="B2866" s="1" t="n">
        <v>45432</v>
      </c>
      <c r="C2866" s="1" t="n">
        <v>45883</v>
      </c>
      <c r="D2866" t="inlineStr">
        <is>
          <t>GÄVLEBORGS LÄN</t>
        </is>
      </c>
      <c r="E2866" t="inlineStr">
        <is>
          <t>HUDIKSVALL</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16736-2025</t>
        </is>
      </c>
      <c r="B2867" s="1" t="n">
        <v>45754.54481481481</v>
      </c>
      <c r="C2867" s="1" t="n">
        <v>45883</v>
      </c>
      <c r="D2867" t="inlineStr">
        <is>
          <t>GÄVLEBORGS LÄN</t>
        </is>
      </c>
      <c r="E2867" t="inlineStr">
        <is>
          <t>HUDIKSVALL</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54974-2022</t>
        </is>
      </c>
      <c r="B2868" s="1" t="n">
        <v>44886.48644675926</v>
      </c>
      <c r="C2868" s="1" t="n">
        <v>45883</v>
      </c>
      <c r="D2868" t="inlineStr">
        <is>
          <t>GÄVLEBORGS LÄN</t>
        </is>
      </c>
      <c r="E2868" t="inlineStr">
        <is>
          <t>BOLLNÄS</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6816-2021</t>
        </is>
      </c>
      <c r="B2869" s="1" t="n">
        <v>44237.32259259259</v>
      </c>
      <c r="C2869" s="1" t="n">
        <v>45883</v>
      </c>
      <c r="D2869" t="inlineStr">
        <is>
          <t>GÄVLEBORGS LÄN</t>
        </is>
      </c>
      <c r="E2869" t="inlineStr">
        <is>
          <t>SÖDERHAMN</t>
        </is>
      </c>
      <c r="F2869" t="inlineStr">
        <is>
          <t>Bergvik skog väst AB</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50053-2022</t>
        </is>
      </c>
      <c r="B2870" s="1" t="n">
        <v>44865.47443287037</v>
      </c>
      <c r="C2870" s="1" t="n">
        <v>45883</v>
      </c>
      <c r="D2870" t="inlineStr">
        <is>
          <t>GÄVLEBORGS LÄN</t>
        </is>
      </c>
      <c r="E2870" t="inlineStr">
        <is>
          <t>BOLLNÄS</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54972-2024</t>
        </is>
      </c>
      <c r="B2871" s="1" t="n">
        <v>45620.67212962963</v>
      </c>
      <c r="C2871" s="1" t="n">
        <v>45883</v>
      </c>
      <c r="D2871" t="inlineStr">
        <is>
          <t>GÄVLEBORGS LÄN</t>
        </is>
      </c>
      <c r="E2871" t="inlineStr">
        <is>
          <t>HUDIKSVALL</t>
        </is>
      </c>
      <c r="F2871" t="inlineStr">
        <is>
          <t>Holmen skog AB</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36407-2024</t>
        </is>
      </c>
      <c r="B2872" s="1" t="n">
        <v>45535.81711805556</v>
      </c>
      <c r="C2872" s="1" t="n">
        <v>45883</v>
      </c>
      <c r="D2872" t="inlineStr">
        <is>
          <t>GÄVLEBORGS LÄN</t>
        </is>
      </c>
      <c r="E2872" t="inlineStr">
        <is>
          <t>HUDIKSVALL</t>
        </is>
      </c>
      <c r="F2872" t="inlineStr">
        <is>
          <t>Holmen skog AB</t>
        </is>
      </c>
      <c r="G2872" t="n">
        <v>7.7</v>
      </c>
      <c r="H2872" t="n">
        <v>0</v>
      </c>
      <c r="I2872" t="n">
        <v>0</v>
      </c>
      <c r="J2872" t="n">
        <v>0</v>
      </c>
      <c r="K2872" t="n">
        <v>0</v>
      </c>
      <c r="L2872" t="n">
        <v>0</v>
      </c>
      <c r="M2872" t="n">
        <v>0</v>
      </c>
      <c r="N2872" t="n">
        <v>0</v>
      </c>
      <c r="O2872" t="n">
        <v>0</v>
      </c>
      <c r="P2872" t="n">
        <v>0</v>
      </c>
      <c r="Q2872" t="n">
        <v>0</v>
      </c>
      <c r="R2872" s="2" t="inlineStr"/>
    </row>
    <row r="2873" ht="15" customHeight="1">
      <c r="A2873" t="inlineStr">
        <is>
          <t>A 29296-2024</t>
        </is>
      </c>
      <c r="B2873" s="1" t="n">
        <v>45483.33774305556</v>
      </c>
      <c r="C2873" s="1" t="n">
        <v>45883</v>
      </c>
      <c r="D2873" t="inlineStr">
        <is>
          <t>GÄVLEBORGS LÄN</t>
        </is>
      </c>
      <c r="E2873" t="inlineStr">
        <is>
          <t>SANDVIKEN</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716-2024</t>
        </is>
      </c>
      <c r="B2874" s="1" t="n">
        <v>45300</v>
      </c>
      <c r="C2874" s="1" t="n">
        <v>45883</v>
      </c>
      <c r="D2874" t="inlineStr">
        <is>
          <t>GÄVLEBORGS LÄN</t>
        </is>
      </c>
      <c r="E2874" t="inlineStr">
        <is>
          <t>SANDVIKEN</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39068-2023</t>
        </is>
      </c>
      <c r="B2875" s="1" t="n">
        <v>45163</v>
      </c>
      <c r="C2875" s="1" t="n">
        <v>45883</v>
      </c>
      <c r="D2875" t="inlineStr">
        <is>
          <t>GÄVLEBORGS LÄN</t>
        </is>
      </c>
      <c r="E2875" t="inlineStr">
        <is>
          <t>NORDANSTIG</t>
        </is>
      </c>
      <c r="F2875" t="inlineStr">
        <is>
          <t>SCA</t>
        </is>
      </c>
      <c r="G2875" t="n">
        <v>11.8</v>
      </c>
      <c r="H2875" t="n">
        <v>0</v>
      </c>
      <c r="I2875" t="n">
        <v>0</v>
      </c>
      <c r="J2875" t="n">
        <v>0</v>
      </c>
      <c r="K2875" t="n">
        <v>0</v>
      </c>
      <c r="L2875" t="n">
        <v>0</v>
      </c>
      <c r="M2875" t="n">
        <v>0</v>
      </c>
      <c r="N2875" t="n">
        <v>0</v>
      </c>
      <c r="O2875" t="n">
        <v>0</v>
      </c>
      <c r="P2875" t="n">
        <v>0</v>
      </c>
      <c r="Q2875" t="n">
        <v>0</v>
      </c>
      <c r="R2875" s="2" t="inlineStr"/>
    </row>
    <row r="2876" ht="15" customHeight="1">
      <c r="A2876" t="inlineStr">
        <is>
          <t>A 40477-2024</t>
        </is>
      </c>
      <c r="B2876" s="1" t="n">
        <v>45555.54740740741</v>
      </c>
      <c r="C2876" s="1" t="n">
        <v>45883</v>
      </c>
      <c r="D2876" t="inlineStr">
        <is>
          <t>GÄVLEBORGS LÄN</t>
        </is>
      </c>
      <c r="E2876" t="inlineStr">
        <is>
          <t>NORDANSTIG</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40481-2024</t>
        </is>
      </c>
      <c r="B2877" s="1" t="n">
        <v>45555.55221064815</v>
      </c>
      <c r="C2877" s="1" t="n">
        <v>45883</v>
      </c>
      <c r="D2877" t="inlineStr">
        <is>
          <t>GÄVLEBORGS LÄN</t>
        </is>
      </c>
      <c r="E2877" t="inlineStr">
        <is>
          <t>BOLLNÄS</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19954-2023</t>
        </is>
      </c>
      <c r="B2878" s="1" t="n">
        <v>45054.54555555555</v>
      </c>
      <c r="C2878" s="1" t="n">
        <v>45883</v>
      </c>
      <c r="D2878" t="inlineStr">
        <is>
          <t>GÄVLEBORGS LÄN</t>
        </is>
      </c>
      <c r="E2878" t="inlineStr">
        <is>
          <t>LJUSDAL</t>
        </is>
      </c>
      <c r="F2878" t="inlineStr">
        <is>
          <t>Holmen skog AB</t>
        </is>
      </c>
      <c r="G2878" t="n">
        <v>6.1</v>
      </c>
      <c r="H2878" t="n">
        <v>0</v>
      </c>
      <c r="I2878" t="n">
        <v>0</v>
      </c>
      <c r="J2878" t="n">
        <v>0</v>
      </c>
      <c r="K2878" t="n">
        <v>0</v>
      </c>
      <c r="L2878" t="n">
        <v>0</v>
      </c>
      <c r="M2878" t="n">
        <v>0</v>
      </c>
      <c r="N2878" t="n">
        <v>0</v>
      </c>
      <c r="O2878" t="n">
        <v>0</v>
      </c>
      <c r="P2878" t="n">
        <v>0</v>
      </c>
      <c r="Q2878" t="n">
        <v>0</v>
      </c>
      <c r="R2878" s="2" t="inlineStr"/>
    </row>
    <row r="2879" ht="15" customHeight="1">
      <c r="A2879" t="inlineStr">
        <is>
          <t>A 28460-2022</t>
        </is>
      </c>
      <c r="B2879" s="1" t="n">
        <v>44747</v>
      </c>
      <c r="C2879" s="1" t="n">
        <v>45883</v>
      </c>
      <c r="D2879" t="inlineStr">
        <is>
          <t>GÄVLEBORGS LÄN</t>
        </is>
      </c>
      <c r="E2879" t="inlineStr">
        <is>
          <t>LJUSDAL</t>
        </is>
      </c>
      <c r="G2879" t="n">
        <v>4</v>
      </c>
      <c r="H2879" t="n">
        <v>0</v>
      </c>
      <c r="I2879" t="n">
        <v>0</v>
      </c>
      <c r="J2879" t="n">
        <v>0</v>
      </c>
      <c r="K2879" t="n">
        <v>0</v>
      </c>
      <c r="L2879" t="n">
        <v>0</v>
      </c>
      <c r="M2879" t="n">
        <v>0</v>
      </c>
      <c r="N2879" t="n">
        <v>0</v>
      </c>
      <c r="O2879" t="n">
        <v>0</v>
      </c>
      <c r="P2879" t="n">
        <v>0</v>
      </c>
      <c r="Q2879" t="n">
        <v>0</v>
      </c>
      <c r="R2879" s="2" t="inlineStr"/>
    </row>
    <row r="2880" ht="15" customHeight="1">
      <c r="A2880" t="inlineStr">
        <is>
          <t>A 39173-2024</t>
        </is>
      </c>
      <c r="B2880" s="1" t="n">
        <v>45548.65622685185</v>
      </c>
      <c r="C2880" s="1" t="n">
        <v>45883</v>
      </c>
      <c r="D2880" t="inlineStr">
        <is>
          <t>GÄVLEBORGS LÄN</t>
        </is>
      </c>
      <c r="E2880" t="inlineStr">
        <is>
          <t>OVANÅKER</t>
        </is>
      </c>
      <c r="G2880" t="n">
        <v>3.2</v>
      </c>
      <c r="H2880" t="n">
        <v>0</v>
      </c>
      <c r="I2880" t="n">
        <v>0</v>
      </c>
      <c r="J2880" t="n">
        <v>0</v>
      </c>
      <c r="K2880" t="n">
        <v>0</v>
      </c>
      <c r="L2880" t="n">
        <v>0</v>
      </c>
      <c r="M2880" t="n">
        <v>0</v>
      </c>
      <c r="N2880" t="n">
        <v>0</v>
      </c>
      <c r="O2880" t="n">
        <v>0</v>
      </c>
      <c r="P2880" t="n">
        <v>0</v>
      </c>
      <c r="Q2880" t="n">
        <v>0</v>
      </c>
      <c r="R2880" s="2" t="inlineStr"/>
    </row>
    <row r="2881" ht="15" customHeight="1">
      <c r="A2881" t="inlineStr">
        <is>
          <t>A 34964-2024</t>
        </is>
      </c>
      <c r="B2881" s="1" t="n">
        <v>45527.49265046296</v>
      </c>
      <c r="C2881" s="1" t="n">
        <v>45883</v>
      </c>
      <c r="D2881" t="inlineStr">
        <is>
          <t>GÄVLEBORGS LÄN</t>
        </is>
      </c>
      <c r="E2881" t="inlineStr">
        <is>
          <t>LJUSDAL</t>
        </is>
      </c>
      <c r="F2881" t="inlineStr">
        <is>
          <t>Holmen skog AB</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3289-2023</t>
        </is>
      </c>
      <c r="B2882" s="1" t="n">
        <v>44949.37563657408</v>
      </c>
      <c r="C2882" s="1" t="n">
        <v>45883</v>
      </c>
      <c r="D2882" t="inlineStr">
        <is>
          <t>GÄVLEBORGS LÄN</t>
        </is>
      </c>
      <c r="E2882" t="inlineStr">
        <is>
          <t>LJUSDAL</t>
        </is>
      </c>
      <c r="F2882" t="inlineStr">
        <is>
          <t>Holmen skog AB</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19190-2024</t>
        </is>
      </c>
      <c r="B2883" s="1" t="n">
        <v>45428</v>
      </c>
      <c r="C2883" s="1" t="n">
        <v>45883</v>
      </c>
      <c r="D2883" t="inlineStr">
        <is>
          <t>GÄVLEBORGS LÄN</t>
        </is>
      </c>
      <c r="E2883" t="inlineStr">
        <is>
          <t>LJUSDAL</t>
        </is>
      </c>
      <c r="G2883" t="n">
        <v>4.8</v>
      </c>
      <c r="H2883" t="n">
        <v>0</v>
      </c>
      <c r="I2883" t="n">
        <v>0</v>
      </c>
      <c r="J2883" t="n">
        <v>0</v>
      </c>
      <c r="K2883" t="n">
        <v>0</v>
      </c>
      <c r="L2883" t="n">
        <v>0</v>
      </c>
      <c r="M2883" t="n">
        <v>0</v>
      </c>
      <c r="N2883" t="n">
        <v>0</v>
      </c>
      <c r="O2883" t="n">
        <v>0</v>
      </c>
      <c r="P2883" t="n">
        <v>0</v>
      </c>
      <c r="Q2883" t="n">
        <v>0</v>
      </c>
      <c r="R2883" s="2" t="inlineStr"/>
    </row>
    <row r="2884" ht="15" customHeight="1">
      <c r="A2884" t="inlineStr">
        <is>
          <t>A 32342-2024</t>
        </is>
      </c>
      <c r="B2884" s="1" t="n">
        <v>45512.51696759259</v>
      </c>
      <c r="C2884" s="1" t="n">
        <v>45883</v>
      </c>
      <c r="D2884" t="inlineStr">
        <is>
          <t>GÄVLEBORGS LÄN</t>
        </is>
      </c>
      <c r="E2884" t="inlineStr">
        <is>
          <t>HUDIKSVALL</t>
        </is>
      </c>
      <c r="F2884" t="inlineStr">
        <is>
          <t>Holmen skog AB</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24032-2024</t>
        </is>
      </c>
      <c r="B2885" s="1" t="n">
        <v>45456.46153935185</v>
      </c>
      <c r="C2885" s="1" t="n">
        <v>45883</v>
      </c>
      <c r="D2885" t="inlineStr">
        <is>
          <t>GÄVLEBORGS LÄN</t>
        </is>
      </c>
      <c r="E2885" t="inlineStr">
        <is>
          <t>OVANÅKER</t>
        </is>
      </c>
      <c r="F2885" t="inlineStr">
        <is>
          <t>Bergvik skog väst AB</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10149-2025</t>
        </is>
      </c>
      <c r="B2886" s="1" t="n">
        <v>45719.64081018518</v>
      </c>
      <c r="C2886" s="1" t="n">
        <v>45883</v>
      </c>
      <c r="D2886" t="inlineStr">
        <is>
          <t>GÄVLEBORGS LÄN</t>
        </is>
      </c>
      <c r="E2886" t="inlineStr">
        <is>
          <t>OCKELBO</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24033-2024</t>
        </is>
      </c>
      <c r="B2887" s="1" t="n">
        <v>45456.46658564815</v>
      </c>
      <c r="C2887" s="1" t="n">
        <v>45883</v>
      </c>
      <c r="D2887" t="inlineStr">
        <is>
          <t>GÄVLEBORGS LÄN</t>
        </is>
      </c>
      <c r="E2887" t="inlineStr">
        <is>
          <t>HUDIKSVALL</t>
        </is>
      </c>
      <c r="F2887" t="inlineStr">
        <is>
          <t>Holmen skog AB</t>
        </is>
      </c>
      <c r="G2887" t="n">
        <v>22.8</v>
      </c>
      <c r="H2887" t="n">
        <v>0</v>
      </c>
      <c r="I2887" t="n">
        <v>0</v>
      </c>
      <c r="J2887" t="n">
        <v>0</v>
      </c>
      <c r="K2887" t="n">
        <v>0</v>
      </c>
      <c r="L2887" t="n">
        <v>0</v>
      </c>
      <c r="M2887" t="n">
        <v>0</v>
      </c>
      <c r="N2887" t="n">
        <v>0</v>
      </c>
      <c r="O2887" t="n">
        <v>0</v>
      </c>
      <c r="P2887" t="n">
        <v>0</v>
      </c>
      <c r="Q2887" t="n">
        <v>0</v>
      </c>
      <c r="R2887" s="2" t="inlineStr"/>
    </row>
    <row r="2888" ht="15" customHeight="1">
      <c r="A2888" t="inlineStr">
        <is>
          <t>A 38870-2024</t>
        </is>
      </c>
      <c r="B2888" s="1" t="n">
        <v>45547.64189814815</v>
      </c>
      <c r="C2888" s="1" t="n">
        <v>45883</v>
      </c>
      <c r="D2888" t="inlineStr">
        <is>
          <t>GÄVLEBORGS LÄN</t>
        </is>
      </c>
      <c r="E2888" t="inlineStr">
        <is>
          <t>LJUSDAL</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36629-2023</t>
        </is>
      </c>
      <c r="B2889" s="1" t="n">
        <v>45153.53344907407</v>
      </c>
      <c r="C2889" s="1" t="n">
        <v>45883</v>
      </c>
      <c r="D2889" t="inlineStr">
        <is>
          <t>GÄVLEBORGS LÄN</t>
        </is>
      </c>
      <c r="E2889" t="inlineStr">
        <is>
          <t>BOLLNÄS</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36699-2023</t>
        </is>
      </c>
      <c r="B2890" s="1" t="n">
        <v>45153.63834490741</v>
      </c>
      <c r="C2890" s="1" t="n">
        <v>45883</v>
      </c>
      <c r="D2890" t="inlineStr">
        <is>
          <t>GÄVLEBORGS LÄN</t>
        </is>
      </c>
      <c r="E2890" t="inlineStr">
        <is>
          <t>BOLLNÄS</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53517-2020</t>
        </is>
      </c>
      <c r="B2891" s="1" t="n">
        <v>44124</v>
      </c>
      <c r="C2891" s="1" t="n">
        <v>45883</v>
      </c>
      <c r="D2891" t="inlineStr">
        <is>
          <t>GÄVLEBORGS LÄN</t>
        </is>
      </c>
      <c r="E2891" t="inlineStr">
        <is>
          <t>GÄVLE</t>
        </is>
      </c>
      <c r="F2891" t="inlineStr">
        <is>
          <t>Bergvik skog öst AB</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25904-2024</t>
        </is>
      </c>
      <c r="B2892" s="1" t="n">
        <v>45467.57811342592</v>
      </c>
      <c r="C2892" s="1" t="n">
        <v>45883</v>
      </c>
      <c r="D2892" t="inlineStr">
        <is>
          <t>GÄVLEBORGS LÄN</t>
        </is>
      </c>
      <c r="E2892" t="inlineStr">
        <is>
          <t>SÖDERHAMN</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27152-2024</t>
        </is>
      </c>
      <c r="B2893" s="1" t="n">
        <v>45471.56072916667</v>
      </c>
      <c r="C2893" s="1" t="n">
        <v>45883</v>
      </c>
      <c r="D2893" t="inlineStr">
        <is>
          <t>GÄVLEBORGS LÄN</t>
        </is>
      </c>
      <c r="E2893" t="inlineStr">
        <is>
          <t>BOLLNÄS</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44418-2024</t>
        </is>
      </c>
      <c r="B2894" s="1" t="n">
        <v>45573.83903935185</v>
      </c>
      <c r="C2894" s="1" t="n">
        <v>45883</v>
      </c>
      <c r="D2894" t="inlineStr">
        <is>
          <t>GÄVLEBORGS LÄN</t>
        </is>
      </c>
      <c r="E2894" t="inlineStr">
        <is>
          <t>OVANÅKER</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36794-2023</t>
        </is>
      </c>
      <c r="B2895" s="1" t="n">
        <v>45154</v>
      </c>
      <c r="C2895" s="1" t="n">
        <v>45883</v>
      </c>
      <c r="D2895" t="inlineStr">
        <is>
          <t>GÄVLEBORGS LÄN</t>
        </is>
      </c>
      <c r="E2895" t="inlineStr">
        <is>
          <t>OVANÅKER</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3645-2025</t>
        </is>
      </c>
      <c r="B2896" s="1" t="n">
        <v>45681.39703703704</v>
      </c>
      <c r="C2896" s="1" t="n">
        <v>45883</v>
      </c>
      <c r="D2896" t="inlineStr">
        <is>
          <t>GÄVLEBORGS LÄN</t>
        </is>
      </c>
      <c r="E2896" t="inlineStr">
        <is>
          <t>NORDANSTIG</t>
        </is>
      </c>
      <c r="F2896" t="inlineStr">
        <is>
          <t>Holmen skog AB</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58074-2024</t>
        </is>
      </c>
      <c r="B2897" s="1" t="n">
        <v>45632.28496527778</v>
      </c>
      <c r="C2897" s="1" t="n">
        <v>45883</v>
      </c>
      <c r="D2897" t="inlineStr">
        <is>
          <t>GÄVLEBORGS LÄN</t>
        </is>
      </c>
      <c r="E2897" t="inlineStr">
        <is>
          <t>SÖDERHAMN</t>
        </is>
      </c>
      <c r="F2897" t="inlineStr">
        <is>
          <t>Bergvik skog väst AB</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44339-2024</t>
        </is>
      </c>
      <c r="B2898" s="1" t="n">
        <v>45573.61497685185</v>
      </c>
      <c r="C2898" s="1" t="n">
        <v>45883</v>
      </c>
      <c r="D2898" t="inlineStr">
        <is>
          <t>GÄVLEBORGS LÄN</t>
        </is>
      </c>
      <c r="E2898" t="inlineStr">
        <is>
          <t>NORDANSTIG</t>
        </is>
      </c>
      <c r="G2898" t="n">
        <v>10.7</v>
      </c>
      <c r="H2898" t="n">
        <v>0</v>
      </c>
      <c r="I2898" t="n">
        <v>0</v>
      </c>
      <c r="J2898" t="n">
        <v>0</v>
      </c>
      <c r="K2898" t="n">
        <v>0</v>
      </c>
      <c r="L2898" t="n">
        <v>0</v>
      </c>
      <c r="M2898" t="n">
        <v>0</v>
      </c>
      <c r="N2898" t="n">
        <v>0</v>
      </c>
      <c r="O2898" t="n">
        <v>0</v>
      </c>
      <c r="P2898" t="n">
        <v>0</v>
      </c>
      <c r="Q2898" t="n">
        <v>0</v>
      </c>
      <c r="R2898" s="2" t="inlineStr"/>
    </row>
    <row r="2899" ht="15" customHeight="1">
      <c r="A2899" t="inlineStr">
        <is>
          <t>A 19600-2024</t>
        </is>
      </c>
      <c r="B2899" s="1" t="n">
        <v>45431.79233796296</v>
      </c>
      <c r="C2899" s="1" t="n">
        <v>45883</v>
      </c>
      <c r="D2899" t="inlineStr">
        <is>
          <t>GÄVLEBORGS LÄN</t>
        </is>
      </c>
      <c r="E2899" t="inlineStr">
        <is>
          <t>HUDIKSVALL</t>
        </is>
      </c>
      <c r="F2899" t="inlineStr">
        <is>
          <t>Holmen skog AB</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19603-2024</t>
        </is>
      </c>
      <c r="B2900" s="1" t="n">
        <v>45431.87506944445</v>
      </c>
      <c r="C2900" s="1" t="n">
        <v>45883</v>
      </c>
      <c r="D2900" t="inlineStr">
        <is>
          <t>GÄVLEBORGS LÄN</t>
        </is>
      </c>
      <c r="E2900" t="inlineStr">
        <is>
          <t>HUDIKSVALL</t>
        </is>
      </c>
      <c r="F2900" t="inlineStr">
        <is>
          <t>Holmen skog AB</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36405-2024</t>
        </is>
      </c>
      <c r="B2901" s="1" t="n">
        <v>45535.78827546296</v>
      </c>
      <c r="C2901" s="1" t="n">
        <v>45883</v>
      </c>
      <c r="D2901" t="inlineStr">
        <is>
          <t>GÄVLEBORGS LÄN</t>
        </is>
      </c>
      <c r="E2901" t="inlineStr">
        <is>
          <t>HUDIKSVALL</t>
        </is>
      </c>
      <c r="F2901" t="inlineStr">
        <is>
          <t>Holmen skog AB</t>
        </is>
      </c>
      <c r="G2901" t="n">
        <v>16.8</v>
      </c>
      <c r="H2901" t="n">
        <v>0</v>
      </c>
      <c r="I2901" t="n">
        <v>0</v>
      </c>
      <c r="J2901" t="n">
        <v>0</v>
      </c>
      <c r="K2901" t="n">
        <v>0</v>
      </c>
      <c r="L2901" t="n">
        <v>0</v>
      </c>
      <c r="M2901" t="n">
        <v>0</v>
      </c>
      <c r="N2901" t="n">
        <v>0</v>
      </c>
      <c r="O2901" t="n">
        <v>0</v>
      </c>
      <c r="P2901" t="n">
        <v>0</v>
      </c>
      <c r="Q2901" t="n">
        <v>0</v>
      </c>
      <c r="R2901" s="2" t="inlineStr"/>
    </row>
    <row r="2902" ht="15" customHeight="1">
      <c r="A2902" t="inlineStr">
        <is>
          <t>A 18313-2025</t>
        </is>
      </c>
      <c r="B2902" s="1" t="n">
        <v>45762.44820601852</v>
      </c>
      <c r="C2902" s="1" t="n">
        <v>45883</v>
      </c>
      <c r="D2902" t="inlineStr">
        <is>
          <t>GÄVLEBORGS LÄN</t>
        </is>
      </c>
      <c r="E2902" t="inlineStr">
        <is>
          <t>HUDIKSVALL</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14955-2023</t>
        </is>
      </c>
      <c r="B2903" s="1" t="n">
        <v>45015</v>
      </c>
      <c r="C2903" s="1" t="n">
        <v>45883</v>
      </c>
      <c r="D2903" t="inlineStr">
        <is>
          <t>GÄVLEBORGS LÄN</t>
        </is>
      </c>
      <c r="E2903" t="inlineStr">
        <is>
          <t>HUDIKSVALL</t>
        </is>
      </c>
      <c r="G2903" t="n">
        <v>9.699999999999999</v>
      </c>
      <c r="H2903" t="n">
        <v>0</v>
      </c>
      <c r="I2903" t="n">
        <v>0</v>
      </c>
      <c r="J2903" t="n">
        <v>0</v>
      </c>
      <c r="K2903" t="n">
        <v>0</v>
      </c>
      <c r="L2903" t="n">
        <v>0</v>
      </c>
      <c r="M2903" t="n">
        <v>0</v>
      </c>
      <c r="N2903" t="n">
        <v>0</v>
      </c>
      <c r="O2903" t="n">
        <v>0</v>
      </c>
      <c r="P2903" t="n">
        <v>0</v>
      </c>
      <c r="Q2903" t="n">
        <v>0</v>
      </c>
      <c r="R2903" s="2" t="inlineStr"/>
    </row>
    <row r="2904" ht="15" customHeight="1">
      <c r="A2904" t="inlineStr">
        <is>
          <t>A 44020-2023</t>
        </is>
      </c>
      <c r="B2904" s="1" t="n">
        <v>45188</v>
      </c>
      <c r="C2904" s="1" t="n">
        <v>45883</v>
      </c>
      <c r="D2904" t="inlineStr">
        <is>
          <t>GÄVLEBORGS LÄN</t>
        </is>
      </c>
      <c r="E2904" t="inlineStr">
        <is>
          <t>LJUSDAL</t>
        </is>
      </c>
      <c r="F2904" t="inlineStr">
        <is>
          <t>Sveaskog</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26547-2024</t>
        </is>
      </c>
      <c r="B2905" s="1" t="n">
        <v>45469.61952546296</v>
      </c>
      <c r="C2905" s="1" t="n">
        <v>45883</v>
      </c>
      <c r="D2905" t="inlineStr">
        <is>
          <t>GÄVLEBORGS LÄN</t>
        </is>
      </c>
      <c r="E2905" t="inlineStr">
        <is>
          <t>HUDIKSVALL</t>
        </is>
      </c>
      <c r="F2905" t="inlineStr">
        <is>
          <t>Holmen skog AB</t>
        </is>
      </c>
      <c r="G2905" t="n">
        <v>4</v>
      </c>
      <c r="H2905" t="n">
        <v>0</v>
      </c>
      <c r="I2905" t="n">
        <v>0</v>
      </c>
      <c r="J2905" t="n">
        <v>0</v>
      </c>
      <c r="K2905" t="n">
        <v>0</v>
      </c>
      <c r="L2905" t="n">
        <v>0</v>
      </c>
      <c r="M2905" t="n">
        <v>0</v>
      </c>
      <c r="N2905" t="n">
        <v>0</v>
      </c>
      <c r="O2905" t="n">
        <v>0</v>
      </c>
      <c r="P2905" t="n">
        <v>0</v>
      </c>
      <c r="Q2905" t="n">
        <v>0</v>
      </c>
      <c r="R2905" s="2" t="inlineStr"/>
    </row>
    <row r="2906" ht="15" customHeight="1">
      <c r="A2906" t="inlineStr">
        <is>
          <t>A 43378-2023</t>
        </is>
      </c>
      <c r="B2906" s="1" t="n">
        <v>45183</v>
      </c>
      <c r="C2906" s="1" t="n">
        <v>45883</v>
      </c>
      <c r="D2906" t="inlineStr">
        <is>
          <t>GÄVLEBORGS LÄN</t>
        </is>
      </c>
      <c r="E2906" t="inlineStr">
        <is>
          <t>NORDANSTIG</t>
        </is>
      </c>
      <c r="F2906" t="inlineStr">
        <is>
          <t>Holmen skog AB</t>
        </is>
      </c>
      <c r="G2906" t="n">
        <v>8</v>
      </c>
      <c r="H2906" t="n">
        <v>0</v>
      </c>
      <c r="I2906" t="n">
        <v>0</v>
      </c>
      <c r="J2906" t="n">
        <v>0</v>
      </c>
      <c r="K2906" t="n">
        <v>0</v>
      </c>
      <c r="L2906" t="n">
        <v>0</v>
      </c>
      <c r="M2906" t="n">
        <v>0</v>
      </c>
      <c r="N2906" t="n">
        <v>0</v>
      </c>
      <c r="O2906" t="n">
        <v>0</v>
      </c>
      <c r="P2906" t="n">
        <v>0</v>
      </c>
      <c r="Q2906" t="n">
        <v>0</v>
      </c>
      <c r="R2906" s="2" t="inlineStr"/>
    </row>
    <row r="2907" ht="15" customHeight="1">
      <c r="A2907" t="inlineStr">
        <is>
          <t>A 37780-2024</t>
        </is>
      </c>
      <c r="B2907" s="1" t="n">
        <v>45542.70951388889</v>
      </c>
      <c r="C2907" s="1" t="n">
        <v>45883</v>
      </c>
      <c r="D2907" t="inlineStr">
        <is>
          <t>GÄVLEBORGS LÄN</t>
        </is>
      </c>
      <c r="E2907" t="inlineStr">
        <is>
          <t>BOLLNÄS</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54820-2024</t>
        </is>
      </c>
      <c r="B2908" s="1" t="n">
        <v>45618.53278935186</v>
      </c>
      <c r="C2908" s="1" t="n">
        <v>45883</v>
      </c>
      <c r="D2908" t="inlineStr">
        <is>
          <t>GÄVLEBORGS LÄN</t>
        </is>
      </c>
      <c r="E2908" t="inlineStr">
        <is>
          <t>LJUSDAL</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38558-2023</t>
        </is>
      </c>
      <c r="B2909" s="1" t="n">
        <v>45162.60410879629</v>
      </c>
      <c r="C2909" s="1" t="n">
        <v>45883</v>
      </c>
      <c r="D2909" t="inlineStr">
        <is>
          <t>GÄVLEBORGS LÄN</t>
        </is>
      </c>
      <c r="E2909" t="inlineStr">
        <is>
          <t>GÄVLE</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46377-2022</t>
        </is>
      </c>
      <c r="B2910" s="1" t="n">
        <v>44848.36462962963</v>
      </c>
      <c r="C2910" s="1" t="n">
        <v>45883</v>
      </c>
      <c r="D2910" t="inlineStr">
        <is>
          <t>GÄVLEBORGS LÄN</t>
        </is>
      </c>
      <c r="E2910" t="inlineStr">
        <is>
          <t>OVANÅKER</t>
        </is>
      </c>
      <c r="F2910" t="inlineStr">
        <is>
          <t>Sveaskog</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47486-2021</t>
        </is>
      </c>
      <c r="B2911" s="1" t="n">
        <v>44447.66361111111</v>
      </c>
      <c r="C2911" s="1" t="n">
        <v>45883</v>
      </c>
      <c r="D2911" t="inlineStr">
        <is>
          <t>GÄVLEBORGS LÄN</t>
        </is>
      </c>
      <c r="E2911" t="inlineStr">
        <is>
          <t>OVANÅKER</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20612-2024</t>
        </is>
      </c>
      <c r="B2912" s="1" t="n">
        <v>45436</v>
      </c>
      <c r="C2912" s="1" t="n">
        <v>45883</v>
      </c>
      <c r="D2912" t="inlineStr">
        <is>
          <t>GÄVLEBORGS LÄN</t>
        </is>
      </c>
      <c r="E2912" t="inlineStr">
        <is>
          <t>HUDIKSVALL</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58363-2022</t>
        </is>
      </c>
      <c r="B2913" s="1" t="n">
        <v>44901</v>
      </c>
      <c r="C2913" s="1" t="n">
        <v>45883</v>
      </c>
      <c r="D2913" t="inlineStr">
        <is>
          <t>GÄVLEBORGS LÄN</t>
        </is>
      </c>
      <c r="E2913" t="inlineStr">
        <is>
          <t>SANDVIKEN</t>
        </is>
      </c>
      <c r="G2913" t="n">
        <v>7.3</v>
      </c>
      <c r="H2913" t="n">
        <v>0</v>
      </c>
      <c r="I2913" t="n">
        <v>0</v>
      </c>
      <c r="J2913" t="n">
        <v>0</v>
      </c>
      <c r="K2913" t="n">
        <v>0</v>
      </c>
      <c r="L2913" t="n">
        <v>0</v>
      </c>
      <c r="M2913" t="n">
        <v>0</v>
      </c>
      <c r="N2913" t="n">
        <v>0</v>
      </c>
      <c r="O2913" t="n">
        <v>0</v>
      </c>
      <c r="P2913" t="n">
        <v>0</v>
      </c>
      <c r="Q2913" t="n">
        <v>0</v>
      </c>
      <c r="R2913" s="2" t="inlineStr"/>
    </row>
    <row r="2914" ht="15" customHeight="1">
      <c r="A2914" t="inlineStr">
        <is>
          <t>A 58796-2022</t>
        </is>
      </c>
      <c r="B2914" s="1" t="n">
        <v>44903</v>
      </c>
      <c r="C2914" s="1" t="n">
        <v>45883</v>
      </c>
      <c r="D2914" t="inlineStr">
        <is>
          <t>GÄVLEBORGS LÄN</t>
        </is>
      </c>
      <c r="E2914" t="inlineStr">
        <is>
          <t>LJUSDAL</t>
        </is>
      </c>
      <c r="F2914" t="inlineStr">
        <is>
          <t>Kyrkan</t>
        </is>
      </c>
      <c r="G2914" t="n">
        <v>6.8</v>
      </c>
      <c r="H2914" t="n">
        <v>0</v>
      </c>
      <c r="I2914" t="n">
        <v>0</v>
      </c>
      <c r="J2914" t="n">
        <v>0</v>
      </c>
      <c r="K2914" t="n">
        <v>0</v>
      </c>
      <c r="L2914" t="n">
        <v>0</v>
      </c>
      <c r="M2914" t="n">
        <v>0</v>
      </c>
      <c r="N2914" t="n">
        <v>0</v>
      </c>
      <c r="O2914" t="n">
        <v>0</v>
      </c>
      <c r="P2914" t="n">
        <v>0</v>
      </c>
      <c r="Q2914" t="n">
        <v>0</v>
      </c>
      <c r="R2914" s="2" t="inlineStr"/>
      <c r="U2914">
        <f>HYPERLINK("https://klasma.github.io/Logging_2161/knärot/A 58796-2022 karta knärot.png", "A 58796-2022")</f>
        <v/>
      </c>
      <c r="V2914">
        <f>HYPERLINK("https://klasma.github.io/Logging_2161/klagomål/A 58796-2022 FSC-klagomål.docx", "A 58796-2022")</f>
        <v/>
      </c>
      <c r="W2914">
        <f>HYPERLINK("https://klasma.github.io/Logging_2161/klagomålsmail/A 58796-2022 FSC-klagomål mail.docx", "A 58796-2022")</f>
        <v/>
      </c>
      <c r="X2914">
        <f>HYPERLINK("https://klasma.github.io/Logging_2161/tillsyn/A 58796-2022 tillsynsbegäran.docx", "A 58796-2022")</f>
        <v/>
      </c>
      <c r="Y2914">
        <f>HYPERLINK("https://klasma.github.io/Logging_2161/tillsynsmail/A 58796-2022 tillsynsbegäran mail.docx", "A 58796-2022")</f>
        <v/>
      </c>
    </row>
    <row r="2915" ht="15" customHeight="1">
      <c r="A2915" t="inlineStr">
        <is>
          <t>A 12012-2024</t>
        </is>
      </c>
      <c r="B2915" s="1" t="n">
        <v>45377.3384375</v>
      </c>
      <c r="C2915" s="1" t="n">
        <v>45883</v>
      </c>
      <c r="D2915" t="inlineStr">
        <is>
          <t>GÄVLEBORGS LÄN</t>
        </is>
      </c>
      <c r="E2915" t="inlineStr">
        <is>
          <t>OVANÅKER</t>
        </is>
      </c>
      <c r="G2915" t="n">
        <v>10.9</v>
      </c>
      <c r="H2915" t="n">
        <v>0</v>
      </c>
      <c r="I2915" t="n">
        <v>0</v>
      </c>
      <c r="J2915" t="n">
        <v>0</v>
      </c>
      <c r="K2915" t="n">
        <v>0</v>
      </c>
      <c r="L2915" t="n">
        <v>0</v>
      </c>
      <c r="M2915" t="n">
        <v>0</v>
      </c>
      <c r="N2915" t="n">
        <v>0</v>
      </c>
      <c r="O2915" t="n">
        <v>0</v>
      </c>
      <c r="P2915" t="n">
        <v>0</v>
      </c>
      <c r="Q2915" t="n">
        <v>0</v>
      </c>
      <c r="R2915" s="2" t="inlineStr"/>
    </row>
    <row r="2916" ht="15" customHeight="1">
      <c r="A2916" t="inlineStr">
        <is>
          <t>A 54945-2022</t>
        </is>
      </c>
      <c r="B2916" s="1" t="n">
        <v>44886.46003472222</v>
      </c>
      <c r="C2916" s="1" t="n">
        <v>45883</v>
      </c>
      <c r="D2916" t="inlineStr">
        <is>
          <t>GÄVLEBORGS LÄN</t>
        </is>
      </c>
      <c r="E2916" t="inlineStr">
        <is>
          <t>BOLLNÄS</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21991-2024</t>
        </is>
      </c>
      <c r="B2917" s="1" t="n">
        <v>45443.55751157407</v>
      </c>
      <c r="C2917" s="1" t="n">
        <v>45883</v>
      </c>
      <c r="D2917" t="inlineStr">
        <is>
          <t>GÄVLEBORGS LÄN</t>
        </is>
      </c>
      <c r="E2917" t="inlineStr">
        <is>
          <t>SÖDERHAMN</t>
        </is>
      </c>
      <c r="F2917" t="inlineStr">
        <is>
          <t>Kommuner</t>
        </is>
      </c>
      <c r="G2917" t="n">
        <v>5.9</v>
      </c>
      <c r="H2917" t="n">
        <v>0</v>
      </c>
      <c r="I2917" t="n">
        <v>0</v>
      </c>
      <c r="J2917" t="n">
        <v>0</v>
      </c>
      <c r="K2917" t="n">
        <v>0</v>
      </c>
      <c r="L2917" t="n">
        <v>0</v>
      </c>
      <c r="M2917" t="n">
        <v>0</v>
      </c>
      <c r="N2917" t="n">
        <v>0</v>
      </c>
      <c r="O2917" t="n">
        <v>0</v>
      </c>
      <c r="P2917" t="n">
        <v>0</v>
      </c>
      <c r="Q2917" t="n">
        <v>0</v>
      </c>
      <c r="R2917" s="2" t="inlineStr"/>
    </row>
    <row r="2918" ht="15" customHeight="1">
      <c r="A2918" t="inlineStr">
        <is>
          <t>A 23928-2024</t>
        </is>
      </c>
      <c r="B2918" s="1" t="n">
        <v>45455.93178240741</v>
      </c>
      <c r="C2918" s="1" t="n">
        <v>45883</v>
      </c>
      <c r="D2918" t="inlineStr">
        <is>
          <t>GÄVLEBORGS LÄN</t>
        </is>
      </c>
      <c r="E2918" t="inlineStr">
        <is>
          <t>LJUSDAL</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2461-2024</t>
        </is>
      </c>
      <c r="B2919" s="1" t="n">
        <v>45312.93891203704</v>
      </c>
      <c r="C2919" s="1" t="n">
        <v>45883</v>
      </c>
      <c r="D2919" t="inlineStr">
        <is>
          <t>GÄVLEBORGS LÄN</t>
        </is>
      </c>
      <c r="E2919" t="inlineStr">
        <is>
          <t>GÄVLE</t>
        </is>
      </c>
      <c r="G2919" t="n">
        <v>4.3</v>
      </c>
      <c r="H2919" t="n">
        <v>0</v>
      </c>
      <c r="I2919" t="n">
        <v>0</v>
      </c>
      <c r="J2919" t="n">
        <v>0</v>
      </c>
      <c r="K2919" t="n">
        <v>0</v>
      </c>
      <c r="L2919" t="n">
        <v>0</v>
      </c>
      <c r="M2919" t="n">
        <v>0</v>
      </c>
      <c r="N2919" t="n">
        <v>0</v>
      </c>
      <c r="O2919" t="n">
        <v>0</v>
      </c>
      <c r="P2919" t="n">
        <v>0</v>
      </c>
      <c r="Q2919" t="n">
        <v>0</v>
      </c>
      <c r="R2919" s="2" t="inlineStr"/>
    </row>
    <row r="2920" ht="15" customHeight="1">
      <c r="A2920" t="inlineStr">
        <is>
          <t>A 51738-2022</t>
        </is>
      </c>
      <c r="B2920" s="1" t="n">
        <v>44872.48086805556</v>
      </c>
      <c r="C2920" s="1" t="n">
        <v>45883</v>
      </c>
      <c r="D2920" t="inlineStr">
        <is>
          <t>GÄVLEBORGS LÄN</t>
        </is>
      </c>
      <c r="E2920" t="inlineStr">
        <is>
          <t>LJUSDAL</t>
        </is>
      </c>
      <c r="F2920" t="inlineStr">
        <is>
          <t>Bergvik skog väst AB</t>
        </is>
      </c>
      <c r="G2920" t="n">
        <v>6.6</v>
      </c>
      <c r="H2920" t="n">
        <v>0</v>
      </c>
      <c r="I2920" t="n">
        <v>0</v>
      </c>
      <c r="J2920" t="n">
        <v>0</v>
      </c>
      <c r="K2920" t="n">
        <v>0</v>
      </c>
      <c r="L2920" t="n">
        <v>0</v>
      </c>
      <c r="M2920" t="n">
        <v>0</v>
      </c>
      <c r="N2920" t="n">
        <v>0</v>
      </c>
      <c r="O2920" t="n">
        <v>0</v>
      </c>
      <c r="P2920" t="n">
        <v>0</v>
      </c>
      <c r="Q2920" t="n">
        <v>0</v>
      </c>
      <c r="R2920" s="2" t="inlineStr"/>
    </row>
    <row r="2921" ht="15" customHeight="1">
      <c r="A2921" t="inlineStr">
        <is>
          <t>A 2397-2025</t>
        </is>
      </c>
      <c r="B2921" s="1" t="n">
        <v>45674.34046296297</v>
      </c>
      <c r="C2921" s="1" t="n">
        <v>45883</v>
      </c>
      <c r="D2921" t="inlineStr">
        <is>
          <t>GÄVLEBORGS LÄN</t>
        </is>
      </c>
      <c r="E2921" t="inlineStr">
        <is>
          <t>GÄVLE</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48085-2024</t>
        </is>
      </c>
      <c r="B2922" s="1" t="n">
        <v>45589.58950231481</v>
      </c>
      <c r="C2922" s="1" t="n">
        <v>45883</v>
      </c>
      <c r="D2922" t="inlineStr">
        <is>
          <t>GÄVLEBORGS LÄN</t>
        </is>
      </c>
      <c r="E2922" t="inlineStr">
        <is>
          <t>LJUSDAL</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36295-2024</t>
        </is>
      </c>
      <c r="B2923" s="1" t="n">
        <v>45534.60523148148</v>
      </c>
      <c r="C2923" s="1" t="n">
        <v>45883</v>
      </c>
      <c r="D2923" t="inlineStr">
        <is>
          <t>GÄVLEBORGS LÄN</t>
        </is>
      </c>
      <c r="E2923" t="inlineStr">
        <is>
          <t>OCKELBO</t>
        </is>
      </c>
      <c r="G2923" t="n">
        <v>7.9</v>
      </c>
      <c r="H2923" t="n">
        <v>0</v>
      </c>
      <c r="I2923" t="n">
        <v>0</v>
      </c>
      <c r="J2923" t="n">
        <v>0</v>
      </c>
      <c r="K2923" t="n">
        <v>0</v>
      </c>
      <c r="L2923" t="n">
        <v>0</v>
      </c>
      <c r="M2923" t="n">
        <v>0</v>
      </c>
      <c r="N2923" t="n">
        <v>0</v>
      </c>
      <c r="O2923" t="n">
        <v>0</v>
      </c>
      <c r="P2923" t="n">
        <v>0</v>
      </c>
      <c r="Q2923" t="n">
        <v>0</v>
      </c>
      <c r="R2923" s="2" t="inlineStr"/>
    </row>
    <row r="2924" ht="15" customHeight="1">
      <c r="A2924" t="inlineStr">
        <is>
          <t>A 32602-2024</t>
        </is>
      </c>
      <c r="B2924" s="1" t="n">
        <v>45513.62717592593</v>
      </c>
      <c r="C2924" s="1" t="n">
        <v>45883</v>
      </c>
      <c r="D2924" t="inlineStr">
        <is>
          <t>GÄVLEBORGS LÄN</t>
        </is>
      </c>
      <c r="E2924" t="inlineStr">
        <is>
          <t>NORDANSTIG</t>
        </is>
      </c>
      <c r="F2924" t="inlineStr">
        <is>
          <t>Holmen skog AB</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33704-2023</t>
        </is>
      </c>
      <c r="B2925" s="1" t="n">
        <v>45132.78238425926</v>
      </c>
      <c r="C2925" s="1" t="n">
        <v>45883</v>
      </c>
      <c r="D2925" t="inlineStr">
        <is>
          <t>GÄVLEBORGS LÄN</t>
        </is>
      </c>
      <c r="E2925" t="inlineStr">
        <is>
          <t>HUDIKSVALL</t>
        </is>
      </c>
      <c r="G2925" t="n">
        <v>7.8</v>
      </c>
      <c r="H2925" t="n">
        <v>0</v>
      </c>
      <c r="I2925" t="n">
        <v>0</v>
      </c>
      <c r="J2925" t="n">
        <v>0</v>
      </c>
      <c r="K2925" t="n">
        <v>0</v>
      </c>
      <c r="L2925" t="n">
        <v>0</v>
      </c>
      <c r="M2925" t="n">
        <v>0</v>
      </c>
      <c r="N2925" t="n">
        <v>0</v>
      </c>
      <c r="O2925" t="n">
        <v>0</v>
      </c>
      <c r="P2925" t="n">
        <v>0</v>
      </c>
      <c r="Q2925" t="n">
        <v>0</v>
      </c>
      <c r="R2925" s="2" t="inlineStr"/>
    </row>
    <row r="2926" ht="15" customHeight="1">
      <c r="A2926" t="inlineStr">
        <is>
          <t>A 31270-2024</t>
        </is>
      </c>
      <c r="B2926" s="1" t="n">
        <v>45504.36773148148</v>
      </c>
      <c r="C2926" s="1" t="n">
        <v>45883</v>
      </c>
      <c r="D2926" t="inlineStr">
        <is>
          <t>GÄVLEBORGS LÄN</t>
        </is>
      </c>
      <c r="E2926" t="inlineStr">
        <is>
          <t>NORDANSTIG</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29963-2024</t>
        </is>
      </c>
      <c r="B2927" s="1" t="n">
        <v>45488.46547453704</v>
      </c>
      <c r="C2927" s="1" t="n">
        <v>45883</v>
      </c>
      <c r="D2927" t="inlineStr">
        <is>
          <t>GÄVLEBORGS LÄN</t>
        </is>
      </c>
      <c r="E2927" t="inlineStr">
        <is>
          <t>OCKELBO</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19231-2024</t>
        </is>
      </c>
      <c r="B2928" s="1" t="n">
        <v>45428</v>
      </c>
      <c r="C2928" s="1" t="n">
        <v>45883</v>
      </c>
      <c r="D2928" t="inlineStr">
        <is>
          <t>GÄVLEBORGS LÄN</t>
        </is>
      </c>
      <c r="E2928" t="inlineStr">
        <is>
          <t>NORDANSTIG</t>
        </is>
      </c>
      <c r="F2928" t="inlineStr">
        <is>
          <t>Holmen skog AB</t>
        </is>
      </c>
      <c r="G2928" t="n">
        <v>21.5</v>
      </c>
      <c r="H2928" t="n">
        <v>0</v>
      </c>
      <c r="I2928" t="n">
        <v>0</v>
      </c>
      <c r="J2928" t="n">
        <v>0</v>
      </c>
      <c r="K2928" t="n">
        <v>0</v>
      </c>
      <c r="L2928" t="n">
        <v>0</v>
      </c>
      <c r="M2928" t="n">
        <v>0</v>
      </c>
      <c r="N2928" t="n">
        <v>0</v>
      </c>
      <c r="O2928" t="n">
        <v>0</v>
      </c>
      <c r="P2928" t="n">
        <v>0</v>
      </c>
      <c r="Q2928" t="n">
        <v>0</v>
      </c>
      <c r="R2928" s="2" t="inlineStr"/>
    </row>
    <row r="2929" ht="15" customHeight="1">
      <c r="A2929" t="inlineStr">
        <is>
          <t>A 24958-2023</t>
        </is>
      </c>
      <c r="B2929" s="1" t="n">
        <v>45085</v>
      </c>
      <c r="C2929" s="1" t="n">
        <v>45883</v>
      </c>
      <c r="D2929" t="inlineStr">
        <is>
          <t>GÄVLEBORGS LÄN</t>
        </is>
      </c>
      <c r="E2929" t="inlineStr">
        <is>
          <t>BOLLNÄS</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30792-2024</t>
        </is>
      </c>
      <c r="B2930" s="1" t="n">
        <v>45497.28164351852</v>
      </c>
      <c r="C2930" s="1" t="n">
        <v>45883</v>
      </c>
      <c r="D2930" t="inlineStr">
        <is>
          <t>GÄVLEBORGS LÄN</t>
        </is>
      </c>
      <c r="E2930" t="inlineStr">
        <is>
          <t>BOLLNÄS</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30793-2024</t>
        </is>
      </c>
      <c r="B2931" s="1" t="n">
        <v>45497.28234953704</v>
      </c>
      <c r="C2931" s="1" t="n">
        <v>45883</v>
      </c>
      <c r="D2931" t="inlineStr">
        <is>
          <t>GÄVLEBORGS LÄN</t>
        </is>
      </c>
      <c r="E2931" t="inlineStr">
        <is>
          <t>BOLLNÄS</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40695-2023</t>
        </is>
      </c>
      <c r="B2932" s="1" t="n">
        <v>45170.60664351852</v>
      </c>
      <c r="C2932" s="1" t="n">
        <v>45883</v>
      </c>
      <c r="D2932" t="inlineStr">
        <is>
          <t>GÄVLEBORGS LÄN</t>
        </is>
      </c>
      <c r="E2932" t="inlineStr">
        <is>
          <t>LJUSDAL</t>
        </is>
      </c>
      <c r="F2932" t="inlineStr">
        <is>
          <t>Holmen skog AB</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63431-2021</t>
        </is>
      </c>
      <c r="B2933" s="1" t="n">
        <v>44508.57627314814</v>
      </c>
      <c r="C2933" s="1" t="n">
        <v>45883</v>
      </c>
      <c r="D2933" t="inlineStr">
        <is>
          <t>GÄVLEBORGS LÄN</t>
        </is>
      </c>
      <c r="E2933" t="inlineStr">
        <is>
          <t>SÖDERHAMN</t>
        </is>
      </c>
      <c r="F2933" t="inlineStr">
        <is>
          <t>Bergvik skog väst AB</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11267-2023</t>
        </is>
      </c>
      <c r="B2934" s="1" t="n">
        <v>44992</v>
      </c>
      <c r="C2934" s="1" t="n">
        <v>45883</v>
      </c>
      <c r="D2934" t="inlineStr">
        <is>
          <t>GÄVLEBORGS LÄN</t>
        </is>
      </c>
      <c r="E2934" t="inlineStr">
        <is>
          <t>HUDIKSVALL</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17375-2025</t>
        </is>
      </c>
      <c r="B2935" s="1" t="n">
        <v>45756.89346064815</v>
      </c>
      <c r="C2935" s="1" t="n">
        <v>45883</v>
      </c>
      <c r="D2935" t="inlineStr">
        <is>
          <t>GÄVLEBORGS LÄN</t>
        </is>
      </c>
      <c r="E2935" t="inlineStr">
        <is>
          <t>SANDVIKEN</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17475-2025</t>
        </is>
      </c>
      <c r="B2936" s="1" t="n">
        <v>45757.48234953704</v>
      </c>
      <c r="C2936" s="1" t="n">
        <v>45883</v>
      </c>
      <c r="D2936" t="inlineStr">
        <is>
          <t>GÄVLEBORGS LÄN</t>
        </is>
      </c>
      <c r="E2936" t="inlineStr">
        <is>
          <t>LJUSDAL</t>
        </is>
      </c>
      <c r="G2936" t="n">
        <v>8.199999999999999</v>
      </c>
      <c r="H2936" t="n">
        <v>0</v>
      </c>
      <c r="I2936" t="n">
        <v>0</v>
      </c>
      <c r="J2936" t="n">
        <v>0</v>
      </c>
      <c r="K2936" t="n">
        <v>0</v>
      </c>
      <c r="L2936" t="n">
        <v>0</v>
      </c>
      <c r="M2936" t="n">
        <v>0</v>
      </c>
      <c r="N2936" t="n">
        <v>0</v>
      </c>
      <c r="O2936" t="n">
        <v>0</v>
      </c>
      <c r="P2936" t="n">
        <v>0</v>
      </c>
      <c r="Q2936" t="n">
        <v>0</v>
      </c>
      <c r="R2936" s="2" t="inlineStr"/>
    </row>
    <row r="2937" ht="15" customHeight="1">
      <c r="A2937" t="inlineStr">
        <is>
          <t>A 29862-2023</t>
        </is>
      </c>
      <c r="B2937" s="1" t="n">
        <v>45107.60888888889</v>
      </c>
      <c r="C2937" s="1" t="n">
        <v>45883</v>
      </c>
      <c r="D2937" t="inlineStr">
        <is>
          <t>GÄVLEBORGS LÄN</t>
        </is>
      </c>
      <c r="E2937" t="inlineStr">
        <is>
          <t>GÄVLE</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10161-2023</t>
        </is>
      </c>
      <c r="B2938" s="1" t="n">
        <v>44986</v>
      </c>
      <c r="C2938" s="1" t="n">
        <v>45883</v>
      </c>
      <c r="D2938" t="inlineStr">
        <is>
          <t>GÄVLEBORGS LÄN</t>
        </is>
      </c>
      <c r="E2938" t="inlineStr">
        <is>
          <t>HOFORS</t>
        </is>
      </c>
      <c r="F2938" t="inlineStr">
        <is>
          <t>Övriga statliga verk och myndigheter</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55715-2023</t>
        </is>
      </c>
      <c r="B2939" s="1" t="n">
        <v>45239</v>
      </c>
      <c r="C2939" s="1" t="n">
        <v>45883</v>
      </c>
      <c r="D2939" t="inlineStr">
        <is>
          <t>GÄVLEBORGS LÄN</t>
        </is>
      </c>
      <c r="E2939" t="inlineStr">
        <is>
          <t>OCKELBO</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17372-2025</t>
        </is>
      </c>
      <c r="B2940" s="1" t="n">
        <v>45756.8629050926</v>
      </c>
      <c r="C2940" s="1" t="n">
        <v>45883</v>
      </c>
      <c r="D2940" t="inlineStr">
        <is>
          <t>GÄVLEBORGS LÄN</t>
        </is>
      </c>
      <c r="E2940" t="inlineStr">
        <is>
          <t>LJUSDAL</t>
        </is>
      </c>
      <c r="F2940" t="inlineStr">
        <is>
          <t>Bergvik skog väst AB</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29314-2024</t>
        </is>
      </c>
      <c r="B2941" s="1" t="n">
        <v>45483.40184027778</v>
      </c>
      <c r="C2941" s="1" t="n">
        <v>45883</v>
      </c>
      <c r="D2941" t="inlineStr">
        <is>
          <t>GÄVLEBORGS LÄN</t>
        </is>
      </c>
      <c r="E2941" t="inlineStr">
        <is>
          <t>LJUSDAL</t>
        </is>
      </c>
      <c r="G2941" t="n">
        <v>4.4</v>
      </c>
      <c r="H2941" t="n">
        <v>0</v>
      </c>
      <c r="I2941" t="n">
        <v>0</v>
      </c>
      <c r="J2941" t="n">
        <v>0</v>
      </c>
      <c r="K2941" t="n">
        <v>0</v>
      </c>
      <c r="L2941" t="n">
        <v>0</v>
      </c>
      <c r="M2941" t="n">
        <v>0</v>
      </c>
      <c r="N2941" t="n">
        <v>0</v>
      </c>
      <c r="O2941" t="n">
        <v>0</v>
      </c>
      <c r="P2941" t="n">
        <v>0</v>
      </c>
      <c r="Q2941" t="n">
        <v>0</v>
      </c>
      <c r="R2941" s="2" t="inlineStr"/>
    </row>
    <row r="2942" ht="15" customHeight="1">
      <c r="A2942" t="inlineStr">
        <is>
          <t>A 29821-2024</t>
        </is>
      </c>
      <c r="B2942" s="1" t="n">
        <v>45485.55846064815</v>
      </c>
      <c r="C2942" s="1" t="n">
        <v>45883</v>
      </c>
      <c r="D2942" t="inlineStr">
        <is>
          <t>GÄVLEBORGS LÄN</t>
        </is>
      </c>
      <c r="E2942" t="inlineStr">
        <is>
          <t>SÖDERHAMN</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14498-2023</t>
        </is>
      </c>
      <c r="B2943" s="1" t="n">
        <v>45012</v>
      </c>
      <c r="C2943" s="1" t="n">
        <v>45883</v>
      </c>
      <c r="D2943" t="inlineStr">
        <is>
          <t>GÄVLEBORGS LÄN</t>
        </is>
      </c>
      <c r="E2943" t="inlineStr">
        <is>
          <t>SÖDERHAMN</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17764-2025</t>
        </is>
      </c>
      <c r="B2944" s="1" t="n">
        <v>45758.50128472222</v>
      </c>
      <c r="C2944" s="1" t="n">
        <v>45883</v>
      </c>
      <c r="D2944" t="inlineStr">
        <is>
          <t>GÄVLEBORGS LÄN</t>
        </is>
      </c>
      <c r="E2944" t="inlineStr">
        <is>
          <t>HUDIKSVALL</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37837-2024</t>
        </is>
      </c>
      <c r="B2945" s="1" t="n">
        <v>45544.36217592593</v>
      </c>
      <c r="C2945" s="1" t="n">
        <v>45883</v>
      </c>
      <c r="D2945" t="inlineStr">
        <is>
          <t>GÄVLEBORGS LÄN</t>
        </is>
      </c>
      <c r="E2945" t="inlineStr">
        <is>
          <t>SÖDERHAMN</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29380-2023</t>
        </is>
      </c>
      <c r="B2946" s="1" t="n">
        <v>45106.39375</v>
      </c>
      <c r="C2946" s="1" t="n">
        <v>45883</v>
      </c>
      <c r="D2946" t="inlineStr">
        <is>
          <t>GÄVLEBORGS LÄN</t>
        </is>
      </c>
      <c r="E2946" t="inlineStr">
        <is>
          <t>OVANÅKER</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30782-2024</t>
        </is>
      </c>
      <c r="B2947" s="1" t="n">
        <v>45496.95054398148</v>
      </c>
      <c r="C2947" s="1" t="n">
        <v>45883</v>
      </c>
      <c r="D2947" t="inlineStr">
        <is>
          <t>GÄVLEBORGS LÄN</t>
        </is>
      </c>
      <c r="E2947" t="inlineStr">
        <is>
          <t>LJUSDAL</t>
        </is>
      </c>
      <c r="F2947" t="inlineStr">
        <is>
          <t>SCA</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6058-2023</t>
        </is>
      </c>
      <c r="B2948" s="1" t="n">
        <v>44964</v>
      </c>
      <c r="C2948" s="1" t="n">
        <v>45883</v>
      </c>
      <c r="D2948" t="inlineStr">
        <is>
          <t>GÄVLEBORGS LÄN</t>
        </is>
      </c>
      <c r="E2948" t="inlineStr">
        <is>
          <t>OCKELBO</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6099-2023</t>
        </is>
      </c>
      <c r="B2949" s="1" t="n">
        <v>44964.58133101852</v>
      </c>
      <c r="C2949" s="1" t="n">
        <v>45883</v>
      </c>
      <c r="D2949" t="inlineStr">
        <is>
          <t>GÄVLEBORGS LÄN</t>
        </is>
      </c>
      <c r="E2949" t="inlineStr">
        <is>
          <t>NORDANSTIG</t>
        </is>
      </c>
      <c r="F2949" t="inlineStr">
        <is>
          <t>Holmen skog AB</t>
        </is>
      </c>
      <c r="G2949" t="n">
        <v>8.199999999999999</v>
      </c>
      <c r="H2949" t="n">
        <v>0</v>
      </c>
      <c r="I2949" t="n">
        <v>0</v>
      </c>
      <c r="J2949" t="n">
        <v>0</v>
      </c>
      <c r="K2949" t="n">
        <v>0</v>
      </c>
      <c r="L2949" t="n">
        <v>0</v>
      </c>
      <c r="M2949" t="n">
        <v>0</v>
      </c>
      <c r="N2949" t="n">
        <v>0</v>
      </c>
      <c r="O2949" t="n">
        <v>0</v>
      </c>
      <c r="P2949" t="n">
        <v>0</v>
      </c>
      <c r="Q2949" t="n">
        <v>0</v>
      </c>
      <c r="R2949" s="2" t="inlineStr"/>
    </row>
    <row r="2950" ht="15" customHeight="1">
      <c r="A2950" t="inlineStr">
        <is>
          <t>A 17208-2025</t>
        </is>
      </c>
      <c r="B2950" s="1" t="n">
        <v>45756.43231481482</v>
      </c>
      <c r="C2950" s="1" t="n">
        <v>45883</v>
      </c>
      <c r="D2950" t="inlineStr">
        <is>
          <t>GÄVLEBORGS LÄN</t>
        </is>
      </c>
      <c r="E2950" t="inlineStr">
        <is>
          <t>OCKELBO</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51005-2024</t>
        </is>
      </c>
      <c r="B2951" s="1" t="n">
        <v>45603</v>
      </c>
      <c r="C2951" s="1" t="n">
        <v>45883</v>
      </c>
      <c r="D2951" t="inlineStr">
        <is>
          <t>GÄVLEBORGS LÄN</t>
        </is>
      </c>
      <c r="E2951" t="inlineStr">
        <is>
          <t>OVANÅKER</t>
        </is>
      </c>
      <c r="G2951" t="n">
        <v>10.9</v>
      </c>
      <c r="H2951" t="n">
        <v>0</v>
      </c>
      <c r="I2951" t="n">
        <v>0</v>
      </c>
      <c r="J2951" t="n">
        <v>0</v>
      </c>
      <c r="K2951" t="n">
        <v>0</v>
      </c>
      <c r="L2951" t="n">
        <v>0</v>
      </c>
      <c r="M2951" t="n">
        <v>0</v>
      </c>
      <c r="N2951" t="n">
        <v>0</v>
      </c>
      <c r="O2951" t="n">
        <v>0</v>
      </c>
      <c r="P2951" t="n">
        <v>0</v>
      </c>
      <c r="Q2951" t="n">
        <v>0</v>
      </c>
      <c r="R2951" s="2" t="inlineStr"/>
    </row>
    <row r="2952" ht="15" customHeight="1">
      <c r="A2952" t="inlineStr">
        <is>
          <t>A 47493-2024</t>
        </is>
      </c>
      <c r="B2952" s="1" t="n">
        <v>45587.59410879629</v>
      </c>
      <c r="C2952" s="1" t="n">
        <v>45883</v>
      </c>
      <c r="D2952" t="inlineStr">
        <is>
          <t>GÄVLEBORGS LÄN</t>
        </is>
      </c>
      <c r="E2952" t="inlineStr">
        <is>
          <t>HOFORS</t>
        </is>
      </c>
      <c r="F2952" t="inlineStr">
        <is>
          <t>Sveaskog</t>
        </is>
      </c>
      <c r="G2952" t="n">
        <v>3.9</v>
      </c>
      <c r="H2952" t="n">
        <v>0</v>
      </c>
      <c r="I2952" t="n">
        <v>0</v>
      </c>
      <c r="J2952" t="n">
        <v>0</v>
      </c>
      <c r="K2952" t="n">
        <v>0</v>
      </c>
      <c r="L2952" t="n">
        <v>0</v>
      </c>
      <c r="M2952" t="n">
        <v>0</v>
      </c>
      <c r="N2952" t="n">
        <v>0</v>
      </c>
      <c r="O2952" t="n">
        <v>0</v>
      </c>
      <c r="P2952" t="n">
        <v>0</v>
      </c>
      <c r="Q2952" t="n">
        <v>0</v>
      </c>
      <c r="R2952" s="2" t="inlineStr"/>
    </row>
    <row r="2953" ht="15" customHeight="1">
      <c r="A2953" t="inlineStr">
        <is>
          <t>A 47528-2024</t>
        </is>
      </c>
      <c r="B2953" s="1" t="n">
        <v>45587.63690972222</v>
      </c>
      <c r="C2953" s="1" t="n">
        <v>45883</v>
      </c>
      <c r="D2953" t="inlineStr">
        <is>
          <t>GÄVLEBORGS LÄN</t>
        </is>
      </c>
      <c r="E2953" t="inlineStr">
        <is>
          <t>BOLLNÄS</t>
        </is>
      </c>
      <c r="G2953" t="n">
        <v>4</v>
      </c>
      <c r="H2953" t="n">
        <v>0</v>
      </c>
      <c r="I2953" t="n">
        <v>0</v>
      </c>
      <c r="J2953" t="n">
        <v>0</v>
      </c>
      <c r="K2953" t="n">
        <v>0</v>
      </c>
      <c r="L2953" t="n">
        <v>0</v>
      </c>
      <c r="M2953" t="n">
        <v>0</v>
      </c>
      <c r="N2953" t="n">
        <v>0</v>
      </c>
      <c r="O2953" t="n">
        <v>0</v>
      </c>
      <c r="P2953" t="n">
        <v>0</v>
      </c>
      <c r="Q2953" t="n">
        <v>0</v>
      </c>
      <c r="R2953" s="2" t="inlineStr"/>
    </row>
    <row r="2954" ht="15" customHeight="1">
      <c r="A2954" t="inlineStr">
        <is>
          <t>A 18102-2025</t>
        </is>
      </c>
      <c r="B2954" s="1" t="n">
        <v>45761.55295138889</v>
      </c>
      <c r="C2954" s="1" t="n">
        <v>45883</v>
      </c>
      <c r="D2954" t="inlineStr">
        <is>
          <t>GÄVLEBORGS LÄN</t>
        </is>
      </c>
      <c r="E2954" t="inlineStr">
        <is>
          <t>LJUSDAL</t>
        </is>
      </c>
      <c r="G2954" t="n">
        <v>8.1</v>
      </c>
      <c r="H2954" t="n">
        <v>0</v>
      </c>
      <c r="I2954" t="n">
        <v>0</v>
      </c>
      <c r="J2954" t="n">
        <v>0</v>
      </c>
      <c r="K2954" t="n">
        <v>0</v>
      </c>
      <c r="L2954" t="n">
        <v>0</v>
      </c>
      <c r="M2954" t="n">
        <v>0</v>
      </c>
      <c r="N2954" t="n">
        <v>0</v>
      </c>
      <c r="O2954" t="n">
        <v>0</v>
      </c>
      <c r="P2954" t="n">
        <v>0</v>
      </c>
      <c r="Q2954" t="n">
        <v>0</v>
      </c>
      <c r="R2954" s="2" t="inlineStr"/>
    </row>
    <row r="2955" ht="15" customHeight="1">
      <c r="A2955" t="inlineStr">
        <is>
          <t>A 29723-2024</t>
        </is>
      </c>
      <c r="B2955" s="1" t="n">
        <v>45485.36784722222</v>
      </c>
      <c r="C2955" s="1" t="n">
        <v>45883</v>
      </c>
      <c r="D2955" t="inlineStr">
        <is>
          <t>GÄVLEBORGS LÄN</t>
        </is>
      </c>
      <c r="E2955" t="inlineStr">
        <is>
          <t>BOLLNÄS</t>
        </is>
      </c>
      <c r="G2955" t="n">
        <v>0.3</v>
      </c>
      <c r="H2955" t="n">
        <v>0</v>
      </c>
      <c r="I2955" t="n">
        <v>0</v>
      </c>
      <c r="J2955" t="n">
        <v>0</v>
      </c>
      <c r="K2955" t="n">
        <v>0</v>
      </c>
      <c r="L2955" t="n">
        <v>0</v>
      </c>
      <c r="M2955" t="n">
        <v>0</v>
      </c>
      <c r="N2955" t="n">
        <v>0</v>
      </c>
      <c r="O2955" t="n">
        <v>0</v>
      </c>
      <c r="P2955" t="n">
        <v>0</v>
      </c>
      <c r="Q2955" t="n">
        <v>0</v>
      </c>
      <c r="R2955" s="2" t="inlineStr"/>
    </row>
    <row r="2956" ht="15" customHeight="1">
      <c r="A2956" t="inlineStr">
        <is>
          <t>A 36170-2023</t>
        </is>
      </c>
      <c r="B2956" s="1" t="n">
        <v>45149.6374074074</v>
      </c>
      <c r="C2956" s="1" t="n">
        <v>45883</v>
      </c>
      <c r="D2956" t="inlineStr">
        <is>
          <t>GÄVLEBORGS LÄN</t>
        </is>
      </c>
      <c r="E2956" t="inlineStr">
        <is>
          <t>LJUSDAL</t>
        </is>
      </c>
      <c r="F2956" t="inlineStr">
        <is>
          <t>Sveaskog</t>
        </is>
      </c>
      <c r="G2956" t="n">
        <v>9.4</v>
      </c>
      <c r="H2956" t="n">
        <v>0</v>
      </c>
      <c r="I2956" t="n">
        <v>0</v>
      </c>
      <c r="J2956" t="n">
        <v>0</v>
      </c>
      <c r="K2956" t="n">
        <v>0</v>
      </c>
      <c r="L2956" t="n">
        <v>0</v>
      </c>
      <c r="M2956" t="n">
        <v>0</v>
      </c>
      <c r="N2956" t="n">
        <v>0</v>
      </c>
      <c r="O2956" t="n">
        <v>0</v>
      </c>
      <c r="P2956" t="n">
        <v>0</v>
      </c>
      <c r="Q2956" t="n">
        <v>0</v>
      </c>
      <c r="R2956" s="2" t="inlineStr"/>
    </row>
    <row r="2957" ht="15" customHeight="1">
      <c r="A2957" t="inlineStr">
        <is>
          <t>A 49713-2022</t>
        </is>
      </c>
      <c r="B2957" s="1" t="n">
        <v>44862</v>
      </c>
      <c r="C2957" s="1" t="n">
        <v>45883</v>
      </c>
      <c r="D2957" t="inlineStr">
        <is>
          <t>GÄVLEBORGS LÄN</t>
        </is>
      </c>
      <c r="E2957" t="inlineStr">
        <is>
          <t>HUDIKSVALL</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34232-2023</t>
        </is>
      </c>
      <c r="B2958" s="1" t="n">
        <v>45127</v>
      </c>
      <c r="C2958" s="1" t="n">
        <v>45883</v>
      </c>
      <c r="D2958" t="inlineStr">
        <is>
          <t>GÄVLEBORGS LÄN</t>
        </is>
      </c>
      <c r="E2958" t="inlineStr">
        <is>
          <t>HOFORS</t>
        </is>
      </c>
      <c r="F2958" t="inlineStr">
        <is>
          <t>Bergvik skog väst AB</t>
        </is>
      </c>
      <c r="G2958" t="n">
        <v>5.8</v>
      </c>
      <c r="H2958" t="n">
        <v>0</v>
      </c>
      <c r="I2958" t="n">
        <v>0</v>
      </c>
      <c r="J2958" t="n">
        <v>0</v>
      </c>
      <c r="K2958" t="n">
        <v>0</v>
      </c>
      <c r="L2958" t="n">
        <v>0</v>
      </c>
      <c r="M2958" t="n">
        <v>0</v>
      </c>
      <c r="N2958" t="n">
        <v>0</v>
      </c>
      <c r="O2958" t="n">
        <v>0</v>
      </c>
      <c r="P2958" t="n">
        <v>0</v>
      </c>
      <c r="Q2958" t="n">
        <v>0</v>
      </c>
      <c r="R2958" s="2" t="inlineStr"/>
    </row>
    <row r="2959" ht="15" customHeight="1">
      <c r="A2959" t="inlineStr">
        <is>
          <t>A 32635-2022</t>
        </is>
      </c>
      <c r="B2959" s="1" t="n">
        <v>44783</v>
      </c>
      <c r="C2959" s="1" t="n">
        <v>45883</v>
      </c>
      <c r="D2959" t="inlineStr">
        <is>
          <t>GÄVLEBORGS LÄN</t>
        </is>
      </c>
      <c r="E2959" t="inlineStr">
        <is>
          <t>NORDANSTIG</t>
        </is>
      </c>
      <c r="G2959" t="n">
        <v>10</v>
      </c>
      <c r="H2959" t="n">
        <v>0</v>
      </c>
      <c r="I2959" t="n">
        <v>0</v>
      </c>
      <c r="J2959" t="n">
        <v>0</v>
      </c>
      <c r="K2959" t="n">
        <v>0</v>
      </c>
      <c r="L2959" t="n">
        <v>0</v>
      </c>
      <c r="M2959" t="n">
        <v>0</v>
      </c>
      <c r="N2959" t="n">
        <v>0</v>
      </c>
      <c r="O2959" t="n">
        <v>0</v>
      </c>
      <c r="P2959" t="n">
        <v>0</v>
      </c>
      <c r="Q2959" t="n">
        <v>0</v>
      </c>
      <c r="R2959" s="2" t="inlineStr"/>
    </row>
    <row r="2960" ht="15" customHeight="1">
      <c r="A2960" t="inlineStr">
        <is>
          <t>A 30107-2024</t>
        </is>
      </c>
      <c r="B2960" s="1" t="n">
        <v>45489</v>
      </c>
      <c r="C2960" s="1" t="n">
        <v>45883</v>
      </c>
      <c r="D2960" t="inlineStr">
        <is>
          <t>GÄVLEBORGS LÄN</t>
        </is>
      </c>
      <c r="E2960" t="inlineStr">
        <is>
          <t>HUDIKSVALL</t>
        </is>
      </c>
      <c r="F2960" t="inlineStr">
        <is>
          <t>Holmen skog AB</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53818-2023</t>
        </is>
      </c>
      <c r="B2961" s="1" t="n">
        <v>45231</v>
      </c>
      <c r="C2961" s="1" t="n">
        <v>45883</v>
      </c>
      <c r="D2961" t="inlineStr">
        <is>
          <t>GÄVLEBORGS LÄN</t>
        </is>
      </c>
      <c r="E2961" t="inlineStr">
        <is>
          <t>OVANÅKER</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23921-2023</t>
        </is>
      </c>
      <c r="B2962" s="1" t="n">
        <v>45078</v>
      </c>
      <c r="C2962" s="1" t="n">
        <v>45883</v>
      </c>
      <c r="D2962" t="inlineStr">
        <is>
          <t>GÄVLEBORGS LÄN</t>
        </is>
      </c>
      <c r="E2962" t="inlineStr">
        <is>
          <t>HUDIKSVALL</t>
        </is>
      </c>
      <c r="F2962" t="inlineStr">
        <is>
          <t>Holmen skog AB</t>
        </is>
      </c>
      <c r="G2962" t="n">
        <v>8.6</v>
      </c>
      <c r="H2962" t="n">
        <v>0</v>
      </c>
      <c r="I2962" t="n">
        <v>0</v>
      </c>
      <c r="J2962" t="n">
        <v>0</v>
      </c>
      <c r="K2962" t="n">
        <v>0</v>
      </c>
      <c r="L2962" t="n">
        <v>0</v>
      </c>
      <c r="M2962" t="n">
        <v>0</v>
      </c>
      <c r="N2962" t="n">
        <v>0</v>
      </c>
      <c r="O2962" t="n">
        <v>0</v>
      </c>
      <c r="P2962" t="n">
        <v>0</v>
      </c>
      <c r="Q2962" t="n">
        <v>0</v>
      </c>
      <c r="R2962" s="2" t="inlineStr"/>
    </row>
    <row r="2963" ht="15" customHeight="1">
      <c r="A2963" t="inlineStr">
        <is>
          <t>A 52250-2024</t>
        </is>
      </c>
      <c r="B2963" s="1" t="n">
        <v>45608.62623842592</v>
      </c>
      <c r="C2963" s="1" t="n">
        <v>45883</v>
      </c>
      <c r="D2963" t="inlineStr">
        <is>
          <t>GÄVLEBORGS LÄN</t>
        </is>
      </c>
      <c r="E2963" t="inlineStr">
        <is>
          <t>GÄVLE</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35130-2024</t>
        </is>
      </c>
      <c r="B2964" s="1" t="n">
        <v>45530</v>
      </c>
      <c r="C2964" s="1" t="n">
        <v>45883</v>
      </c>
      <c r="D2964" t="inlineStr">
        <is>
          <t>GÄVLEBORGS LÄN</t>
        </is>
      </c>
      <c r="E2964" t="inlineStr">
        <is>
          <t>NORDANSTIG</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28680-2023</t>
        </is>
      </c>
      <c r="B2965" s="1" t="n">
        <v>45103.67951388889</v>
      </c>
      <c r="C2965" s="1" t="n">
        <v>45883</v>
      </c>
      <c r="D2965" t="inlineStr">
        <is>
          <t>GÄVLEBORGS LÄN</t>
        </is>
      </c>
      <c r="E2965" t="inlineStr">
        <is>
          <t>NORDANSTIG</t>
        </is>
      </c>
      <c r="F2965" t="inlineStr">
        <is>
          <t>Holmen skog AB</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52626-2022</t>
        </is>
      </c>
      <c r="B2966" s="1" t="n">
        <v>44874</v>
      </c>
      <c r="C2966" s="1" t="n">
        <v>45883</v>
      </c>
      <c r="D2966" t="inlineStr">
        <is>
          <t>GÄVLEBORGS LÄN</t>
        </is>
      </c>
      <c r="E2966" t="inlineStr">
        <is>
          <t>LJUSDAL</t>
        </is>
      </c>
      <c r="F2966" t="inlineStr">
        <is>
          <t>Kyrkan</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31610-2024</t>
        </is>
      </c>
      <c r="B2967" s="1" t="n">
        <v>45506.43253472223</v>
      </c>
      <c r="C2967" s="1" t="n">
        <v>45883</v>
      </c>
      <c r="D2967" t="inlineStr">
        <is>
          <t>GÄVLEBORGS LÄN</t>
        </is>
      </c>
      <c r="E2967" t="inlineStr">
        <is>
          <t>BOLLNÄS</t>
        </is>
      </c>
      <c r="F2967" t="inlineStr">
        <is>
          <t>Sveaskog</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42864-2024</t>
        </is>
      </c>
      <c r="B2968" s="1" t="n">
        <v>45566</v>
      </c>
      <c r="C2968" s="1" t="n">
        <v>45883</v>
      </c>
      <c r="D2968" t="inlineStr">
        <is>
          <t>GÄVLEBORGS LÄN</t>
        </is>
      </c>
      <c r="E2968" t="inlineStr">
        <is>
          <t>SANDVIKEN</t>
        </is>
      </c>
      <c r="F2968" t="inlineStr">
        <is>
          <t>Sveaskog</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13484-2023</t>
        </is>
      </c>
      <c r="B2969" s="1" t="n">
        <v>45005</v>
      </c>
      <c r="C2969" s="1" t="n">
        <v>45883</v>
      </c>
      <c r="D2969" t="inlineStr">
        <is>
          <t>GÄVLEBORGS LÄN</t>
        </is>
      </c>
      <c r="E2969" t="inlineStr">
        <is>
          <t>HUDIKSVALL</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30408-2024</t>
        </is>
      </c>
      <c r="B2970" s="1" t="n">
        <v>45491</v>
      </c>
      <c r="C2970" s="1" t="n">
        <v>45883</v>
      </c>
      <c r="D2970" t="inlineStr">
        <is>
          <t>GÄVLEBORGS LÄN</t>
        </is>
      </c>
      <c r="E2970" t="inlineStr">
        <is>
          <t>HUDIKSVALL</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44347-2023</t>
        </is>
      </c>
      <c r="B2971" s="1" t="n">
        <v>45188.72041666666</v>
      </c>
      <c r="C2971" s="1" t="n">
        <v>45883</v>
      </c>
      <c r="D2971" t="inlineStr">
        <is>
          <t>GÄVLEBORGS LÄN</t>
        </is>
      </c>
      <c r="E2971" t="inlineStr">
        <is>
          <t>OVANÅKER</t>
        </is>
      </c>
      <c r="G2971" t="n">
        <v>4.1</v>
      </c>
      <c r="H2971" t="n">
        <v>0</v>
      </c>
      <c r="I2971" t="n">
        <v>0</v>
      </c>
      <c r="J2971" t="n">
        <v>0</v>
      </c>
      <c r="K2971" t="n">
        <v>0</v>
      </c>
      <c r="L2971" t="n">
        <v>0</v>
      </c>
      <c r="M2971" t="n">
        <v>0</v>
      </c>
      <c r="N2971" t="n">
        <v>0</v>
      </c>
      <c r="O2971" t="n">
        <v>0</v>
      </c>
      <c r="P2971" t="n">
        <v>0</v>
      </c>
      <c r="Q2971" t="n">
        <v>0</v>
      </c>
      <c r="R2971" s="2" t="inlineStr"/>
    </row>
    <row r="2972" ht="15" customHeight="1">
      <c r="A2972" t="inlineStr">
        <is>
          <t>A 7748-2025</t>
        </is>
      </c>
      <c r="B2972" s="1" t="n">
        <v>45706</v>
      </c>
      <c r="C2972" s="1" t="n">
        <v>45883</v>
      </c>
      <c r="D2972" t="inlineStr">
        <is>
          <t>GÄVLEBORGS LÄN</t>
        </is>
      </c>
      <c r="E2972" t="inlineStr">
        <is>
          <t>GÄVLE</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28897-2024</t>
        </is>
      </c>
      <c r="B2973" s="1" t="n">
        <v>45480.41858796297</v>
      </c>
      <c r="C2973" s="1" t="n">
        <v>45883</v>
      </c>
      <c r="D2973" t="inlineStr">
        <is>
          <t>GÄVLEBORGS LÄN</t>
        </is>
      </c>
      <c r="E2973" t="inlineStr">
        <is>
          <t>SANDVIKEN</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36672-2024</t>
        </is>
      </c>
      <c r="B2974" s="1" t="n">
        <v>45537.64859953704</v>
      </c>
      <c r="C2974" s="1" t="n">
        <v>45883</v>
      </c>
      <c r="D2974" t="inlineStr">
        <is>
          <t>GÄVLEBORGS LÄN</t>
        </is>
      </c>
      <c r="E2974" t="inlineStr">
        <is>
          <t>NORDANSTIG</t>
        </is>
      </c>
      <c r="F2974" t="inlineStr">
        <is>
          <t>Holmen skog AB</t>
        </is>
      </c>
      <c r="G2974" t="n">
        <v>5.2</v>
      </c>
      <c r="H2974" t="n">
        <v>0</v>
      </c>
      <c r="I2974" t="n">
        <v>0</v>
      </c>
      <c r="J2974" t="n">
        <v>0</v>
      </c>
      <c r="K2974" t="n">
        <v>0</v>
      </c>
      <c r="L2974" t="n">
        <v>0</v>
      </c>
      <c r="M2974" t="n">
        <v>0</v>
      </c>
      <c r="N2974" t="n">
        <v>0</v>
      </c>
      <c r="O2974" t="n">
        <v>0</v>
      </c>
      <c r="P2974" t="n">
        <v>0</v>
      </c>
      <c r="Q2974" t="n">
        <v>0</v>
      </c>
      <c r="R2974" s="2" t="inlineStr"/>
    </row>
    <row r="2975" ht="15" customHeight="1">
      <c r="A2975" t="inlineStr">
        <is>
          <t>A 2400-2023</t>
        </is>
      </c>
      <c r="B2975" s="1" t="n">
        <v>44942</v>
      </c>
      <c r="C2975" s="1" t="n">
        <v>45883</v>
      </c>
      <c r="D2975" t="inlineStr">
        <is>
          <t>GÄVLEBORGS LÄN</t>
        </is>
      </c>
      <c r="E2975" t="inlineStr">
        <is>
          <t>GÄVLE</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61785-2024</t>
        </is>
      </c>
      <c r="B2976" s="1" t="n">
        <v>45649.47710648148</v>
      </c>
      <c r="C2976" s="1" t="n">
        <v>45883</v>
      </c>
      <c r="D2976" t="inlineStr">
        <is>
          <t>GÄVLEBORGS LÄN</t>
        </is>
      </c>
      <c r="E2976" t="inlineStr">
        <is>
          <t>HUDIKSVALL</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61792-2024</t>
        </is>
      </c>
      <c r="B2977" s="1" t="n">
        <v>45649</v>
      </c>
      <c r="C2977" s="1" t="n">
        <v>45883</v>
      </c>
      <c r="D2977" t="inlineStr">
        <is>
          <t>GÄVLEBORGS LÄN</t>
        </is>
      </c>
      <c r="E2977" t="inlineStr">
        <is>
          <t>HUDIKSVALL</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15233-2023</t>
        </is>
      </c>
      <c r="B2978" s="1" t="n">
        <v>45019.34851851852</v>
      </c>
      <c r="C2978" s="1" t="n">
        <v>45883</v>
      </c>
      <c r="D2978" t="inlineStr">
        <is>
          <t>GÄVLEBORGS LÄN</t>
        </is>
      </c>
      <c r="E2978" t="inlineStr">
        <is>
          <t>HUDIKSVALL</t>
        </is>
      </c>
      <c r="F2978" t="inlineStr">
        <is>
          <t>Holmen skog AB</t>
        </is>
      </c>
      <c r="G2978" t="n">
        <v>4.8</v>
      </c>
      <c r="H2978" t="n">
        <v>0</v>
      </c>
      <c r="I2978" t="n">
        <v>0</v>
      </c>
      <c r="J2978" t="n">
        <v>0</v>
      </c>
      <c r="K2978" t="n">
        <v>0</v>
      </c>
      <c r="L2978" t="n">
        <v>0</v>
      </c>
      <c r="M2978" t="n">
        <v>0</v>
      </c>
      <c r="N2978" t="n">
        <v>0</v>
      </c>
      <c r="O2978" t="n">
        <v>0</v>
      </c>
      <c r="P2978" t="n">
        <v>0</v>
      </c>
      <c r="Q2978" t="n">
        <v>0</v>
      </c>
      <c r="R2978" s="2" t="inlineStr"/>
    </row>
    <row r="2979" ht="15" customHeight="1">
      <c r="A2979" t="inlineStr">
        <is>
          <t>A 15285-2023</t>
        </is>
      </c>
      <c r="B2979" s="1" t="n">
        <v>45019.43928240741</v>
      </c>
      <c r="C2979" s="1" t="n">
        <v>45883</v>
      </c>
      <c r="D2979" t="inlineStr">
        <is>
          <t>GÄVLEBORGS LÄN</t>
        </is>
      </c>
      <c r="E2979" t="inlineStr">
        <is>
          <t>LJUSDAL</t>
        </is>
      </c>
      <c r="F2979" t="inlineStr">
        <is>
          <t>Holmen skog AB</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41730-2024</t>
        </is>
      </c>
      <c r="B2980" s="1" t="n">
        <v>45560.90769675926</v>
      </c>
      <c r="C2980" s="1" t="n">
        <v>45883</v>
      </c>
      <c r="D2980" t="inlineStr">
        <is>
          <t>GÄVLEBORGS LÄN</t>
        </is>
      </c>
      <c r="E2980" t="inlineStr">
        <is>
          <t>LJUSDAL</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34976-2024</t>
        </is>
      </c>
      <c r="B2981" s="1" t="n">
        <v>45527.5432175926</v>
      </c>
      <c r="C2981" s="1" t="n">
        <v>45883</v>
      </c>
      <c r="D2981" t="inlineStr">
        <is>
          <t>GÄVLEBORGS LÄN</t>
        </is>
      </c>
      <c r="E2981" t="inlineStr">
        <is>
          <t>SÖDERHAMN</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34982-2024</t>
        </is>
      </c>
      <c r="B2982" s="1" t="n">
        <v>45527.54805555556</v>
      </c>
      <c r="C2982" s="1" t="n">
        <v>45883</v>
      </c>
      <c r="D2982" t="inlineStr">
        <is>
          <t>GÄVLEBORGS LÄN</t>
        </is>
      </c>
      <c r="E2982" t="inlineStr">
        <is>
          <t>HUDIKSVALL</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34989-2024</t>
        </is>
      </c>
      <c r="B2983" s="1" t="n">
        <v>45527.55215277777</v>
      </c>
      <c r="C2983" s="1" t="n">
        <v>45883</v>
      </c>
      <c r="D2983" t="inlineStr">
        <is>
          <t>GÄVLEBORGS LÄN</t>
        </is>
      </c>
      <c r="E2983" t="inlineStr">
        <is>
          <t>LJUSDAL</t>
        </is>
      </c>
      <c r="F2983" t="inlineStr">
        <is>
          <t>Sveaskog</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3712-2023</t>
        </is>
      </c>
      <c r="B2984" s="1" t="n">
        <v>44951.33599537037</v>
      </c>
      <c r="C2984" s="1" t="n">
        <v>45883</v>
      </c>
      <c r="D2984" t="inlineStr">
        <is>
          <t>GÄVLEBORGS LÄN</t>
        </is>
      </c>
      <c r="E2984" t="inlineStr">
        <is>
          <t>GÄVLE</t>
        </is>
      </c>
      <c r="F2984" t="inlineStr">
        <is>
          <t>Bergvik skog väst AB</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6339-2025</t>
        </is>
      </c>
      <c r="B2985" s="1" t="n">
        <v>45699</v>
      </c>
      <c r="C2985" s="1" t="n">
        <v>45883</v>
      </c>
      <c r="D2985" t="inlineStr">
        <is>
          <t>GÄVLEBORGS LÄN</t>
        </is>
      </c>
      <c r="E2985" t="inlineStr">
        <is>
          <t>LJUSDAL</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35331-2024</t>
        </is>
      </c>
      <c r="B2986" s="1" t="n">
        <v>45530.76390046296</v>
      </c>
      <c r="C2986" s="1" t="n">
        <v>45883</v>
      </c>
      <c r="D2986" t="inlineStr">
        <is>
          <t>GÄVLEBORGS LÄN</t>
        </is>
      </c>
      <c r="E2986" t="inlineStr">
        <is>
          <t>GÄVLE</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35351-2024</t>
        </is>
      </c>
      <c r="B2987" s="1" t="n">
        <v>45531</v>
      </c>
      <c r="C2987" s="1" t="n">
        <v>45883</v>
      </c>
      <c r="D2987" t="inlineStr">
        <is>
          <t>GÄVLEBORGS LÄN</t>
        </is>
      </c>
      <c r="E2987" t="inlineStr">
        <is>
          <t>OVANÅKER</t>
        </is>
      </c>
      <c r="F2987" t="inlineStr">
        <is>
          <t>Sveaskog</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300-2024</t>
        </is>
      </c>
      <c r="B2988" s="1" t="n">
        <v>45295.47097222223</v>
      </c>
      <c r="C2988" s="1" t="n">
        <v>45883</v>
      </c>
      <c r="D2988" t="inlineStr">
        <is>
          <t>GÄVLEBORGS LÄN</t>
        </is>
      </c>
      <c r="E2988" t="inlineStr">
        <is>
          <t>SÖDERHAMN</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333-2024</t>
        </is>
      </c>
      <c r="B2989" s="1" t="n">
        <v>45295.59415509259</v>
      </c>
      <c r="C2989" s="1" t="n">
        <v>45883</v>
      </c>
      <c r="D2989" t="inlineStr">
        <is>
          <t>GÄVLEBORGS LÄN</t>
        </is>
      </c>
      <c r="E2989" t="inlineStr">
        <is>
          <t>HUDIKSVALL</t>
        </is>
      </c>
      <c r="F2989" t="inlineStr">
        <is>
          <t>Holmen skog AB</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17965-2025</t>
        </is>
      </c>
      <c r="B2990" s="1" t="n">
        <v>45761.34359953704</v>
      </c>
      <c r="C2990" s="1" t="n">
        <v>45883</v>
      </c>
      <c r="D2990" t="inlineStr">
        <is>
          <t>GÄVLEBORGS LÄN</t>
        </is>
      </c>
      <c r="E2990" t="inlineStr">
        <is>
          <t>OVANÅKER</t>
        </is>
      </c>
      <c r="F2990" t="inlineStr">
        <is>
          <t>Bergvik skog öst AB</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17966-2025</t>
        </is>
      </c>
      <c r="B2991" s="1" t="n">
        <v>45761.34462962963</v>
      </c>
      <c r="C2991" s="1" t="n">
        <v>45883</v>
      </c>
      <c r="D2991" t="inlineStr">
        <is>
          <t>GÄVLEBORGS LÄN</t>
        </is>
      </c>
      <c r="E2991" t="inlineStr">
        <is>
          <t>BOLLNÄS</t>
        </is>
      </c>
      <c r="F2991" t="inlineStr">
        <is>
          <t>Bergvik skog väst AB</t>
        </is>
      </c>
      <c r="G2991" t="n">
        <v>9.5</v>
      </c>
      <c r="H2991" t="n">
        <v>0</v>
      </c>
      <c r="I2991" t="n">
        <v>0</v>
      </c>
      <c r="J2991" t="n">
        <v>0</v>
      </c>
      <c r="K2991" t="n">
        <v>0</v>
      </c>
      <c r="L2991" t="n">
        <v>0</v>
      </c>
      <c r="M2991" t="n">
        <v>0</v>
      </c>
      <c r="N2991" t="n">
        <v>0</v>
      </c>
      <c r="O2991" t="n">
        <v>0</v>
      </c>
      <c r="P2991" t="n">
        <v>0</v>
      </c>
      <c r="Q2991" t="n">
        <v>0</v>
      </c>
      <c r="R2991" s="2" t="inlineStr"/>
    </row>
    <row r="2992" ht="15" customHeight="1">
      <c r="A2992" t="inlineStr">
        <is>
          <t>A 52746-2022</t>
        </is>
      </c>
      <c r="B2992" s="1" t="n">
        <v>44874</v>
      </c>
      <c r="C2992" s="1" t="n">
        <v>45883</v>
      </c>
      <c r="D2992" t="inlineStr">
        <is>
          <t>GÄVLEBORGS LÄN</t>
        </is>
      </c>
      <c r="E2992" t="inlineStr">
        <is>
          <t>NORDANSTIG</t>
        </is>
      </c>
      <c r="F2992" t="inlineStr">
        <is>
          <t>SCA</t>
        </is>
      </c>
      <c r="G2992" t="n">
        <v>7.1</v>
      </c>
      <c r="H2992" t="n">
        <v>0</v>
      </c>
      <c r="I2992" t="n">
        <v>0</v>
      </c>
      <c r="J2992" t="n">
        <v>0</v>
      </c>
      <c r="K2992" t="n">
        <v>0</v>
      </c>
      <c r="L2992" t="n">
        <v>0</v>
      </c>
      <c r="M2992" t="n">
        <v>0</v>
      </c>
      <c r="N2992" t="n">
        <v>0</v>
      </c>
      <c r="O2992" t="n">
        <v>0</v>
      </c>
      <c r="P2992" t="n">
        <v>0</v>
      </c>
      <c r="Q2992" t="n">
        <v>0</v>
      </c>
      <c r="R2992" s="2" t="inlineStr"/>
    </row>
    <row r="2993" ht="15" customHeight="1">
      <c r="A2993" t="inlineStr">
        <is>
          <t>A 3233-2025</t>
        </is>
      </c>
      <c r="B2993" s="1" t="n">
        <v>45679.49009259259</v>
      </c>
      <c r="C2993" s="1" t="n">
        <v>45883</v>
      </c>
      <c r="D2993" t="inlineStr">
        <is>
          <t>GÄVLEBORGS LÄN</t>
        </is>
      </c>
      <c r="E2993" t="inlineStr">
        <is>
          <t>LJUSDAL</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2215-2023</t>
        </is>
      </c>
      <c r="B2994" s="1" t="n">
        <v>44942.41722222222</v>
      </c>
      <c r="C2994" s="1" t="n">
        <v>45883</v>
      </c>
      <c r="D2994" t="inlineStr">
        <is>
          <t>GÄVLEBORGS LÄN</t>
        </is>
      </c>
      <c r="E2994" t="inlineStr">
        <is>
          <t>HUDIKSVALL</t>
        </is>
      </c>
      <c r="F2994" t="inlineStr">
        <is>
          <t>Holmen skog AB</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52615-2022</t>
        </is>
      </c>
      <c r="B2995" s="1" t="n">
        <v>44874</v>
      </c>
      <c r="C2995" s="1" t="n">
        <v>45883</v>
      </c>
      <c r="D2995" t="inlineStr">
        <is>
          <t>GÄVLEBORGS LÄN</t>
        </is>
      </c>
      <c r="E2995" t="inlineStr">
        <is>
          <t>OVANÅKER</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27971-2024</t>
        </is>
      </c>
      <c r="B2996" s="1" t="n">
        <v>45476.38420138889</v>
      </c>
      <c r="C2996" s="1" t="n">
        <v>45883</v>
      </c>
      <c r="D2996" t="inlineStr">
        <is>
          <t>GÄVLEBORGS LÄN</t>
        </is>
      </c>
      <c r="E2996" t="inlineStr">
        <is>
          <t>OVANÅKER</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60495-2023</t>
        </is>
      </c>
      <c r="B2997" s="1" t="n">
        <v>45258</v>
      </c>
      <c r="C2997" s="1" t="n">
        <v>45883</v>
      </c>
      <c r="D2997" t="inlineStr">
        <is>
          <t>GÄVLEBORGS LÄN</t>
        </is>
      </c>
      <c r="E2997" t="inlineStr">
        <is>
          <t>BOLLNÄS</t>
        </is>
      </c>
      <c r="G2997" t="n">
        <v>7.1</v>
      </c>
      <c r="H2997" t="n">
        <v>0</v>
      </c>
      <c r="I2997" t="n">
        <v>0</v>
      </c>
      <c r="J2997" t="n">
        <v>0</v>
      </c>
      <c r="K2997" t="n">
        <v>0</v>
      </c>
      <c r="L2997" t="n">
        <v>0</v>
      </c>
      <c r="M2997" t="n">
        <v>0</v>
      </c>
      <c r="N2997" t="n">
        <v>0</v>
      </c>
      <c r="O2997" t="n">
        <v>0</v>
      </c>
      <c r="P2997" t="n">
        <v>0</v>
      </c>
      <c r="Q2997" t="n">
        <v>0</v>
      </c>
      <c r="R2997" s="2" t="inlineStr"/>
    </row>
    <row r="2998" ht="15" customHeight="1">
      <c r="A2998" t="inlineStr">
        <is>
          <t>A 67380-2021</t>
        </is>
      </c>
      <c r="B2998" s="1" t="n">
        <v>44523</v>
      </c>
      <c r="C2998" s="1" t="n">
        <v>45883</v>
      </c>
      <c r="D2998" t="inlineStr">
        <is>
          <t>GÄVLEBORGS LÄN</t>
        </is>
      </c>
      <c r="E2998" t="inlineStr">
        <is>
          <t>LJUSDAL</t>
        </is>
      </c>
      <c r="G2998" t="n">
        <v>4.6</v>
      </c>
      <c r="H2998" t="n">
        <v>0</v>
      </c>
      <c r="I2998" t="n">
        <v>0</v>
      </c>
      <c r="J2998" t="n">
        <v>0</v>
      </c>
      <c r="K2998" t="n">
        <v>0</v>
      </c>
      <c r="L2998" t="n">
        <v>0</v>
      </c>
      <c r="M2998" t="n">
        <v>0</v>
      </c>
      <c r="N2998" t="n">
        <v>0</v>
      </c>
      <c r="O2998" t="n">
        <v>0</v>
      </c>
      <c r="P2998" t="n">
        <v>0</v>
      </c>
      <c r="Q2998" t="n">
        <v>0</v>
      </c>
      <c r="R2998" s="2" t="inlineStr"/>
    </row>
    <row r="2999" ht="15" customHeight="1">
      <c r="A2999" t="inlineStr">
        <is>
          <t>A 25411-2024</t>
        </is>
      </c>
      <c r="B2999" s="1" t="n">
        <v>45463.35957175926</v>
      </c>
      <c r="C2999" s="1" t="n">
        <v>45883</v>
      </c>
      <c r="D2999" t="inlineStr">
        <is>
          <t>GÄVLEBORGS LÄN</t>
        </is>
      </c>
      <c r="E2999" t="inlineStr">
        <is>
          <t>OVANÅKER</t>
        </is>
      </c>
      <c r="F2999" t="inlineStr">
        <is>
          <t>Bergvik skog öst AB</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54511-2024</t>
        </is>
      </c>
      <c r="B3000" s="1" t="n">
        <v>45617</v>
      </c>
      <c r="C3000" s="1" t="n">
        <v>45883</v>
      </c>
      <c r="D3000" t="inlineStr">
        <is>
          <t>GÄVLEBORGS LÄN</t>
        </is>
      </c>
      <c r="E3000" t="inlineStr">
        <is>
          <t>BOLLNÄS</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54524-2024</t>
        </is>
      </c>
      <c r="B3001" s="1" t="n">
        <v>45617</v>
      </c>
      <c r="C3001" s="1" t="n">
        <v>45883</v>
      </c>
      <c r="D3001" t="inlineStr">
        <is>
          <t>GÄVLEBORGS LÄN</t>
        </is>
      </c>
      <c r="E3001" t="inlineStr">
        <is>
          <t>NORDANSTIG</t>
        </is>
      </c>
      <c r="F3001" t="inlineStr">
        <is>
          <t>Holmen skog AB</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32287-2023</t>
        </is>
      </c>
      <c r="B3002" s="1" t="n">
        <v>45107</v>
      </c>
      <c r="C3002" s="1" t="n">
        <v>45883</v>
      </c>
      <c r="D3002" t="inlineStr">
        <is>
          <t>GÄVLEBORGS LÄN</t>
        </is>
      </c>
      <c r="E3002" t="inlineStr">
        <is>
          <t>LJUSDAL</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17498-2024</t>
        </is>
      </c>
      <c r="B3003" s="1" t="n">
        <v>45415</v>
      </c>
      <c r="C3003" s="1" t="n">
        <v>45883</v>
      </c>
      <c r="D3003" t="inlineStr">
        <is>
          <t>GÄVLEBORGS LÄN</t>
        </is>
      </c>
      <c r="E3003" t="inlineStr">
        <is>
          <t>SANDVIKEN</t>
        </is>
      </c>
      <c r="F3003" t="inlineStr">
        <is>
          <t>Kommuner</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43883-2021</t>
        </is>
      </c>
      <c r="B3004" s="1" t="n">
        <v>44434.33675925926</v>
      </c>
      <c r="C3004" s="1" t="n">
        <v>45883</v>
      </c>
      <c r="D3004" t="inlineStr">
        <is>
          <t>GÄVLEBORGS LÄN</t>
        </is>
      </c>
      <c r="E3004" t="inlineStr">
        <is>
          <t>NORDANSTIG</t>
        </is>
      </c>
      <c r="F3004" t="inlineStr">
        <is>
          <t>Holmen skog AB</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51222-2024</t>
        </is>
      </c>
      <c r="B3005" s="1" t="n">
        <v>45603.65320601852</v>
      </c>
      <c r="C3005" s="1" t="n">
        <v>45883</v>
      </c>
      <c r="D3005" t="inlineStr">
        <is>
          <t>GÄVLEBORGS LÄN</t>
        </is>
      </c>
      <c r="E3005" t="inlineStr">
        <is>
          <t>NORDANSTIG</t>
        </is>
      </c>
      <c r="G3005" t="n">
        <v>15.1</v>
      </c>
      <c r="H3005" t="n">
        <v>0</v>
      </c>
      <c r="I3005" t="n">
        <v>0</v>
      </c>
      <c r="J3005" t="n">
        <v>0</v>
      </c>
      <c r="K3005" t="n">
        <v>0</v>
      </c>
      <c r="L3005" t="n">
        <v>0</v>
      </c>
      <c r="M3005" t="n">
        <v>0</v>
      </c>
      <c r="N3005" t="n">
        <v>0</v>
      </c>
      <c r="O3005" t="n">
        <v>0</v>
      </c>
      <c r="P3005" t="n">
        <v>0</v>
      </c>
      <c r="Q3005" t="n">
        <v>0</v>
      </c>
      <c r="R3005" s="2" t="inlineStr"/>
    </row>
    <row r="3006" ht="15" customHeight="1">
      <c r="A3006" t="inlineStr">
        <is>
          <t>A 51230-2024</t>
        </is>
      </c>
      <c r="B3006" s="1" t="n">
        <v>45603.65864583333</v>
      </c>
      <c r="C3006" s="1" t="n">
        <v>45883</v>
      </c>
      <c r="D3006" t="inlineStr">
        <is>
          <t>GÄVLEBORGS LÄN</t>
        </is>
      </c>
      <c r="E3006" t="inlineStr">
        <is>
          <t>NORDANSTIG</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54969-2020</t>
        </is>
      </c>
      <c r="B3007" s="1" t="n">
        <v>44130</v>
      </c>
      <c r="C3007" s="1" t="n">
        <v>45883</v>
      </c>
      <c r="D3007" t="inlineStr">
        <is>
          <t>GÄVLEBORGS LÄN</t>
        </is>
      </c>
      <c r="E3007" t="inlineStr">
        <is>
          <t>BOLLNÄS</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60497-2021</t>
        </is>
      </c>
      <c r="B3008" s="1" t="n">
        <v>44496.48552083333</v>
      </c>
      <c r="C3008" s="1" t="n">
        <v>45883</v>
      </c>
      <c r="D3008" t="inlineStr">
        <is>
          <t>GÄVLEBORGS LÄN</t>
        </is>
      </c>
      <c r="E3008" t="inlineStr">
        <is>
          <t>OCKELBO</t>
        </is>
      </c>
      <c r="F3008" t="inlineStr">
        <is>
          <t>Bergvik skog väst AB</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6752-2024</t>
        </is>
      </c>
      <c r="B3009" s="1" t="n">
        <v>45342</v>
      </c>
      <c r="C3009" s="1" t="n">
        <v>45883</v>
      </c>
      <c r="D3009" t="inlineStr">
        <is>
          <t>GÄVLEBORGS LÄN</t>
        </is>
      </c>
      <c r="E3009" t="inlineStr">
        <is>
          <t>BOLLNÄS</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6755-2024</t>
        </is>
      </c>
      <c r="B3010" s="1" t="n">
        <v>45342</v>
      </c>
      <c r="C3010" s="1" t="n">
        <v>45883</v>
      </c>
      <c r="D3010" t="inlineStr">
        <is>
          <t>GÄVLEBORGS LÄN</t>
        </is>
      </c>
      <c r="E3010" t="inlineStr">
        <is>
          <t>BOLLNÄS</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2861-2023</t>
        </is>
      </c>
      <c r="B3011" s="1" t="n">
        <v>44945.41037037037</v>
      </c>
      <c r="C3011" s="1" t="n">
        <v>45883</v>
      </c>
      <c r="D3011" t="inlineStr">
        <is>
          <t>GÄVLEBORGS LÄN</t>
        </is>
      </c>
      <c r="E3011" t="inlineStr">
        <is>
          <t>NORDANSTIG</t>
        </is>
      </c>
      <c r="G3011" t="n">
        <v>5.2</v>
      </c>
      <c r="H3011" t="n">
        <v>0</v>
      </c>
      <c r="I3011" t="n">
        <v>0</v>
      </c>
      <c r="J3011" t="n">
        <v>0</v>
      </c>
      <c r="K3011" t="n">
        <v>0</v>
      </c>
      <c r="L3011" t="n">
        <v>0</v>
      </c>
      <c r="M3011" t="n">
        <v>0</v>
      </c>
      <c r="N3011" t="n">
        <v>0</v>
      </c>
      <c r="O3011" t="n">
        <v>0</v>
      </c>
      <c r="P3011" t="n">
        <v>0</v>
      </c>
      <c r="Q3011" t="n">
        <v>0</v>
      </c>
      <c r="R3011" s="2" t="inlineStr"/>
    </row>
    <row r="3012" ht="15" customHeight="1">
      <c r="A3012" t="inlineStr">
        <is>
          <t>A 52241-2024</t>
        </is>
      </c>
      <c r="B3012" s="1" t="n">
        <v>45608.61949074074</v>
      </c>
      <c r="C3012" s="1" t="n">
        <v>45883</v>
      </c>
      <c r="D3012" t="inlineStr">
        <is>
          <t>GÄVLEBORGS LÄN</t>
        </is>
      </c>
      <c r="E3012" t="inlineStr">
        <is>
          <t>OCKELBO</t>
        </is>
      </c>
      <c r="F3012" t="inlineStr">
        <is>
          <t>Bergvik skog väst AB</t>
        </is>
      </c>
      <c r="G3012" t="n">
        <v>7.7</v>
      </c>
      <c r="H3012" t="n">
        <v>0</v>
      </c>
      <c r="I3012" t="n">
        <v>0</v>
      </c>
      <c r="J3012" t="n">
        <v>0</v>
      </c>
      <c r="K3012" t="n">
        <v>0</v>
      </c>
      <c r="L3012" t="n">
        <v>0</v>
      </c>
      <c r="M3012" t="n">
        <v>0</v>
      </c>
      <c r="N3012" t="n">
        <v>0</v>
      </c>
      <c r="O3012" t="n">
        <v>0</v>
      </c>
      <c r="P3012" t="n">
        <v>0</v>
      </c>
      <c r="Q3012" t="n">
        <v>0</v>
      </c>
      <c r="R3012" s="2" t="inlineStr"/>
    </row>
    <row r="3013" ht="15" customHeight="1">
      <c r="A3013" t="inlineStr">
        <is>
          <t>A 25204-2024</t>
        </is>
      </c>
      <c r="B3013" s="1" t="n">
        <v>45462.57364583333</v>
      </c>
      <c r="C3013" s="1" t="n">
        <v>45883</v>
      </c>
      <c r="D3013" t="inlineStr">
        <is>
          <t>GÄVLEBORGS LÄN</t>
        </is>
      </c>
      <c r="E3013" t="inlineStr">
        <is>
          <t>LJUSDAL</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8898-2024</t>
        </is>
      </c>
      <c r="B3014" s="1" t="n">
        <v>45357</v>
      </c>
      <c r="C3014" s="1" t="n">
        <v>45883</v>
      </c>
      <c r="D3014" t="inlineStr">
        <is>
          <t>GÄVLEBORGS LÄN</t>
        </is>
      </c>
      <c r="E3014" t="inlineStr">
        <is>
          <t>NORDANSTIG</t>
        </is>
      </c>
      <c r="G3014" t="n">
        <v>8.199999999999999</v>
      </c>
      <c r="H3014" t="n">
        <v>0</v>
      </c>
      <c r="I3014" t="n">
        <v>0</v>
      </c>
      <c r="J3014" t="n">
        <v>0</v>
      </c>
      <c r="K3014" t="n">
        <v>0</v>
      </c>
      <c r="L3014" t="n">
        <v>0</v>
      </c>
      <c r="M3014" t="n">
        <v>0</v>
      </c>
      <c r="N3014" t="n">
        <v>0</v>
      </c>
      <c r="O3014" t="n">
        <v>0</v>
      </c>
      <c r="P3014" t="n">
        <v>0</v>
      </c>
      <c r="Q3014" t="n">
        <v>0</v>
      </c>
      <c r="R3014" s="2" t="inlineStr"/>
    </row>
    <row r="3015" ht="15" customHeight="1">
      <c r="A3015" t="inlineStr">
        <is>
          <t>A 34298-2021</t>
        </is>
      </c>
      <c r="B3015" s="1" t="n">
        <v>44379</v>
      </c>
      <c r="C3015" s="1" t="n">
        <v>45883</v>
      </c>
      <c r="D3015" t="inlineStr">
        <is>
          <t>GÄVLEBORGS LÄN</t>
        </is>
      </c>
      <c r="E3015" t="inlineStr">
        <is>
          <t>OVANÅKER</t>
        </is>
      </c>
      <c r="F3015" t="inlineStr">
        <is>
          <t>Holmen skog AB</t>
        </is>
      </c>
      <c r="G3015" t="n">
        <v>4.2</v>
      </c>
      <c r="H3015" t="n">
        <v>0</v>
      </c>
      <c r="I3015" t="n">
        <v>0</v>
      </c>
      <c r="J3015" t="n">
        <v>0</v>
      </c>
      <c r="K3015" t="n">
        <v>0</v>
      </c>
      <c r="L3015" t="n">
        <v>0</v>
      </c>
      <c r="M3015" t="n">
        <v>0</v>
      </c>
      <c r="N3015" t="n">
        <v>0</v>
      </c>
      <c r="O3015" t="n">
        <v>0</v>
      </c>
      <c r="P3015" t="n">
        <v>0</v>
      </c>
      <c r="Q3015" t="n">
        <v>0</v>
      </c>
      <c r="R3015" s="2" t="inlineStr"/>
    </row>
    <row r="3016" ht="15" customHeight="1">
      <c r="A3016" t="inlineStr">
        <is>
          <t>A 25474-2024</t>
        </is>
      </c>
      <c r="B3016" s="1" t="n">
        <v>45463.44631944445</v>
      </c>
      <c r="C3016" s="1" t="n">
        <v>45883</v>
      </c>
      <c r="D3016" t="inlineStr">
        <is>
          <t>GÄVLEBORGS LÄN</t>
        </is>
      </c>
      <c r="E3016" t="inlineStr">
        <is>
          <t>HOFORS</t>
        </is>
      </c>
      <c r="F3016" t="inlineStr">
        <is>
          <t>Sveaskog</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52243-2024</t>
        </is>
      </c>
      <c r="B3017" s="1" t="n">
        <v>45608.62261574074</v>
      </c>
      <c r="C3017" s="1" t="n">
        <v>45883</v>
      </c>
      <c r="D3017" t="inlineStr">
        <is>
          <t>GÄVLEBORGS LÄN</t>
        </is>
      </c>
      <c r="E3017" t="inlineStr">
        <is>
          <t>OCKELBO</t>
        </is>
      </c>
      <c r="F3017" t="inlineStr">
        <is>
          <t>Bergvik skog väst AB</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38428-2023</t>
        </is>
      </c>
      <c r="B3018" s="1" t="n">
        <v>45162</v>
      </c>
      <c r="C3018" s="1" t="n">
        <v>45883</v>
      </c>
      <c r="D3018" t="inlineStr">
        <is>
          <t>GÄVLEBORGS LÄN</t>
        </is>
      </c>
      <c r="E3018" t="inlineStr">
        <is>
          <t>SANDVIKEN</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38431-2023</t>
        </is>
      </c>
      <c r="B3019" s="1" t="n">
        <v>45162</v>
      </c>
      <c r="C3019" s="1" t="n">
        <v>45883</v>
      </c>
      <c r="D3019" t="inlineStr">
        <is>
          <t>GÄVLEBORGS LÄN</t>
        </is>
      </c>
      <c r="E3019" t="inlineStr">
        <is>
          <t>SANDVIKEN</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15118-2025</t>
        </is>
      </c>
      <c r="B3020" s="1" t="n">
        <v>45744.30840277778</v>
      </c>
      <c r="C3020" s="1" t="n">
        <v>45883</v>
      </c>
      <c r="D3020" t="inlineStr">
        <is>
          <t>GÄVLEBORGS LÄN</t>
        </is>
      </c>
      <c r="E3020" t="inlineStr">
        <is>
          <t>BOLLNÄS</t>
        </is>
      </c>
      <c r="F3020" t="inlineStr">
        <is>
          <t>Bergvik skog väst AB</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7495-2025</t>
        </is>
      </c>
      <c r="B3021" s="1" t="n">
        <v>45705.48628472222</v>
      </c>
      <c r="C3021" s="1" t="n">
        <v>45883</v>
      </c>
      <c r="D3021" t="inlineStr">
        <is>
          <t>GÄVLEBORGS LÄN</t>
        </is>
      </c>
      <c r="E3021" t="inlineStr">
        <is>
          <t>LJUSDAL</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38449-2023</t>
        </is>
      </c>
      <c r="B3022" s="1" t="n">
        <v>45162</v>
      </c>
      <c r="C3022" s="1" t="n">
        <v>45883</v>
      </c>
      <c r="D3022" t="inlineStr">
        <is>
          <t>GÄVLEBORGS LÄN</t>
        </is>
      </c>
      <c r="E3022" t="inlineStr">
        <is>
          <t>SANDVIKEN</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28003-2024</t>
        </is>
      </c>
      <c r="B3023" s="1" t="n">
        <v>45476</v>
      </c>
      <c r="C3023" s="1" t="n">
        <v>45883</v>
      </c>
      <c r="D3023" t="inlineStr">
        <is>
          <t>GÄVLEBORGS LÄN</t>
        </is>
      </c>
      <c r="E3023" t="inlineStr">
        <is>
          <t>LJUSDAL</t>
        </is>
      </c>
      <c r="F3023" t="inlineStr">
        <is>
          <t>Allmännings- och besparingsskogar</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30906-2024</t>
        </is>
      </c>
      <c r="B3024" s="1" t="n">
        <v>45498.55421296296</v>
      </c>
      <c r="C3024" s="1" t="n">
        <v>45883</v>
      </c>
      <c r="D3024" t="inlineStr">
        <is>
          <t>GÄVLEBORGS LÄN</t>
        </is>
      </c>
      <c r="E3024" t="inlineStr">
        <is>
          <t>OVANÅKER</t>
        </is>
      </c>
      <c r="F3024" t="inlineStr">
        <is>
          <t>Bergvik skog öst AB</t>
        </is>
      </c>
      <c r="G3024" t="n">
        <v>5.3</v>
      </c>
      <c r="H3024" t="n">
        <v>0</v>
      </c>
      <c r="I3024" t="n">
        <v>0</v>
      </c>
      <c r="J3024" t="n">
        <v>0</v>
      </c>
      <c r="K3024" t="n">
        <v>0</v>
      </c>
      <c r="L3024" t="n">
        <v>0</v>
      </c>
      <c r="M3024" t="n">
        <v>0</v>
      </c>
      <c r="N3024" t="n">
        <v>0</v>
      </c>
      <c r="O3024" t="n">
        <v>0</v>
      </c>
      <c r="P3024" t="n">
        <v>0</v>
      </c>
      <c r="Q3024" t="n">
        <v>0</v>
      </c>
      <c r="R3024" s="2" t="inlineStr"/>
    </row>
    <row r="3025" ht="15" customHeight="1">
      <c r="A3025" t="inlineStr">
        <is>
          <t>A 30919-2024</t>
        </is>
      </c>
      <c r="B3025" s="1" t="n">
        <v>45498.67017361111</v>
      </c>
      <c r="C3025" s="1" t="n">
        <v>45883</v>
      </c>
      <c r="D3025" t="inlineStr">
        <is>
          <t>GÄVLEBORGS LÄN</t>
        </is>
      </c>
      <c r="E3025" t="inlineStr">
        <is>
          <t>OVANÅKER</t>
        </is>
      </c>
      <c r="F3025" t="inlineStr">
        <is>
          <t>Bergvik skog öst AB</t>
        </is>
      </c>
      <c r="G3025" t="n">
        <v>4</v>
      </c>
      <c r="H3025" t="n">
        <v>0</v>
      </c>
      <c r="I3025" t="n">
        <v>0</v>
      </c>
      <c r="J3025" t="n">
        <v>0</v>
      </c>
      <c r="K3025" t="n">
        <v>0</v>
      </c>
      <c r="L3025" t="n">
        <v>0</v>
      </c>
      <c r="M3025" t="n">
        <v>0</v>
      </c>
      <c r="N3025" t="n">
        <v>0</v>
      </c>
      <c r="O3025" t="n">
        <v>0</v>
      </c>
      <c r="P3025" t="n">
        <v>0</v>
      </c>
      <c r="Q3025" t="n">
        <v>0</v>
      </c>
      <c r="R3025" s="2" t="inlineStr"/>
    </row>
    <row r="3026" ht="15" customHeight="1">
      <c r="A3026" t="inlineStr">
        <is>
          <t>A 30969-2024</t>
        </is>
      </c>
      <c r="B3026" s="1" t="n">
        <v>45499.45839120371</v>
      </c>
      <c r="C3026" s="1" t="n">
        <v>45883</v>
      </c>
      <c r="D3026" t="inlineStr">
        <is>
          <t>GÄVLEBORGS LÄN</t>
        </is>
      </c>
      <c r="E3026" t="inlineStr">
        <is>
          <t>NORDANSTIG</t>
        </is>
      </c>
      <c r="F3026" t="inlineStr">
        <is>
          <t>Holmen skog AB</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30978-2024</t>
        </is>
      </c>
      <c r="B3027" s="1" t="n">
        <v>45499.48480324074</v>
      </c>
      <c r="C3027" s="1" t="n">
        <v>45883</v>
      </c>
      <c r="D3027" t="inlineStr">
        <is>
          <t>GÄVLEBORGS LÄN</t>
        </is>
      </c>
      <c r="E3027" t="inlineStr">
        <is>
          <t>NORDANSTIG</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30981-2024</t>
        </is>
      </c>
      <c r="B3028" s="1" t="n">
        <v>45499.49630787037</v>
      </c>
      <c r="C3028" s="1" t="n">
        <v>45883</v>
      </c>
      <c r="D3028" t="inlineStr">
        <is>
          <t>GÄVLEBORGS LÄN</t>
        </is>
      </c>
      <c r="E3028" t="inlineStr">
        <is>
          <t>HUDIKSVALL</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30982-2024</t>
        </is>
      </c>
      <c r="B3029" s="1" t="n">
        <v>45499.50350694444</v>
      </c>
      <c r="C3029" s="1" t="n">
        <v>45883</v>
      </c>
      <c r="D3029" t="inlineStr">
        <is>
          <t>GÄVLEBORGS LÄN</t>
        </is>
      </c>
      <c r="E3029" t="inlineStr">
        <is>
          <t>HUDIKSVALL</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28810-2024</t>
        </is>
      </c>
      <c r="B3030" s="1" t="n">
        <v>45478.63699074074</v>
      </c>
      <c r="C3030" s="1" t="n">
        <v>45883</v>
      </c>
      <c r="D3030" t="inlineStr">
        <is>
          <t>GÄVLEBORGS LÄN</t>
        </is>
      </c>
      <c r="E3030" t="inlineStr">
        <is>
          <t>BOLLNÄS</t>
        </is>
      </c>
      <c r="F3030" t="inlineStr">
        <is>
          <t>Bergvik skog väst AB</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30187-2024</t>
        </is>
      </c>
      <c r="B3031" s="1" t="n">
        <v>45490.27436342592</v>
      </c>
      <c r="C3031" s="1" t="n">
        <v>45883</v>
      </c>
      <c r="D3031" t="inlineStr">
        <is>
          <t>GÄVLEBORGS LÄN</t>
        </is>
      </c>
      <c r="E3031" t="inlineStr">
        <is>
          <t>BOLLNÄS</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46278-2020</t>
        </is>
      </c>
      <c r="B3032" s="1" t="n">
        <v>44092</v>
      </c>
      <c r="C3032" s="1" t="n">
        <v>45883</v>
      </c>
      <c r="D3032" t="inlineStr">
        <is>
          <t>GÄVLEBORGS LÄN</t>
        </is>
      </c>
      <c r="E3032" t="inlineStr">
        <is>
          <t>HOFORS</t>
        </is>
      </c>
      <c r="F3032" t="inlineStr">
        <is>
          <t>Sveaskog</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46293-2020</t>
        </is>
      </c>
      <c r="B3033" s="1" t="n">
        <v>44092</v>
      </c>
      <c r="C3033" s="1" t="n">
        <v>45883</v>
      </c>
      <c r="D3033" t="inlineStr">
        <is>
          <t>GÄVLEBORGS LÄN</t>
        </is>
      </c>
      <c r="E3033" t="inlineStr">
        <is>
          <t>LJUSDAL</t>
        </is>
      </c>
      <c r="F3033" t="inlineStr">
        <is>
          <t>Sveaskog</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19652-2024</t>
        </is>
      </c>
      <c r="B3034" s="1" t="n">
        <v>45432.44259259259</v>
      </c>
      <c r="C3034" s="1" t="n">
        <v>45883</v>
      </c>
      <c r="D3034" t="inlineStr">
        <is>
          <t>GÄVLEBORGS LÄN</t>
        </is>
      </c>
      <c r="E3034" t="inlineStr">
        <is>
          <t>SÖDERHAMN</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19656-2024</t>
        </is>
      </c>
      <c r="B3035" s="1" t="n">
        <v>45432.45020833334</v>
      </c>
      <c r="C3035" s="1" t="n">
        <v>45883</v>
      </c>
      <c r="D3035" t="inlineStr">
        <is>
          <t>GÄVLEBORGS LÄN</t>
        </is>
      </c>
      <c r="E3035" t="inlineStr">
        <is>
          <t>OVANÅKER</t>
        </is>
      </c>
      <c r="G3035" t="n">
        <v>9.4</v>
      </c>
      <c r="H3035" t="n">
        <v>0</v>
      </c>
      <c r="I3035" t="n">
        <v>0</v>
      </c>
      <c r="J3035" t="n">
        <v>0</v>
      </c>
      <c r="K3035" t="n">
        <v>0</v>
      </c>
      <c r="L3035" t="n">
        <v>0</v>
      </c>
      <c r="M3035" t="n">
        <v>0</v>
      </c>
      <c r="N3035" t="n">
        <v>0</v>
      </c>
      <c r="O3035" t="n">
        <v>0</v>
      </c>
      <c r="P3035" t="n">
        <v>0</v>
      </c>
      <c r="Q3035" t="n">
        <v>0</v>
      </c>
      <c r="R3035" s="2" t="inlineStr"/>
    </row>
    <row r="3036" ht="15" customHeight="1">
      <c r="A3036" t="inlineStr">
        <is>
          <t>A 6467-2024</t>
        </is>
      </c>
      <c r="B3036" s="1" t="n">
        <v>45338.92774305555</v>
      </c>
      <c r="C3036" s="1" t="n">
        <v>45883</v>
      </c>
      <c r="D3036" t="inlineStr">
        <is>
          <t>GÄVLEBORGS LÄN</t>
        </is>
      </c>
      <c r="E3036" t="inlineStr">
        <is>
          <t>NORDANSTIG</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34440-2023</t>
        </is>
      </c>
      <c r="B3037" s="1" t="n">
        <v>45139.65960648148</v>
      </c>
      <c r="C3037" s="1" t="n">
        <v>45883</v>
      </c>
      <c r="D3037" t="inlineStr">
        <is>
          <t>GÄVLEBORGS LÄN</t>
        </is>
      </c>
      <c r="E3037" t="inlineStr">
        <is>
          <t>OCKELBO</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39249-2024</t>
        </is>
      </c>
      <c r="B3038" s="1" t="n">
        <v>45551.31310185185</v>
      </c>
      <c r="C3038" s="1" t="n">
        <v>45883</v>
      </c>
      <c r="D3038" t="inlineStr">
        <is>
          <t>GÄVLEBORGS LÄN</t>
        </is>
      </c>
      <c r="E3038" t="inlineStr">
        <is>
          <t>OVANÅKER</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51122-2022</t>
        </is>
      </c>
      <c r="B3039" s="1" t="n">
        <v>44868.46877314815</v>
      </c>
      <c r="C3039" s="1" t="n">
        <v>45883</v>
      </c>
      <c r="D3039" t="inlineStr">
        <is>
          <t>GÄVLEBORGS LÄN</t>
        </is>
      </c>
      <c r="E3039" t="inlineStr">
        <is>
          <t>OVANÅKER</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55460-2024</t>
        </is>
      </c>
      <c r="B3040" s="1" t="n">
        <v>45622</v>
      </c>
      <c r="C3040" s="1" t="n">
        <v>45883</v>
      </c>
      <c r="D3040" t="inlineStr">
        <is>
          <t>GÄVLEBORGS LÄN</t>
        </is>
      </c>
      <c r="E3040" t="inlineStr">
        <is>
          <t>HUDIKSVALL</t>
        </is>
      </c>
      <c r="F3040" t="inlineStr">
        <is>
          <t>Holmen skog AB</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29905-2024</t>
        </is>
      </c>
      <c r="B3041" s="1" t="n">
        <v>45487</v>
      </c>
      <c r="C3041" s="1" t="n">
        <v>45883</v>
      </c>
      <c r="D3041" t="inlineStr">
        <is>
          <t>GÄVLEBORGS LÄN</t>
        </is>
      </c>
      <c r="E3041" t="inlineStr">
        <is>
          <t>HUDIKSVALL</t>
        </is>
      </c>
      <c r="F3041" t="inlineStr">
        <is>
          <t>Holmen skog AB</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29934-2024</t>
        </is>
      </c>
      <c r="B3042" s="1" t="n">
        <v>45488.40883101852</v>
      </c>
      <c r="C3042" s="1" t="n">
        <v>45883</v>
      </c>
      <c r="D3042" t="inlineStr">
        <is>
          <t>GÄVLEBORGS LÄN</t>
        </is>
      </c>
      <c r="E3042" t="inlineStr">
        <is>
          <t>LJUSDAL</t>
        </is>
      </c>
      <c r="F3042" t="inlineStr">
        <is>
          <t>Bergvik skog väst AB</t>
        </is>
      </c>
      <c r="G3042" t="n">
        <v>13.9</v>
      </c>
      <c r="H3042" t="n">
        <v>0</v>
      </c>
      <c r="I3042" t="n">
        <v>0</v>
      </c>
      <c r="J3042" t="n">
        <v>0</v>
      </c>
      <c r="K3042" t="n">
        <v>0</v>
      </c>
      <c r="L3042" t="n">
        <v>0</v>
      </c>
      <c r="M3042" t="n">
        <v>0</v>
      </c>
      <c r="N3042" t="n">
        <v>0</v>
      </c>
      <c r="O3042" t="n">
        <v>0</v>
      </c>
      <c r="P3042" t="n">
        <v>0</v>
      </c>
      <c r="Q3042" t="n">
        <v>0</v>
      </c>
      <c r="R3042" s="2" t="inlineStr"/>
    </row>
    <row r="3043" ht="15" customHeight="1">
      <c r="A3043" t="inlineStr">
        <is>
          <t>A 29968-2024</t>
        </is>
      </c>
      <c r="B3043" s="1" t="n">
        <v>45488.47298611111</v>
      </c>
      <c r="C3043" s="1" t="n">
        <v>45883</v>
      </c>
      <c r="D3043" t="inlineStr">
        <is>
          <t>GÄVLEBORGS LÄN</t>
        </is>
      </c>
      <c r="E3043" t="inlineStr">
        <is>
          <t>OCKELBO</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45331-2024</t>
        </is>
      </c>
      <c r="B3044" s="1" t="n">
        <v>45576.4566087963</v>
      </c>
      <c r="C3044" s="1" t="n">
        <v>45883</v>
      </c>
      <c r="D3044" t="inlineStr">
        <is>
          <t>GÄVLEBORGS LÄN</t>
        </is>
      </c>
      <c r="E3044" t="inlineStr">
        <is>
          <t>SANDVIKEN</t>
        </is>
      </c>
      <c r="F3044" t="inlineStr">
        <is>
          <t>Bergvik skog öst AB</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27320-2023</t>
        </is>
      </c>
      <c r="B3045" s="1" t="n">
        <v>45096.66672453703</v>
      </c>
      <c r="C3045" s="1" t="n">
        <v>45883</v>
      </c>
      <c r="D3045" t="inlineStr">
        <is>
          <t>GÄVLEBORGS LÄN</t>
        </is>
      </c>
      <c r="E3045" t="inlineStr">
        <is>
          <t>OVANÅKER</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47149-2024</t>
        </is>
      </c>
      <c r="B3046" s="1" t="n">
        <v>45586.59251157408</v>
      </c>
      <c r="C3046" s="1" t="n">
        <v>45883</v>
      </c>
      <c r="D3046" t="inlineStr">
        <is>
          <t>GÄVLEBORGS LÄN</t>
        </is>
      </c>
      <c r="E3046" t="inlineStr">
        <is>
          <t>HUDIKSVALL</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22250-2024</t>
        </is>
      </c>
      <c r="B3047" s="1" t="n">
        <v>45446.45796296297</v>
      </c>
      <c r="C3047" s="1" t="n">
        <v>45883</v>
      </c>
      <c r="D3047" t="inlineStr">
        <is>
          <t>GÄVLEBORGS LÄN</t>
        </is>
      </c>
      <c r="E3047" t="inlineStr">
        <is>
          <t>LJUSDAL</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2911-2024</t>
        </is>
      </c>
      <c r="B3048" s="1" t="n">
        <v>45315</v>
      </c>
      <c r="C3048" s="1" t="n">
        <v>45883</v>
      </c>
      <c r="D3048" t="inlineStr">
        <is>
          <t>GÄVLEBORGS LÄN</t>
        </is>
      </c>
      <c r="E3048" t="inlineStr">
        <is>
          <t>OVANÅKER</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13345-2023</t>
        </is>
      </c>
      <c r="B3049" s="1" t="n">
        <v>45005.45013888889</v>
      </c>
      <c r="C3049" s="1" t="n">
        <v>45883</v>
      </c>
      <c r="D3049" t="inlineStr">
        <is>
          <t>GÄVLEBORGS LÄN</t>
        </is>
      </c>
      <c r="E3049" t="inlineStr">
        <is>
          <t>LJUSDAL</t>
        </is>
      </c>
      <c r="F3049" t="inlineStr">
        <is>
          <t>Holmen skog AB</t>
        </is>
      </c>
      <c r="G3049" t="n">
        <v>17.8</v>
      </c>
      <c r="H3049" t="n">
        <v>0</v>
      </c>
      <c r="I3049" t="n">
        <v>0</v>
      </c>
      <c r="J3049" t="n">
        <v>0</v>
      </c>
      <c r="K3049" t="n">
        <v>0</v>
      </c>
      <c r="L3049" t="n">
        <v>0</v>
      </c>
      <c r="M3049" t="n">
        <v>0</v>
      </c>
      <c r="N3049" t="n">
        <v>0</v>
      </c>
      <c r="O3049" t="n">
        <v>0</v>
      </c>
      <c r="P3049" t="n">
        <v>0</v>
      </c>
      <c r="Q3049" t="n">
        <v>0</v>
      </c>
      <c r="R3049" s="2" t="inlineStr"/>
    </row>
    <row r="3050" ht="15" customHeight="1">
      <c r="A3050" t="inlineStr">
        <is>
          <t>A 26129-2024</t>
        </is>
      </c>
      <c r="B3050" s="1" t="n">
        <v>45468.47239583333</v>
      </c>
      <c r="C3050" s="1" t="n">
        <v>45883</v>
      </c>
      <c r="D3050" t="inlineStr">
        <is>
          <t>GÄVLEBORGS LÄN</t>
        </is>
      </c>
      <c r="E3050" t="inlineStr">
        <is>
          <t>GÄVLE</t>
        </is>
      </c>
      <c r="F3050" t="inlineStr">
        <is>
          <t>Bergvik skog väst AB</t>
        </is>
      </c>
      <c r="G3050" t="n">
        <v>9.9</v>
      </c>
      <c r="H3050" t="n">
        <v>0</v>
      </c>
      <c r="I3050" t="n">
        <v>0</v>
      </c>
      <c r="J3050" t="n">
        <v>0</v>
      </c>
      <c r="K3050" t="n">
        <v>0</v>
      </c>
      <c r="L3050" t="n">
        <v>0</v>
      </c>
      <c r="M3050" t="n">
        <v>0</v>
      </c>
      <c r="N3050" t="n">
        <v>0</v>
      </c>
      <c r="O3050" t="n">
        <v>0</v>
      </c>
      <c r="P3050" t="n">
        <v>0</v>
      </c>
      <c r="Q3050" t="n">
        <v>0</v>
      </c>
      <c r="R3050" s="2" t="inlineStr"/>
    </row>
    <row r="3051" ht="15" customHeight="1">
      <c r="A3051" t="inlineStr">
        <is>
          <t>A 29061-2024</t>
        </is>
      </c>
      <c r="B3051" s="1" t="n">
        <v>45481.66096064815</v>
      </c>
      <c r="C3051" s="1" t="n">
        <v>45883</v>
      </c>
      <c r="D3051" t="inlineStr">
        <is>
          <t>GÄVLEBORGS LÄN</t>
        </is>
      </c>
      <c r="E3051" t="inlineStr">
        <is>
          <t>BOLLNÄS</t>
        </is>
      </c>
      <c r="F3051" t="inlineStr">
        <is>
          <t>Bergvik skog väst AB</t>
        </is>
      </c>
      <c r="G3051" t="n">
        <v>7.1</v>
      </c>
      <c r="H3051" t="n">
        <v>0</v>
      </c>
      <c r="I3051" t="n">
        <v>0</v>
      </c>
      <c r="J3051" t="n">
        <v>0</v>
      </c>
      <c r="K3051" t="n">
        <v>0</v>
      </c>
      <c r="L3051" t="n">
        <v>0</v>
      </c>
      <c r="M3051" t="n">
        <v>0</v>
      </c>
      <c r="N3051" t="n">
        <v>0</v>
      </c>
      <c r="O3051" t="n">
        <v>0</v>
      </c>
      <c r="P3051" t="n">
        <v>0</v>
      </c>
      <c r="Q3051" t="n">
        <v>0</v>
      </c>
      <c r="R3051" s="2" t="inlineStr"/>
    </row>
    <row r="3052" ht="15" customHeight="1">
      <c r="A3052" t="inlineStr">
        <is>
          <t>A 12018-2024</t>
        </is>
      </c>
      <c r="B3052" s="1" t="n">
        <v>45377.36298611111</v>
      </c>
      <c r="C3052" s="1" t="n">
        <v>45883</v>
      </c>
      <c r="D3052" t="inlineStr">
        <is>
          <t>GÄVLEBORGS LÄN</t>
        </is>
      </c>
      <c r="E3052" t="inlineStr">
        <is>
          <t>BOLLNÄS</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13141-2024</t>
        </is>
      </c>
      <c r="B3053" s="1" t="n">
        <v>45386.34681712963</v>
      </c>
      <c r="C3053" s="1" t="n">
        <v>45883</v>
      </c>
      <c r="D3053" t="inlineStr">
        <is>
          <t>GÄVLEBORGS LÄN</t>
        </is>
      </c>
      <c r="E3053" t="inlineStr">
        <is>
          <t>OVANÅKER</t>
        </is>
      </c>
      <c r="G3053" t="n">
        <v>4.6</v>
      </c>
      <c r="H3053" t="n">
        <v>0</v>
      </c>
      <c r="I3053" t="n">
        <v>0</v>
      </c>
      <c r="J3053" t="n">
        <v>0</v>
      </c>
      <c r="K3053" t="n">
        <v>0</v>
      </c>
      <c r="L3053" t="n">
        <v>0</v>
      </c>
      <c r="M3053" t="n">
        <v>0</v>
      </c>
      <c r="N3053" t="n">
        <v>0</v>
      </c>
      <c r="O3053" t="n">
        <v>0</v>
      </c>
      <c r="P3053" t="n">
        <v>0</v>
      </c>
      <c r="Q3053" t="n">
        <v>0</v>
      </c>
      <c r="R3053" s="2" t="inlineStr"/>
    </row>
    <row r="3054" ht="15" customHeight="1">
      <c r="A3054" t="inlineStr">
        <is>
          <t>A 5850-2023</t>
        </is>
      </c>
      <c r="B3054" s="1" t="n">
        <v>44963.58248842593</v>
      </c>
      <c r="C3054" s="1" t="n">
        <v>45883</v>
      </c>
      <c r="D3054" t="inlineStr">
        <is>
          <t>GÄVLEBORGS LÄN</t>
        </is>
      </c>
      <c r="E3054" t="inlineStr">
        <is>
          <t>LJUSDAL</t>
        </is>
      </c>
      <c r="F3054" t="inlineStr">
        <is>
          <t>Allmännings- och besparingsskogar</t>
        </is>
      </c>
      <c r="G3054" t="n">
        <v>20.5</v>
      </c>
      <c r="H3054" t="n">
        <v>0</v>
      </c>
      <c r="I3054" t="n">
        <v>0</v>
      </c>
      <c r="J3054" t="n">
        <v>0</v>
      </c>
      <c r="K3054" t="n">
        <v>0</v>
      </c>
      <c r="L3054" t="n">
        <v>0</v>
      </c>
      <c r="M3054" t="n">
        <v>0</v>
      </c>
      <c r="N3054" t="n">
        <v>0</v>
      </c>
      <c r="O3054" t="n">
        <v>0</v>
      </c>
      <c r="P3054" t="n">
        <v>0</v>
      </c>
      <c r="Q3054" t="n">
        <v>0</v>
      </c>
      <c r="R3054" s="2" t="inlineStr"/>
    </row>
    <row r="3055" ht="15" customHeight="1">
      <c r="A3055" t="inlineStr">
        <is>
          <t>A 5853-2023</t>
        </is>
      </c>
      <c r="B3055" s="1" t="n">
        <v>44963.58543981481</v>
      </c>
      <c r="C3055" s="1" t="n">
        <v>45883</v>
      </c>
      <c r="D3055" t="inlineStr">
        <is>
          <t>GÄVLEBORGS LÄN</t>
        </is>
      </c>
      <c r="E3055" t="inlineStr">
        <is>
          <t>LJUSDAL</t>
        </is>
      </c>
      <c r="F3055" t="inlineStr">
        <is>
          <t>Allmännings- och besparingsskogar</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5856-2023</t>
        </is>
      </c>
      <c r="B3056" s="1" t="n">
        <v>44963.58771990741</v>
      </c>
      <c r="C3056" s="1" t="n">
        <v>45883</v>
      </c>
      <c r="D3056" t="inlineStr">
        <is>
          <t>GÄVLEBORGS LÄN</t>
        </is>
      </c>
      <c r="E3056" t="inlineStr">
        <is>
          <t>LJUSDAL</t>
        </is>
      </c>
      <c r="F3056" t="inlineStr">
        <is>
          <t>Allmännings- och besparingsskogar</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58820-2022</t>
        </is>
      </c>
      <c r="B3057" s="1" t="n">
        <v>44903</v>
      </c>
      <c r="C3057" s="1" t="n">
        <v>45883</v>
      </c>
      <c r="D3057" t="inlineStr">
        <is>
          <t>GÄVLEBORGS LÄN</t>
        </is>
      </c>
      <c r="E3057" t="inlineStr">
        <is>
          <t>LJUSDAL</t>
        </is>
      </c>
      <c r="F3057" t="inlineStr">
        <is>
          <t>Kyrkan</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10123-2024</t>
        </is>
      </c>
      <c r="B3058" s="1" t="n">
        <v>45364.56289351852</v>
      </c>
      <c r="C3058" s="1" t="n">
        <v>45883</v>
      </c>
      <c r="D3058" t="inlineStr">
        <is>
          <t>GÄVLEBORGS LÄN</t>
        </is>
      </c>
      <c r="E3058" t="inlineStr">
        <is>
          <t>BOLLNÄS</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12437-2024</t>
        </is>
      </c>
      <c r="B3059" s="1" t="n">
        <v>45379.44809027778</v>
      </c>
      <c r="C3059" s="1" t="n">
        <v>45883</v>
      </c>
      <c r="D3059" t="inlineStr">
        <is>
          <t>GÄVLEBORGS LÄN</t>
        </is>
      </c>
      <c r="E3059" t="inlineStr">
        <is>
          <t>GÄVLE</t>
        </is>
      </c>
      <c r="F3059" t="inlineStr">
        <is>
          <t>Bergvik skog öst AB</t>
        </is>
      </c>
      <c r="G3059" t="n">
        <v>7.4</v>
      </c>
      <c r="H3059" t="n">
        <v>0</v>
      </c>
      <c r="I3059" t="n">
        <v>0</v>
      </c>
      <c r="J3059" t="n">
        <v>0</v>
      </c>
      <c r="K3059" t="n">
        <v>0</v>
      </c>
      <c r="L3059" t="n">
        <v>0</v>
      </c>
      <c r="M3059" t="n">
        <v>0</v>
      </c>
      <c r="N3059" t="n">
        <v>0</v>
      </c>
      <c r="O3059" t="n">
        <v>0</v>
      </c>
      <c r="P3059" t="n">
        <v>0</v>
      </c>
      <c r="Q3059" t="n">
        <v>0</v>
      </c>
      <c r="R3059" s="2" t="inlineStr"/>
    </row>
    <row r="3060" ht="15" customHeight="1">
      <c r="A3060" t="inlineStr">
        <is>
          <t>A 32859-2024</t>
        </is>
      </c>
      <c r="B3060" s="1" t="n">
        <v>45516.64608796296</v>
      </c>
      <c r="C3060" s="1" t="n">
        <v>45883</v>
      </c>
      <c r="D3060" t="inlineStr">
        <is>
          <t>GÄVLEBORGS LÄN</t>
        </is>
      </c>
      <c r="E3060" t="inlineStr">
        <is>
          <t>BOLLNÄS</t>
        </is>
      </c>
      <c r="F3060" t="inlineStr">
        <is>
          <t>Sveaskog</t>
        </is>
      </c>
      <c r="G3060" t="n">
        <v>0.3</v>
      </c>
      <c r="H3060" t="n">
        <v>0</v>
      </c>
      <c r="I3060" t="n">
        <v>0</v>
      </c>
      <c r="J3060" t="n">
        <v>0</v>
      </c>
      <c r="K3060" t="n">
        <v>0</v>
      </c>
      <c r="L3060" t="n">
        <v>0</v>
      </c>
      <c r="M3060" t="n">
        <v>0</v>
      </c>
      <c r="N3060" t="n">
        <v>0</v>
      </c>
      <c r="O3060" t="n">
        <v>0</v>
      </c>
      <c r="P3060" t="n">
        <v>0</v>
      </c>
      <c r="Q3060" t="n">
        <v>0</v>
      </c>
      <c r="R3060" s="2" t="inlineStr"/>
    </row>
    <row r="3061" ht="15" customHeight="1">
      <c r="A3061" t="inlineStr">
        <is>
          <t>A 45179-2024</t>
        </is>
      </c>
      <c r="B3061" s="1" t="n">
        <v>45575.66247685185</v>
      </c>
      <c r="C3061" s="1" t="n">
        <v>45883</v>
      </c>
      <c r="D3061" t="inlineStr">
        <is>
          <t>GÄVLEBORGS LÄN</t>
        </is>
      </c>
      <c r="E3061" t="inlineStr">
        <is>
          <t>HUDIKSVALL</t>
        </is>
      </c>
      <c r="F3061" t="inlineStr">
        <is>
          <t>Holmen skog AB</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46669-2024</t>
        </is>
      </c>
      <c r="B3062" s="1" t="n">
        <v>45583.3762037037</v>
      </c>
      <c r="C3062" s="1" t="n">
        <v>45883</v>
      </c>
      <c r="D3062" t="inlineStr">
        <is>
          <t>GÄVLEBORGS LÄN</t>
        </is>
      </c>
      <c r="E3062" t="inlineStr">
        <is>
          <t>BOLLNÄS</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25357-2023</t>
        </is>
      </c>
      <c r="B3063" s="1" t="n">
        <v>45087.9609837963</v>
      </c>
      <c r="C3063" s="1" t="n">
        <v>45883</v>
      </c>
      <c r="D3063" t="inlineStr">
        <is>
          <t>GÄVLEBORGS LÄN</t>
        </is>
      </c>
      <c r="E3063" t="inlineStr">
        <is>
          <t>SANDVIKEN</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24372-2023</t>
        </is>
      </c>
      <c r="B3064" s="1" t="n">
        <v>45082</v>
      </c>
      <c r="C3064" s="1" t="n">
        <v>45883</v>
      </c>
      <c r="D3064" t="inlineStr">
        <is>
          <t>GÄVLEBORGS LÄN</t>
        </is>
      </c>
      <c r="E3064" t="inlineStr">
        <is>
          <t>HUDIKSVALL</t>
        </is>
      </c>
      <c r="G3064" t="n">
        <v>5.9</v>
      </c>
      <c r="H3064" t="n">
        <v>0</v>
      </c>
      <c r="I3064" t="n">
        <v>0</v>
      </c>
      <c r="J3064" t="n">
        <v>0</v>
      </c>
      <c r="K3064" t="n">
        <v>0</v>
      </c>
      <c r="L3064" t="n">
        <v>0</v>
      </c>
      <c r="M3064" t="n">
        <v>0</v>
      </c>
      <c r="N3064" t="n">
        <v>0</v>
      </c>
      <c r="O3064" t="n">
        <v>0</v>
      </c>
      <c r="P3064" t="n">
        <v>0</v>
      </c>
      <c r="Q3064" t="n">
        <v>0</v>
      </c>
      <c r="R3064" s="2" t="inlineStr"/>
    </row>
    <row r="3065" ht="15" customHeight="1">
      <c r="A3065" t="inlineStr">
        <is>
          <t>A 20456-2024</t>
        </is>
      </c>
      <c r="B3065" s="1" t="n">
        <v>45435.6531712963</v>
      </c>
      <c r="C3065" s="1" t="n">
        <v>45883</v>
      </c>
      <c r="D3065" t="inlineStr">
        <is>
          <t>GÄVLEBORGS LÄN</t>
        </is>
      </c>
      <c r="E3065" t="inlineStr">
        <is>
          <t>SÖDERHAMN</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41701-2023</t>
        </is>
      </c>
      <c r="B3066" s="1" t="n">
        <v>45176.37850694444</v>
      </c>
      <c r="C3066" s="1" t="n">
        <v>45883</v>
      </c>
      <c r="D3066" t="inlineStr">
        <is>
          <t>GÄVLEBORGS LÄN</t>
        </is>
      </c>
      <c r="E3066" t="inlineStr">
        <is>
          <t>NORDANSTIG</t>
        </is>
      </c>
      <c r="F3066" t="inlineStr">
        <is>
          <t>Holmen skog AB</t>
        </is>
      </c>
      <c r="G3066" t="n">
        <v>5.6</v>
      </c>
      <c r="H3066" t="n">
        <v>0</v>
      </c>
      <c r="I3066" t="n">
        <v>0</v>
      </c>
      <c r="J3066" t="n">
        <v>0</v>
      </c>
      <c r="K3066" t="n">
        <v>0</v>
      </c>
      <c r="L3066" t="n">
        <v>0</v>
      </c>
      <c r="M3066" t="n">
        <v>0</v>
      </c>
      <c r="N3066" t="n">
        <v>0</v>
      </c>
      <c r="O3066" t="n">
        <v>0</v>
      </c>
      <c r="P3066" t="n">
        <v>0</v>
      </c>
      <c r="Q3066" t="n">
        <v>0</v>
      </c>
      <c r="R3066" s="2" t="inlineStr"/>
    </row>
    <row r="3067" ht="15" customHeight="1">
      <c r="A3067" t="inlineStr">
        <is>
          <t>A 41100-2024</t>
        </is>
      </c>
      <c r="B3067" s="1" t="n">
        <v>45559</v>
      </c>
      <c r="C3067" s="1" t="n">
        <v>45883</v>
      </c>
      <c r="D3067" t="inlineStr">
        <is>
          <t>GÄVLEBORGS LÄN</t>
        </is>
      </c>
      <c r="E3067" t="inlineStr">
        <is>
          <t>GÄVLE</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41020-2023</t>
        </is>
      </c>
      <c r="B3068" s="1" t="n">
        <v>45173.59236111111</v>
      </c>
      <c r="C3068" s="1" t="n">
        <v>45883</v>
      </c>
      <c r="D3068" t="inlineStr">
        <is>
          <t>GÄVLEBORGS LÄN</t>
        </is>
      </c>
      <c r="E3068" t="inlineStr">
        <is>
          <t>HOFORS</t>
        </is>
      </c>
      <c r="F3068" t="inlineStr">
        <is>
          <t>Sveaskog</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56933-2024</t>
        </is>
      </c>
      <c r="B3069" s="1" t="n">
        <v>45628</v>
      </c>
      <c r="C3069" s="1" t="n">
        <v>45883</v>
      </c>
      <c r="D3069" t="inlineStr">
        <is>
          <t>GÄVLEBORGS LÄN</t>
        </is>
      </c>
      <c r="E3069" t="inlineStr">
        <is>
          <t>SÖDERHAMN</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68516-2021</t>
        </is>
      </c>
      <c r="B3070" s="1" t="n">
        <v>44526</v>
      </c>
      <c r="C3070" s="1" t="n">
        <v>45883</v>
      </c>
      <c r="D3070" t="inlineStr">
        <is>
          <t>GÄVLEBORGS LÄN</t>
        </is>
      </c>
      <c r="E3070" t="inlineStr">
        <is>
          <t>BOLLNÄS</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34735-2024</t>
        </is>
      </c>
      <c r="B3071" s="1" t="n">
        <v>45526.58457175926</v>
      </c>
      <c r="C3071" s="1" t="n">
        <v>45883</v>
      </c>
      <c r="D3071" t="inlineStr">
        <is>
          <t>GÄVLEBORGS LÄN</t>
        </is>
      </c>
      <c r="E3071" t="inlineStr">
        <is>
          <t>NORDANSTIG</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30701-2024</t>
        </is>
      </c>
      <c r="B3072" s="1" t="n">
        <v>45496.36615740741</v>
      </c>
      <c r="C3072" s="1" t="n">
        <v>45883</v>
      </c>
      <c r="D3072" t="inlineStr">
        <is>
          <t>GÄVLEBORGS LÄN</t>
        </is>
      </c>
      <c r="E3072" t="inlineStr">
        <is>
          <t>HUDIKSVALL</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41318-2024</t>
        </is>
      </c>
      <c r="B3073" s="1" t="n">
        <v>45559.63951388889</v>
      </c>
      <c r="C3073" s="1" t="n">
        <v>45883</v>
      </c>
      <c r="D3073" t="inlineStr">
        <is>
          <t>GÄVLEBORGS LÄN</t>
        </is>
      </c>
      <c r="E3073" t="inlineStr">
        <is>
          <t>NORDANSTIG</t>
        </is>
      </c>
      <c r="F3073" t="inlineStr">
        <is>
          <t>Holmen skog AB</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30503-2024</t>
        </is>
      </c>
      <c r="B3074" s="1" t="n">
        <v>45492</v>
      </c>
      <c r="C3074" s="1" t="n">
        <v>45883</v>
      </c>
      <c r="D3074" t="inlineStr">
        <is>
          <t>GÄVLEBORGS LÄN</t>
        </is>
      </c>
      <c r="E3074" t="inlineStr">
        <is>
          <t>LJUSDAL</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40745-2024</t>
        </is>
      </c>
      <c r="B3075" s="1" t="n">
        <v>45558.45087962963</v>
      </c>
      <c r="C3075" s="1" t="n">
        <v>45883</v>
      </c>
      <c r="D3075" t="inlineStr">
        <is>
          <t>GÄVLEBORGS LÄN</t>
        </is>
      </c>
      <c r="E3075" t="inlineStr">
        <is>
          <t>SANDVIKEN</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33389-2024</t>
        </is>
      </c>
      <c r="B3076" s="1" t="n">
        <v>45519.47418981481</v>
      </c>
      <c r="C3076" s="1" t="n">
        <v>45883</v>
      </c>
      <c r="D3076" t="inlineStr">
        <is>
          <t>GÄVLEBORGS LÄN</t>
        </is>
      </c>
      <c r="E3076" t="inlineStr">
        <is>
          <t>LJUSDAL</t>
        </is>
      </c>
      <c r="F3076" t="inlineStr">
        <is>
          <t>Sveaskog</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58900-2024</t>
        </is>
      </c>
      <c r="B3077" s="1" t="n">
        <v>45636.47081018519</v>
      </c>
      <c r="C3077" s="1" t="n">
        <v>45883</v>
      </c>
      <c r="D3077" t="inlineStr">
        <is>
          <t>GÄVLEBORGS LÄN</t>
        </is>
      </c>
      <c r="E3077" t="inlineStr">
        <is>
          <t>LJUSDAL</t>
        </is>
      </c>
      <c r="G3077" t="n">
        <v>9.9</v>
      </c>
      <c r="H3077" t="n">
        <v>0</v>
      </c>
      <c r="I3077" t="n">
        <v>0</v>
      </c>
      <c r="J3077" t="n">
        <v>0</v>
      </c>
      <c r="K3077" t="n">
        <v>0</v>
      </c>
      <c r="L3077" t="n">
        <v>0</v>
      </c>
      <c r="M3077" t="n">
        <v>0</v>
      </c>
      <c r="N3077" t="n">
        <v>0</v>
      </c>
      <c r="O3077" t="n">
        <v>0</v>
      </c>
      <c r="P3077" t="n">
        <v>0</v>
      </c>
      <c r="Q3077" t="n">
        <v>0</v>
      </c>
      <c r="R3077" s="2" t="inlineStr"/>
    </row>
    <row r="3078" ht="15" customHeight="1">
      <c r="A3078" t="inlineStr">
        <is>
          <t>A 44376-2020</t>
        </is>
      </c>
      <c r="B3078" s="1" t="n">
        <v>44084</v>
      </c>
      <c r="C3078" s="1" t="n">
        <v>45883</v>
      </c>
      <c r="D3078" t="inlineStr">
        <is>
          <t>GÄVLEBORGS LÄN</t>
        </is>
      </c>
      <c r="E3078" t="inlineStr">
        <is>
          <t>LJUSDAL</t>
        </is>
      </c>
      <c r="F3078" t="inlineStr">
        <is>
          <t>Holmen skog AB</t>
        </is>
      </c>
      <c r="G3078" t="n">
        <v>4.7</v>
      </c>
      <c r="H3078" t="n">
        <v>0</v>
      </c>
      <c r="I3078" t="n">
        <v>0</v>
      </c>
      <c r="J3078" t="n">
        <v>0</v>
      </c>
      <c r="K3078" t="n">
        <v>0</v>
      </c>
      <c r="L3078" t="n">
        <v>0</v>
      </c>
      <c r="M3078" t="n">
        <v>0</v>
      </c>
      <c r="N3078" t="n">
        <v>0</v>
      </c>
      <c r="O3078" t="n">
        <v>0</v>
      </c>
      <c r="P3078" t="n">
        <v>0</v>
      </c>
      <c r="Q3078" t="n">
        <v>0</v>
      </c>
      <c r="R3078" s="2" t="inlineStr"/>
    </row>
    <row r="3079" ht="15" customHeight="1">
      <c r="A3079" t="inlineStr">
        <is>
          <t>A 33802-2023</t>
        </is>
      </c>
      <c r="B3079" s="1" t="n">
        <v>45133.57393518519</v>
      </c>
      <c r="C3079" s="1" t="n">
        <v>45883</v>
      </c>
      <c r="D3079" t="inlineStr">
        <is>
          <t>GÄVLEBORGS LÄN</t>
        </is>
      </c>
      <c r="E3079" t="inlineStr">
        <is>
          <t>LJUSDAL</t>
        </is>
      </c>
      <c r="F3079" t="inlineStr">
        <is>
          <t>Bergvik skog väst AB</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53213-2022</t>
        </is>
      </c>
      <c r="B3080" s="1" t="n">
        <v>44876.60974537037</v>
      </c>
      <c r="C3080" s="1" t="n">
        <v>45883</v>
      </c>
      <c r="D3080" t="inlineStr">
        <is>
          <t>GÄVLEBORGS LÄN</t>
        </is>
      </c>
      <c r="E3080" t="inlineStr">
        <is>
          <t>OVANÅKER</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47108-2024</t>
        </is>
      </c>
      <c r="B3081" s="1" t="n">
        <v>45586.55236111111</v>
      </c>
      <c r="C3081" s="1" t="n">
        <v>45883</v>
      </c>
      <c r="D3081" t="inlineStr">
        <is>
          <t>GÄVLEBORGS LÄN</t>
        </is>
      </c>
      <c r="E3081" t="inlineStr">
        <is>
          <t>GÄVLE</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9026-2023</t>
        </is>
      </c>
      <c r="B3082" s="1" t="n">
        <v>44979.62972222222</v>
      </c>
      <c r="C3082" s="1" t="n">
        <v>45883</v>
      </c>
      <c r="D3082" t="inlineStr">
        <is>
          <t>GÄVLEBORGS LÄN</t>
        </is>
      </c>
      <c r="E3082" t="inlineStr">
        <is>
          <t>HUDIKSVALL</t>
        </is>
      </c>
      <c r="F3082" t="inlineStr">
        <is>
          <t>Holmen skog AB</t>
        </is>
      </c>
      <c r="G3082" t="n">
        <v>10</v>
      </c>
      <c r="H3082" t="n">
        <v>0</v>
      </c>
      <c r="I3082" t="n">
        <v>0</v>
      </c>
      <c r="J3082" t="n">
        <v>0</v>
      </c>
      <c r="K3082" t="n">
        <v>0</v>
      </c>
      <c r="L3082" t="n">
        <v>0</v>
      </c>
      <c r="M3082" t="n">
        <v>0</v>
      </c>
      <c r="N3082" t="n">
        <v>0</v>
      </c>
      <c r="O3082" t="n">
        <v>0</v>
      </c>
      <c r="P3082" t="n">
        <v>0</v>
      </c>
      <c r="Q3082" t="n">
        <v>0</v>
      </c>
      <c r="R3082" s="2" t="inlineStr"/>
    </row>
    <row r="3083" ht="15" customHeight="1">
      <c r="A3083" t="inlineStr">
        <is>
          <t>A 5622-2025</t>
        </is>
      </c>
      <c r="B3083" s="1" t="n">
        <v>45693.63630787037</v>
      </c>
      <c r="C3083" s="1" t="n">
        <v>45883</v>
      </c>
      <c r="D3083" t="inlineStr">
        <is>
          <t>GÄVLEBORGS LÄN</t>
        </is>
      </c>
      <c r="E3083" t="inlineStr">
        <is>
          <t>HUDIKSVALL</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321-2024</t>
        </is>
      </c>
      <c r="B3084" s="1" t="n">
        <v>45295</v>
      </c>
      <c r="C3084" s="1" t="n">
        <v>45883</v>
      </c>
      <c r="D3084" t="inlineStr">
        <is>
          <t>GÄVLEBORGS LÄN</t>
        </is>
      </c>
      <c r="E3084" t="inlineStr">
        <is>
          <t>NORDANSTIG</t>
        </is>
      </c>
      <c r="F3084" t="inlineStr">
        <is>
          <t>Holmen skog AB</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6095-2024</t>
        </is>
      </c>
      <c r="B3085" s="1" t="n">
        <v>45337</v>
      </c>
      <c r="C3085" s="1" t="n">
        <v>45883</v>
      </c>
      <c r="D3085" t="inlineStr">
        <is>
          <t>GÄVLEBORGS LÄN</t>
        </is>
      </c>
      <c r="E3085" t="inlineStr">
        <is>
          <t>HUDIKSVALL</t>
        </is>
      </c>
      <c r="F3085" t="inlineStr">
        <is>
          <t>Holmen skog AB</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6730-2024</t>
        </is>
      </c>
      <c r="B3086" s="1" t="n">
        <v>45342.38497685185</v>
      </c>
      <c r="C3086" s="1" t="n">
        <v>45883</v>
      </c>
      <c r="D3086" t="inlineStr">
        <is>
          <t>GÄVLEBORGS LÄN</t>
        </is>
      </c>
      <c r="E3086" t="inlineStr">
        <is>
          <t>HUDIKSVALL</t>
        </is>
      </c>
      <c r="G3086" t="n">
        <v>6.4</v>
      </c>
      <c r="H3086" t="n">
        <v>0</v>
      </c>
      <c r="I3086" t="n">
        <v>0</v>
      </c>
      <c r="J3086" t="n">
        <v>0</v>
      </c>
      <c r="K3086" t="n">
        <v>0</v>
      </c>
      <c r="L3086" t="n">
        <v>0</v>
      </c>
      <c r="M3086" t="n">
        <v>0</v>
      </c>
      <c r="N3086" t="n">
        <v>0</v>
      </c>
      <c r="O3086" t="n">
        <v>0</v>
      </c>
      <c r="P3086" t="n">
        <v>0</v>
      </c>
      <c r="Q3086" t="n">
        <v>0</v>
      </c>
      <c r="R3086" s="2" t="inlineStr"/>
    </row>
    <row r="3087" ht="15" customHeight="1">
      <c r="A3087" t="inlineStr">
        <is>
          <t>A 21251-2023</t>
        </is>
      </c>
      <c r="B3087" s="1" t="n">
        <v>45062</v>
      </c>
      <c r="C3087" s="1" t="n">
        <v>45883</v>
      </c>
      <c r="D3087" t="inlineStr">
        <is>
          <t>GÄVLEBORGS LÄN</t>
        </is>
      </c>
      <c r="E3087" t="inlineStr">
        <is>
          <t>HUDIKSVALL</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46960-2022</t>
        </is>
      </c>
      <c r="B3088" s="1" t="n">
        <v>44851.94489583333</v>
      </c>
      <c r="C3088" s="1" t="n">
        <v>45883</v>
      </c>
      <c r="D3088" t="inlineStr">
        <is>
          <t>GÄVLEBORGS LÄN</t>
        </is>
      </c>
      <c r="E3088" t="inlineStr">
        <is>
          <t>OVANÅKER</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24720-2023</t>
        </is>
      </c>
      <c r="B3089" s="1" t="n">
        <v>45084</v>
      </c>
      <c r="C3089" s="1" t="n">
        <v>45883</v>
      </c>
      <c r="D3089" t="inlineStr">
        <is>
          <t>GÄVLEBORGS LÄN</t>
        </is>
      </c>
      <c r="E3089" t="inlineStr">
        <is>
          <t>GÄVLE</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39927-2024</t>
        </is>
      </c>
      <c r="B3090" s="1" t="n">
        <v>45553.54829861111</v>
      </c>
      <c r="C3090" s="1" t="n">
        <v>45883</v>
      </c>
      <c r="D3090" t="inlineStr">
        <is>
          <t>GÄVLEBORGS LÄN</t>
        </is>
      </c>
      <c r="E3090" t="inlineStr">
        <is>
          <t>LJUSDAL</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26510-2023</t>
        </is>
      </c>
      <c r="B3091" s="1" t="n">
        <v>45092</v>
      </c>
      <c r="C3091" s="1" t="n">
        <v>45883</v>
      </c>
      <c r="D3091" t="inlineStr">
        <is>
          <t>GÄVLEBORGS LÄN</t>
        </is>
      </c>
      <c r="E3091" t="inlineStr">
        <is>
          <t>LJUSDAL</t>
        </is>
      </c>
      <c r="F3091" t="inlineStr">
        <is>
          <t>Sveaskog</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15385-2023</t>
        </is>
      </c>
      <c r="B3092" s="1" t="n">
        <v>45019.6284837963</v>
      </c>
      <c r="C3092" s="1" t="n">
        <v>45883</v>
      </c>
      <c r="D3092" t="inlineStr">
        <is>
          <t>GÄVLEBORGS LÄN</t>
        </is>
      </c>
      <c r="E3092" t="inlineStr">
        <is>
          <t>NORDANSTIG</t>
        </is>
      </c>
      <c r="G3092" t="n">
        <v>5.9</v>
      </c>
      <c r="H3092" t="n">
        <v>0</v>
      </c>
      <c r="I3092" t="n">
        <v>0</v>
      </c>
      <c r="J3092" t="n">
        <v>0</v>
      </c>
      <c r="K3092" t="n">
        <v>0</v>
      </c>
      <c r="L3092" t="n">
        <v>0</v>
      </c>
      <c r="M3092" t="n">
        <v>0</v>
      </c>
      <c r="N3092" t="n">
        <v>0</v>
      </c>
      <c r="O3092" t="n">
        <v>0</v>
      </c>
      <c r="P3092" t="n">
        <v>0</v>
      </c>
      <c r="Q3092" t="n">
        <v>0</v>
      </c>
      <c r="R3092" s="2" t="inlineStr"/>
    </row>
    <row r="3093" ht="15" customHeight="1">
      <c r="A3093" t="inlineStr">
        <is>
          <t>A 36446-2024</t>
        </is>
      </c>
      <c r="B3093" s="1" t="n">
        <v>45537</v>
      </c>
      <c r="C3093" s="1" t="n">
        <v>45883</v>
      </c>
      <c r="D3093" t="inlineStr">
        <is>
          <t>GÄVLEBORGS LÄN</t>
        </is>
      </c>
      <c r="E3093" t="inlineStr">
        <is>
          <t>LJUSDAL</t>
        </is>
      </c>
      <c r="F3093" t="inlineStr">
        <is>
          <t>Sveaskog</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1351-2024</t>
        </is>
      </c>
      <c r="B3094" s="1" t="n">
        <v>45303</v>
      </c>
      <c r="C3094" s="1" t="n">
        <v>45883</v>
      </c>
      <c r="D3094" t="inlineStr">
        <is>
          <t>GÄVLEBORGS LÄN</t>
        </is>
      </c>
      <c r="E3094" t="inlineStr">
        <is>
          <t>NORDANSTIG</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1408-2024</t>
        </is>
      </c>
      <c r="B3095" s="1" t="n">
        <v>45303.60203703704</v>
      </c>
      <c r="C3095" s="1" t="n">
        <v>45883</v>
      </c>
      <c r="D3095" t="inlineStr">
        <is>
          <t>GÄVLEBORGS LÄN</t>
        </is>
      </c>
      <c r="E3095" t="inlineStr">
        <is>
          <t>SANDVIKEN</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26503-2021</t>
        </is>
      </c>
      <c r="B3096" s="1" t="n">
        <v>44348</v>
      </c>
      <c r="C3096" s="1" t="n">
        <v>45883</v>
      </c>
      <c r="D3096" t="inlineStr">
        <is>
          <t>GÄVLEBORGS LÄN</t>
        </is>
      </c>
      <c r="E3096" t="inlineStr">
        <is>
          <t>NORDANSTIG</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7801-2021</t>
        </is>
      </c>
      <c r="B3097" s="1" t="n">
        <v>44242.59861111111</v>
      </c>
      <c r="C3097" s="1" t="n">
        <v>45883</v>
      </c>
      <c r="D3097" t="inlineStr">
        <is>
          <t>GÄVLEBORGS LÄN</t>
        </is>
      </c>
      <c r="E3097" t="inlineStr">
        <is>
          <t>BOLLNÄS</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42306-2023</t>
        </is>
      </c>
      <c r="B3098" s="1" t="n">
        <v>45180.45332175926</v>
      </c>
      <c r="C3098" s="1" t="n">
        <v>45883</v>
      </c>
      <c r="D3098" t="inlineStr">
        <is>
          <t>GÄVLEBORGS LÄN</t>
        </is>
      </c>
      <c r="E3098" t="inlineStr">
        <is>
          <t>BOLLNÄS</t>
        </is>
      </c>
      <c r="G3098" t="n">
        <v>4.8</v>
      </c>
      <c r="H3098" t="n">
        <v>0</v>
      </c>
      <c r="I3098" t="n">
        <v>0</v>
      </c>
      <c r="J3098" t="n">
        <v>0</v>
      </c>
      <c r="K3098" t="n">
        <v>0</v>
      </c>
      <c r="L3098" t="n">
        <v>0</v>
      </c>
      <c r="M3098" t="n">
        <v>0</v>
      </c>
      <c r="N3098" t="n">
        <v>0</v>
      </c>
      <c r="O3098" t="n">
        <v>0</v>
      </c>
      <c r="P3098" t="n">
        <v>0</v>
      </c>
      <c r="Q3098" t="n">
        <v>0</v>
      </c>
      <c r="R3098" s="2" t="inlineStr"/>
    </row>
    <row r="3099" ht="15" customHeight="1">
      <c r="A3099" t="inlineStr">
        <is>
          <t>A 19696-2025</t>
        </is>
      </c>
      <c r="B3099" s="1" t="n">
        <v>45771</v>
      </c>
      <c r="C3099" s="1" t="n">
        <v>45883</v>
      </c>
      <c r="D3099" t="inlineStr">
        <is>
          <t>GÄVLEBORGS LÄN</t>
        </is>
      </c>
      <c r="E3099" t="inlineStr">
        <is>
          <t>GÄVLE</t>
        </is>
      </c>
      <c r="F3099" t="inlineStr">
        <is>
          <t>Bergvik skog väst AB</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13194-2025</t>
        </is>
      </c>
      <c r="B3100" s="1" t="n">
        <v>45735</v>
      </c>
      <c r="C3100" s="1" t="n">
        <v>45883</v>
      </c>
      <c r="D3100" t="inlineStr">
        <is>
          <t>GÄVLEBORGS LÄN</t>
        </is>
      </c>
      <c r="E3100" t="inlineStr">
        <is>
          <t>SANDVIKEN</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17380-2025</t>
        </is>
      </c>
      <c r="B3101" s="1" t="n">
        <v>45757.29439814815</v>
      </c>
      <c r="C3101" s="1" t="n">
        <v>45883</v>
      </c>
      <c r="D3101" t="inlineStr">
        <is>
          <t>GÄVLEBORGS LÄN</t>
        </is>
      </c>
      <c r="E3101" t="inlineStr">
        <is>
          <t>BOLLNÄS</t>
        </is>
      </c>
      <c r="F3101" t="inlineStr">
        <is>
          <t>Bergvik skog väst AB</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17999-2024</t>
        </is>
      </c>
      <c r="B3102" s="1" t="n">
        <v>45419.94796296296</v>
      </c>
      <c r="C3102" s="1" t="n">
        <v>45883</v>
      </c>
      <c r="D3102" t="inlineStr">
        <is>
          <t>GÄVLEBORGS LÄN</t>
        </is>
      </c>
      <c r="E3102" t="inlineStr">
        <is>
          <t>OVANÅKER</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2412-2025</t>
        </is>
      </c>
      <c r="B3103" s="1" t="n">
        <v>45674.37393518518</v>
      </c>
      <c r="C3103" s="1" t="n">
        <v>45883</v>
      </c>
      <c r="D3103" t="inlineStr">
        <is>
          <t>GÄVLEBORGS LÄN</t>
        </is>
      </c>
      <c r="E3103" t="inlineStr">
        <is>
          <t>LJUSDAL</t>
        </is>
      </c>
      <c r="F3103" t="inlineStr">
        <is>
          <t>Sveaskog</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53174-2022</t>
        </is>
      </c>
      <c r="B3104" s="1" t="n">
        <v>44876</v>
      </c>
      <c r="C3104" s="1" t="n">
        <v>45883</v>
      </c>
      <c r="D3104" t="inlineStr">
        <is>
          <t>GÄVLEBORGS LÄN</t>
        </is>
      </c>
      <c r="E3104" t="inlineStr">
        <is>
          <t>OVANÅKER</t>
        </is>
      </c>
      <c r="G3104" t="n">
        <v>6.4</v>
      </c>
      <c r="H3104" t="n">
        <v>0</v>
      </c>
      <c r="I3104" t="n">
        <v>0</v>
      </c>
      <c r="J3104" t="n">
        <v>0</v>
      </c>
      <c r="K3104" t="n">
        <v>0</v>
      </c>
      <c r="L3104" t="n">
        <v>0</v>
      </c>
      <c r="M3104" t="n">
        <v>0</v>
      </c>
      <c r="N3104" t="n">
        <v>0</v>
      </c>
      <c r="O3104" t="n">
        <v>0</v>
      </c>
      <c r="P3104" t="n">
        <v>0</v>
      </c>
      <c r="Q3104" t="n">
        <v>0</v>
      </c>
      <c r="R3104" s="2" t="inlineStr"/>
    </row>
    <row r="3105" ht="15" customHeight="1">
      <c r="A3105" t="inlineStr">
        <is>
          <t>A 55593-2024</t>
        </is>
      </c>
      <c r="B3105" s="1" t="n">
        <v>45622.56936342592</v>
      </c>
      <c r="C3105" s="1" t="n">
        <v>45883</v>
      </c>
      <c r="D3105" t="inlineStr">
        <is>
          <t>GÄVLEBORGS LÄN</t>
        </is>
      </c>
      <c r="E3105" t="inlineStr">
        <is>
          <t>BOLLNÄS</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18123-2025</t>
        </is>
      </c>
      <c r="B3106" s="1" t="n">
        <v>45761.59417824074</v>
      </c>
      <c r="C3106" s="1" t="n">
        <v>45883</v>
      </c>
      <c r="D3106" t="inlineStr">
        <is>
          <t>GÄVLEBORGS LÄN</t>
        </is>
      </c>
      <c r="E3106" t="inlineStr">
        <is>
          <t>LJUSDAL</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19682-2024</t>
        </is>
      </c>
      <c r="B3107" s="1" t="n">
        <v>45432</v>
      </c>
      <c r="C3107" s="1" t="n">
        <v>45883</v>
      </c>
      <c r="D3107" t="inlineStr">
        <is>
          <t>GÄVLEBORGS LÄN</t>
        </is>
      </c>
      <c r="E3107" t="inlineStr">
        <is>
          <t>HUDIKSVALL</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51989-2023</t>
        </is>
      </c>
      <c r="B3108" s="1" t="n">
        <v>45223.58224537037</v>
      </c>
      <c r="C3108" s="1" t="n">
        <v>45883</v>
      </c>
      <c r="D3108" t="inlineStr">
        <is>
          <t>GÄVLEBORGS LÄN</t>
        </is>
      </c>
      <c r="E3108" t="inlineStr">
        <is>
          <t>OCKELBO</t>
        </is>
      </c>
      <c r="F3108" t="inlineStr">
        <is>
          <t>Bergvik skog väst AB</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54608-2024</t>
        </is>
      </c>
      <c r="B3109" s="1" t="n">
        <v>45617.6917824074</v>
      </c>
      <c r="C3109" s="1" t="n">
        <v>45883</v>
      </c>
      <c r="D3109" t="inlineStr">
        <is>
          <t>GÄVLEBORGS LÄN</t>
        </is>
      </c>
      <c r="E3109" t="inlineStr">
        <is>
          <t>SÖDERHAMN</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41249-2024</t>
        </is>
      </c>
      <c r="B3110" s="1" t="n">
        <v>45559.57722222222</v>
      </c>
      <c r="C3110" s="1" t="n">
        <v>45883</v>
      </c>
      <c r="D3110" t="inlineStr">
        <is>
          <t>GÄVLEBORGS LÄN</t>
        </is>
      </c>
      <c r="E3110" t="inlineStr">
        <is>
          <t>HUDIKSVALL</t>
        </is>
      </c>
      <c r="F3110" t="inlineStr">
        <is>
          <t>Holmen skog AB</t>
        </is>
      </c>
      <c r="G3110" t="n">
        <v>16.3</v>
      </c>
      <c r="H3110" t="n">
        <v>0</v>
      </c>
      <c r="I3110" t="n">
        <v>0</v>
      </c>
      <c r="J3110" t="n">
        <v>0</v>
      </c>
      <c r="K3110" t="n">
        <v>0</v>
      </c>
      <c r="L3110" t="n">
        <v>0</v>
      </c>
      <c r="M3110" t="n">
        <v>0</v>
      </c>
      <c r="N3110" t="n">
        <v>0</v>
      </c>
      <c r="O3110" t="n">
        <v>0</v>
      </c>
      <c r="P3110" t="n">
        <v>0</v>
      </c>
      <c r="Q3110" t="n">
        <v>0</v>
      </c>
      <c r="R3110" s="2" t="inlineStr"/>
    </row>
    <row r="3111" ht="15" customHeight="1">
      <c r="A3111" t="inlineStr">
        <is>
          <t>A 41258-2024</t>
        </is>
      </c>
      <c r="B3111" s="1" t="n">
        <v>45559.58393518518</v>
      </c>
      <c r="C3111" s="1" t="n">
        <v>45883</v>
      </c>
      <c r="D3111" t="inlineStr">
        <is>
          <t>GÄVLEBORGS LÄN</t>
        </is>
      </c>
      <c r="E3111" t="inlineStr">
        <is>
          <t>HUDIKSVALL</t>
        </is>
      </c>
      <c r="F3111" t="inlineStr">
        <is>
          <t>Holmen skog AB</t>
        </is>
      </c>
      <c r="G3111" t="n">
        <v>8.4</v>
      </c>
      <c r="H3111" t="n">
        <v>0</v>
      </c>
      <c r="I3111" t="n">
        <v>0</v>
      </c>
      <c r="J3111" t="n">
        <v>0</v>
      </c>
      <c r="K3111" t="n">
        <v>0</v>
      </c>
      <c r="L3111" t="n">
        <v>0</v>
      </c>
      <c r="M3111" t="n">
        <v>0</v>
      </c>
      <c r="N3111" t="n">
        <v>0</v>
      </c>
      <c r="O3111" t="n">
        <v>0</v>
      </c>
      <c r="P3111" t="n">
        <v>0</v>
      </c>
      <c r="Q3111" t="n">
        <v>0</v>
      </c>
      <c r="R3111" s="2" t="inlineStr"/>
    </row>
    <row r="3112" ht="15" customHeight="1">
      <c r="A3112" t="inlineStr">
        <is>
          <t>A 29238-2023</t>
        </is>
      </c>
      <c r="B3112" s="1" t="n">
        <v>45105</v>
      </c>
      <c r="C3112" s="1" t="n">
        <v>45883</v>
      </c>
      <c r="D3112" t="inlineStr">
        <is>
          <t>GÄVLEBORGS LÄN</t>
        </is>
      </c>
      <c r="E3112" t="inlineStr">
        <is>
          <t>LJUSDAL</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67923-2021</t>
        </is>
      </c>
      <c r="B3113" s="1" t="n">
        <v>44525.61118055556</v>
      </c>
      <c r="C3113" s="1" t="n">
        <v>45883</v>
      </c>
      <c r="D3113" t="inlineStr">
        <is>
          <t>GÄVLEBORGS LÄN</t>
        </is>
      </c>
      <c r="E3113" t="inlineStr">
        <is>
          <t>LJUSDAL</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16431-2025</t>
        </is>
      </c>
      <c r="B3114" s="1" t="n">
        <v>45751.47953703703</v>
      </c>
      <c r="C3114" s="1" t="n">
        <v>45883</v>
      </c>
      <c r="D3114" t="inlineStr">
        <is>
          <t>GÄVLEBORGS LÄN</t>
        </is>
      </c>
      <c r="E3114" t="inlineStr">
        <is>
          <t>OVANÅKER</t>
        </is>
      </c>
      <c r="F3114" t="inlineStr">
        <is>
          <t>Bergvik skog öst AB</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8073-2022</t>
        </is>
      </c>
      <c r="B3115" s="1" t="n">
        <v>44609.49275462963</v>
      </c>
      <c r="C3115" s="1" t="n">
        <v>45883</v>
      </c>
      <c r="D3115" t="inlineStr">
        <is>
          <t>GÄVLEBORGS LÄN</t>
        </is>
      </c>
      <c r="E3115" t="inlineStr">
        <is>
          <t>SÖDERHAMN</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53410-2024</t>
        </is>
      </c>
      <c r="B3116" s="1" t="n">
        <v>45614.50283564815</v>
      </c>
      <c r="C3116" s="1" t="n">
        <v>45883</v>
      </c>
      <c r="D3116" t="inlineStr">
        <is>
          <t>GÄVLEBORGS LÄN</t>
        </is>
      </c>
      <c r="E3116" t="inlineStr">
        <is>
          <t>LJUSDAL</t>
        </is>
      </c>
      <c r="F3116" t="inlineStr">
        <is>
          <t>Sveaskog</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1238-2023</t>
        </is>
      </c>
      <c r="B3117" s="1" t="n">
        <v>44936</v>
      </c>
      <c r="C3117" s="1" t="n">
        <v>45883</v>
      </c>
      <c r="D3117" t="inlineStr">
        <is>
          <t>GÄVLEBORGS LÄN</t>
        </is>
      </c>
      <c r="E3117" t="inlineStr">
        <is>
          <t>GÄVLE</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2105-2023</t>
        </is>
      </c>
      <c r="B3118" s="1" t="n">
        <v>44939.9237037037</v>
      </c>
      <c r="C3118" s="1" t="n">
        <v>45883</v>
      </c>
      <c r="D3118" t="inlineStr">
        <is>
          <t>GÄVLEBORGS LÄN</t>
        </is>
      </c>
      <c r="E3118" t="inlineStr">
        <is>
          <t>NORDANSTIG</t>
        </is>
      </c>
      <c r="G3118" t="n">
        <v>3.6</v>
      </c>
      <c r="H3118" t="n">
        <v>0</v>
      </c>
      <c r="I3118" t="n">
        <v>0</v>
      </c>
      <c r="J3118" t="n">
        <v>0</v>
      </c>
      <c r="K3118" t="n">
        <v>0</v>
      </c>
      <c r="L3118" t="n">
        <v>0</v>
      </c>
      <c r="M3118" t="n">
        <v>0</v>
      </c>
      <c r="N3118" t="n">
        <v>0</v>
      </c>
      <c r="O3118" t="n">
        <v>0</v>
      </c>
      <c r="P3118" t="n">
        <v>0</v>
      </c>
      <c r="Q3118" t="n">
        <v>0</v>
      </c>
      <c r="R3118" s="2" t="inlineStr"/>
    </row>
    <row r="3119" ht="15" customHeight="1">
      <c r="A3119" t="inlineStr">
        <is>
          <t>A 42006-2020</t>
        </is>
      </c>
      <c r="B3119" s="1" t="n">
        <v>44075</v>
      </c>
      <c r="C3119" s="1" t="n">
        <v>45883</v>
      </c>
      <c r="D3119" t="inlineStr">
        <is>
          <t>GÄVLEBORGS LÄN</t>
        </is>
      </c>
      <c r="E3119" t="inlineStr">
        <is>
          <t>LJUSDAL</t>
        </is>
      </c>
      <c r="F3119" t="inlineStr">
        <is>
          <t>Sveaskog</t>
        </is>
      </c>
      <c r="G3119" t="n">
        <v>4.4</v>
      </c>
      <c r="H3119" t="n">
        <v>0</v>
      </c>
      <c r="I3119" t="n">
        <v>0</v>
      </c>
      <c r="J3119" t="n">
        <v>0</v>
      </c>
      <c r="K3119" t="n">
        <v>0</v>
      </c>
      <c r="L3119" t="n">
        <v>0</v>
      </c>
      <c r="M3119" t="n">
        <v>0</v>
      </c>
      <c r="N3119" t="n">
        <v>0</v>
      </c>
      <c r="O3119" t="n">
        <v>0</v>
      </c>
      <c r="P3119" t="n">
        <v>0</v>
      </c>
      <c r="Q3119" t="n">
        <v>0</v>
      </c>
      <c r="R3119" s="2" t="inlineStr"/>
    </row>
    <row r="3120" ht="15" customHeight="1">
      <c r="A3120" t="inlineStr">
        <is>
          <t>A 35204-2024</t>
        </is>
      </c>
      <c r="B3120" s="1" t="n">
        <v>45530</v>
      </c>
      <c r="C3120" s="1" t="n">
        <v>45883</v>
      </c>
      <c r="D3120" t="inlineStr">
        <is>
          <t>GÄVLEBORGS LÄN</t>
        </is>
      </c>
      <c r="E3120" t="inlineStr">
        <is>
          <t>GÄVLE</t>
        </is>
      </c>
      <c r="F3120" t="inlineStr">
        <is>
          <t>Bergvik skog öst AB</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27477-2024</t>
        </is>
      </c>
      <c r="B3121" s="1" t="n">
        <v>45474</v>
      </c>
      <c r="C3121" s="1" t="n">
        <v>45883</v>
      </c>
      <c r="D3121" t="inlineStr">
        <is>
          <t>GÄVLEBORGS LÄN</t>
        </is>
      </c>
      <c r="E3121" t="inlineStr">
        <is>
          <t>HUDIKSVALL</t>
        </is>
      </c>
      <c r="F3121" t="inlineStr">
        <is>
          <t>Holmen skog AB</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42233-2023</t>
        </is>
      </c>
      <c r="B3122" s="1" t="n">
        <v>45180</v>
      </c>
      <c r="C3122" s="1" t="n">
        <v>45883</v>
      </c>
      <c r="D3122" t="inlineStr">
        <is>
          <t>GÄVLEBORGS LÄN</t>
        </is>
      </c>
      <c r="E3122" t="inlineStr">
        <is>
          <t>BOLLNÄS</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71215-2021</t>
        </is>
      </c>
      <c r="B3123" s="1" t="n">
        <v>44539.56224537037</v>
      </c>
      <c r="C3123" s="1" t="n">
        <v>45883</v>
      </c>
      <c r="D3123" t="inlineStr">
        <is>
          <t>GÄVLEBORGS LÄN</t>
        </is>
      </c>
      <c r="E3123" t="inlineStr">
        <is>
          <t>GÄVLE</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675-2023</t>
        </is>
      </c>
      <c r="B3124" s="1" t="n">
        <v>44930.69663194445</v>
      </c>
      <c r="C3124" s="1" t="n">
        <v>45883</v>
      </c>
      <c r="D3124" t="inlineStr">
        <is>
          <t>GÄVLEBORGS LÄN</t>
        </is>
      </c>
      <c r="E3124" t="inlineStr">
        <is>
          <t>NORDANSTIG</t>
        </is>
      </c>
      <c r="F3124" t="inlineStr">
        <is>
          <t>Holmen skog AB</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37232-2024</t>
        </is>
      </c>
      <c r="B3125" s="1" t="n">
        <v>45540</v>
      </c>
      <c r="C3125" s="1" t="n">
        <v>45883</v>
      </c>
      <c r="D3125" t="inlineStr">
        <is>
          <t>GÄVLEBORGS LÄN</t>
        </is>
      </c>
      <c r="E3125" t="inlineStr">
        <is>
          <t>SANDVIKEN</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37306-2024</t>
        </is>
      </c>
      <c r="B3126" s="1" t="n">
        <v>45540</v>
      </c>
      <c r="C3126" s="1" t="n">
        <v>45883</v>
      </c>
      <c r="D3126" t="inlineStr">
        <is>
          <t>GÄVLEBORGS LÄN</t>
        </is>
      </c>
      <c r="E3126" t="inlineStr">
        <is>
          <t>OVANÅKER</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26922-2024</t>
        </is>
      </c>
      <c r="B3127" s="1" t="n">
        <v>45470.93087962963</v>
      </c>
      <c r="C3127" s="1" t="n">
        <v>45883</v>
      </c>
      <c r="D3127" t="inlineStr">
        <is>
          <t>GÄVLEBORGS LÄN</t>
        </is>
      </c>
      <c r="E3127" t="inlineStr">
        <is>
          <t>BOLLNÄS</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42949-2023</t>
        </is>
      </c>
      <c r="B3128" s="1" t="n">
        <v>45182</v>
      </c>
      <c r="C3128" s="1" t="n">
        <v>45883</v>
      </c>
      <c r="D3128" t="inlineStr">
        <is>
          <t>GÄVLEBORGS LÄN</t>
        </is>
      </c>
      <c r="E3128" t="inlineStr">
        <is>
          <t>LJUSDAL</t>
        </is>
      </c>
      <c r="G3128" t="n">
        <v>10.4</v>
      </c>
      <c r="H3128" t="n">
        <v>0</v>
      </c>
      <c r="I3128" t="n">
        <v>0</v>
      </c>
      <c r="J3128" t="n">
        <v>0</v>
      </c>
      <c r="K3128" t="n">
        <v>0</v>
      </c>
      <c r="L3128" t="n">
        <v>0</v>
      </c>
      <c r="M3128" t="n">
        <v>0</v>
      </c>
      <c r="N3128" t="n">
        <v>0</v>
      </c>
      <c r="O3128" t="n">
        <v>0</v>
      </c>
      <c r="P3128" t="n">
        <v>0</v>
      </c>
      <c r="Q3128" t="n">
        <v>0</v>
      </c>
      <c r="R3128" s="2" t="inlineStr"/>
    </row>
    <row r="3129" ht="15" customHeight="1">
      <c r="A3129" t="inlineStr">
        <is>
          <t>A 19551-2025</t>
        </is>
      </c>
      <c r="B3129" s="1" t="n">
        <v>45770.50553240741</v>
      </c>
      <c r="C3129" s="1" t="n">
        <v>45883</v>
      </c>
      <c r="D3129" t="inlineStr">
        <is>
          <t>GÄVLEBORGS LÄN</t>
        </is>
      </c>
      <c r="E3129" t="inlineStr">
        <is>
          <t>GÄVLE</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29954-2024</t>
        </is>
      </c>
      <c r="B3130" s="1" t="n">
        <v>45488.45084490741</v>
      </c>
      <c r="C3130" s="1" t="n">
        <v>45883</v>
      </c>
      <c r="D3130" t="inlineStr">
        <is>
          <t>GÄVLEBORGS LÄN</t>
        </is>
      </c>
      <c r="E3130" t="inlineStr">
        <is>
          <t>OCKELBO</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1564-2025</t>
        </is>
      </c>
      <c r="B3131" s="1" t="n">
        <v>45667</v>
      </c>
      <c r="C3131" s="1" t="n">
        <v>45883</v>
      </c>
      <c r="D3131" t="inlineStr">
        <is>
          <t>GÄVLEBORGS LÄN</t>
        </is>
      </c>
      <c r="E3131" t="inlineStr">
        <is>
          <t>NORDANSTIG</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1576-2025</t>
        </is>
      </c>
      <c r="B3132" s="1" t="n">
        <v>45670.55952546297</v>
      </c>
      <c r="C3132" s="1" t="n">
        <v>45883</v>
      </c>
      <c r="D3132" t="inlineStr">
        <is>
          <t>GÄVLEBORGS LÄN</t>
        </is>
      </c>
      <c r="E3132" t="inlineStr">
        <is>
          <t>NORDANSTIG</t>
        </is>
      </c>
      <c r="F3132" t="inlineStr">
        <is>
          <t>Holmen skog AB</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1579-2025</t>
        </is>
      </c>
      <c r="B3133" s="1" t="n">
        <v>45670.56143518518</v>
      </c>
      <c r="C3133" s="1" t="n">
        <v>45883</v>
      </c>
      <c r="D3133" t="inlineStr">
        <is>
          <t>GÄVLEBORGS LÄN</t>
        </is>
      </c>
      <c r="E3133" t="inlineStr">
        <is>
          <t>NORDANSTIG</t>
        </is>
      </c>
      <c r="F3133" t="inlineStr">
        <is>
          <t>Holmen skog AB</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3271-2025</t>
        </is>
      </c>
      <c r="B3134" s="1" t="n">
        <v>45679.58766203704</v>
      </c>
      <c r="C3134" s="1" t="n">
        <v>45883</v>
      </c>
      <c r="D3134" t="inlineStr">
        <is>
          <t>GÄVLEBORGS LÄN</t>
        </is>
      </c>
      <c r="E3134" t="inlineStr">
        <is>
          <t>BOLLNÄS</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45562-2022</t>
        </is>
      </c>
      <c r="B3135" s="1" t="n">
        <v>44845</v>
      </c>
      <c r="C3135" s="1" t="n">
        <v>45883</v>
      </c>
      <c r="D3135" t="inlineStr">
        <is>
          <t>GÄVLEBORGS LÄN</t>
        </is>
      </c>
      <c r="E3135" t="inlineStr">
        <is>
          <t>SANDVIKEN</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45628-2022</t>
        </is>
      </c>
      <c r="B3136" s="1" t="n">
        <v>44845</v>
      </c>
      <c r="C3136" s="1" t="n">
        <v>45883</v>
      </c>
      <c r="D3136" t="inlineStr">
        <is>
          <t>GÄVLEBORGS LÄN</t>
        </is>
      </c>
      <c r="E3136" t="inlineStr">
        <is>
          <t>GÄVLE</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50899-2021</t>
        </is>
      </c>
      <c r="B3137" s="1" t="n">
        <v>44460</v>
      </c>
      <c r="C3137" s="1" t="n">
        <v>45883</v>
      </c>
      <c r="D3137" t="inlineStr">
        <is>
          <t>GÄVLEBORGS LÄN</t>
        </is>
      </c>
      <c r="E3137" t="inlineStr">
        <is>
          <t>HUDIKSVALL</t>
        </is>
      </c>
      <c r="F3137" t="inlineStr">
        <is>
          <t>Holmen skog AB</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57649-2023</t>
        </is>
      </c>
      <c r="B3138" s="1" t="n">
        <v>45246.59743055556</v>
      </c>
      <c r="C3138" s="1" t="n">
        <v>45883</v>
      </c>
      <c r="D3138" t="inlineStr">
        <is>
          <t>GÄVLEBORGS LÄN</t>
        </is>
      </c>
      <c r="E3138" t="inlineStr">
        <is>
          <t>LJUSDAL</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50351-2022</t>
        </is>
      </c>
      <c r="B3139" s="1" t="n">
        <v>44866.31077546296</v>
      </c>
      <c r="C3139" s="1" t="n">
        <v>45883</v>
      </c>
      <c r="D3139" t="inlineStr">
        <is>
          <t>GÄVLEBORGS LÄN</t>
        </is>
      </c>
      <c r="E3139" t="inlineStr">
        <is>
          <t>LJUSDAL</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57753-2023</t>
        </is>
      </c>
      <c r="B3140" s="1" t="n">
        <v>45246.78600694444</v>
      </c>
      <c r="C3140" s="1" t="n">
        <v>45883</v>
      </c>
      <c r="D3140" t="inlineStr">
        <is>
          <t>GÄVLEBORGS LÄN</t>
        </is>
      </c>
      <c r="E3140" t="inlineStr">
        <is>
          <t>SÖDERHAMN</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57269-2022</t>
        </is>
      </c>
      <c r="B3141" s="1" t="n">
        <v>44895</v>
      </c>
      <c r="C3141" s="1" t="n">
        <v>45883</v>
      </c>
      <c r="D3141" t="inlineStr">
        <is>
          <t>GÄVLEBORGS LÄN</t>
        </is>
      </c>
      <c r="E3141" t="inlineStr">
        <is>
          <t>LJUSDAL</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21900-2023</t>
        </is>
      </c>
      <c r="B3142" s="1" t="n">
        <v>45068.53083333333</v>
      </c>
      <c r="C3142" s="1" t="n">
        <v>45883</v>
      </c>
      <c r="D3142" t="inlineStr">
        <is>
          <t>GÄVLEBORGS LÄN</t>
        </is>
      </c>
      <c r="E3142" t="inlineStr">
        <is>
          <t>OCKELBO</t>
        </is>
      </c>
      <c r="F3142" t="inlineStr">
        <is>
          <t>Bergvik skog väst AB</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16581-2021</t>
        </is>
      </c>
      <c r="B3143" s="1" t="n">
        <v>44294.3290625</v>
      </c>
      <c r="C3143" s="1" t="n">
        <v>45883</v>
      </c>
      <c r="D3143" t="inlineStr">
        <is>
          <t>GÄVLEBORGS LÄN</t>
        </is>
      </c>
      <c r="E3143" t="inlineStr">
        <is>
          <t>GÄVLE</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54949-2022</t>
        </is>
      </c>
      <c r="B3144" s="1" t="n">
        <v>44886.469375</v>
      </c>
      <c r="C3144" s="1" t="n">
        <v>45883</v>
      </c>
      <c r="D3144" t="inlineStr">
        <is>
          <t>GÄVLEBORGS LÄN</t>
        </is>
      </c>
      <c r="E3144" t="inlineStr">
        <is>
          <t>BOLLNÄS</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18130-2024</t>
        </is>
      </c>
      <c r="B3145" s="1" t="n">
        <v>45420.56704861111</v>
      </c>
      <c r="C3145" s="1" t="n">
        <v>45883</v>
      </c>
      <c r="D3145" t="inlineStr">
        <is>
          <t>GÄVLEBORGS LÄN</t>
        </is>
      </c>
      <c r="E3145" t="inlineStr">
        <is>
          <t>LJUSDAL</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20876-2024</t>
        </is>
      </c>
      <c r="B3146" s="1" t="n">
        <v>45439.44590277778</v>
      </c>
      <c r="C3146" s="1" t="n">
        <v>45883</v>
      </c>
      <c r="D3146" t="inlineStr">
        <is>
          <t>GÄVLEBORGS LÄN</t>
        </is>
      </c>
      <c r="E3146" t="inlineStr">
        <is>
          <t>BOLLNÄS</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61220-2022</t>
        </is>
      </c>
      <c r="B3147" s="1" t="n">
        <v>44915.55640046296</v>
      </c>
      <c r="C3147" s="1" t="n">
        <v>45883</v>
      </c>
      <c r="D3147" t="inlineStr">
        <is>
          <t>GÄVLEBORGS LÄN</t>
        </is>
      </c>
      <c r="E3147" t="inlineStr">
        <is>
          <t>BOLLNÄS</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14144-2025</t>
        </is>
      </c>
      <c r="B3148" s="1" t="n">
        <v>45740.48634259259</v>
      </c>
      <c r="C3148" s="1" t="n">
        <v>45883</v>
      </c>
      <c r="D3148" t="inlineStr">
        <is>
          <t>GÄVLEBORGS LÄN</t>
        </is>
      </c>
      <c r="E3148" t="inlineStr">
        <is>
          <t>SANDVIKEN</t>
        </is>
      </c>
      <c r="F3148" t="inlineStr">
        <is>
          <t>Bergvik skog öst AB</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363-2024</t>
        </is>
      </c>
      <c r="B3149" s="1" t="n">
        <v>45295.92835648148</v>
      </c>
      <c r="C3149" s="1" t="n">
        <v>45883</v>
      </c>
      <c r="D3149" t="inlineStr">
        <is>
          <t>GÄVLEBORGS LÄN</t>
        </is>
      </c>
      <c r="E3149" t="inlineStr">
        <is>
          <t>HUDIKSVALL</t>
        </is>
      </c>
      <c r="G3149" t="n">
        <v>13.3</v>
      </c>
      <c r="H3149" t="n">
        <v>0</v>
      </c>
      <c r="I3149" t="n">
        <v>0</v>
      </c>
      <c r="J3149" t="n">
        <v>0</v>
      </c>
      <c r="K3149" t="n">
        <v>0</v>
      </c>
      <c r="L3149" t="n">
        <v>0</v>
      </c>
      <c r="M3149" t="n">
        <v>0</v>
      </c>
      <c r="N3149" t="n">
        <v>0</v>
      </c>
      <c r="O3149" t="n">
        <v>0</v>
      </c>
      <c r="P3149" t="n">
        <v>0</v>
      </c>
      <c r="Q3149" t="n">
        <v>0</v>
      </c>
      <c r="R3149" s="2" t="inlineStr"/>
    </row>
    <row r="3150" ht="15" customHeight="1">
      <c r="A3150" t="inlineStr">
        <is>
          <t>A 365-2024</t>
        </is>
      </c>
      <c r="B3150" s="1" t="n">
        <v>45295.92863425926</v>
      </c>
      <c r="C3150" s="1" t="n">
        <v>45883</v>
      </c>
      <c r="D3150" t="inlineStr">
        <is>
          <t>GÄVLEBORGS LÄN</t>
        </is>
      </c>
      <c r="E3150" t="inlineStr">
        <is>
          <t>HUDIKSVALL</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377-2024</t>
        </is>
      </c>
      <c r="B3151" s="1" t="n">
        <v>45296.35038194444</v>
      </c>
      <c r="C3151" s="1" t="n">
        <v>45883</v>
      </c>
      <c r="D3151" t="inlineStr">
        <is>
          <t>GÄVLEBORGS LÄN</t>
        </is>
      </c>
      <c r="E3151" t="inlineStr">
        <is>
          <t>NORDANSTIG</t>
        </is>
      </c>
      <c r="F3151" t="inlineStr">
        <is>
          <t>Holmen skog AB</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14145-2025</t>
        </is>
      </c>
      <c r="B3152" s="1" t="n">
        <v>45740.48784722222</v>
      </c>
      <c r="C3152" s="1" t="n">
        <v>45883</v>
      </c>
      <c r="D3152" t="inlineStr">
        <is>
          <t>GÄVLEBORGS LÄN</t>
        </is>
      </c>
      <c r="E3152" t="inlineStr">
        <is>
          <t>GÄVLE</t>
        </is>
      </c>
      <c r="F3152" t="inlineStr">
        <is>
          <t>Bergvik skog öst AB</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51121-2020</t>
        </is>
      </c>
      <c r="B3153" s="1" t="n">
        <v>44112</v>
      </c>
      <c r="C3153" s="1" t="n">
        <v>45883</v>
      </c>
      <c r="D3153" t="inlineStr">
        <is>
          <t>GÄVLEBORGS LÄN</t>
        </is>
      </c>
      <c r="E3153" t="inlineStr">
        <is>
          <t>GÄVLE</t>
        </is>
      </c>
      <c r="F3153" t="inlineStr">
        <is>
          <t>Bergvik skog öst AB</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32109-2024</t>
        </is>
      </c>
      <c r="B3154" s="1" t="n">
        <v>45511.4409837963</v>
      </c>
      <c r="C3154" s="1" t="n">
        <v>45883</v>
      </c>
      <c r="D3154" t="inlineStr">
        <is>
          <t>GÄVLEBORGS LÄN</t>
        </is>
      </c>
      <c r="E3154" t="inlineStr">
        <is>
          <t>HUDIKSVALL</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48593-2024</t>
        </is>
      </c>
      <c r="B3155" s="1" t="n">
        <v>45593.43715277778</v>
      </c>
      <c r="C3155" s="1" t="n">
        <v>45883</v>
      </c>
      <c r="D3155" t="inlineStr">
        <is>
          <t>GÄVLEBORGS LÄN</t>
        </is>
      </c>
      <c r="E3155" t="inlineStr">
        <is>
          <t>HUDIKSVALL</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16497-2025</t>
        </is>
      </c>
      <c r="B3156" s="1" t="n">
        <v>45751.59929398148</v>
      </c>
      <c r="C3156" s="1" t="n">
        <v>45883</v>
      </c>
      <c r="D3156" t="inlineStr">
        <is>
          <t>GÄVLEBORGS LÄN</t>
        </is>
      </c>
      <c r="E3156" t="inlineStr">
        <is>
          <t>HUDIKSVALL</t>
        </is>
      </c>
      <c r="F3156" t="inlineStr">
        <is>
          <t>Holmen skog AB</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59048-2024</t>
        </is>
      </c>
      <c r="B3157" s="1" t="n">
        <v>45636</v>
      </c>
      <c r="C3157" s="1" t="n">
        <v>45883</v>
      </c>
      <c r="D3157" t="inlineStr">
        <is>
          <t>GÄVLEBORGS LÄN</t>
        </is>
      </c>
      <c r="E3157" t="inlineStr">
        <is>
          <t>SÖDERHAMN</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21027-2024</t>
        </is>
      </c>
      <c r="B3158" s="1" t="n">
        <v>45439</v>
      </c>
      <c r="C3158" s="1" t="n">
        <v>45883</v>
      </c>
      <c r="D3158" t="inlineStr">
        <is>
          <t>GÄVLEBORGS LÄN</t>
        </is>
      </c>
      <c r="E3158" t="inlineStr">
        <is>
          <t>HOFORS</t>
        </is>
      </c>
      <c r="F3158" t="inlineStr">
        <is>
          <t>Sveaskog</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21028-2024</t>
        </is>
      </c>
      <c r="B3159" s="1" t="n">
        <v>45439</v>
      </c>
      <c r="C3159" s="1" t="n">
        <v>45883</v>
      </c>
      <c r="D3159" t="inlineStr">
        <is>
          <t>GÄVLEBORGS LÄN</t>
        </is>
      </c>
      <c r="E3159" t="inlineStr">
        <is>
          <t>HOFORS</t>
        </is>
      </c>
      <c r="F3159" t="inlineStr">
        <is>
          <t>Sveaskog</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49300-2024</t>
        </is>
      </c>
      <c r="B3160" s="1" t="n">
        <v>45595.54486111111</v>
      </c>
      <c r="C3160" s="1" t="n">
        <v>45883</v>
      </c>
      <c r="D3160" t="inlineStr">
        <is>
          <t>GÄVLEBORGS LÄN</t>
        </is>
      </c>
      <c r="E3160" t="inlineStr">
        <is>
          <t>NORDANSTIG</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32143-2024</t>
        </is>
      </c>
      <c r="B3161" s="1" t="n">
        <v>45511.55277777778</v>
      </c>
      <c r="C3161" s="1" t="n">
        <v>45883</v>
      </c>
      <c r="D3161" t="inlineStr">
        <is>
          <t>GÄVLEBORGS LÄN</t>
        </is>
      </c>
      <c r="E3161" t="inlineStr">
        <is>
          <t>GÄVLE</t>
        </is>
      </c>
      <c r="F3161" t="inlineStr">
        <is>
          <t>Bergvik skog väst AB</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27050-2024</t>
        </is>
      </c>
      <c r="B3162" s="1" t="n">
        <v>45471.44736111111</v>
      </c>
      <c r="C3162" s="1" t="n">
        <v>45883</v>
      </c>
      <c r="D3162" t="inlineStr">
        <is>
          <t>GÄVLEBORGS LÄN</t>
        </is>
      </c>
      <c r="E3162" t="inlineStr">
        <is>
          <t>SÖDERHAMN</t>
        </is>
      </c>
      <c r="F3162" t="inlineStr">
        <is>
          <t>Kommuner</t>
        </is>
      </c>
      <c r="G3162" t="n">
        <v>10.8</v>
      </c>
      <c r="H3162" t="n">
        <v>0</v>
      </c>
      <c r="I3162" t="n">
        <v>0</v>
      </c>
      <c r="J3162" t="n">
        <v>0</v>
      </c>
      <c r="K3162" t="n">
        <v>0</v>
      </c>
      <c r="L3162" t="n">
        <v>0</v>
      </c>
      <c r="M3162" t="n">
        <v>0</v>
      </c>
      <c r="N3162" t="n">
        <v>0</v>
      </c>
      <c r="O3162" t="n">
        <v>0</v>
      </c>
      <c r="P3162" t="n">
        <v>0</v>
      </c>
      <c r="Q3162" t="n">
        <v>0</v>
      </c>
      <c r="R3162" s="2" t="inlineStr"/>
    </row>
    <row r="3163" ht="15" customHeight="1">
      <c r="A3163" t="inlineStr">
        <is>
          <t>A 14783-2025</t>
        </is>
      </c>
      <c r="B3163" s="1" t="n">
        <v>45742.73994212963</v>
      </c>
      <c r="C3163" s="1" t="n">
        <v>45883</v>
      </c>
      <c r="D3163" t="inlineStr">
        <is>
          <t>GÄVLEBORGS LÄN</t>
        </is>
      </c>
      <c r="E3163" t="inlineStr">
        <is>
          <t>GÄVLE</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2612-2025</t>
        </is>
      </c>
      <c r="B3164" s="1" t="n">
        <v>45674</v>
      </c>
      <c r="C3164" s="1" t="n">
        <v>45883</v>
      </c>
      <c r="D3164" t="inlineStr">
        <is>
          <t>GÄVLEBORGS LÄN</t>
        </is>
      </c>
      <c r="E3164" t="inlineStr">
        <is>
          <t>HOFORS</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58602-2024</t>
        </is>
      </c>
      <c r="B3165" s="1" t="n">
        <v>45635.54371527778</v>
      </c>
      <c r="C3165" s="1" t="n">
        <v>45883</v>
      </c>
      <c r="D3165" t="inlineStr">
        <is>
          <t>GÄVLEBORGS LÄN</t>
        </is>
      </c>
      <c r="E3165" t="inlineStr">
        <is>
          <t>LJUSDAL</t>
        </is>
      </c>
      <c r="F3165" t="inlineStr">
        <is>
          <t>Allmännings- och besparingsskogar</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2705-2025</t>
        </is>
      </c>
      <c r="B3166" s="1" t="n">
        <v>45677.41510416667</v>
      </c>
      <c r="C3166" s="1" t="n">
        <v>45883</v>
      </c>
      <c r="D3166" t="inlineStr">
        <is>
          <t>GÄVLEBORGS LÄN</t>
        </is>
      </c>
      <c r="E3166" t="inlineStr">
        <is>
          <t>NORDANSTIG</t>
        </is>
      </c>
      <c r="F3166" t="inlineStr">
        <is>
          <t>Holmen skog AB</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2724-2025</t>
        </is>
      </c>
      <c r="B3167" s="1" t="n">
        <v>45677.43975694444</v>
      </c>
      <c r="C3167" s="1" t="n">
        <v>45883</v>
      </c>
      <c r="D3167" t="inlineStr">
        <is>
          <t>GÄVLEBORGS LÄN</t>
        </is>
      </c>
      <c r="E3167" t="inlineStr">
        <is>
          <t>SÖDERHAMN</t>
        </is>
      </c>
      <c r="G3167" t="n">
        <v>6.6</v>
      </c>
      <c r="H3167" t="n">
        <v>0</v>
      </c>
      <c r="I3167" t="n">
        <v>0</v>
      </c>
      <c r="J3167" t="n">
        <v>0</v>
      </c>
      <c r="K3167" t="n">
        <v>0</v>
      </c>
      <c r="L3167" t="n">
        <v>0</v>
      </c>
      <c r="M3167" t="n">
        <v>0</v>
      </c>
      <c r="N3167" t="n">
        <v>0</v>
      </c>
      <c r="O3167" t="n">
        <v>0</v>
      </c>
      <c r="P3167" t="n">
        <v>0</v>
      </c>
      <c r="Q3167" t="n">
        <v>0</v>
      </c>
      <c r="R3167" s="2" t="inlineStr"/>
    </row>
    <row r="3168" ht="15" customHeight="1">
      <c r="A3168" t="inlineStr">
        <is>
          <t>A 58204-2024</t>
        </is>
      </c>
      <c r="B3168" s="1" t="n">
        <v>45632.48819444444</v>
      </c>
      <c r="C3168" s="1" t="n">
        <v>45883</v>
      </c>
      <c r="D3168" t="inlineStr">
        <is>
          <t>GÄVLEBORGS LÄN</t>
        </is>
      </c>
      <c r="E3168" t="inlineStr">
        <is>
          <t>GÄVLE</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58748-2024</t>
        </is>
      </c>
      <c r="B3169" s="1" t="n">
        <v>45635.71362268519</v>
      </c>
      <c r="C3169" s="1" t="n">
        <v>45883</v>
      </c>
      <c r="D3169" t="inlineStr">
        <is>
          <t>GÄVLEBORGS LÄN</t>
        </is>
      </c>
      <c r="E3169" t="inlineStr">
        <is>
          <t>BOLLNÄS</t>
        </is>
      </c>
      <c r="G3169" t="n">
        <v>6.5</v>
      </c>
      <c r="H3169" t="n">
        <v>0</v>
      </c>
      <c r="I3169" t="n">
        <v>0</v>
      </c>
      <c r="J3169" t="n">
        <v>0</v>
      </c>
      <c r="K3169" t="n">
        <v>0</v>
      </c>
      <c r="L3169" t="n">
        <v>0</v>
      </c>
      <c r="M3169" t="n">
        <v>0</v>
      </c>
      <c r="N3169" t="n">
        <v>0</v>
      </c>
      <c r="O3169" t="n">
        <v>0</v>
      </c>
      <c r="P3169" t="n">
        <v>0</v>
      </c>
      <c r="Q3169" t="n">
        <v>0</v>
      </c>
      <c r="R3169" s="2" t="inlineStr"/>
    </row>
    <row r="3170" ht="15" customHeight="1">
      <c r="A3170" t="inlineStr">
        <is>
          <t>A 9935-2022</t>
        </is>
      </c>
      <c r="B3170" s="1" t="n">
        <v>44620.92258101852</v>
      </c>
      <c r="C3170" s="1" t="n">
        <v>45883</v>
      </c>
      <c r="D3170" t="inlineStr">
        <is>
          <t>GÄVLEBORGS LÄN</t>
        </is>
      </c>
      <c r="E3170" t="inlineStr">
        <is>
          <t>LJUSDAL</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5440-2023</t>
        </is>
      </c>
      <c r="B3171" s="1" t="n">
        <v>44959.92410879629</v>
      </c>
      <c r="C3171" s="1" t="n">
        <v>45883</v>
      </c>
      <c r="D3171" t="inlineStr">
        <is>
          <t>GÄVLEBORGS LÄN</t>
        </is>
      </c>
      <c r="E3171" t="inlineStr">
        <is>
          <t>LJUSDAL</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48282-2023</t>
        </is>
      </c>
      <c r="B3172" s="1" t="n">
        <v>45205</v>
      </c>
      <c r="C3172" s="1" t="n">
        <v>45883</v>
      </c>
      <c r="D3172" t="inlineStr">
        <is>
          <t>GÄVLEBORGS LÄN</t>
        </is>
      </c>
      <c r="E3172" t="inlineStr">
        <is>
          <t>OVANÅKER</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139-2022</t>
        </is>
      </c>
      <c r="B3173" s="1" t="n">
        <v>44564.57825231482</v>
      </c>
      <c r="C3173" s="1" t="n">
        <v>45883</v>
      </c>
      <c r="D3173" t="inlineStr">
        <is>
          <t>GÄVLEBORGS LÄN</t>
        </is>
      </c>
      <c r="E3173" t="inlineStr">
        <is>
          <t>SANDVIKEN</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61474-2024</t>
        </is>
      </c>
      <c r="B3174" s="1" t="n">
        <v>45646.51774305556</v>
      </c>
      <c r="C3174" s="1" t="n">
        <v>45883</v>
      </c>
      <c r="D3174" t="inlineStr">
        <is>
          <t>GÄVLEBORGS LÄN</t>
        </is>
      </c>
      <c r="E3174" t="inlineStr">
        <is>
          <t>LJUSDAL</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18250-2024</t>
        </is>
      </c>
      <c r="B3175" s="1" t="n">
        <v>45421.44064814815</v>
      </c>
      <c r="C3175" s="1" t="n">
        <v>45883</v>
      </c>
      <c r="D3175" t="inlineStr">
        <is>
          <t>GÄVLEBORGS LÄN</t>
        </is>
      </c>
      <c r="E3175" t="inlineStr">
        <is>
          <t>LJUSDAL</t>
        </is>
      </c>
      <c r="F3175" t="inlineStr">
        <is>
          <t>Sveaskog</t>
        </is>
      </c>
      <c r="G3175" t="n">
        <v>7.2</v>
      </c>
      <c r="H3175" t="n">
        <v>0</v>
      </c>
      <c r="I3175" t="n">
        <v>0</v>
      </c>
      <c r="J3175" t="n">
        <v>0</v>
      </c>
      <c r="K3175" t="n">
        <v>0</v>
      </c>
      <c r="L3175" t="n">
        <v>0</v>
      </c>
      <c r="M3175" t="n">
        <v>0</v>
      </c>
      <c r="N3175" t="n">
        <v>0</v>
      </c>
      <c r="O3175" t="n">
        <v>0</v>
      </c>
      <c r="P3175" t="n">
        <v>0</v>
      </c>
      <c r="Q3175" t="n">
        <v>0</v>
      </c>
      <c r="R3175" s="2" t="inlineStr"/>
    </row>
    <row r="3176" ht="15" customHeight="1">
      <c r="A3176" t="inlineStr">
        <is>
          <t>A 26028-2024</t>
        </is>
      </c>
      <c r="B3176" s="1" t="n">
        <v>45467.96247685186</v>
      </c>
      <c r="C3176" s="1" t="n">
        <v>45883</v>
      </c>
      <c r="D3176" t="inlineStr">
        <is>
          <t>GÄVLEBORGS LÄN</t>
        </is>
      </c>
      <c r="E3176" t="inlineStr">
        <is>
          <t>OVANÅKER</t>
        </is>
      </c>
      <c r="G3176" t="n">
        <v>5.4</v>
      </c>
      <c r="H3176" t="n">
        <v>0</v>
      </c>
      <c r="I3176" t="n">
        <v>0</v>
      </c>
      <c r="J3176" t="n">
        <v>0</v>
      </c>
      <c r="K3176" t="n">
        <v>0</v>
      </c>
      <c r="L3176" t="n">
        <v>0</v>
      </c>
      <c r="M3176" t="n">
        <v>0</v>
      </c>
      <c r="N3176" t="n">
        <v>0</v>
      </c>
      <c r="O3176" t="n">
        <v>0</v>
      </c>
      <c r="P3176" t="n">
        <v>0</v>
      </c>
      <c r="Q3176" t="n">
        <v>0</v>
      </c>
      <c r="R3176" s="2" t="inlineStr"/>
    </row>
    <row r="3177" ht="15" customHeight="1">
      <c r="A3177" t="inlineStr">
        <is>
          <t>A 19489-2024</t>
        </is>
      </c>
      <c r="B3177" s="1" t="n">
        <v>45429.57315972223</v>
      </c>
      <c r="C3177" s="1" t="n">
        <v>45883</v>
      </c>
      <c r="D3177" t="inlineStr">
        <is>
          <t>GÄVLEBORGS LÄN</t>
        </is>
      </c>
      <c r="E3177" t="inlineStr">
        <is>
          <t>OCKELBO</t>
        </is>
      </c>
      <c r="F3177" t="inlineStr">
        <is>
          <t>Bergvik skog väst AB</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15564-2024</t>
        </is>
      </c>
      <c r="B3178" s="1" t="n">
        <v>45401.65928240741</v>
      </c>
      <c r="C3178" s="1" t="n">
        <v>45883</v>
      </c>
      <c r="D3178" t="inlineStr">
        <is>
          <t>GÄVLEBORGS LÄN</t>
        </is>
      </c>
      <c r="E3178" t="inlineStr">
        <is>
          <t>OVANÅKER</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24-2025</t>
        </is>
      </c>
      <c r="B3179" s="1" t="n">
        <v>45658.82557870371</v>
      </c>
      <c r="C3179" s="1" t="n">
        <v>45883</v>
      </c>
      <c r="D3179" t="inlineStr">
        <is>
          <t>GÄVLEBORGS LÄN</t>
        </is>
      </c>
      <c r="E3179" t="inlineStr">
        <is>
          <t>GÄVLE</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57776-2022</t>
        </is>
      </c>
      <c r="B3180" s="1" t="n">
        <v>44897</v>
      </c>
      <c r="C3180" s="1" t="n">
        <v>45883</v>
      </c>
      <c r="D3180" t="inlineStr">
        <is>
          <t>GÄVLEBORGS LÄN</t>
        </is>
      </c>
      <c r="E3180" t="inlineStr">
        <is>
          <t>OVANÅKER</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53259-2024</t>
        </is>
      </c>
      <c r="B3181" s="1" t="n">
        <v>45614.34181712963</v>
      </c>
      <c r="C3181" s="1" t="n">
        <v>45883</v>
      </c>
      <c r="D3181" t="inlineStr">
        <is>
          <t>GÄVLEBORGS LÄN</t>
        </is>
      </c>
      <c r="E3181" t="inlineStr">
        <is>
          <t>HUDIKSVALL</t>
        </is>
      </c>
      <c r="F3181" t="inlineStr">
        <is>
          <t>Holmen skog AB</t>
        </is>
      </c>
      <c r="G3181" t="n">
        <v>35.7</v>
      </c>
      <c r="H3181" t="n">
        <v>0</v>
      </c>
      <c r="I3181" t="n">
        <v>0</v>
      </c>
      <c r="J3181" t="n">
        <v>0</v>
      </c>
      <c r="K3181" t="n">
        <v>0</v>
      </c>
      <c r="L3181" t="n">
        <v>0</v>
      </c>
      <c r="M3181" t="n">
        <v>0</v>
      </c>
      <c r="N3181" t="n">
        <v>0</v>
      </c>
      <c r="O3181" t="n">
        <v>0</v>
      </c>
      <c r="P3181" t="n">
        <v>0</v>
      </c>
      <c r="Q3181" t="n">
        <v>0</v>
      </c>
      <c r="R3181" s="2" t="inlineStr"/>
    </row>
    <row r="3182" ht="15" customHeight="1">
      <c r="A3182" t="inlineStr">
        <is>
          <t>A 55781-2022</t>
        </is>
      </c>
      <c r="B3182" s="1" t="n">
        <v>44888</v>
      </c>
      <c r="C3182" s="1" t="n">
        <v>45883</v>
      </c>
      <c r="D3182" t="inlineStr">
        <is>
          <t>GÄVLEBORGS LÄN</t>
        </is>
      </c>
      <c r="E3182" t="inlineStr">
        <is>
          <t>LJUSDAL</t>
        </is>
      </c>
      <c r="F3182" t="inlineStr">
        <is>
          <t>Kommuner</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55276-2024</t>
        </is>
      </c>
      <c r="B3183" s="1" t="n">
        <v>45621.62126157407</v>
      </c>
      <c r="C3183" s="1" t="n">
        <v>45883</v>
      </c>
      <c r="D3183" t="inlineStr">
        <is>
          <t>GÄVLEBORGS LÄN</t>
        </is>
      </c>
      <c r="E3183" t="inlineStr">
        <is>
          <t>NORDANSTIG</t>
        </is>
      </c>
      <c r="F3183" t="inlineStr">
        <is>
          <t>Holmen skog AB</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2999-2025</t>
        </is>
      </c>
      <c r="B3184" s="1" t="n">
        <v>45678.54983796296</v>
      </c>
      <c r="C3184" s="1" t="n">
        <v>45883</v>
      </c>
      <c r="D3184" t="inlineStr">
        <is>
          <t>GÄVLEBORGS LÄN</t>
        </is>
      </c>
      <c r="E3184" t="inlineStr">
        <is>
          <t>HUDIKSVALL</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9804-2025</t>
        </is>
      </c>
      <c r="B3185" s="1" t="n">
        <v>45716.55760416666</v>
      </c>
      <c r="C3185" s="1" t="n">
        <v>45883</v>
      </c>
      <c r="D3185" t="inlineStr">
        <is>
          <t>GÄVLEBORGS LÄN</t>
        </is>
      </c>
      <c r="E3185" t="inlineStr">
        <is>
          <t>HUDIKSVALL</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55450-2024</t>
        </is>
      </c>
      <c r="B3186" s="1" t="n">
        <v>45622</v>
      </c>
      <c r="C3186" s="1" t="n">
        <v>45883</v>
      </c>
      <c r="D3186" t="inlineStr">
        <is>
          <t>GÄVLEBORGS LÄN</t>
        </is>
      </c>
      <c r="E3186" t="inlineStr">
        <is>
          <t>NORDANSTIG</t>
        </is>
      </c>
      <c r="F3186" t="inlineStr">
        <is>
          <t>Holmen skog AB</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55451-2024</t>
        </is>
      </c>
      <c r="B3187" s="1" t="n">
        <v>45622</v>
      </c>
      <c r="C3187" s="1" t="n">
        <v>45883</v>
      </c>
      <c r="D3187" t="inlineStr">
        <is>
          <t>GÄVLEBORGS LÄN</t>
        </is>
      </c>
      <c r="E3187" t="inlineStr">
        <is>
          <t>LJUSDAL</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3034-2025</t>
        </is>
      </c>
      <c r="B3188" s="1" t="n">
        <v>45678.59506944445</v>
      </c>
      <c r="C3188" s="1" t="n">
        <v>45883</v>
      </c>
      <c r="D3188" t="inlineStr">
        <is>
          <t>GÄVLEBORGS LÄN</t>
        </is>
      </c>
      <c r="E3188" t="inlineStr">
        <is>
          <t>OCKELBO</t>
        </is>
      </c>
      <c r="G3188" t="n">
        <v>8.1</v>
      </c>
      <c r="H3188" t="n">
        <v>0</v>
      </c>
      <c r="I3188" t="n">
        <v>0</v>
      </c>
      <c r="J3188" t="n">
        <v>0</v>
      </c>
      <c r="K3188" t="n">
        <v>0</v>
      </c>
      <c r="L3188" t="n">
        <v>0</v>
      </c>
      <c r="M3188" t="n">
        <v>0</v>
      </c>
      <c r="N3188" t="n">
        <v>0</v>
      </c>
      <c r="O3188" t="n">
        <v>0</v>
      </c>
      <c r="P3188" t="n">
        <v>0</v>
      </c>
      <c r="Q3188" t="n">
        <v>0</v>
      </c>
      <c r="R3188" s="2" t="inlineStr"/>
    </row>
    <row r="3189" ht="15" customHeight="1">
      <c r="A3189" t="inlineStr">
        <is>
          <t>A 13027-2025</t>
        </is>
      </c>
      <c r="B3189" s="1" t="n">
        <v>45734.56173611111</v>
      </c>
      <c r="C3189" s="1" t="n">
        <v>45883</v>
      </c>
      <c r="D3189" t="inlineStr">
        <is>
          <t>GÄVLEBORGS LÄN</t>
        </is>
      </c>
      <c r="E3189" t="inlineStr">
        <is>
          <t>GÄVLE</t>
        </is>
      </c>
      <c r="F3189" t="inlineStr">
        <is>
          <t>Bergvik skog öst AB</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11762-2023</t>
        </is>
      </c>
      <c r="B3190" s="1" t="n">
        <v>44994</v>
      </c>
      <c r="C3190" s="1" t="n">
        <v>45883</v>
      </c>
      <c r="D3190" t="inlineStr">
        <is>
          <t>GÄVLEBORGS LÄN</t>
        </is>
      </c>
      <c r="E3190" t="inlineStr">
        <is>
          <t>NORDANSTIG</t>
        </is>
      </c>
      <c r="G3190" t="n">
        <v>9.5</v>
      </c>
      <c r="H3190" t="n">
        <v>0</v>
      </c>
      <c r="I3190" t="n">
        <v>0</v>
      </c>
      <c r="J3190" t="n">
        <v>0</v>
      </c>
      <c r="K3190" t="n">
        <v>0</v>
      </c>
      <c r="L3190" t="n">
        <v>0</v>
      </c>
      <c r="M3190" t="n">
        <v>0</v>
      </c>
      <c r="N3190" t="n">
        <v>0</v>
      </c>
      <c r="O3190" t="n">
        <v>0</v>
      </c>
      <c r="P3190" t="n">
        <v>0</v>
      </c>
      <c r="Q3190" t="n">
        <v>0</v>
      </c>
      <c r="R3190" s="2" t="inlineStr"/>
    </row>
    <row r="3191" ht="15" customHeight="1">
      <c r="A3191" t="inlineStr">
        <is>
          <t>A 56741-2024</t>
        </is>
      </c>
      <c r="B3191" s="1" t="n">
        <v>45628.36787037037</v>
      </c>
      <c r="C3191" s="1" t="n">
        <v>45883</v>
      </c>
      <c r="D3191" t="inlineStr">
        <is>
          <t>GÄVLEBORGS LÄN</t>
        </is>
      </c>
      <c r="E3191" t="inlineStr">
        <is>
          <t>OCKELBO</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20945-2024</t>
        </is>
      </c>
      <c r="B3192" s="1" t="n">
        <v>45439.55940972222</v>
      </c>
      <c r="C3192" s="1" t="n">
        <v>45883</v>
      </c>
      <c r="D3192" t="inlineStr">
        <is>
          <t>GÄVLEBORGS LÄN</t>
        </is>
      </c>
      <c r="E3192" t="inlineStr">
        <is>
          <t>NORDANSTIG</t>
        </is>
      </c>
      <c r="F3192" t="inlineStr">
        <is>
          <t>Holmen skog AB</t>
        </is>
      </c>
      <c r="G3192" t="n">
        <v>8.9</v>
      </c>
      <c r="H3192" t="n">
        <v>0</v>
      </c>
      <c r="I3192" t="n">
        <v>0</v>
      </c>
      <c r="J3192" t="n">
        <v>0</v>
      </c>
      <c r="K3192" t="n">
        <v>0</v>
      </c>
      <c r="L3192" t="n">
        <v>0</v>
      </c>
      <c r="M3192" t="n">
        <v>0</v>
      </c>
      <c r="N3192" t="n">
        <v>0</v>
      </c>
      <c r="O3192" t="n">
        <v>0</v>
      </c>
      <c r="P3192" t="n">
        <v>0</v>
      </c>
      <c r="Q3192" t="n">
        <v>0</v>
      </c>
      <c r="R3192" s="2" t="inlineStr"/>
    </row>
    <row r="3193" ht="15" customHeight="1">
      <c r="A3193" t="inlineStr">
        <is>
          <t>A 12550-2025</t>
        </is>
      </c>
      <c r="B3193" s="1" t="n">
        <v>45731.31880787037</v>
      </c>
      <c r="C3193" s="1" t="n">
        <v>45883</v>
      </c>
      <c r="D3193" t="inlineStr">
        <is>
          <t>GÄVLEBORGS LÄN</t>
        </is>
      </c>
      <c r="E3193" t="inlineStr">
        <is>
          <t>OVANÅKER</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69378-2021</t>
        </is>
      </c>
      <c r="B3194" s="1" t="n">
        <v>44531.56668981481</v>
      </c>
      <c r="C3194" s="1" t="n">
        <v>45883</v>
      </c>
      <c r="D3194" t="inlineStr">
        <is>
          <t>GÄVLEBORGS LÄN</t>
        </is>
      </c>
      <c r="E3194" t="inlineStr">
        <is>
          <t>BOLLNÄS</t>
        </is>
      </c>
      <c r="F3194" t="inlineStr">
        <is>
          <t>Bergvik skog väst AB</t>
        </is>
      </c>
      <c r="G3194" t="n">
        <v>5</v>
      </c>
      <c r="H3194" t="n">
        <v>0</v>
      </c>
      <c r="I3194" t="n">
        <v>0</v>
      </c>
      <c r="J3194" t="n">
        <v>0</v>
      </c>
      <c r="K3194" t="n">
        <v>0</v>
      </c>
      <c r="L3194" t="n">
        <v>0</v>
      </c>
      <c r="M3194" t="n">
        <v>0</v>
      </c>
      <c r="N3194" t="n">
        <v>0</v>
      </c>
      <c r="O3194" t="n">
        <v>0</v>
      </c>
      <c r="P3194" t="n">
        <v>0</v>
      </c>
      <c r="Q3194" t="n">
        <v>0</v>
      </c>
      <c r="R3194" s="2" t="inlineStr"/>
    </row>
    <row r="3195" ht="15" customHeight="1">
      <c r="A3195" t="inlineStr">
        <is>
          <t>A 54896-2024</t>
        </is>
      </c>
      <c r="B3195" s="1" t="n">
        <v>45618.63685185185</v>
      </c>
      <c r="C3195" s="1" t="n">
        <v>45883</v>
      </c>
      <c r="D3195" t="inlineStr">
        <is>
          <t>GÄVLEBORGS LÄN</t>
        </is>
      </c>
      <c r="E3195" t="inlineStr">
        <is>
          <t>NORDANSTIG</t>
        </is>
      </c>
      <c r="F3195" t="inlineStr">
        <is>
          <t>Holmen skog AB</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6985-2025</t>
        </is>
      </c>
      <c r="B3196" s="1" t="n">
        <v>45701.56611111111</v>
      </c>
      <c r="C3196" s="1" t="n">
        <v>45883</v>
      </c>
      <c r="D3196" t="inlineStr">
        <is>
          <t>GÄVLEBORGS LÄN</t>
        </is>
      </c>
      <c r="E3196" t="inlineStr">
        <is>
          <t>HUDIKSVALL</t>
        </is>
      </c>
      <c r="G3196" t="n">
        <v>6.7</v>
      </c>
      <c r="H3196" t="n">
        <v>0</v>
      </c>
      <c r="I3196" t="n">
        <v>0</v>
      </c>
      <c r="J3196" t="n">
        <v>0</v>
      </c>
      <c r="K3196" t="n">
        <v>0</v>
      </c>
      <c r="L3196" t="n">
        <v>0</v>
      </c>
      <c r="M3196" t="n">
        <v>0</v>
      </c>
      <c r="N3196" t="n">
        <v>0</v>
      </c>
      <c r="O3196" t="n">
        <v>0</v>
      </c>
      <c r="P3196" t="n">
        <v>0</v>
      </c>
      <c r="Q3196" t="n">
        <v>0</v>
      </c>
      <c r="R3196" s="2" t="inlineStr"/>
    </row>
    <row r="3197" ht="15" customHeight="1">
      <c r="A3197" t="inlineStr">
        <is>
          <t>A 6987-2025</t>
        </is>
      </c>
      <c r="B3197" s="1" t="n">
        <v>45701</v>
      </c>
      <c r="C3197" s="1" t="n">
        <v>45883</v>
      </c>
      <c r="D3197" t="inlineStr">
        <is>
          <t>GÄVLEBORGS LÄN</t>
        </is>
      </c>
      <c r="E3197" t="inlineStr">
        <is>
          <t>LJUSDAL</t>
        </is>
      </c>
      <c r="G3197" t="n">
        <v>7.7</v>
      </c>
      <c r="H3197" t="n">
        <v>0</v>
      </c>
      <c r="I3197" t="n">
        <v>0</v>
      </c>
      <c r="J3197" t="n">
        <v>0</v>
      </c>
      <c r="K3197" t="n">
        <v>0</v>
      </c>
      <c r="L3197" t="n">
        <v>0</v>
      </c>
      <c r="M3197" t="n">
        <v>0</v>
      </c>
      <c r="N3197" t="n">
        <v>0</v>
      </c>
      <c r="O3197" t="n">
        <v>0</v>
      </c>
      <c r="P3197" t="n">
        <v>0</v>
      </c>
      <c r="Q3197" t="n">
        <v>0</v>
      </c>
      <c r="R3197" s="2" t="inlineStr"/>
    </row>
    <row r="3198" ht="15" customHeight="1">
      <c r="A3198" t="inlineStr">
        <is>
          <t>A 20356-2021</t>
        </is>
      </c>
      <c r="B3198" s="1" t="n">
        <v>44315.429375</v>
      </c>
      <c r="C3198" s="1" t="n">
        <v>45883</v>
      </c>
      <c r="D3198" t="inlineStr">
        <is>
          <t>GÄVLEBORGS LÄN</t>
        </is>
      </c>
      <c r="E3198" t="inlineStr">
        <is>
          <t>OVANÅKER</t>
        </is>
      </c>
      <c r="G3198" t="n">
        <v>4</v>
      </c>
      <c r="H3198" t="n">
        <v>0</v>
      </c>
      <c r="I3198" t="n">
        <v>0</v>
      </c>
      <c r="J3198" t="n">
        <v>0</v>
      </c>
      <c r="K3198" t="n">
        <v>0</v>
      </c>
      <c r="L3198" t="n">
        <v>0</v>
      </c>
      <c r="M3198" t="n">
        <v>0</v>
      </c>
      <c r="N3198" t="n">
        <v>0</v>
      </c>
      <c r="O3198" t="n">
        <v>0</v>
      </c>
      <c r="P3198" t="n">
        <v>0</v>
      </c>
      <c r="Q3198" t="n">
        <v>0</v>
      </c>
      <c r="R3198" s="2" t="inlineStr"/>
    </row>
    <row r="3199" ht="15" customHeight="1">
      <c r="A3199" t="inlineStr">
        <is>
          <t>A 60801-2024</t>
        </is>
      </c>
      <c r="B3199" s="1" t="n">
        <v>45644.60451388889</v>
      </c>
      <c r="C3199" s="1" t="n">
        <v>45883</v>
      </c>
      <c r="D3199" t="inlineStr">
        <is>
          <t>GÄVLEBORGS LÄN</t>
        </is>
      </c>
      <c r="E3199" t="inlineStr">
        <is>
          <t>GÄVLE</t>
        </is>
      </c>
      <c r="F3199" t="inlineStr">
        <is>
          <t>Kyrkan</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37202-2023</t>
        </is>
      </c>
      <c r="B3200" s="1" t="n">
        <v>45155</v>
      </c>
      <c r="C3200" s="1" t="n">
        <v>45883</v>
      </c>
      <c r="D3200" t="inlineStr">
        <is>
          <t>GÄVLEBORGS LÄN</t>
        </is>
      </c>
      <c r="E3200" t="inlineStr">
        <is>
          <t>LJUSDAL</t>
        </is>
      </c>
      <c r="F3200" t="inlineStr">
        <is>
          <t>Sveaskog</t>
        </is>
      </c>
      <c r="G3200" t="n">
        <v>7.1</v>
      </c>
      <c r="H3200" t="n">
        <v>0</v>
      </c>
      <c r="I3200" t="n">
        <v>0</v>
      </c>
      <c r="J3200" t="n">
        <v>0</v>
      </c>
      <c r="K3200" t="n">
        <v>0</v>
      </c>
      <c r="L3200" t="n">
        <v>0</v>
      </c>
      <c r="M3200" t="n">
        <v>0</v>
      </c>
      <c r="N3200" t="n">
        <v>0</v>
      </c>
      <c r="O3200" t="n">
        <v>0</v>
      </c>
      <c r="P3200" t="n">
        <v>0</v>
      </c>
      <c r="Q3200" t="n">
        <v>0</v>
      </c>
      <c r="R3200" s="2" t="inlineStr"/>
    </row>
    <row r="3201" ht="15" customHeight="1">
      <c r="A3201" t="inlineStr">
        <is>
          <t>A 41293-2023</t>
        </is>
      </c>
      <c r="B3201" s="1" t="n">
        <v>45174.59391203704</v>
      </c>
      <c r="C3201" s="1" t="n">
        <v>45883</v>
      </c>
      <c r="D3201" t="inlineStr">
        <is>
          <t>GÄVLEBORGS LÄN</t>
        </is>
      </c>
      <c r="E3201" t="inlineStr">
        <is>
          <t>LJUSDAL</t>
        </is>
      </c>
      <c r="F3201" t="inlineStr">
        <is>
          <t>Sveaskog</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19963-2025</t>
        </is>
      </c>
      <c r="B3202" s="1" t="n">
        <v>45771.67196759259</v>
      </c>
      <c r="C3202" s="1" t="n">
        <v>45883</v>
      </c>
      <c r="D3202" t="inlineStr">
        <is>
          <t>GÄVLEBORGS LÄN</t>
        </is>
      </c>
      <c r="E3202" t="inlineStr">
        <is>
          <t>OVANÅKER</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45221-2023</t>
        </is>
      </c>
      <c r="B3203" s="1" t="n">
        <v>45191.57886574074</v>
      </c>
      <c r="C3203" s="1" t="n">
        <v>45883</v>
      </c>
      <c r="D3203" t="inlineStr">
        <is>
          <t>GÄVLEBORGS LÄN</t>
        </is>
      </c>
      <c r="E3203" t="inlineStr">
        <is>
          <t>HUDIKSVALL</t>
        </is>
      </c>
      <c r="F3203" t="inlineStr">
        <is>
          <t>Holmen skog AB</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43550-2023</t>
        </is>
      </c>
      <c r="B3204" s="1" t="n">
        <v>45184</v>
      </c>
      <c r="C3204" s="1" t="n">
        <v>45883</v>
      </c>
      <c r="D3204" t="inlineStr">
        <is>
          <t>GÄVLEBORGS LÄN</t>
        </is>
      </c>
      <c r="E3204" t="inlineStr">
        <is>
          <t>OCKELBO</t>
        </is>
      </c>
      <c r="F3204" t="inlineStr">
        <is>
          <t>Bergvik skog väst AB</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19190-2025</t>
        </is>
      </c>
      <c r="B3205" s="1" t="n">
        <v>45767</v>
      </c>
      <c r="C3205" s="1" t="n">
        <v>45883</v>
      </c>
      <c r="D3205" t="inlineStr">
        <is>
          <t>GÄVLEBORGS LÄN</t>
        </is>
      </c>
      <c r="E3205" t="inlineStr">
        <is>
          <t>HUDIKSVALL</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32980-2023</t>
        </is>
      </c>
      <c r="B3206" s="1" t="n">
        <v>45125.59980324074</v>
      </c>
      <c r="C3206" s="1" t="n">
        <v>45883</v>
      </c>
      <c r="D3206" t="inlineStr">
        <is>
          <t>GÄVLEBORGS LÄN</t>
        </is>
      </c>
      <c r="E3206" t="inlineStr">
        <is>
          <t>HOFORS</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56151-2020</t>
        </is>
      </c>
      <c r="B3207" s="1" t="n">
        <v>44133</v>
      </c>
      <c r="C3207" s="1" t="n">
        <v>45883</v>
      </c>
      <c r="D3207" t="inlineStr">
        <is>
          <t>GÄVLEBORGS LÄN</t>
        </is>
      </c>
      <c r="E3207" t="inlineStr">
        <is>
          <t>BOLLNÄS</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473-2024</t>
        </is>
      </c>
      <c r="B3208" s="1" t="n">
        <v>45297</v>
      </c>
      <c r="C3208" s="1" t="n">
        <v>45883</v>
      </c>
      <c r="D3208" t="inlineStr">
        <is>
          <t>GÄVLEBORGS LÄN</t>
        </is>
      </c>
      <c r="E3208" t="inlineStr">
        <is>
          <t>HUDIKSVALL</t>
        </is>
      </c>
      <c r="F3208" t="inlineStr">
        <is>
          <t>Holmen skog AB</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28348-2023</t>
        </is>
      </c>
      <c r="B3209" s="1" t="n">
        <v>45099.79817129629</v>
      </c>
      <c r="C3209" s="1" t="n">
        <v>45883</v>
      </c>
      <c r="D3209" t="inlineStr">
        <is>
          <t>GÄVLEBORGS LÄN</t>
        </is>
      </c>
      <c r="E3209" t="inlineStr">
        <is>
          <t>LJUSDAL</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40363-2023</t>
        </is>
      </c>
      <c r="B3210" s="1" t="n">
        <v>45169.66825231481</v>
      </c>
      <c r="C3210" s="1" t="n">
        <v>45883</v>
      </c>
      <c r="D3210" t="inlineStr">
        <is>
          <t>GÄVLEBORGS LÄN</t>
        </is>
      </c>
      <c r="E3210" t="inlineStr">
        <is>
          <t>SANDVIKEN</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22373-2023</t>
        </is>
      </c>
      <c r="B3211" s="1" t="n">
        <v>45070.60813657408</v>
      </c>
      <c r="C3211" s="1" t="n">
        <v>45883</v>
      </c>
      <c r="D3211" t="inlineStr">
        <is>
          <t>GÄVLEBORGS LÄN</t>
        </is>
      </c>
      <c r="E3211" t="inlineStr">
        <is>
          <t>SANDVIKEN</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12266-2025</t>
        </is>
      </c>
      <c r="B3212" s="1" t="n">
        <v>45729.63112268518</v>
      </c>
      <c r="C3212" s="1" t="n">
        <v>45883</v>
      </c>
      <c r="D3212" t="inlineStr">
        <is>
          <t>GÄVLEBORGS LÄN</t>
        </is>
      </c>
      <c r="E3212" t="inlineStr">
        <is>
          <t>NORDANSTIG</t>
        </is>
      </c>
      <c r="F3212" t="inlineStr">
        <is>
          <t>Holmen skog AB</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12268-2025</t>
        </is>
      </c>
      <c r="B3213" s="1" t="n">
        <v>45729.63414351852</v>
      </c>
      <c r="C3213" s="1" t="n">
        <v>45883</v>
      </c>
      <c r="D3213" t="inlineStr">
        <is>
          <t>GÄVLEBORGS LÄN</t>
        </is>
      </c>
      <c r="E3213" t="inlineStr">
        <is>
          <t>SANDVIKEN</t>
        </is>
      </c>
      <c r="F3213" t="inlineStr">
        <is>
          <t>Bergvik skog öst AB</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14857-2022</t>
        </is>
      </c>
      <c r="B3214" s="1" t="n">
        <v>44656.65101851852</v>
      </c>
      <c r="C3214" s="1" t="n">
        <v>45883</v>
      </c>
      <c r="D3214" t="inlineStr">
        <is>
          <t>GÄVLEBORGS LÄN</t>
        </is>
      </c>
      <c r="E3214" t="inlineStr">
        <is>
          <t>BOLLNÄS</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45703-2023</t>
        </is>
      </c>
      <c r="B3215" s="1" t="n">
        <v>45195</v>
      </c>
      <c r="C3215" s="1" t="n">
        <v>45883</v>
      </c>
      <c r="D3215" t="inlineStr">
        <is>
          <t>GÄVLEBORGS LÄN</t>
        </is>
      </c>
      <c r="E3215" t="inlineStr">
        <is>
          <t>LJUSDAL</t>
        </is>
      </c>
      <c r="F3215" t="inlineStr">
        <is>
          <t>Holmen skog AB</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45709-2023</t>
        </is>
      </c>
      <c r="B3216" s="1" t="n">
        <v>45195</v>
      </c>
      <c r="C3216" s="1" t="n">
        <v>45883</v>
      </c>
      <c r="D3216" t="inlineStr">
        <is>
          <t>GÄVLEBORGS LÄN</t>
        </is>
      </c>
      <c r="E3216" t="inlineStr">
        <is>
          <t>LJUSDAL</t>
        </is>
      </c>
      <c r="F3216" t="inlineStr">
        <is>
          <t>Holmen skog AB</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56138-2023</t>
        </is>
      </c>
      <c r="B3217" s="1" t="n">
        <v>45240.59244212963</v>
      </c>
      <c r="C3217" s="1" t="n">
        <v>45883</v>
      </c>
      <c r="D3217" t="inlineStr">
        <is>
          <t>GÄVLEBORGS LÄN</t>
        </is>
      </c>
      <c r="E3217" t="inlineStr">
        <is>
          <t>GÄVLE</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55146-2024</t>
        </is>
      </c>
      <c r="B3218" s="1" t="n">
        <v>45621.48976851852</v>
      </c>
      <c r="C3218" s="1" t="n">
        <v>45883</v>
      </c>
      <c r="D3218" t="inlineStr">
        <is>
          <t>GÄVLEBORGS LÄN</t>
        </is>
      </c>
      <c r="E3218" t="inlineStr">
        <is>
          <t>OCKELBO</t>
        </is>
      </c>
      <c r="F3218" t="inlineStr">
        <is>
          <t>Bergvik skog väst AB</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49704-2023</t>
        </is>
      </c>
      <c r="B3219" s="1" t="n">
        <v>45212</v>
      </c>
      <c r="C3219" s="1" t="n">
        <v>45883</v>
      </c>
      <c r="D3219" t="inlineStr">
        <is>
          <t>GÄVLEBORGS LÄN</t>
        </is>
      </c>
      <c r="E3219" t="inlineStr">
        <is>
          <t>SANDVIKEN</t>
        </is>
      </c>
      <c r="F3219" t="inlineStr">
        <is>
          <t>Sveaskog</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53857-2023</t>
        </is>
      </c>
      <c r="B3220" s="1" t="n">
        <v>45231.46946759259</v>
      </c>
      <c r="C3220" s="1" t="n">
        <v>45883</v>
      </c>
      <c r="D3220" t="inlineStr">
        <is>
          <t>GÄVLEBORGS LÄN</t>
        </is>
      </c>
      <c r="E3220" t="inlineStr">
        <is>
          <t>LJUSDAL</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45444-2021</t>
        </is>
      </c>
      <c r="B3221" s="1" t="n">
        <v>44440.43269675926</v>
      </c>
      <c r="C3221" s="1" t="n">
        <v>45883</v>
      </c>
      <c r="D3221" t="inlineStr">
        <is>
          <t>GÄVLEBORGS LÄN</t>
        </is>
      </c>
      <c r="E3221" t="inlineStr">
        <is>
          <t>LJUSDAL</t>
        </is>
      </c>
      <c r="F3221" t="inlineStr">
        <is>
          <t>Allmännings- och besparingsskogar</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2206-2025</t>
        </is>
      </c>
      <c r="B3222" s="1" t="n">
        <v>45673.42638888889</v>
      </c>
      <c r="C3222" s="1" t="n">
        <v>45883</v>
      </c>
      <c r="D3222" t="inlineStr">
        <is>
          <t>GÄVLEBORGS LÄN</t>
        </is>
      </c>
      <c r="E3222" t="inlineStr">
        <is>
          <t>BOLLNÄS</t>
        </is>
      </c>
      <c r="G3222" t="n">
        <v>4.6</v>
      </c>
      <c r="H3222" t="n">
        <v>0</v>
      </c>
      <c r="I3222" t="n">
        <v>0</v>
      </c>
      <c r="J3222" t="n">
        <v>0</v>
      </c>
      <c r="K3222" t="n">
        <v>0</v>
      </c>
      <c r="L3222" t="n">
        <v>0</v>
      </c>
      <c r="M3222" t="n">
        <v>0</v>
      </c>
      <c r="N3222" t="n">
        <v>0</v>
      </c>
      <c r="O3222" t="n">
        <v>0</v>
      </c>
      <c r="P3222" t="n">
        <v>0</v>
      </c>
      <c r="Q3222" t="n">
        <v>0</v>
      </c>
      <c r="R3222" s="2" t="inlineStr"/>
    </row>
    <row r="3223" ht="15" customHeight="1">
      <c r="A3223" t="inlineStr">
        <is>
          <t>A 74460-2021</t>
        </is>
      </c>
      <c r="B3223" s="1" t="n">
        <v>44560.51326388889</v>
      </c>
      <c r="C3223" s="1" t="n">
        <v>45883</v>
      </c>
      <c r="D3223" t="inlineStr">
        <is>
          <t>GÄVLEBORGS LÄN</t>
        </is>
      </c>
      <c r="E3223" t="inlineStr">
        <is>
          <t>NORDANSTIG</t>
        </is>
      </c>
      <c r="F3223" t="inlineStr">
        <is>
          <t>Holmen skog AB</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2211-2025</t>
        </is>
      </c>
      <c r="B3224" s="1" t="n">
        <v>45673.43484953704</v>
      </c>
      <c r="C3224" s="1" t="n">
        <v>45883</v>
      </c>
      <c r="D3224" t="inlineStr">
        <is>
          <t>GÄVLEBORGS LÄN</t>
        </is>
      </c>
      <c r="E3224" t="inlineStr">
        <is>
          <t>BOLLNÄS</t>
        </is>
      </c>
      <c r="G3224" t="n">
        <v>3.9</v>
      </c>
      <c r="H3224" t="n">
        <v>0</v>
      </c>
      <c r="I3224" t="n">
        <v>0</v>
      </c>
      <c r="J3224" t="n">
        <v>0</v>
      </c>
      <c r="K3224" t="n">
        <v>0</v>
      </c>
      <c r="L3224" t="n">
        <v>0</v>
      </c>
      <c r="M3224" t="n">
        <v>0</v>
      </c>
      <c r="N3224" t="n">
        <v>0</v>
      </c>
      <c r="O3224" t="n">
        <v>0</v>
      </c>
      <c r="P3224" t="n">
        <v>0</v>
      </c>
      <c r="Q3224" t="n">
        <v>0</v>
      </c>
      <c r="R3224" s="2" t="inlineStr"/>
    </row>
    <row r="3225" ht="15" customHeight="1">
      <c r="A3225" t="inlineStr">
        <is>
          <t>A 2268-2025</t>
        </is>
      </c>
      <c r="B3225" s="1" t="n">
        <v>45673.53710648148</v>
      </c>
      <c r="C3225" s="1" t="n">
        <v>45883</v>
      </c>
      <c r="D3225" t="inlineStr">
        <is>
          <t>GÄVLEBORGS LÄN</t>
        </is>
      </c>
      <c r="E3225" t="inlineStr">
        <is>
          <t>SÖDERHAMN</t>
        </is>
      </c>
      <c r="G3225" t="n">
        <v>4.2</v>
      </c>
      <c r="H3225" t="n">
        <v>0</v>
      </c>
      <c r="I3225" t="n">
        <v>0</v>
      </c>
      <c r="J3225" t="n">
        <v>0</v>
      </c>
      <c r="K3225" t="n">
        <v>0</v>
      </c>
      <c r="L3225" t="n">
        <v>0</v>
      </c>
      <c r="M3225" t="n">
        <v>0</v>
      </c>
      <c r="N3225" t="n">
        <v>0</v>
      </c>
      <c r="O3225" t="n">
        <v>0</v>
      </c>
      <c r="P3225" t="n">
        <v>0</v>
      </c>
      <c r="Q3225" t="n">
        <v>0</v>
      </c>
      <c r="R3225" s="2" t="inlineStr"/>
    </row>
    <row r="3226" ht="15" customHeight="1">
      <c r="A3226" t="inlineStr">
        <is>
          <t>A 30-2022</t>
        </is>
      </c>
      <c r="B3226" s="1" t="n">
        <v>44564</v>
      </c>
      <c r="C3226" s="1" t="n">
        <v>45883</v>
      </c>
      <c r="D3226" t="inlineStr">
        <is>
          <t>GÄVLEBORGS LÄN</t>
        </is>
      </c>
      <c r="E3226" t="inlineStr">
        <is>
          <t>LJUSDAL</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61258-2022</t>
        </is>
      </c>
      <c r="B3227" s="1" t="n">
        <v>44915</v>
      </c>
      <c r="C3227" s="1" t="n">
        <v>45883</v>
      </c>
      <c r="D3227" t="inlineStr">
        <is>
          <t>GÄVLEBORGS LÄN</t>
        </is>
      </c>
      <c r="E3227" t="inlineStr">
        <is>
          <t>HUDIKSVALL</t>
        </is>
      </c>
      <c r="G3227" t="n">
        <v>10.3</v>
      </c>
      <c r="H3227" t="n">
        <v>0</v>
      </c>
      <c r="I3227" t="n">
        <v>0</v>
      </c>
      <c r="J3227" t="n">
        <v>0</v>
      </c>
      <c r="K3227" t="n">
        <v>0</v>
      </c>
      <c r="L3227" t="n">
        <v>0</v>
      </c>
      <c r="M3227" t="n">
        <v>0</v>
      </c>
      <c r="N3227" t="n">
        <v>0</v>
      </c>
      <c r="O3227" t="n">
        <v>0</v>
      </c>
      <c r="P3227" t="n">
        <v>0</v>
      </c>
      <c r="Q3227" t="n">
        <v>0</v>
      </c>
      <c r="R3227" s="2" t="inlineStr"/>
    </row>
    <row r="3228" ht="15" customHeight="1">
      <c r="A3228" t="inlineStr">
        <is>
          <t>A 22745-2022</t>
        </is>
      </c>
      <c r="B3228" s="1" t="n">
        <v>44714.71814814815</v>
      </c>
      <c r="C3228" s="1" t="n">
        <v>45883</v>
      </c>
      <c r="D3228" t="inlineStr">
        <is>
          <t>GÄVLEBORGS LÄN</t>
        </is>
      </c>
      <c r="E3228" t="inlineStr">
        <is>
          <t>BOLLNÄS</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20288-2024</t>
        </is>
      </c>
      <c r="B3229" s="1" t="n">
        <v>45435</v>
      </c>
      <c r="C3229" s="1" t="n">
        <v>45883</v>
      </c>
      <c r="D3229" t="inlineStr">
        <is>
          <t>GÄVLEBORGS LÄN</t>
        </is>
      </c>
      <c r="E3229" t="inlineStr">
        <is>
          <t>LJUSDAL</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25768-2022</t>
        </is>
      </c>
      <c r="B3230" s="1" t="n">
        <v>44733.45824074074</v>
      </c>
      <c r="C3230" s="1" t="n">
        <v>45883</v>
      </c>
      <c r="D3230" t="inlineStr">
        <is>
          <t>GÄVLEBORGS LÄN</t>
        </is>
      </c>
      <c r="E3230" t="inlineStr">
        <is>
          <t>GÄVLE</t>
        </is>
      </c>
      <c r="F3230" t="inlineStr">
        <is>
          <t>Bergvik skog öst AB</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51634-2022</t>
        </is>
      </c>
      <c r="B3231" s="1" t="n">
        <v>44872</v>
      </c>
      <c r="C3231" s="1" t="n">
        <v>45883</v>
      </c>
      <c r="D3231" t="inlineStr">
        <is>
          <t>GÄVLEBORGS LÄN</t>
        </is>
      </c>
      <c r="E3231" t="inlineStr">
        <is>
          <t>LJUSDAL</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36553-2021</t>
        </is>
      </c>
      <c r="B3232" s="1" t="n">
        <v>44391</v>
      </c>
      <c r="C3232" s="1" t="n">
        <v>45883</v>
      </c>
      <c r="D3232" t="inlineStr">
        <is>
          <t>GÄVLEBORGS LÄN</t>
        </is>
      </c>
      <c r="E3232" t="inlineStr">
        <is>
          <t>OCKELBO</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36568-2021</t>
        </is>
      </c>
      <c r="B3233" s="1" t="n">
        <v>44391</v>
      </c>
      <c r="C3233" s="1" t="n">
        <v>45883</v>
      </c>
      <c r="D3233" t="inlineStr">
        <is>
          <t>GÄVLEBORGS LÄN</t>
        </is>
      </c>
      <c r="E3233" t="inlineStr">
        <is>
          <t>LJUSDAL</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28853-2024</t>
        </is>
      </c>
      <c r="B3234" s="1" t="n">
        <v>45478.82053240741</v>
      </c>
      <c r="C3234" s="1" t="n">
        <v>45883</v>
      </c>
      <c r="D3234" t="inlineStr">
        <is>
          <t>GÄVLEBORGS LÄN</t>
        </is>
      </c>
      <c r="E3234" t="inlineStr">
        <is>
          <t>HUDIKSVALL</t>
        </is>
      </c>
      <c r="F3234" t="inlineStr">
        <is>
          <t>Holmen skog AB</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4062-2025</t>
        </is>
      </c>
      <c r="B3235" s="1" t="n">
        <v>45684.63040509259</v>
      </c>
      <c r="C3235" s="1" t="n">
        <v>45883</v>
      </c>
      <c r="D3235" t="inlineStr">
        <is>
          <t>GÄVLEBORGS LÄN</t>
        </is>
      </c>
      <c r="E3235" t="inlineStr">
        <is>
          <t>HUDIKSVALL</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49448-2023</t>
        </is>
      </c>
      <c r="B3236" s="1" t="n">
        <v>45211</v>
      </c>
      <c r="C3236" s="1" t="n">
        <v>45883</v>
      </c>
      <c r="D3236" t="inlineStr">
        <is>
          <t>GÄVLEBORGS LÄN</t>
        </is>
      </c>
      <c r="E3236" t="inlineStr">
        <is>
          <t>OCKELBO</t>
        </is>
      </c>
      <c r="F3236" t="inlineStr">
        <is>
          <t>Bergvik skog väst AB</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36252-2024</t>
        </is>
      </c>
      <c r="B3237" s="1" t="n">
        <v>45534</v>
      </c>
      <c r="C3237" s="1" t="n">
        <v>45883</v>
      </c>
      <c r="D3237" t="inlineStr">
        <is>
          <t>GÄVLEBORGS LÄN</t>
        </is>
      </c>
      <c r="E3237" t="inlineStr">
        <is>
          <t>OVANÅKER</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36254-2024</t>
        </is>
      </c>
      <c r="B3238" s="1" t="n">
        <v>45534</v>
      </c>
      <c r="C3238" s="1" t="n">
        <v>45883</v>
      </c>
      <c r="D3238" t="inlineStr">
        <is>
          <t>GÄVLEBORGS LÄN</t>
        </is>
      </c>
      <c r="E3238" t="inlineStr">
        <is>
          <t>OVANÅKER</t>
        </is>
      </c>
      <c r="G3238" t="n">
        <v>0.3</v>
      </c>
      <c r="H3238" t="n">
        <v>0</v>
      </c>
      <c r="I3238" t="n">
        <v>0</v>
      </c>
      <c r="J3238" t="n">
        <v>0</v>
      </c>
      <c r="K3238" t="n">
        <v>0</v>
      </c>
      <c r="L3238" t="n">
        <v>0</v>
      </c>
      <c r="M3238" t="n">
        <v>0</v>
      </c>
      <c r="N3238" t="n">
        <v>0</v>
      </c>
      <c r="O3238" t="n">
        <v>0</v>
      </c>
      <c r="P3238" t="n">
        <v>0</v>
      </c>
      <c r="Q3238" t="n">
        <v>0</v>
      </c>
      <c r="R3238" s="2" t="inlineStr"/>
    </row>
    <row r="3239" ht="15" customHeight="1">
      <c r="A3239" t="inlineStr">
        <is>
          <t>A 5557-2021</t>
        </is>
      </c>
      <c r="B3239" s="1" t="n">
        <v>44230</v>
      </c>
      <c r="C3239" s="1" t="n">
        <v>45883</v>
      </c>
      <c r="D3239" t="inlineStr">
        <is>
          <t>GÄVLEBORGS LÄN</t>
        </is>
      </c>
      <c r="E3239" t="inlineStr">
        <is>
          <t>HOFORS</t>
        </is>
      </c>
      <c r="G3239" t="n">
        <v>4</v>
      </c>
      <c r="H3239" t="n">
        <v>0</v>
      </c>
      <c r="I3239" t="n">
        <v>0</v>
      </c>
      <c r="J3239" t="n">
        <v>0</v>
      </c>
      <c r="K3239" t="n">
        <v>0</v>
      </c>
      <c r="L3239" t="n">
        <v>0</v>
      </c>
      <c r="M3239" t="n">
        <v>0</v>
      </c>
      <c r="N3239" t="n">
        <v>0</v>
      </c>
      <c r="O3239" t="n">
        <v>0</v>
      </c>
      <c r="P3239" t="n">
        <v>0</v>
      </c>
      <c r="Q3239" t="n">
        <v>0</v>
      </c>
      <c r="R3239" s="2" t="inlineStr"/>
    </row>
    <row r="3240" ht="15" customHeight="1">
      <c r="A3240" t="inlineStr">
        <is>
          <t>A 6227-2023</t>
        </is>
      </c>
      <c r="B3240" s="1" t="n">
        <v>44964</v>
      </c>
      <c r="C3240" s="1" t="n">
        <v>45883</v>
      </c>
      <c r="D3240" t="inlineStr">
        <is>
          <t>GÄVLEBORGS LÄN</t>
        </is>
      </c>
      <c r="E3240" t="inlineStr">
        <is>
          <t>HUDIKSVALL</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11756-2023</t>
        </is>
      </c>
      <c r="B3241" s="1" t="n">
        <v>44994</v>
      </c>
      <c r="C3241" s="1" t="n">
        <v>45883</v>
      </c>
      <c r="D3241" t="inlineStr">
        <is>
          <t>GÄVLEBORGS LÄN</t>
        </is>
      </c>
      <c r="E3241" t="inlineStr">
        <is>
          <t>SANDVIKEN</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11764-2023</t>
        </is>
      </c>
      <c r="B3242" s="1" t="n">
        <v>44994.62415509259</v>
      </c>
      <c r="C3242" s="1" t="n">
        <v>45883</v>
      </c>
      <c r="D3242" t="inlineStr">
        <is>
          <t>GÄVLEBORGS LÄN</t>
        </is>
      </c>
      <c r="E3242" t="inlineStr">
        <is>
          <t>SANDVIKEN</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57694-2022</t>
        </is>
      </c>
      <c r="B3243" s="1" t="n">
        <v>44897.49520833333</v>
      </c>
      <c r="C3243" s="1" t="n">
        <v>45883</v>
      </c>
      <c r="D3243" t="inlineStr">
        <is>
          <t>GÄVLEBORGS LÄN</t>
        </is>
      </c>
      <c r="E3243" t="inlineStr">
        <is>
          <t>SÖDERHAMN</t>
        </is>
      </c>
      <c r="G3243" t="n">
        <v>8.1</v>
      </c>
      <c r="H3243" t="n">
        <v>0</v>
      </c>
      <c r="I3243" t="n">
        <v>0</v>
      </c>
      <c r="J3243" t="n">
        <v>0</v>
      </c>
      <c r="K3243" t="n">
        <v>0</v>
      </c>
      <c r="L3243" t="n">
        <v>0</v>
      </c>
      <c r="M3243" t="n">
        <v>0</v>
      </c>
      <c r="N3243" t="n">
        <v>0</v>
      </c>
      <c r="O3243" t="n">
        <v>0</v>
      </c>
      <c r="P3243" t="n">
        <v>0</v>
      </c>
      <c r="Q3243" t="n">
        <v>0</v>
      </c>
      <c r="R3243" s="2" t="inlineStr"/>
    </row>
    <row r="3244" ht="15" customHeight="1">
      <c r="A3244" t="inlineStr">
        <is>
          <t>A 1409-2024</t>
        </is>
      </c>
      <c r="B3244" s="1" t="n">
        <v>45303.60253472222</v>
      </c>
      <c r="C3244" s="1" t="n">
        <v>45883</v>
      </c>
      <c r="D3244" t="inlineStr">
        <is>
          <t>GÄVLEBORGS LÄN</t>
        </is>
      </c>
      <c r="E3244" t="inlineStr">
        <is>
          <t>HUDIKSVALL</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45725-2023</t>
        </is>
      </c>
      <c r="B3245" s="1" t="n">
        <v>45195</v>
      </c>
      <c r="C3245" s="1" t="n">
        <v>45883</v>
      </c>
      <c r="D3245" t="inlineStr">
        <is>
          <t>GÄVLEBORGS LÄN</t>
        </is>
      </c>
      <c r="E3245" t="inlineStr">
        <is>
          <t>HUDIKSVALL</t>
        </is>
      </c>
      <c r="F3245" t="inlineStr">
        <is>
          <t>Holmen skog AB</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58749-2024</t>
        </is>
      </c>
      <c r="B3246" s="1" t="n">
        <v>45635.71554398148</v>
      </c>
      <c r="C3246" s="1" t="n">
        <v>45883</v>
      </c>
      <c r="D3246" t="inlineStr">
        <is>
          <t>GÄVLEBORGS LÄN</t>
        </is>
      </c>
      <c r="E3246" t="inlineStr">
        <is>
          <t>NORDANSTIG</t>
        </is>
      </c>
      <c r="F3246" t="inlineStr">
        <is>
          <t>Holmen skog AB</t>
        </is>
      </c>
      <c r="G3246" t="n">
        <v>8</v>
      </c>
      <c r="H3246" t="n">
        <v>0</v>
      </c>
      <c r="I3246" t="n">
        <v>0</v>
      </c>
      <c r="J3246" t="n">
        <v>0</v>
      </c>
      <c r="K3246" t="n">
        <v>0</v>
      </c>
      <c r="L3246" t="n">
        <v>0</v>
      </c>
      <c r="M3246" t="n">
        <v>0</v>
      </c>
      <c r="N3246" t="n">
        <v>0</v>
      </c>
      <c r="O3246" t="n">
        <v>0</v>
      </c>
      <c r="P3246" t="n">
        <v>0</v>
      </c>
      <c r="Q3246" t="n">
        <v>0</v>
      </c>
      <c r="R3246" s="2" t="inlineStr"/>
    </row>
    <row r="3247" ht="15" customHeight="1">
      <c r="A3247" t="inlineStr">
        <is>
          <t>A 18800-2025</t>
        </is>
      </c>
      <c r="B3247" s="1" t="n">
        <v>45764.34707175926</v>
      </c>
      <c r="C3247" s="1" t="n">
        <v>45883</v>
      </c>
      <c r="D3247" t="inlineStr">
        <is>
          <t>GÄVLEBORGS LÄN</t>
        </is>
      </c>
      <c r="E3247" t="inlineStr">
        <is>
          <t>LJUSDAL</t>
        </is>
      </c>
      <c r="F3247" t="inlineStr">
        <is>
          <t>Sveaskog</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19277-2025</t>
        </is>
      </c>
      <c r="B3248" s="1" t="n">
        <v>45769.53167824074</v>
      </c>
      <c r="C3248" s="1" t="n">
        <v>45883</v>
      </c>
      <c r="D3248" t="inlineStr">
        <is>
          <t>GÄVLEBORGS LÄN</t>
        </is>
      </c>
      <c r="E3248" t="inlineStr">
        <is>
          <t>LJUSDAL</t>
        </is>
      </c>
      <c r="F3248" t="inlineStr">
        <is>
          <t>SCA</t>
        </is>
      </c>
      <c r="G3248" t="n">
        <v>7.6</v>
      </c>
      <c r="H3248" t="n">
        <v>0</v>
      </c>
      <c r="I3248" t="n">
        <v>0</v>
      </c>
      <c r="J3248" t="n">
        <v>0</v>
      </c>
      <c r="K3248" t="n">
        <v>0</v>
      </c>
      <c r="L3248" t="n">
        <v>0</v>
      </c>
      <c r="M3248" t="n">
        <v>0</v>
      </c>
      <c r="N3248" t="n">
        <v>0</v>
      </c>
      <c r="O3248" t="n">
        <v>0</v>
      </c>
      <c r="P3248" t="n">
        <v>0</v>
      </c>
      <c r="Q3248" t="n">
        <v>0</v>
      </c>
      <c r="R3248" s="2" t="inlineStr"/>
    </row>
    <row r="3249" ht="15" customHeight="1">
      <c r="A3249" t="inlineStr">
        <is>
          <t>A 41790-2024</t>
        </is>
      </c>
      <c r="B3249" s="1" t="n">
        <v>45561.35392361111</v>
      </c>
      <c r="C3249" s="1" t="n">
        <v>45883</v>
      </c>
      <c r="D3249" t="inlineStr">
        <is>
          <t>GÄVLEBORGS LÄN</t>
        </is>
      </c>
      <c r="E3249" t="inlineStr">
        <is>
          <t>SANDVIKEN</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58544-2023</t>
        </is>
      </c>
      <c r="B3250" s="1" t="n">
        <v>45251</v>
      </c>
      <c r="C3250" s="1" t="n">
        <v>45883</v>
      </c>
      <c r="D3250" t="inlineStr">
        <is>
          <t>GÄVLEBORGS LÄN</t>
        </is>
      </c>
      <c r="E3250" t="inlineStr">
        <is>
          <t>SÖDERHAMN</t>
        </is>
      </c>
      <c r="F3250" t="inlineStr">
        <is>
          <t>Bergvik skog väst AB</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22070-2023</t>
        </is>
      </c>
      <c r="B3251" s="1" t="n">
        <v>45069</v>
      </c>
      <c r="C3251" s="1" t="n">
        <v>45883</v>
      </c>
      <c r="D3251" t="inlineStr">
        <is>
          <t>GÄVLEBORGS LÄN</t>
        </is>
      </c>
      <c r="E3251" t="inlineStr">
        <is>
          <t>SANDVIKEN</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30009-2023</t>
        </is>
      </c>
      <c r="B3252" s="1" t="n">
        <v>45109.83574074074</v>
      </c>
      <c r="C3252" s="1" t="n">
        <v>45883</v>
      </c>
      <c r="D3252" t="inlineStr">
        <is>
          <t>GÄVLEBORGS LÄN</t>
        </is>
      </c>
      <c r="E3252" t="inlineStr">
        <is>
          <t>OCKELBO</t>
        </is>
      </c>
      <c r="G3252" t="n">
        <v>4.8</v>
      </c>
      <c r="H3252" t="n">
        <v>0</v>
      </c>
      <c r="I3252" t="n">
        <v>0</v>
      </c>
      <c r="J3252" t="n">
        <v>0</v>
      </c>
      <c r="K3252" t="n">
        <v>0</v>
      </c>
      <c r="L3252" t="n">
        <v>0</v>
      </c>
      <c r="M3252" t="n">
        <v>0</v>
      </c>
      <c r="N3252" t="n">
        <v>0</v>
      </c>
      <c r="O3252" t="n">
        <v>0</v>
      </c>
      <c r="P3252" t="n">
        <v>0</v>
      </c>
      <c r="Q3252" t="n">
        <v>0</v>
      </c>
      <c r="R3252" s="2" t="inlineStr"/>
    </row>
    <row r="3253" ht="15" customHeight="1">
      <c r="A3253" t="inlineStr">
        <is>
          <t>A 46459-2024</t>
        </is>
      </c>
      <c r="B3253" s="1" t="n">
        <v>45582.52916666667</v>
      </c>
      <c r="C3253" s="1" t="n">
        <v>45883</v>
      </c>
      <c r="D3253" t="inlineStr">
        <is>
          <t>GÄVLEBORGS LÄN</t>
        </is>
      </c>
      <c r="E3253" t="inlineStr">
        <is>
          <t>NORDANSTIG</t>
        </is>
      </c>
      <c r="F3253" t="inlineStr">
        <is>
          <t>Holmen skog AB</t>
        </is>
      </c>
      <c r="G3253" t="n">
        <v>5.5</v>
      </c>
      <c r="H3253" t="n">
        <v>0</v>
      </c>
      <c r="I3253" t="n">
        <v>0</v>
      </c>
      <c r="J3253" t="n">
        <v>0</v>
      </c>
      <c r="K3253" t="n">
        <v>0</v>
      </c>
      <c r="L3253" t="n">
        <v>0</v>
      </c>
      <c r="M3253" t="n">
        <v>0</v>
      </c>
      <c r="N3253" t="n">
        <v>0</v>
      </c>
      <c r="O3253" t="n">
        <v>0</v>
      </c>
      <c r="P3253" t="n">
        <v>0</v>
      </c>
      <c r="Q3253" t="n">
        <v>0</v>
      </c>
      <c r="R3253" s="2" t="inlineStr"/>
    </row>
    <row r="3254" ht="15" customHeight="1">
      <c r="A3254" t="inlineStr">
        <is>
          <t>A 60517-2022</t>
        </is>
      </c>
      <c r="B3254" s="1" t="n">
        <v>44911</v>
      </c>
      <c r="C3254" s="1" t="n">
        <v>45883</v>
      </c>
      <c r="D3254" t="inlineStr">
        <is>
          <t>GÄVLEBORGS LÄN</t>
        </is>
      </c>
      <c r="E3254" t="inlineStr">
        <is>
          <t>HUDIKSVALL</t>
        </is>
      </c>
      <c r="F3254" t="inlineStr">
        <is>
          <t>Holmen skog AB</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46495-2020</t>
        </is>
      </c>
      <c r="B3255" s="1" t="n">
        <v>44095</v>
      </c>
      <c r="C3255" s="1" t="n">
        <v>45883</v>
      </c>
      <c r="D3255" t="inlineStr">
        <is>
          <t>GÄVLEBORGS LÄN</t>
        </is>
      </c>
      <c r="E3255" t="inlineStr">
        <is>
          <t>SÖDERHAMN</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16384-2025</t>
        </is>
      </c>
      <c r="B3256" s="1" t="n">
        <v>45751.42317129629</v>
      </c>
      <c r="C3256" s="1" t="n">
        <v>45883</v>
      </c>
      <c r="D3256" t="inlineStr">
        <is>
          <t>GÄVLEBORGS LÄN</t>
        </is>
      </c>
      <c r="E3256" t="inlineStr">
        <is>
          <t>GÄVLE</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30983-2024</t>
        </is>
      </c>
      <c r="B3257" s="1" t="n">
        <v>45499.50947916666</v>
      </c>
      <c r="C3257" s="1" t="n">
        <v>45883</v>
      </c>
      <c r="D3257" t="inlineStr">
        <is>
          <t>GÄVLEBORGS LÄN</t>
        </is>
      </c>
      <c r="E3257" t="inlineStr">
        <is>
          <t>HUDIKSVALL</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58239-2022</t>
        </is>
      </c>
      <c r="B3258" s="1" t="n">
        <v>44901.40701388889</v>
      </c>
      <c r="C3258" s="1" t="n">
        <v>45883</v>
      </c>
      <c r="D3258" t="inlineStr">
        <is>
          <t>GÄVLEBORGS LÄN</t>
        </is>
      </c>
      <c r="E3258" t="inlineStr">
        <is>
          <t>LJUSDAL</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58166-2024</t>
        </is>
      </c>
      <c r="B3259" s="1" t="n">
        <v>45632.45820601852</v>
      </c>
      <c r="C3259" s="1" t="n">
        <v>45883</v>
      </c>
      <c r="D3259" t="inlineStr">
        <is>
          <t>GÄVLEBORGS LÄN</t>
        </is>
      </c>
      <c r="E3259" t="inlineStr">
        <is>
          <t>SÖDERHAMN</t>
        </is>
      </c>
      <c r="F3259" t="inlineStr">
        <is>
          <t>Bergvik skog väst AB</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50582-2023</t>
        </is>
      </c>
      <c r="B3260" s="1" t="n">
        <v>45217.39167824074</v>
      </c>
      <c r="C3260" s="1" t="n">
        <v>45883</v>
      </c>
      <c r="D3260" t="inlineStr">
        <is>
          <t>GÄVLEBORGS LÄN</t>
        </is>
      </c>
      <c r="E3260" t="inlineStr">
        <is>
          <t>GÄVLE</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17384-2023</t>
        </is>
      </c>
      <c r="B3261" s="1" t="n">
        <v>45035</v>
      </c>
      <c r="C3261" s="1" t="n">
        <v>45883</v>
      </c>
      <c r="D3261" t="inlineStr">
        <is>
          <t>GÄVLEBORGS LÄN</t>
        </is>
      </c>
      <c r="E3261" t="inlineStr">
        <is>
          <t>OVANÅKER</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47438-2023</t>
        </is>
      </c>
      <c r="B3262" s="1" t="n">
        <v>45202</v>
      </c>
      <c r="C3262" s="1" t="n">
        <v>45883</v>
      </c>
      <c r="D3262" t="inlineStr">
        <is>
          <t>GÄVLEBORGS LÄN</t>
        </is>
      </c>
      <c r="E3262" t="inlineStr">
        <is>
          <t>BOLLNÄS</t>
        </is>
      </c>
      <c r="G3262" t="n">
        <v>9.1</v>
      </c>
      <c r="H3262" t="n">
        <v>0</v>
      </c>
      <c r="I3262" t="n">
        <v>0</v>
      </c>
      <c r="J3262" t="n">
        <v>0</v>
      </c>
      <c r="K3262" t="n">
        <v>0</v>
      </c>
      <c r="L3262" t="n">
        <v>0</v>
      </c>
      <c r="M3262" t="n">
        <v>0</v>
      </c>
      <c r="N3262" t="n">
        <v>0</v>
      </c>
      <c r="O3262" t="n">
        <v>0</v>
      </c>
      <c r="P3262" t="n">
        <v>0</v>
      </c>
      <c r="Q3262" t="n">
        <v>0</v>
      </c>
      <c r="R3262" s="2" t="inlineStr"/>
    </row>
    <row r="3263" ht="15" customHeight="1">
      <c r="A3263" t="inlineStr">
        <is>
          <t>A 47917-2022</t>
        </is>
      </c>
      <c r="B3263" s="1" t="n">
        <v>44855.49208333333</v>
      </c>
      <c r="C3263" s="1" t="n">
        <v>45883</v>
      </c>
      <c r="D3263" t="inlineStr">
        <is>
          <t>GÄVLEBORGS LÄN</t>
        </is>
      </c>
      <c r="E3263" t="inlineStr">
        <is>
          <t>OVANÅKER</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60736-2023</t>
        </is>
      </c>
      <c r="B3264" s="1" t="n">
        <v>45260.55894675926</v>
      </c>
      <c r="C3264" s="1" t="n">
        <v>45883</v>
      </c>
      <c r="D3264" t="inlineStr">
        <is>
          <t>GÄVLEBORGS LÄN</t>
        </is>
      </c>
      <c r="E3264" t="inlineStr">
        <is>
          <t>HUDIKSVALL</t>
        </is>
      </c>
      <c r="F3264" t="inlineStr">
        <is>
          <t>Holmen skog AB</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25173-2024</t>
        </is>
      </c>
      <c r="B3265" s="1" t="n">
        <v>45462.54525462963</v>
      </c>
      <c r="C3265" s="1" t="n">
        <v>45883</v>
      </c>
      <c r="D3265" t="inlineStr">
        <is>
          <t>GÄVLEBORGS LÄN</t>
        </is>
      </c>
      <c r="E3265" t="inlineStr">
        <is>
          <t>HUDIKSVALL</t>
        </is>
      </c>
      <c r="F3265" t="inlineStr">
        <is>
          <t>Holmen skog AB</t>
        </is>
      </c>
      <c r="G3265" t="n">
        <v>7.4</v>
      </c>
      <c r="H3265" t="n">
        <v>0</v>
      </c>
      <c r="I3265" t="n">
        <v>0</v>
      </c>
      <c r="J3265" t="n">
        <v>0</v>
      </c>
      <c r="K3265" t="n">
        <v>0</v>
      </c>
      <c r="L3265" t="n">
        <v>0</v>
      </c>
      <c r="M3265" t="n">
        <v>0</v>
      </c>
      <c r="N3265" t="n">
        <v>0</v>
      </c>
      <c r="O3265" t="n">
        <v>0</v>
      </c>
      <c r="P3265" t="n">
        <v>0</v>
      </c>
      <c r="Q3265" t="n">
        <v>0</v>
      </c>
      <c r="R3265" s="2" t="inlineStr"/>
    </row>
    <row r="3266" ht="15" customHeight="1">
      <c r="A3266" t="inlineStr">
        <is>
          <t>A 16185-2025</t>
        </is>
      </c>
      <c r="B3266" s="1" t="n">
        <v>45750.58597222222</v>
      </c>
      <c r="C3266" s="1" t="n">
        <v>45883</v>
      </c>
      <c r="D3266" t="inlineStr">
        <is>
          <t>GÄVLEBORGS LÄN</t>
        </is>
      </c>
      <c r="E3266" t="inlineStr">
        <is>
          <t>SÖDERHAMN</t>
        </is>
      </c>
      <c r="F3266" t="inlineStr">
        <is>
          <t>Kommuner</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21898-2024</t>
        </is>
      </c>
      <c r="B3267" s="1" t="n">
        <v>45443.41045138889</v>
      </c>
      <c r="C3267" s="1" t="n">
        <v>45883</v>
      </c>
      <c r="D3267" t="inlineStr">
        <is>
          <t>GÄVLEBORGS LÄN</t>
        </is>
      </c>
      <c r="E3267" t="inlineStr">
        <is>
          <t>NORDANSTIG</t>
        </is>
      </c>
      <c r="F3267" t="inlineStr">
        <is>
          <t>Holmen skog AB</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21880-2023</t>
        </is>
      </c>
      <c r="B3268" s="1" t="n">
        <v>45068</v>
      </c>
      <c r="C3268" s="1" t="n">
        <v>45883</v>
      </c>
      <c r="D3268" t="inlineStr">
        <is>
          <t>GÄVLEBORGS LÄN</t>
        </is>
      </c>
      <c r="E3268" t="inlineStr">
        <is>
          <t>HUDIKSVALL</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38342-2024</t>
        </is>
      </c>
      <c r="B3269" s="1" t="n">
        <v>45545.69261574074</v>
      </c>
      <c r="C3269" s="1" t="n">
        <v>45883</v>
      </c>
      <c r="D3269" t="inlineStr">
        <is>
          <t>GÄVLEBORGS LÄN</t>
        </is>
      </c>
      <c r="E3269" t="inlineStr">
        <is>
          <t>NORDANSTIG</t>
        </is>
      </c>
      <c r="F3269" t="inlineStr">
        <is>
          <t>Holmen skog AB</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48834-2024</t>
        </is>
      </c>
      <c r="B3270" s="1" t="n">
        <v>45593.71982638889</v>
      </c>
      <c r="C3270" s="1" t="n">
        <v>45883</v>
      </c>
      <c r="D3270" t="inlineStr">
        <is>
          <t>GÄVLEBORGS LÄN</t>
        </is>
      </c>
      <c r="E3270" t="inlineStr">
        <is>
          <t>GÄVLE</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51869-2024</t>
        </is>
      </c>
      <c r="B3271" s="1" t="n">
        <v>45607.553125</v>
      </c>
      <c r="C3271" s="1" t="n">
        <v>45883</v>
      </c>
      <c r="D3271" t="inlineStr">
        <is>
          <t>GÄVLEBORGS LÄN</t>
        </is>
      </c>
      <c r="E3271" t="inlineStr">
        <is>
          <t>LJUSDAL</t>
        </is>
      </c>
      <c r="F3271" t="inlineStr">
        <is>
          <t>Naturvårdsverket</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19772-2025</t>
        </is>
      </c>
      <c r="B3272" s="1" t="n">
        <v>45771.4179050926</v>
      </c>
      <c r="C3272" s="1" t="n">
        <v>45883</v>
      </c>
      <c r="D3272" t="inlineStr">
        <is>
          <t>GÄVLEBORGS LÄN</t>
        </is>
      </c>
      <c r="E3272" t="inlineStr">
        <is>
          <t>OCKELBO</t>
        </is>
      </c>
      <c r="F3272" t="inlineStr">
        <is>
          <t>Bergvik skog väst AB</t>
        </is>
      </c>
      <c r="G3272" t="n">
        <v>4.8</v>
      </c>
      <c r="H3272" t="n">
        <v>0</v>
      </c>
      <c r="I3272" t="n">
        <v>0</v>
      </c>
      <c r="J3272" t="n">
        <v>0</v>
      </c>
      <c r="K3272" t="n">
        <v>0</v>
      </c>
      <c r="L3272" t="n">
        <v>0</v>
      </c>
      <c r="M3272" t="n">
        <v>0</v>
      </c>
      <c r="N3272" t="n">
        <v>0</v>
      </c>
      <c r="O3272" t="n">
        <v>0</v>
      </c>
      <c r="P3272" t="n">
        <v>0</v>
      </c>
      <c r="Q3272" t="n">
        <v>0</v>
      </c>
      <c r="R3272" s="2" t="inlineStr"/>
    </row>
    <row r="3273" ht="15" customHeight="1">
      <c r="A3273" t="inlineStr">
        <is>
          <t>A 19774-2025</t>
        </is>
      </c>
      <c r="B3273" s="1" t="n">
        <v>45771.42100694445</v>
      </c>
      <c r="C3273" s="1" t="n">
        <v>45883</v>
      </c>
      <c r="D3273" t="inlineStr">
        <is>
          <t>GÄVLEBORGS LÄN</t>
        </is>
      </c>
      <c r="E3273" t="inlineStr">
        <is>
          <t>OCKELBO</t>
        </is>
      </c>
      <c r="F3273" t="inlineStr">
        <is>
          <t>Bergvik skog väst AB</t>
        </is>
      </c>
      <c r="G3273" t="n">
        <v>5.3</v>
      </c>
      <c r="H3273" t="n">
        <v>0</v>
      </c>
      <c r="I3273" t="n">
        <v>0</v>
      </c>
      <c r="J3273" t="n">
        <v>0</v>
      </c>
      <c r="K3273" t="n">
        <v>0</v>
      </c>
      <c r="L3273" t="n">
        <v>0</v>
      </c>
      <c r="M3273" t="n">
        <v>0</v>
      </c>
      <c r="N3273" t="n">
        <v>0</v>
      </c>
      <c r="O3273" t="n">
        <v>0</v>
      </c>
      <c r="P3273" t="n">
        <v>0</v>
      </c>
      <c r="Q3273" t="n">
        <v>0</v>
      </c>
      <c r="R3273" s="2" t="inlineStr"/>
    </row>
    <row r="3274" ht="15" customHeight="1">
      <c r="A3274" t="inlineStr">
        <is>
          <t>A 19782-2025</t>
        </is>
      </c>
      <c r="B3274" s="1" t="n">
        <v>45771.43126157407</v>
      </c>
      <c r="C3274" s="1" t="n">
        <v>45883</v>
      </c>
      <c r="D3274" t="inlineStr">
        <is>
          <t>GÄVLEBORGS LÄN</t>
        </is>
      </c>
      <c r="E3274" t="inlineStr">
        <is>
          <t>SÖDERHAMN</t>
        </is>
      </c>
      <c r="G3274" t="n">
        <v>6.4</v>
      </c>
      <c r="H3274" t="n">
        <v>0</v>
      </c>
      <c r="I3274" t="n">
        <v>0</v>
      </c>
      <c r="J3274" t="n">
        <v>0</v>
      </c>
      <c r="K3274" t="n">
        <v>0</v>
      </c>
      <c r="L3274" t="n">
        <v>0</v>
      </c>
      <c r="M3274" t="n">
        <v>0</v>
      </c>
      <c r="N3274" t="n">
        <v>0</v>
      </c>
      <c r="O3274" t="n">
        <v>0</v>
      </c>
      <c r="P3274" t="n">
        <v>0</v>
      </c>
      <c r="Q3274" t="n">
        <v>0</v>
      </c>
      <c r="R3274" s="2" t="inlineStr"/>
    </row>
    <row r="3275" ht="15" customHeight="1">
      <c r="A3275" t="inlineStr">
        <is>
          <t>A 127-2024</t>
        </is>
      </c>
      <c r="B3275" s="1" t="n">
        <v>45294.40788194445</v>
      </c>
      <c r="C3275" s="1" t="n">
        <v>45883</v>
      </c>
      <c r="D3275" t="inlineStr">
        <is>
          <t>GÄVLEBORGS LÄN</t>
        </is>
      </c>
      <c r="E3275" t="inlineStr">
        <is>
          <t>HOFORS</t>
        </is>
      </c>
      <c r="F3275" t="inlineStr">
        <is>
          <t>Sveaskog</t>
        </is>
      </c>
      <c r="G3275" t="n">
        <v>20.4</v>
      </c>
      <c r="H3275" t="n">
        <v>0</v>
      </c>
      <c r="I3275" t="n">
        <v>0</v>
      </c>
      <c r="J3275" t="n">
        <v>0</v>
      </c>
      <c r="K3275" t="n">
        <v>0</v>
      </c>
      <c r="L3275" t="n">
        <v>0</v>
      </c>
      <c r="M3275" t="n">
        <v>0</v>
      </c>
      <c r="N3275" t="n">
        <v>0</v>
      </c>
      <c r="O3275" t="n">
        <v>0</v>
      </c>
      <c r="P3275" t="n">
        <v>0</v>
      </c>
      <c r="Q3275" t="n">
        <v>0</v>
      </c>
      <c r="R3275" s="2" t="inlineStr"/>
    </row>
    <row r="3276" ht="15" customHeight="1">
      <c r="A3276" t="inlineStr">
        <is>
          <t>A 19064-2025</t>
        </is>
      </c>
      <c r="B3276" s="1" t="n">
        <v>45765.40659722222</v>
      </c>
      <c r="C3276" s="1" t="n">
        <v>45883</v>
      </c>
      <c r="D3276" t="inlineStr">
        <is>
          <t>GÄVLEBORGS LÄN</t>
        </is>
      </c>
      <c r="E3276" t="inlineStr">
        <is>
          <t>LJUSDAL</t>
        </is>
      </c>
      <c r="F3276" t="inlineStr">
        <is>
          <t>SCA</t>
        </is>
      </c>
      <c r="G3276" t="n">
        <v>6.9</v>
      </c>
      <c r="H3276" t="n">
        <v>0</v>
      </c>
      <c r="I3276" t="n">
        <v>0</v>
      </c>
      <c r="J3276" t="n">
        <v>0</v>
      </c>
      <c r="K3276" t="n">
        <v>0</v>
      </c>
      <c r="L3276" t="n">
        <v>0</v>
      </c>
      <c r="M3276" t="n">
        <v>0</v>
      </c>
      <c r="N3276" t="n">
        <v>0</v>
      </c>
      <c r="O3276" t="n">
        <v>0</v>
      </c>
      <c r="P3276" t="n">
        <v>0</v>
      </c>
      <c r="Q3276" t="n">
        <v>0</v>
      </c>
      <c r="R3276" s="2" t="inlineStr"/>
    </row>
    <row r="3277" ht="15" customHeight="1">
      <c r="A3277" t="inlineStr">
        <is>
          <t>A 58192-2024</t>
        </is>
      </c>
      <c r="B3277" s="1" t="n">
        <v>45632.47849537037</v>
      </c>
      <c r="C3277" s="1" t="n">
        <v>45883</v>
      </c>
      <c r="D3277" t="inlineStr">
        <is>
          <t>GÄVLEBORGS LÄN</t>
        </is>
      </c>
      <c r="E3277" t="inlineStr">
        <is>
          <t>GÄVLE</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58173-2024</t>
        </is>
      </c>
      <c r="B3278" s="1" t="n">
        <v>45632.46581018518</v>
      </c>
      <c r="C3278" s="1" t="n">
        <v>45883</v>
      </c>
      <c r="D3278" t="inlineStr">
        <is>
          <t>GÄVLEBORGS LÄN</t>
        </is>
      </c>
      <c r="E3278" t="inlineStr">
        <is>
          <t>LJUSDAL</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46074-2024</t>
        </is>
      </c>
      <c r="B3279" s="1" t="n">
        <v>45581</v>
      </c>
      <c r="C3279" s="1" t="n">
        <v>45883</v>
      </c>
      <c r="D3279" t="inlineStr">
        <is>
          <t>GÄVLEBORGS LÄN</t>
        </is>
      </c>
      <c r="E3279" t="inlineStr">
        <is>
          <t>OCKELBO</t>
        </is>
      </c>
      <c r="F3279" t="inlineStr">
        <is>
          <t>Bergvik skog väst AB</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45925-2020</t>
        </is>
      </c>
      <c r="B3280" s="1" t="n">
        <v>44091</v>
      </c>
      <c r="C3280" s="1" t="n">
        <v>45883</v>
      </c>
      <c r="D3280" t="inlineStr">
        <is>
          <t>GÄVLEBORGS LÄN</t>
        </is>
      </c>
      <c r="E3280" t="inlineStr">
        <is>
          <t>OVANÅKER</t>
        </is>
      </c>
      <c r="G3280" t="n">
        <v>0.3</v>
      </c>
      <c r="H3280" t="n">
        <v>0</v>
      </c>
      <c r="I3280" t="n">
        <v>0</v>
      </c>
      <c r="J3280" t="n">
        <v>0</v>
      </c>
      <c r="K3280" t="n">
        <v>0</v>
      </c>
      <c r="L3280" t="n">
        <v>0</v>
      </c>
      <c r="M3280" t="n">
        <v>0</v>
      </c>
      <c r="N3280" t="n">
        <v>0</v>
      </c>
      <c r="O3280" t="n">
        <v>0</v>
      </c>
      <c r="P3280" t="n">
        <v>0</v>
      </c>
      <c r="Q3280" t="n">
        <v>0</v>
      </c>
      <c r="R3280" s="2" t="inlineStr"/>
    </row>
    <row r="3281" ht="15" customHeight="1">
      <c r="A3281" t="inlineStr">
        <is>
          <t>A 61822-2024</t>
        </is>
      </c>
      <c r="B3281" s="1" t="n">
        <v>45649</v>
      </c>
      <c r="C3281" s="1" t="n">
        <v>45883</v>
      </c>
      <c r="D3281" t="inlineStr">
        <is>
          <t>GÄVLEBORGS LÄN</t>
        </is>
      </c>
      <c r="E3281" t="inlineStr">
        <is>
          <t>SANDVIKEN</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61408-2023</t>
        </is>
      </c>
      <c r="B3282" s="1" t="n">
        <v>45264.66268518518</v>
      </c>
      <c r="C3282" s="1" t="n">
        <v>45883</v>
      </c>
      <c r="D3282" t="inlineStr">
        <is>
          <t>GÄVLEBORGS LÄN</t>
        </is>
      </c>
      <c r="E3282" t="inlineStr">
        <is>
          <t>SÖDERHAMN</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15015-2023</t>
        </is>
      </c>
      <c r="B3283" s="1" t="n">
        <v>45015.61263888889</v>
      </c>
      <c r="C3283" s="1" t="n">
        <v>45883</v>
      </c>
      <c r="D3283" t="inlineStr">
        <is>
          <t>GÄVLEBORGS LÄN</t>
        </is>
      </c>
      <c r="E3283" t="inlineStr">
        <is>
          <t>LJUSDAL</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40332-2024</t>
        </is>
      </c>
      <c r="B3284" s="1" t="n">
        <v>45555.31811342593</v>
      </c>
      <c r="C3284" s="1" t="n">
        <v>45883</v>
      </c>
      <c r="D3284" t="inlineStr">
        <is>
          <t>GÄVLEBORGS LÄN</t>
        </is>
      </c>
      <c r="E3284" t="inlineStr">
        <is>
          <t>HUDIKSVALL</t>
        </is>
      </c>
      <c r="F3284" t="inlineStr">
        <is>
          <t>Naturvårdsverket</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72899-2021</t>
        </is>
      </c>
      <c r="B3285" s="1" t="n">
        <v>44547.58841435185</v>
      </c>
      <c r="C3285" s="1" t="n">
        <v>45883</v>
      </c>
      <c r="D3285" t="inlineStr">
        <is>
          <t>GÄVLEBORGS LÄN</t>
        </is>
      </c>
      <c r="E3285" t="inlineStr">
        <is>
          <t>HUDIKSVALL</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7624-2023</t>
        </is>
      </c>
      <c r="B3286" s="1" t="n">
        <v>44972</v>
      </c>
      <c r="C3286" s="1" t="n">
        <v>45883</v>
      </c>
      <c r="D3286" t="inlineStr">
        <is>
          <t>GÄVLEBORGS LÄN</t>
        </is>
      </c>
      <c r="E3286" t="inlineStr">
        <is>
          <t>SANDVIKEN</t>
        </is>
      </c>
      <c r="G3286" t="n">
        <v>4</v>
      </c>
      <c r="H3286" t="n">
        <v>0</v>
      </c>
      <c r="I3286" t="n">
        <v>0</v>
      </c>
      <c r="J3286" t="n">
        <v>0</v>
      </c>
      <c r="K3286" t="n">
        <v>0</v>
      </c>
      <c r="L3286" t="n">
        <v>0</v>
      </c>
      <c r="M3286" t="n">
        <v>0</v>
      </c>
      <c r="N3286" t="n">
        <v>0</v>
      </c>
      <c r="O3286" t="n">
        <v>0</v>
      </c>
      <c r="P3286" t="n">
        <v>0</v>
      </c>
      <c r="Q3286" t="n">
        <v>0</v>
      </c>
      <c r="R3286" s="2" t="inlineStr"/>
    </row>
    <row r="3287" ht="15" customHeight="1">
      <c r="A3287" t="inlineStr">
        <is>
          <t>A 53393-2022</t>
        </is>
      </c>
      <c r="B3287" s="1" t="n">
        <v>44879</v>
      </c>
      <c r="C3287" s="1" t="n">
        <v>45883</v>
      </c>
      <c r="D3287" t="inlineStr">
        <is>
          <t>GÄVLEBORGS LÄN</t>
        </is>
      </c>
      <c r="E3287" t="inlineStr">
        <is>
          <t>OCKELBO</t>
        </is>
      </c>
      <c r="G3287" t="n">
        <v>4.2</v>
      </c>
      <c r="H3287" t="n">
        <v>0</v>
      </c>
      <c r="I3287" t="n">
        <v>0</v>
      </c>
      <c r="J3287" t="n">
        <v>0</v>
      </c>
      <c r="K3287" t="n">
        <v>0</v>
      </c>
      <c r="L3287" t="n">
        <v>0</v>
      </c>
      <c r="M3287" t="n">
        <v>0</v>
      </c>
      <c r="N3287" t="n">
        <v>0</v>
      </c>
      <c r="O3287" t="n">
        <v>0</v>
      </c>
      <c r="P3287" t="n">
        <v>0</v>
      </c>
      <c r="Q3287" t="n">
        <v>0</v>
      </c>
      <c r="R3287" s="2" t="inlineStr"/>
    </row>
    <row r="3288" ht="15" customHeight="1">
      <c r="A3288" t="inlineStr">
        <is>
          <t>A 60449-2022</t>
        </is>
      </c>
      <c r="B3288" s="1" t="n">
        <v>44911.37099537037</v>
      </c>
      <c r="C3288" s="1" t="n">
        <v>45883</v>
      </c>
      <c r="D3288" t="inlineStr">
        <is>
          <t>GÄVLEBORGS LÄN</t>
        </is>
      </c>
      <c r="E3288" t="inlineStr">
        <is>
          <t>OVANÅKER</t>
        </is>
      </c>
      <c r="F3288" t="inlineStr">
        <is>
          <t>Sveaskog</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21878-2023</t>
        </is>
      </c>
      <c r="B3289" s="1" t="n">
        <v>45068.47928240741</v>
      </c>
      <c r="C3289" s="1" t="n">
        <v>45883</v>
      </c>
      <c r="D3289" t="inlineStr">
        <is>
          <t>GÄVLEBORGS LÄN</t>
        </is>
      </c>
      <c r="E3289" t="inlineStr">
        <is>
          <t>OCKELBO</t>
        </is>
      </c>
      <c r="F3289" t="inlineStr">
        <is>
          <t>Bergvik skog väst AB</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24512-2024</t>
        </is>
      </c>
      <c r="B3290" s="1" t="n">
        <v>45460.34677083333</v>
      </c>
      <c r="C3290" s="1" t="n">
        <v>45883</v>
      </c>
      <c r="D3290" t="inlineStr">
        <is>
          <t>GÄVLEBORGS LÄN</t>
        </is>
      </c>
      <c r="E3290" t="inlineStr">
        <is>
          <t>LJUSDAL</t>
        </is>
      </c>
      <c r="G3290" t="n">
        <v>13.7</v>
      </c>
      <c r="H3290" t="n">
        <v>0</v>
      </c>
      <c r="I3290" t="n">
        <v>0</v>
      </c>
      <c r="J3290" t="n">
        <v>0</v>
      </c>
      <c r="K3290" t="n">
        <v>0</v>
      </c>
      <c r="L3290" t="n">
        <v>0</v>
      </c>
      <c r="M3290" t="n">
        <v>0</v>
      </c>
      <c r="N3290" t="n">
        <v>0</v>
      </c>
      <c r="O3290" t="n">
        <v>0</v>
      </c>
      <c r="P3290" t="n">
        <v>0</v>
      </c>
      <c r="Q3290" t="n">
        <v>0</v>
      </c>
      <c r="R3290" s="2" t="inlineStr"/>
    </row>
    <row r="3291" ht="15" customHeight="1">
      <c r="A3291" t="inlineStr">
        <is>
          <t>A 42876-2023</t>
        </is>
      </c>
      <c r="B3291" s="1" t="n">
        <v>45182</v>
      </c>
      <c r="C3291" s="1" t="n">
        <v>45883</v>
      </c>
      <c r="D3291" t="inlineStr">
        <is>
          <t>GÄVLEBORGS LÄN</t>
        </is>
      </c>
      <c r="E3291" t="inlineStr">
        <is>
          <t>GÄVLE</t>
        </is>
      </c>
      <c r="F3291" t="inlineStr">
        <is>
          <t>Bergvik skog väst AB</t>
        </is>
      </c>
      <c r="G3291" t="n">
        <v>22.7</v>
      </c>
      <c r="H3291" t="n">
        <v>0</v>
      </c>
      <c r="I3291" t="n">
        <v>0</v>
      </c>
      <c r="J3291" t="n">
        <v>0</v>
      </c>
      <c r="K3291" t="n">
        <v>0</v>
      </c>
      <c r="L3291" t="n">
        <v>0</v>
      </c>
      <c r="M3291" t="n">
        <v>0</v>
      </c>
      <c r="N3291" t="n">
        <v>0</v>
      </c>
      <c r="O3291" t="n">
        <v>0</v>
      </c>
      <c r="P3291" t="n">
        <v>0</v>
      </c>
      <c r="Q3291" t="n">
        <v>0</v>
      </c>
      <c r="R3291" s="2" t="inlineStr"/>
    </row>
    <row r="3292" ht="15" customHeight="1">
      <c r="A3292" t="inlineStr">
        <is>
          <t>A 42217-2024</t>
        </is>
      </c>
      <c r="B3292" s="1" t="n">
        <v>45562.54127314815</v>
      </c>
      <c r="C3292" s="1" t="n">
        <v>45883</v>
      </c>
      <c r="D3292" t="inlineStr">
        <is>
          <t>GÄVLEBORGS LÄN</t>
        </is>
      </c>
      <c r="E3292" t="inlineStr">
        <is>
          <t>HUDIKSVALL</t>
        </is>
      </c>
      <c r="F3292" t="inlineStr">
        <is>
          <t>Holmen skog AB</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8395-2024</t>
        </is>
      </c>
      <c r="B3293" s="1" t="n">
        <v>45352.68155092592</v>
      </c>
      <c r="C3293" s="1" t="n">
        <v>45883</v>
      </c>
      <c r="D3293" t="inlineStr">
        <is>
          <t>GÄVLEBORGS LÄN</t>
        </is>
      </c>
      <c r="E3293" t="inlineStr">
        <is>
          <t>NORDANSTIG</t>
        </is>
      </c>
      <c r="F3293" t="inlineStr">
        <is>
          <t>Holmen skog AB</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42930-2023</t>
        </is>
      </c>
      <c r="B3294" s="1" t="n">
        <v>45177</v>
      </c>
      <c r="C3294" s="1" t="n">
        <v>45883</v>
      </c>
      <c r="D3294" t="inlineStr">
        <is>
          <t>GÄVLEBORGS LÄN</t>
        </is>
      </c>
      <c r="E3294" t="inlineStr">
        <is>
          <t>SANDVIKEN</t>
        </is>
      </c>
      <c r="F3294" t="inlineStr">
        <is>
          <t>Bergvik skog väst AB</t>
        </is>
      </c>
      <c r="G3294" t="n">
        <v>20.6</v>
      </c>
      <c r="H3294" t="n">
        <v>0</v>
      </c>
      <c r="I3294" t="n">
        <v>0</v>
      </c>
      <c r="J3294" t="n">
        <v>0</v>
      </c>
      <c r="K3294" t="n">
        <v>0</v>
      </c>
      <c r="L3294" t="n">
        <v>0</v>
      </c>
      <c r="M3294" t="n">
        <v>0</v>
      </c>
      <c r="N3294" t="n">
        <v>0</v>
      </c>
      <c r="O3294" t="n">
        <v>0</v>
      </c>
      <c r="P3294" t="n">
        <v>0</v>
      </c>
      <c r="Q3294" t="n">
        <v>0</v>
      </c>
      <c r="R3294" s="2" t="inlineStr"/>
    </row>
    <row r="3295" ht="15" customHeight="1">
      <c r="A3295" t="inlineStr">
        <is>
          <t>A 25631-2023</t>
        </is>
      </c>
      <c r="B3295" s="1" t="n">
        <v>45089.71152777778</v>
      </c>
      <c r="C3295" s="1" t="n">
        <v>45883</v>
      </c>
      <c r="D3295" t="inlineStr">
        <is>
          <t>GÄVLEBORGS LÄN</t>
        </is>
      </c>
      <c r="E3295" t="inlineStr">
        <is>
          <t>NORDANSTIG</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62420-2022</t>
        </is>
      </c>
      <c r="B3296" s="1" t="n">
        <v>44924</v>
      </c>
      <c r="C3296" s="1" t="n">
        <v>45883</v>
      </c>
      <c r="D3296" t="inlineStr">
        <is>
          <t>GÄVLEBORGS LÄN</t>
        </is>
      </c>
      <c r="E3296" t="inlineStr">
        <is>
          <t>LJUSDAL</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12686-2025</t>
        </is>
      </c>
      <c r="B3297" s="1" t="n">
        <v>45733</v>
      </c>
      <c r="C3297" s="1" t="n">
        <v>45883</v>
      </c>
      <c r="D3297" t="inlineStr">
        <is>
          <t>GÄVLEBORGS LÄN</t>
        </is>
      </c>
      <c r="E3297" t="inlineStr">
        <is>
          <t>BOLLNÄS</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50999-2024</t>
        </is>
      </c>
      <c r="B3298" s="1" t="n">
        <v>45603</v>
      </c>
      <c r="C3298" s="1" t="n">
        <v>45883</v>
      </c>
      <c r="D3298" t="inlineStr">
        <is>
          <t>GÄVLEBORGS LÄN</t>
        </is>
      </c>
      <c r="E3298" t="inlineStr">
        <is>
          <t>HUDIKSVALL</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37352-2024</t>
        </is>
      </c>
      <c r="B3299" s="1" t="n">
        <v>45540</v>
      </c>
      <c r="C3299" s="1" t="n">
        <v>45883</v>
      </c>
      <c r="D3299" t="inlineStr">
        <is>
          <t>GÄVLEBORGS LÄN</t>
        </is>
      </c>
      <c r="E3299" t="inlineStr">
        <is>
          <t>GÄVLE</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54807-2024</t>
        </is>
      </c>
      <c r="B3300" s="1" t="n">
        <v>45618.51423611111</v>
      </c>
      <c r="C3300" s="1" t="n">
        <v>45883</v>
      </c>
      <c r="D3300" t="inlineStr">
        <is>
          <t>GÄVLEBORGS LÄN</t>
        </is>
      </c>
      <c r="E3300" t="inlineStr">
        <is>
          <t>OCKELBO</t>
        </is>
      </c>
      <c r="G3300" t="n">
        <v>8</v>
      </c>
      <c r="H3300" t="n">
        <v>0</v>
      </c>
      <c r="I3300" t="n">
        <v>0</v>
      </c>
      <c r="J3300" t="n">
        <v>0</v>
      </c>
      <c r="K3300" t="n">
        <v>0</v>
      </c>
      <c r="L3300" t="n">
        <v>0</v>
      </c>
      <c r="M3300" t="n">
        <v>0</v>
      </c>
      <c r="N3300" t="n">
        <v>0</v>
      </c>
      <c r="O3300" t="n">
        <v>0</v>
      </c>
      <c r="P3300" t="n">
        <v>0</v>
      </c>
      <c r="Q3300" t="n">
        <v>0</v>
      </c>
      <c r="R3300" s="2" t="inlineStr"/>
    </row>
    <row r="3301" ht="15" customHeight="1">
      <c r="A3301" t="inlineStr">
        <is>
          <t>A 55352-2024</t>
        </is>
      </c>
      <c r="B3301" s="1" t="n">
        <v>45621</v>
      </c>
      <c r="C3301" s="1" t="n">
        <v>45883</v>
      </c>
      <c r="D3301" t="inlineStr">
        <is>
          <t>GÄVLEBORGS LÄN</t>
        </is>
      </c>
      <c r="E3301" t="inlineStr">
        <is>
          <t>HUDIKSVALL</t>
        </is>
      </c>
      <c r="F3301" t="inlineStr">
        <is>
          <t>Holmen skog AB</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37643-2024</t>
        </is>
      </c>
      <c r="B3302" s="1" t="n">
        <v>45541</v>
      </c>
      <c r="C3302" s="1" t="n">
        <v>45883</v>
      </c>
      <c r="D3302" t="inlineStr">
        <is>
          <t>GÄVLEBORGS LÄN</t>
        </is>
      </c>
      <c r="E3302" t="inlineStr">
        <is>
          <t>SANDVIKEN</t>
        </is>
      </c>
      <c r="F3302" t="inlineStr">
        <is>
          <t>Sveaskog</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7992-2024</t>
        </is>
      </c>
      <c r="B3303" s="1" t="n">
        <v>45350.63182870371</v>
      </c>
      <c r="C3303" s="1" t="n">
        <v>45883</v>
      </c>
      <c r="D3303" t="inlineStr">
        <is>
          <t>GÄVLEBORGS LÄN</t>
        </is>
      </c>
      <c r="E3303" t="inlineStr">
        <is>
          <t>HUDIKSVALL</t>
        </is>
      </c>
      <c r="F3303" t="inlineStr">
        <is>
          <t>Holmen skog AB</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60275-2022</t>
        </is>
      </c>
      <c r="B3304" s="1" t="n">
        <v>44910</v>
      </c>
      <c r="C3304" s="1" t="n">
        <v>45883</v>
      </c>
      <c r="D3304" t="inlineStr">
        <is>
          <t>GÄVLEBORGS LÄN</t>
        </is>
      </c>
      <c r="E3304" t="inlineStr">
        <is>
          <t>OVANÅKER</t>
        </is>
      </c>
      <c r="F3304" t="inlineStr">
        <is>
          <t>Sveaskog</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29712-2023</t>
        </is>
      </c>
      <c r="B3305" s="1" t="n">
        <v>45107</v>
      </c>
      <c r="C3305" s="1" t="n">
        <v>45883</v>
      </c>
      <c r="D3305" t="inlineStr">
        <is>
          <t>GÄVLEBORGS LÄN</t>
        </is>
      </c>
      <c r="E3305" t="inlineStr">
        <is>
          <t>BOLLNÄS</t>
        </is>
      </c>
      <c r="F3305" t="inlineStr">
        <is>
          <t>Sveaskog</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55952-2022</t>
        </is>
      </c>
      <c r="B3306" s="1" t="n">
        <v>44889</v>
      </c>
      <c r="C3306" s="1" t="n">
        <v>45883</v>
      </c>
      <c r="D3306" t="inlineStr">
        <is>
          <t>GÄVLEBORGS LÄN</t>
        </is>
      </c>
      <c r="E3306" t="inlineStr">
        <is>
          <t>OCKELBO</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61603-2022</t>
        </is>
      </c>
      <c r="B3307" s="1" t="n">
        <v>44916</v>
      </c>
      <c r="C3307" s="1" t="n">
        <v>45883</v>
      </c>
      <c r="D3307" t="inlineStr">
        <is>
          <t>GÄVLEBORGS LÄN</t>
        </is>
      </c>
      <c r="E3307" t="inlineStr">
        <is>
          <t>LJUSDAL</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18363-2025</t>
        </is>
      </c>
      <c r="B3308" s="1" t="n">
        <v>45762.56040509259</v>
      </c>
      <c r="C3308" s="1" t="n">
        <v>45883</v>
      </c>
      <c r="D3308" t="inlineStr">
        <is>
          <t>GÄVLEBORGS LÄN</t>
        </is>
      </c>
      <c r="E3308" t="inlineStr">
        <is>
          <t>OVANÅKER</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18401-2023</t>
        </is>
      </c>
      <c r="B3309" s="1" t="n">
        <v>45042.3791550926</v>
      </c>
      <c r="C3309" s="1" t="n">
        <v>45883</v>
      </c>
      <c r="D3309" t="inlineStr">
        <is>
          <t>GÄVLEBORGS LÄN</t>
        </is>
      </c>
      <c r="E3309" t="inlineStr">
        <is>
          <t>NORDANSTIG</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56356-2024</t>
        </is>
      </c>
      <c r="B3310" s="1" t="n">
        <v>45624.93702546296</v>
      </c>
      <c r="C3310" s="1" t="n">
        <v>45883</v>
      </c>
      <c r="D3310" t="inlineStr">
        <is>
          <t>GÄVLEBORGS LÄN</t>
        </is>
      </c>
      <c r="E3310" t="inlineStr">
        <is>
          <t>LJUSDAL</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56366-2024</t>
        </is>
      </c>
      <c r="B3311" s="1" t="n">
        <v>45625</v>
      </c>
      <c r="C3311" s="1" t="n">
        <v>45883</v>
      </c>
      <c r="D3311" t="inlineStr">
        <is>
          <t>GÄVLEBORGS LÄN</t>
        </is>
      </c>
      <c r="E3311" t="inlineStr">
        <is>
          <t>HUDIKSVALL</t>
        </is>
      </c>
      <c r="G3311" t="n">
        <v>5.7</v>
      </c>
      <c r="H3311" t="n">
        <v>0</v>
      </c>
      <c r="I3311" t="n">
        <v>0</v>
      </c>
      <c r="J3311" t="n">
        <v>0</v>
      </c>
      <c r="K3311" t="n">
        <v>0</v>
      </c>
      <c r="L3311" t="n">
        <v>0</v>
      </c>
      <c r="M3311" t="n">
        <v>0</v>
      </c>
      <c r="N3311" t="n">
        <v>0</v>
      </c>
      <c r="O3311" t="n">
        <v>0</v>
      </c>
      <c r="P3311" t="n">
        <v>0</v>
      </c>
      <c r="Q3311" t="n">
        <v>0</v>
      </c>
      <c r="R3311" s="2" t="inlineStr"/>
    </row>
    <row r="3312" ht="15" customHeight="1">
      <c r="A3312" t="inlineStr">
        <is>
          <t>A 38144-2023</t>
        </is>
      </c>
      <c r="B3312" s="1" t="n">
        <v>45161.37980324074</v>
      </c>
      <c r="C3312" s="1" t="n">
        <v>45883</v>
      </c>
      <c r="D3312" t="inlineStr">
        <is>
          <t>GÄVLEBORGS LÄN</t>
        </is>
      </c>
      <c r="E3312" t="inlineStr">
        <is>
          <t>OVANÅKER</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22678-2023</t>
        </is>
      </c>
      <c r="B3313" s="1" t="n">
        <v>45071</v>
      </c>
      <c r="C3313" s="1" t="n">
        <v>45883</v>
      </c>
      <c r="D3313" t="inlineStr">
        <is>
          <t>GÄVLEBORGS LÄN</t>
        </is>
      </c>
      <c r="E3313" t="inlineStr">
        <is>
          <t>LJUSDAL</t>
        </is>
      </c>
      <c r="G3313" t="n">
        <v>0.1</v>
      </c>
      <c r="H3313" t="n">
        <v>0</v>
      </c>
      <c r="I3313" t="n">
        <v>0</v>
      </c>
      <c r="J3313" t="n">
        <v>0</v>
      </c>
      <c r="K3313" t="n">
        <v>0</v>
      </c>
      <c r="L3313" t="n">
        <v>0</v>
      </c>
      <c r="M3313" t="n">
        <v>0</v>
      </c>
      <c r="N3313" t="n">
        <v>0</v>
      </c>
      <c r="O3313" t="n">
        <v>0</v>
      </c>
      <c r="P3313" t="n">
        <v>0</v>
      </c>
      <c r="Q3313" t="n">
        <v>0</v>
      </c>
      <c r="R3313" s="2" t="inlineStr"/>
    </row>
    <row r="3314" ht="15" customHeight="1">
      <c r="A3314" t="inlineStr">
        <is>
          <t>A 25479-2023</t>
        </is>
      </c>
      <c r="B3314" s="1" t="n">
        <v>45089</v>
      </c>
      <c r="C3314" s="1" t="n">
        <v>45883</v>
      </c>
      <c r="D3314" t="inlineStr">
        <is>
          <t>GÄVLEBORGS LÄN</t>
        </is>
      </c>
      <c r="E3314" t="inlineStr">
        <is>
          <t>SANDVIKEN</t>
        </is>
      </c>
      <c r="G3314" t="n">
        <v>4.1</v>
      </c>
      <c r="H3314" t="n">
        <v>0</v>
      </c>
      <c r="I3314" t="n">
        <v>0</v>
      </c>
      <c r="J3314" t="n">
        <v>0</v>
      </c>
      <c r="K3314" t="n">
        <v>0</v>
      </c>
      <c r="L3314" t="n">
        <v>0</v>
      </c>
      <c r="M3314" t="n">
        <v>0</v>
      </c>
      <c r="N3314" t="n">
        <v>0</v>
      </c>
      <c r="O3314" t="n">
        <v>0</v>
      </c>
      <c r="P3314" t="n">
        <v>0</v>
      </c>
      <c r="Q3314" t="n">
        <v>0</v>
      </c>
      <c r="R3314" s="2" t="inlineStr"/>
    </row>
    <row r="3315" ht="15" customHeight="1">
      <c r="A3315" t="inlineStr">
        <is>
          <t>A 39540-2024</t>
        </is>
      </c>
      <c r="B3315" s="1" t="n">
        <v>45551.92954861111</v>
      </c>
      <c r="C3315" s="1" t="n">
        <v>45883</v>
      </c>
      <c r="D3315" t="inlineStr">
        <is>
          <t>GÄVLEBORGS LÄN</t>
        </is>
      </c>
      <c r="E3315" t="inlineStr">
        <is>
          <t>OVANÅKER</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29004-2024</t>
        </is>
      </c>
      <c r="B3316" s="1" t="n">
        <v>45481.53094907408</v>
      </c>
      <c r="C3316" s="1" t="n">
        <v>45883</v>
      </c>
      <c r="D3316" t="inlineStr">
        <is>
          <t>GÄVLEBORGS LÄN</t>
        </is>
      </c>
      <c r="E3316" t="inlineStr">
        <is>
          <t>HUDIKSVALL</t>
        </is>
      </c>
      <c r="F3316" t="inlineStr">
        <is>
          <t>Holmen skog AB</t>
        </is>
      </c>
      <c r="G3316" t="n">
        <v>4.6</v>
      </c>
      <c r="H3316" t="n">
        <v>0</v>
      </c>
      <c r="I3316" t="n">
        <v>0</v>
      </c>
      <c r="J3316" t="n">
        <v>0</v>
      </c>
      <c r="K3316" t="n">
        <v>0</v>
      </c>
      <c r="L3316" t="n">
        <v>0</v>
      </c>
      <c r="M3316" t="n">
        <v>0</v>
      </c>
      <c r="N3316" t="n">
        <v>0</v>
      </c>
      <c r="O3316" t="n">
        <v>0</v>
      </c>
      <c r="P3316" t="n">
        <v>0</v>
      </c>
      <c r="Q3316" t="n">
        <v>0</v>
      </c>
      <c r="R3316" s="2" t="inlineStr"/>
    </row>
    <row r="3317" ht="15" customHeight="1">
      <c r="A3317" t="inlineStr">
        <is>
          <t>A 39430-2024</t>
        </is>
      </c>
      <c r="B3317" s="1" t="n">
        <v>45551.59668981482</v>
      </c>
      <c r="C3317" s="1" t="n">
        <v>45883</v>
      </c>
      <c r="D3317" t="inlineStr">
        <is>
          <t>GÄVLEBORGS LÄN</t>
        </is>
      </c>
      <c r="E3317" t="inlineStr">
        <is>
          <t>OCKELBO</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39447-2024</t>
        </is>
      </c>
      <c r="B3318" s="1" t="n">
        <v>45551.61520833334</v>
      </c>
      <c r="C3318" s="1" t="n">
        <v>45883</v>
      </c>
      <c r="D3318" t="inlineStr">
        <is>
          <t>GÄVLEBORGS LÄN</t>
        </is>
      </c>
      <c r="E3318" t="inlineStr">
        <is>
          <t>OCKELBO</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10543-2025</t>
        </is>
      </c>
      <c r="B3319" s="1" t="n">
        <v>45721.48769675926</v>
      </c>
      <c r="C3319" s="1" t="n">
        <v>45883</v>
      </c>
      <c r="D3319" t="inlineStr">
        <is>
          <t>GÄVLEBORGS LÄN</t>
        </is>
      </c>
      <c r="E3319" t="inlineStr">
        <is>
          <t>NORDANSTIG</t>
        </is>
      </c>
      <c r="F3319" t="inlineStr">
        <is>
          <t>Holmen skog AB</t>
        </is>
      </c>
      <c r="G3319" t="n">
        <v>8.9</v>
      </c>
      <c r="H3319" t="n">
        <v>0</v>
      </c>
      <c r="I3319" t="n">
        <v>0</v>
      </c>
      <c r="J3319" t="n">
        <v>0</v>
      </c>
      <c r="K3319" t="n">
        <v>0</v>
      </c>
      <c r="L3319" t="n">
        <v>0</v>
      </c>
      <c r="M3319" t="n">
        <v>0</v>
      </c>
      <c r="N3319" t="n">
        <v>0</v>
      </c>
      <c r="O3319" t="n">
        <v>0</v>
      </c>
      <c r="P3319" t="n">
        <v>0</v>
      </c>
      <c r="Q3319" t="n">
        <v>0</v>
      </c>
      <c r="R3319" s="2" t="inlineStr"/>
    </row>
    <row r="3320" ht="15" customHeight="1">
      <c r="A3320" t="inlineStr">
        <is>
          <t>A 10578-2025</t>
        </is>
      </c>
      <c r="B3320" s="1" t="n">
        <v>45721.54731481482</v>
      </c>
      <c r="C3320" s="1" t="n">
        <v>45883</v>
      </c>
      <c r="D3320" t="inlineStr">
        <is>
          <t>GÄVLEBORGS LÄN</t>
        </is>
      </c>
      <c r="E3320" t="inlineStr">
        <is>
          <t>SANDVIKEN</t>
        </is>
      </c>
      <c r="F3320" t="inlineStr">
        <is>
          <t>Sveaskog</t>
        </is>
      </c>
      <c r="G3320" t="n">
        <v>5.8</v>
      </c>
      <c r="H3320" t="n">
        <v>0</v>
      </c>
      <c r="I3320" t="n">
        <v>0</v>
      </c>
      <c r="J3320" t="n">
        <v>0</v>
      </c>
      <c r="K3320" t="n">
        <v>0</v>
      </c>
      <c r="L3320" t="n">
        <v>0</v>
      </c>
      <c r="M3320" t="n">
        <v>0</v>
      </c>
      <c r="N3320" t="n">
        <v>0</v>
      </c>
      <c r="O3320" t="n">
        <v>0</v>
      </c>
      <c r="P3320" t="n">
        <v>0</v>
      </c>
      <c r="Q3320" t="n">
        <v>0</v>
      </c>
      <c r="R3320" s="2" t="inlineStr"/>
    </row>
    <row r="3321" ht="15" customHeight="1">
      <c r="A3321" t="inlineStr">
        <is>
          <t>A 13094-2023</t>
        </is>
      </c>
      <c r="B3321" s="1" t="n">
        <v>45002.43677083333</v>
      </c>
      <c r="C3321" s="1" t="n">
        <v>45883</v>
      </c>
      <c r="D3321" t="inlineStr">
        <is>
          <t>GÄVLEBORGS LÄN</t>
        </is>
      </c>
      <c r="E3321" t="inlineStr">
        <is>
          <t>LJUSDAL</t>
        </is>
      </c>
      <c r="F3321" t="inlineStr">
        <is>
          <t>Holmen skog AB</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52656-2024</t>
        </is>
      </c>
      <c r="B3322" s="1" t="n">
        <v>45610.35722222222</v>
      </c>
      <c r="C3322" s="1" t="n">
        <v>45883</v>
      </c>
      <c r="D3322" t="inlineStr">
        <is>
          <t>GÄVLEBORGS LÄN</t>
        </is>
      </c>
      <c r="E3322" t="inlineStr">
        <is>
          <t>HUDIKSVALL</t>
        </is>
      </c>
      <c r="G3322" t="n">
        <v>15.6</v>
      </c>
      <c r="H3322" t="n">
        <v>0</v>
      </c>
      <c r="I3322" t="n">
        <v>0</v>
      </c>
      <c r="J3322" t="n">
        <v>0</v>
      </c>
      <c r="K3322" t="n">
        <v>0</v>
      </c>
      <c r="L3322" t="n">
        <v>0</v>
      </c>
      <c r="M3322" t="n">
        <v>0</v>
      </c>
      <c r="N3322" t="n">
        <v>0</v>
      </c>
      <c r="O3322" t="n">
        <v>0</v>
      </c>
      <c r="P3322" t="n">
        <v>0</v>
      </c>
      <c r="Q3322" t="n">
        <v>0</v>
      </c>
      <c r="R3322" s="2" t="inlineStr"/>
    </row>
    <row r="3323" ht="15" customHeight="1">
      <c r="A3323" t="inlineStr">
        <is>
          <t>A 33710-2024</t>
        </is>
      </c>
      <c r="B3323" s="1" t="n">
        <v>45520</v>
      </c>
      <c r="C3323" s="1" t="n">
        <v>45883</v>
      </c>
      <c r="D3323" t="inlineStr">
        <is>
          <t>GÄVLEBORGS LÄN</t>
        </is>
      </c>
      <c r="E3323" t="inlineStr">
        <is>
          <t>HOFORS</t>
        </is>
      </c>
      <c r="F3323" t="inlineStr">
        <is>
          <t>Sveaskog</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11476-2025</t>
        </is>
      </c>
      <c r="B3324" s="1" t="n">
        <v>45726.67202546296</v>
      </c>
      <c r="C3324" s="1" t="n">
        <v>45883</v>
      </c>
      <c r="D3324" t="inlineStr">
        <is>
          <t>GÄVLEBORGS LÄN</t>
        </is>
      </c>
      <c r="E3324" t="inlineStr">
        <is>
          <t>OVANÅKER</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30007-2024</t>
        </is>
      </c>
      <c r="B3325" s="1" t="n">
        <v>45488.60150462963</v>
      </c>
      <c r="C3325" s="1" t="n">
        <v>45883</v>
      </c>
      <c r="D3325" t="inlineStr">
        <is>
          <t>GÄVLEBORGS LÄN</t>
        </is>
      </c>
      <c r="E3325" t="inlineStr">
        <is>
          <t>HOFORS</t>
        </is>
      </c>
      <c r="F3325" t="inlineStr">
        <is>
          <t>Sveaskog</t>
        </is>
      </c>
      <c r="G3325" t="n">
        <v>11.5</v>
      </c>
      <c r="H3325" t="n">
        <v>0</v>
      </c>
      <c r="I3325" t="n">
        <v>0</v>
      </c>
      <c r="J3325" t="n">
        <v>0</v>
      </c>
      <c r="K3325" t="n">
        <v>0</v>
      </c>
      <c r="L3325" t="n">
        <v>0</v>
      </c>
      <c r="M3325" t="n">
        <v>0</v>
      </c>
      <c r="N3325" t="n">
        <v>0</v>
      </c>
      <c r="O3325" t="n">
        <v>0</v>
      </c>
      <c r="P3325" t="n">
        <v>0</v>
      </c>
      <c r="Q3325" t="n">
        <v>0</v>
      </c>
      <c r="R3325" s="2" t="inlineStr"/>
    </row>
    <row r="3326" ht="15" customHeight="1">
      <c r="A3326" t="inlineStr">
        <is>
          <t>A 35185-2022</t>
        </is>
      </c>
      <c r="B3326" s="1" t="n">
        <v>44797.63806712963</v>
      </c>
      <c r="C3326" s="1" t="n">
        <v>45883</v>
      </c>
      <c r="D3326" t="inlineStr">
        <is>
          <t>GÄVLEBORGS LÄN</t>
        </is>
      </c>
      <c r="E3326" t="inlineStr">
        <is>
          <t>SANDVIKEN</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30009-2024</t>
        </is>
      </c>
      <c r="B3327" s="1" t="n">
        <v>45488.60546296297</v>
      </c>
      <c r="C3327" s="1" t="n">
        <v>45883</v>
      </c>
      <c r="D3327" t="inlineStr">
        <is>
          <t>GÄVLEBORGS LÄN</t>
        </is>
      </c>
      <c r="E3327" t="inlineStr">
        <is>
          <t>HOFORS</t>
        </is>
      </c>
      <c r="F3327" t="inlineStr">
        <is>
          <t>Sveaskog</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10606-2024</t>
        </is>
      </c>
      <c r="B3328" s="1" t="n">
        <v>45366.96065972222</v>
      </c>
      <c r="C3328" s="1" t="n">
        <v>45883</v>
      </c>
      <c r="D3328" t="inlineStr">
        <is>
          <t>GÄVLEBORGS LÄN</t>
        </is>
      </c>
      <c r="E3328" t="inlineStr">
        <is>
          <t>BOLLNÄS</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11075-2023</t>
        </is>
      </c>
      <c r="B3329" s="1" t="n">
        <v>44992</v>
      </c>
      <c r="C3329" s="1" t="n">
        <v>45883</v>
      </c>
      <c r="D3329" t="inlineStr">
        <is>
          <t>GÄVLEBORGS LÄN</t>
        </is>
      </c>
      <c r="E3329" t="inlineStr">
        <is>
          <t>SÖDERHAMN</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11082-2023</t>
        </is>
      </c>
      <c r="B3330" s="1" t="n">
        <v>44992</v>
      </c>
      <c r="C3330" s="1" t="n">
        <v>45883</v>
      </c>
      <c r="D3330" t="inlineStr">
        <is>
          <t>GÄVLEBORGS LÄN</t>
        </is>
      </c>
      <c r="E3330" t="inlineStr">
        <is>
          <t>HUDIKSVALL</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27787-2024</t>
        </is>
      </c>
      <c r="B3331" s="1" t="n">
        <v>45475.54822916666</v>
      </c>
      <c r="C3331" s="1" t="n">
        <v>45883</v>
      </c>
      <c r="D3331" t="inlineStr">
        <is>
          <t>GÄVLEBORGS LÄN</t>
        </is>
      </c>
      <c r="E3331" t="inlineStr">
        <is>
          <t>GÄVLE</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27788-2024</t>
        </is>
      </c>
      <c r="B3332" s="1" t="n">
        <v>45475.54844907407</v>
      </c>
      <c r="C3332" s="1" t="n">
        <v>45883</v>
      </c>
      <c r="D3332" t="inlineStr">
        <is>
          <t>GÄVLEBORGS LÄN</t>
        </is>
      </c>
      <c r="E3332" t="inlineStr">
        <is>
          <t>BOLLNÄS</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11385-2023</t>
        </is>
      </c>
      <c r="B3333" s="1" t="n">
        <v>44988</v>
      </c>
      <c r="C3333" s="1" t="n">
        <v>45883</v>
      </c>
      <c r="D3333" t="inlineStr">
        <is>
          <t>GÄVLEBORGS LÄN</t>
        </is>
      </c>
      <c r="E3333" t="inlineStr">
        <is>
          <t>SANDVIKEN</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2738-2025</t>
        </is>
      </c>
      <c r="B3334" s="1" t="n">
        <v>45677.45362268519</v>
      </c>
      <c r="C3334" s="1" t="n">
        <v>45883</v>
      </c>
      <c r="D3334" t="inlineStr">
        <is>
          <t>GÄVLEBORGS LÄN</t>
        </is>
      </c>
      <c r="E3334" t="inlineStr">
        <is>
          <t>HUDIKSVALL</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2740-2025</t>
        </is>
      </c>
      <c r="B3335" s="1" t="n">
        <v>45677.45729166667</v>
      </c>
      <c r="C3335" s="1" t="n">
        <v>45883</v>
      </c>
      <c r="D3335" t="inlineStr">
        <is>
          <t>GÄVLEBORGS LÄN</t>
        </is>
      </c>
      <c r="E3335" t="inlineStr">
        <is>
          <t>HUDIKSVALL</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27862-2023</t>
        </is>
      </c>
      <c r="B3336" s="1" t="n">
        <v>45098</v>
      </c>
      <c r="C3336" s="1" t="n">
        <v>45883</v>
      </c>
      <c r="D3336" t="inlineStr">
        <is>
          <t>GÄVLEBORGS LÄN</t>
        </is>
      </c>
      <c r="E3336" t="inlineStr">
        <is>
          <t>SÖDERHAMN</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19495-2024</t>
        </is>
      </c>
      <c r="B3337" s="1" t="n">
        <v>45429.58289351852</v>
      </c>
      <c r="C3337" s="1" t="n">
        <v>45883</v>
      </c>
      <c r="D3337" t="inlineStr">
        <is>
          <t>GÄVLEBORGS LÄN</t>
        </is>
      </c>
      <c r="E3337" t="inlineStr">
        <is>
          <t>OCKELBO</t>
        </is>
      </c>
      <c r="F3337" t="inlineStr">
        <is>
          <t>Bergvik skog väst AB</t>
        </is>
      </c>
      <c r="G3337" t="n">
        <v>10.4</v>
      </c>
      <c r="H3337" t="n">
        <v>0</v>
      </c>
      <c r="I3337" t="n">
        <v>0</v>
      </c>
      <c r="J3337" t="n">
        <v>0</v>
      </c>
      <c r="K3337" t="n">
        <v>0</v>
      </c>
      <c r="L3337" t="n">
        <v>0</v>
      </c>
      <c r="M3337" t="n">
        <v>0</v>
      </c>
      <c r="N3337" t="n">
        <v>0</v>
      </c>
      <c r="O3337" t="n">
        <v>0</v>
      </c>
      <c r="P3337" t="n">
        <v>0</v>
      </c>
      <c r="Q3337" t="n">
        <v>0</v>
      </c>
      <c r="R3337" s="2" t="inlineStr"/>
    </row>
    <row r="3338" ht="15" customHeight="1">
      <c r="A3338" t="inlineStr">
        <is>
          <t>A 53005-2024</t>
        </is>
      </c>
      <c r="B3338" s="1" t="n">
        <v>45611.38907407408</v>
      </c>
      <c r="C3338" s="1" t="n">
        <v>45883</v>
      </c>
      <c r="D3338" t="inlineStr">
        <is>
          <t>GÄVLEBORGS LÄN</t>
        </is>
      </c>
      <c r="E3338" t="inlineStr">
        <is>
          <t>SANDVIKEN</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56215-2024</t>
        </is>
      </c>
      <c r="B3339" s="1" t="n">
        <v>45624</v>
      </c>
      <c r="C3339" s="1" t="n">
        <v>45883</v>
      </c>
      <c r="D3339" t="inlineStr">
        <is>
          <t>GÄVLEBORGS LÄN</t>
        </is>
      </c>
      <c r="E3339" t="inlineStr">
        <is>
          <t>HUDIKSVALL</t>
        </is>
      </c>
      <c r="F3339" t="inlineStr">
        <is>
          <t>Holmen skog AB</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19629-2024</t>
        </is>
      </c>
      <c r="B3340" s="1" t="n">
        <v>45432.36076388889</v>
      </c>
      <c r="C3340" s="1" t="n">
        <v>45883</v>
      </c>
      <c r="D3340" t="inlineStr">
        <is>
          <t>GÄVLEBORGS LÄN</t>
        </is>
      </c>
      <c r="E3340" t="inlineStr">
        <is>
          <t>OVANÅKER</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22067-2024</t>
        </is>
      </c>
      <c r="B3341" s="1" t="n">
        <v>45443.63162037037</v>
      </c>
      <c r="C3341" s="1" t="n">
        <v>45883</v>
      </c>
      <c r="D3341" t="inlineStr">
        <is>
          <t>GÄVLEBORGS LÄN</t>
        </is>
      </c>
      <c r="E3341" t="inlineStr">
        <is>
          <t>LJUSDAL</t>
        </is>
      </c>
      <c r="F3341" t="inlineStr">
        <is>
          <t>Sveaskog</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44576-2023</t>
        </is>
      </c>
      <c r="B3342" s="1" t="n">
        <v>45183</v>
      </c>
      <c r="C3342" s="1" t="n">
        <v>45883</v>
      </c>
      <c r="D3342" t="inlineStr">
        <is>
          <t>GÄVLEBORGS LÄN</t>
        </is>
      </c>
      <c r="E3342" t="inlineStr">
        <is>
          <t>BOLLNÄS</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57189-2024</t>
        </is>
      </c>
      <c r="B3343" s="1" t="n">
        <v>45629</v>
      </c>
      <c r="C3343" s="1" t="n">
        <v>45883</v>
      </c>
      <c r="D3343" t="inlineStr">
        <is>
          <t>GÄVLEBORGS LÄN</t>
        </is>
      </c>
      <c r="E3343" t="inlineStr">
        <is>
          <t>LJUSDAL</t>
        </is>
      </c>
      <c r="F3343" t="inlineStr">
        <is>
          <t>Holmen skog AB</t>
        </is>
      </c>
      <c r="G3343" t="n">
        <v>0.3</v>
      </c>
      <c r="H3343" t="n">
        <v>0</v>
      </c>
      <c r="I3343" t="n">
        <v>0</v>
      </c>
      <c r="J3343" t="n">
        <v>0</v>
      </c>
      <c r="K3343" t="n">
        <v>0</v>
      </c>
      <c r="L3343" t="n">
        <v>0</v>
      </c>
      <c r="M3343" t="n">
        <v>0</v>
      </c>
      <c r="N3343" t="n">
        <v>0</v>
      </c>
      <c r="O3343" t="n">
        <v>0</v>
      </c>
      <c r="P3343" t="n">
        <v>0</v>
      </c>
      <c r="Q3343" t="n">
        <v>0</v>
      </c>
      <c r="R3343" s="2" t="inlineStr"/>
    </row>
    <row r="3344" ht="15" customHeight="1">
      <c r="A3344" t="inlineStr">
        <is>
          <t>A 61579-2024</t>
        </is>
      </c>
      <c r="B3344" s="1" t="n">
        <v>45646.62292824074</v>
      </c>
      <c r="C3344" s="1" t="n">
        <v>45883</v>
      </c>
      <c r="D3344" t="inlineStr">
        <is>
          <t>GÄVLEBORGS LÄN</t>
        </is>
      </c>
      <c r="E3344" t="inlineStr">
        <is>
          <t>HUDIKSVALL</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38535-2023</t>
        </is>
      </c>
      <c r="B3345" s="1" t="n">
        <v>45162</v>
      </c>
      <c r="C3345" s="1" t="n">
        <v>45883</v>
      </c>
      <c r="D3345" t="inlineStr">
        <is>
          <t>GÄVLEBORGS LÄN</t>
        </is>
      </c>
      <c r="E3345" t="inlineStr">
        <is>
          <t>HUDIKSVALL</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31673-2024</t>
        </is>
      </c>
      <c r="B3346" s="1" t="n">
        <v>45506.94846064815</v>
      </c>
      <c r="C3346" s="1" t="n">
        <v>45883</v>
      </c>
      <c r="D3346" t="inlineStr">
        <is>
          <t>GÄVLEBORGS LÄN</t>
        </is>
      </c>
      <c r="E3346" t="inlineStr">
        <is>
          <t>LJUSDAL</t>
        </is>
      </c>
      <c r="F3346" t="inlineStr">
        <is>
          <t>SCA</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39275-2024</t>
        </is>
      </c>
      <c r="B3347" s="1" t="n">
        <v>45551.34778935185</v>
      </c>
      <c r="C3347" s="1" t="n">
        <v>45883</v>
      </c>
      <c r="D3347" t="inlineStr">
        <is>
          <t>GÄVLEBORGS LÄN</t>
        </is>
      </c>
      <c r="E3347" t="inlineStr">
        <is>
          <t>HUDIKSVALL</t>
        </is>
      </c>
      <c r="F3347" t="inlineStr">
        <is>
          <t>Holmen skog AB</t>
        </is>
      </c>
      <c r="G3347" t="n">
        <v>4.9</v>
      </c>
      <c r="H3347" t="n">
        <v>0</v>
      </c>
      <c r="I3347" t="n">
        <v>0</v>
      </c>
      <c r="J3347" t="n">
        <v>0</v>
      </c>
      <c r="K3347" t="n">
        <v>0</v>
      </c>
      <c r="L3347" t="n">
        <v>0</v>
      </c>
      <c r="M3347" t="n">
        <v>0</v>
      </c>
      <c r="N3347" t="n">
        <v>0</v>
      </c>
      <c r="O3347" t="n">
        <v>0</v>
      </c>
      <c r="P3347" t="n">
        <v>0</v>
      </c>
      <c r="Q3347" t="n">
        <v>0</v>
      </c>
      <c r="R3347" s="2" t="inlineStr"/>
    </row>
    <row r="3348" ht="15" customHeight="1">
      <c r="A3348" t="inlineStr">
        <is>
          <t>A 33819-2023</t>
        </is>
      </c>
      <c r="B3348" s="1" t="n">
        <v>45133.6052662037</v>
      </c>
      <c r="C3348" s="1" t="n">
        <v>45883</v>
      </c>
      <c r="D3348" t="inlineStr">
        <is>
          <t>GÄVLEBORGS LÄN</t>
        </is>
      </c>
      <c r="E3348" t="inlineStr">
        <is>
          <t>LJUSDAL</t>
        </is>
      </c>
      <c r="F3348" t="inlineStr">
        <is>
          <t>Holmen skog AB</t>
        </is>
      </c>
      <c r="G3348" t="n">
        <v>8</v>
      </c>
      <c r="H3348" t="n">
        <v>0</v>
      </c>
      <c r="I3348" t="n">
        <v>0</v>
      </c>
      <c r="J3348" t="n">
        <v>0</v>
      </c>
      <c r="K3348" t="n">
        <v>0</v>
      </c>
      <c r="L3348" t="n">
        <v>0</v>
      </c>
      <c r="M3348" t="n">
        <v>0</v>
      </c>
      <c r="N3348" t="n">
        <v>0</v>
      </c>
      <c r="O3348" t="n">
        <v>0</v>
      </c>
      <c r="P3348" t="n">
        <v>0</v>
      </c>
      <c r="Q3348" t="n">
        <v>0</v>
      </c>
      <c r="R3348" s="2" t="inlineStr"/>
    </row>
    <row r="3349" ht="15" customHeight="1">
      <c r="A3349" t="inlineStr">
        <is>
          <t>A 39342-2024</t>
        </is>
      </c>
      <c r="B3349" s="1" t="n">
        <v>45551.44482638889</v>
      </c>
      <c r="C3349" s="1" t="n">
        <v>45883</v>
      </c>
      <c r="D3349" t="inlineStr">
        <is>
          <t>GÄVLEBORGS LÄN</t>
        </is>
      </c>
      <c r="E3349" t="inlineStr">
        <is>
          <t>SANDVIKEN</t>
        </is>
      </c>
      <c r="F3349" t="inlineStr">
        <is>
          <t>Sveaskog</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60335-2022</t>
        </is>
      </c>
      <c r="B3350" s="1" t="n">
        <v>44910.60543981481</v>
      </c>
      <c r="C3350" s="1" t="n">
        <v>45883</v>
      </c>
      <c r="D3350" t="inlineStr">
        <is>
          <t>GÄVLEBORGS LÄN</t>
        </is>
      </c>
      <c r="E3350" t="inlineStr">
        <is>
          <t>BOLLNÄS</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58075-2022</t>
        </is>
      </c>
      <c r="B3351" s="1" t="n">
        <v>44900</v>
      </c>
      <c r="C3351" s="1" t="n">
        <v>45883</v>
      </c>
      <c r="D3351" t="inlineStr">
        <is>
          <t>GÄVLEBORGS LÄN</t>
        </is>
      </c>
      <c r="E3351" t="inlineStr">
        <is>
          <t>OVANÅKER</t>
        </is>
      </c>
      <c r="F3351" t="inlineStr">
        <is>
          <t>Bergvik skog väst AB</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38556-2021</t>
        </is>
      </c>
      <c r="B3352" s="1" t="n">
        <v>44407</v>
      </c>
      <c r="C3352" s="1" t="n">
        <v>45883</v>
      </c>
      <c r="D3352" t="inlineStr">
        <is>
          <t>GÄVLEBORGS LÄN</t>
        </is>
      </c>
      <c r="E3352" t="inlineStr">
        <is>
          <t>BOLLNÄS</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14498-2021</t>
        </is>
      </c>
      <c r="B3353" s="1" t="n">
        <v>44279.61847222222</v>
      </c>
      <c r="C3353" s="1" t="n">
        <v>45883</v>
      </c>
      <c r="D3353" t="inlineStr">
        <is>
          <t>GÄVLEBORGS LÄN</t>
        </is>
      </c>
      <c r="E3353" t="inlineStr">
        <is>
          <t>SANDVIKEN</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37258-2024</t>
        </is>
      </c>
      <c r="B3354" s="1" t="n">
        <v>45540.36945601852</v>
      </c>
      <c r="C3354" s="1" t="n">
        <v>45883</v>
      </c>
      <c r="D3354" t="inlineStr">
        <is>
          <t>GÄVLEBORGS LÄN</t>
        </is>
      </c>
      <c r="E3354" t="inlineStr">
        <is>
          <t>GÄVLE</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36464-2024</t>
        </is>
      </c>
      <c r="B3355" s="1" t="n">
        <v>45537.35846064815</v>
      </c>
      <c r="C3355" s="1" t="n">
        <v>45883</v>
      </c>
      <c r="D3355" t="inlineStr">
        <is>
          <t>GÄVLEBORGS LÄN</t>
        </is>
      </c>
      <c r="E3355" t="inlineStr">
        <is>
          <t>NORDANSTIG</t>
        </is>
      </c>
      <c r="F3355" t="inlineStr">
        <is>
          <t>SCA</t>
        </is>
      </c>
      <c r="G3355" t="n">
        <v>4.4</v>
      </c>
      <c r="H3355" t="n">
        <v>0</v>
      </c>
      <c r="I3355" t="n">
        <v>0</v>
      </c>
      <c r="J3355" t="n">
        <v>0</v>
      </c>
      <c r="K3355" t="n">
        <v>0</v>
      </c>
      <c r="L3355" t="n">
        <v>0</v>
      </c>
      <c r="M3355" t="n">
        <v>0</v>
      </c>
      <c r="N3355" t="n">
        <v>0</v>
      </c>
      <c r="O3355" t="n">
        <v>0</v>
      </c>
      <c r="P3355" t="n">
        <v>0</v>
      </c>
      <c r="Q3355" t="n">
        <v>0</v>
      </c>
      <c r="R3355" s="2" t="inlineStr"/>
    </row>
    <row r="3356" ht="15" customHeight="1">
      <c r="A3356" t="inlineStr">
        <is>
          <t>A 6274-2025</t>
        </is>
      </c>
      <c r="B3356" s="1" t="n">
        <v>45698.61483796296</v>
      </c>
      <c r="C3356" s="1" t="n">
        <v>45883</v>
      </c>
      <c r="D3356" t="inlineStr">
        <is>
          <t>GÄVLEBORGS LÄN</t>
        </is>
      </c>
      <c r="E3356" t="inlineStr">
        <is>
          <t>HUDIKSVALL</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52057-2023</t>
        </is>
      </c>
      <c r="B3357" s="1" t="n">
        <v>45223.65407407407</v>
      </c>
      <c r="C3357" s="1" t="n">
        <v>45883</v>
      </c>
      <c r="D3357" t="inlineStr">
        <is>
          <t>GÄVLEBORGS LÄN</t>
        </is>
      </c>
      <c r="E3357" t="inlineStr">
        <is>
          <t>LJUSDAL</t>
        </is>
      </c>
      <c r="G3357" t="n">
        <v>4.7</v>
      </c>
      <c r="H3357" t="n">
        <v>0</v>
      </c>
      <c r="I3357" t="n">
        <v>0</v>
      </c>
      <c r="J3357" t="n">
        <v>0</v>
      </c>
      <c r="K3357" t="n">
        <v>0</v>
      </c>
      <c r="L3357" t="n">
        <v>0</v>
      </c>
      <c r="M3357" t="n">
        <v>0</v>
      </c>
      <c r="N3357" t="n">
        <v>0</v>
      </c>
      <c r="O3357" t="n">
        <v>0</v>
      </c>
      <c r="P3357" t="n">
        <v>0</v>
      </c>
      <c r="Q3357" t="n">
        <v>0</v>
      </c>
      <c r="R3357" s="2" t="inlineStr"/>
    </row>
    <row r="3358" ht="15" customHeight="1">
      <c r="A3358" t="inlineStr">
        <is>
          <t>A 17236-2021</t>
        </is>
      </c>
      <c r="B3358" s="1" t="n">
        <v>44298.51025462963</v>
      </c>
      <c r="C3358" s="1" t="n">
        <v>45883</v>
      </c>
      <c r="D3358" t="inlineStr">
        <is>
          <t>GÄVLEBORGS LÄN</t>
        </is>
      </c>
      <c r="E3358" t="inlineStr">
        <is>
          <t>BOLLNÄS</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2131-2025</t>
        </is>
      </c>
      <c r="B3359" s="1" t="n">
        <v>45672.65636574074</v>
      </c>
      <c r="C3359" s="1" t="n">
        <v>45883</v>
      </c>
      <c r="D3359" t="inlineStr">
        <is>
          <t>GÄVLEBORGS LÄN</t>
        </is>
      </c>
      <c r="E3359" t="inlineStr">
        <is>
          <t>SANDVIKEN</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33198-2024</t>
        </is>
      </c>
      <c r="B3360" s="1" t="n">
        <v>45518</v>
      </c>
      <c r="C3360" s="1" t="n">
        <v>45883</v>
      </c>
      <c r="D3360" t="inlineStr">
        <is>
          <t>GÄVLEBORGS LÄN</t>
        </is>
      </c>
      <c r="E3360" t="inlineStr">
        <is>
          <t>OVANÅKER</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48367-2024</t>
        </is>
      </c>
      <c r="B3361" s="1" t="n">
        <v>45590.57818287037</v>
      </c>
      <c r="C3361" s="1" t="n">
        <v>45883</v>
      </c>
      <c r="D3361" t="inlineStr">
        <is>
          <t>GÄVLEBORGS LÄN</t>
        </is>
      </c>
      <c r="E3361" t="inlineStr">
        <is>
          <t>HUDIKSVALL</t>
        </is>
      </c>
      <c r="F3361" t="inlineStr">
        <is>
          <t>Holmen skog AB</t>
        </is>
      </c>
      <c r="G3361" t="n">
        <v>17.6</v>
      </c>
      <c r="H3361" t="n">
        <v>0</v>
      </c>
      <c r="I3361" t="n">
        <v>0</v>
      </c>
      <c r="J3361" t="n">
        <v>0</v>
      </c>
      <c r="K3361" t="n">
        <v>0</v>
      </c>
      <c r="L3361" t="n">
        <v>0</v>
      </c>
      <c r="M3361" t="n">
        <v>0</v>
      </c>
      <c r="N3361" t="n">
        <v>0</v>
      </c>
      <c r="O3361" t="n">
        <v>0</v>
      </c>
      <c r="P3361" t="n">
        <v>0</v>
      </c>
      <c r="Q3361" t="n">
        <v>0</v>
      </c>
      <c r="R3361" s="2" t="inlineStr"/>
    </row>
    <row r="3362" ht="15" customHeight="1">
      <c r="A3362" t="inlineStr">
        <is>
          <t>A 603-2025</t>
        </is>
      </c>
      <c r="B3362" s="1" t="n">
        <v>45664</v>
      </c>
      <c r="C3362" s="1" t="n">
        <v>45883</v>
      </c>
      <c r="D3362" t="inlineStr">
        <is>
          <t>GÄVLEBORGS LÄN</t>
        </is>
      </c>
      <c r="E3362" t="inlineStr">
        <is>
          <t>HUDIKSVALL</t>
        </is>
      </c>
      <c r="F3362" t="inlineStr">
        <is>
          <t>Holmen skog AB</t>
        </is>
      </c>
      <c r="G3362" t="n">
        <v>5.2</v>
      </c>
      <c r="H3362" t="n">
        <v>0</v>
      </c>
      <c r="I3362" t="n">
        <v>0</v>
      </c>
      <c r="J3362" t="n">
        <v>0</v>
      </c>
      <c r="K3362" t="n">
        <v>0</v>
      </c>
      <c r="L3362" t="n">
        <v>0</v>
      </c>
      <c r="M3362" t="n">
        <v>0</v>
      </c>
      <c r="N3362" t="n">
        <v>0</v>
      </c>
      <c r="O3362" t="n">
        <v>0</v>
      </c>
      <c r="P3362" t="n">
        <v>0</v>
      </c>
      <c r="Q3362" t="n">
        <v>0</v>
      </c>
      <c r="R3362" s="2" t="inlineStr"/>
    </row>
    <row r="3363" ht="15" customHeight="1">
      <c r="A3363" t="inlineStr">
        <is>
          <t>A 55519-2024</t>
        </is>
      </c>
      <c r="B3363" s="1" t="n">
        <v>45622</v>
      </c>
      <c r="C3363" s="1" t="n">
        <v>45883</v>
      </c>
      <c r="D3363" t="inlineStr">
        <is>
          <t>GÄVLEBORGS LÄN</t>
        </is>
      </c>
      <c r="E3363" t="inlineStr">
        <is>
          <t>HUDIKSVALL</t>
        </is>
      </c>
      <c r="F3363" t="inlineStr">
        <is>
          <t>Holmen skog AB</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55526-2024</t>
        </is>
      </c>
      <c r="B3364" s="1" t="n">
        <v>45622</v>
      </c>
      <c r="C3364" s="1" t="n">
        <v>45883</v>
      </c>
      <c r="D3364" t="inlineStr">
        <is>
          <t>GÄVLEBORGS LÄN</t>
        </is>
      </c>
      <c r="E3364" t="inlineStr">
        <is>
          <t>NORDANSTIG</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33347-2024</t>
        </is>
      </c>
      <c r="B3365" s="1" t="n">
        <v>45519.36583333334</v>
      </c>
      <c r="C3365" s="1" t="n">
        <v>45883</v>
      </c>
      <c r="D3365" t="inlineStr">
        <is>
          <t>GÄVLEBORGS LÄN</t>
        </is>
      </c>
      <c r="E3365" t="inlineStr">
        <is>
          <t>LJUSDAL</t>
        </is>
      </c>
      <c r="F3365" t="inlineStr">
        <is>
          <t>Holmen skog AB</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55574-2024</t>
        </is>
      </c>
      <c r="B3366" s="1" t="n">
        <v>45622.55423611111</v>
      </c>
      <c r="C3366" s="1" t="n">
        <v>45883</v>
      </c>
      <c r="D3366" t="inlineStr">
        <is>
          <t>GÄVLEBORGS LÄN</t>
        </is>
      </c>
      <c r="E3366" t="inlineStr">
        <is>
          <t>HUDIKSVALL</t>
        </is>
      </c>
      <c r="F3366" t="inlineStr">
        <is>
          <t>Holmen skog AB</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19346-2023</t>
        </is>
      </c>
      <c r="B3367" s="1" t="n">
        <v>45049.58680555555</v>
      </c>
      <c r="C3367" s="1" t="n">
        <v>45883</v>
      </c>
      <c r="D3367" t="inlineStr">
        <is>
          <t>GÄVLEBORGS LÄN</t>
        </is>
      </c>
      <c r="E3367" t="inlineStr">
        <is>
          <t>SANDVIKEN</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45639-2023</t>
        </is>
      </c>
      <c r="B3368" s="1" t="n">
        <v>45194.68771990741</v>
      </c>
      <c r="C3368" s="1" t="n">
        <v>45883</v>
      </c>
      <c r="D3368" t="inlineStr">
        <is>
          <t>GÄVLEBORGS LÄN</t>
        </is>
      </c>
      <c r="E3368" t="inlineStr">
        <is>
          <t>BOLLNÄS</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34600-2024</t>
        </is>
      </c>
      <c r="B3369" s="1" t="n">
        <v>45526.39949074074</v>
      </c>
      <c r="C3369" s="1" t="n">
        <v>45883</v>
      </c>
      <c r="D3369" t="inlineStr">
        <is>
          <t>GÄVLEBORGS LÄN</t>
        </is>
      </c>
      <c r="E3369" t="inlineStr">
        <is>
          <t>GÄVLE</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34613-2024</t>
        </is>
      </c>
      <c r="B3370" s="1" t="n">
        <v>45526.41092592593</v>
      </c>
      <c r="C3370" s="1" t="n">
        <v>45883</v>
      </c>
      <c r="D3370" t="inlineStr">
        <is>
          <t>GÄVLEBORGS LÄN</t>
        </is>
      </c>
      <c r="E3370" t="inlineStr">
        <is>
          <t>BOLLNÄS</t>
        </is>
      </c>
      <c r="F3370" t="inlineStr">
        <is>
          <t>Sveaskog</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16073-2023</t>
        </is>
      </c>
      <c r="B3371" s="1" t="n">
        <v>45027.45347222222</v>
      </c>
      <c r="C3371" s="1" t="n">
        <v>45883</v>
      </c>
      <c r="D3371" t="inlineStr">
        <is>
          <t>GÄVLEBORGS LÄN</t>
        </is>
      </c>
      <c r="E3371" t="inlineStr">
        <is>
          <t>HUDIKSVALL</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28979-2022</t>
        </is>
      </c>
      <c r="B3372" s="1" t="n">
        <v>44749.65016203704</v>
      </c>
      <c r="C3372" s="1" t="n">
        <v>45883</v>
      </c>
      <c r="D3372" t="inlineStr">
        <is>
          <t>GÄVLEBORGS LÄN</t>
        </is>
      </c>
      <c r="E3372" t="inlineStr">
        <is>
          <t>BOLLNÄS</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21272-2023</t>
        </is>
      </c>
      <c r="B3373" s="1" t="n">
        <v>45062.62559027778</v>
      </c>
      <c r="C3373" s="1" t="n">
        <v>45883</v>
      </c>
      <c r="D3373" t="inlineStr">
        <is>
          <t>GÄVLEBORGS LÄN</t>
        </is>
      </c>
      <c r="E3373" t="inlineStr">
        <is>
          <t>SÖDERHAMN</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54236-2023</t>
        </is>
      </c>
      <c r="B3374" s="1" t="n">
        <v>45232.61173611111</v>
      </c>
      <c r="C3374" s="1" t="n">
        <v>45883</v>
      </c>
      <c r="D3374" t="inlineStr">
        <is>
          <t>GÄVLEBORGS LÄN</t>
        </is>
      </c>
      <c r="E3374" t="inlineStr">
        <is>
          <t>BOLLNÄS</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41221-2022</t>
        </is>
      </c>
      <c r="B3375" s="1" t="n">
        <v>44826</v>
      </c>
      <c r="C3375" s="1" t="n">
        <v>45883</v>
      </c>
      <c r="D3375" t="inlineStr">
        <is>
          <t>GÄVLEBORGS LÄN</t>
        </is>
      </c>
      <c r="E3375" t="inlineStr">
        <is>
          <t>SÖDERHAMN</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18084-2021</t>
        </is>
      </c>
      <c r="B3376" s="1" t="n">
        <v>44302.45947916667</v>
      </c>
      <c r="C3376" s="1" t="n">
        <v>45883</v>
      </c>
      <c r="D3376" t="inlineStr">
        <is>
          <t>GÄVLEBORGS LÄN</t>
        </is>
      </c>
      <c r="E3376" t="inlineStr">
        <is>
          <t>HUDIKSVALL</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43711-2023</t>
        </is>
      </c>
      <c r="B3377" s="1" t="n">
        <v>45187.4346412037</v>
      </c>
      <c r="C3377" s="1" t="n">
        <v>45883</v>
      </c>
      <c r="D3377" t="inlineStr">
        <is>
          <t>GÄVLEBORGS LÄN</t>
        </is>
      </c>
      <c r="E3377" t="inlineStr">
        <is>
          <t>BOLLNÄS</t>
        </is>
      </c>
      <c r="F3377" t="inlineStr">
        <is>
          <t>Kyrkan</t>
        </is>
      </c>
      <c r="G3377" t="n">
        <v>4.1</v>
      </c>
      <c r="H3377" t="n">
        <v>0</v>
      </c>
      <c r="I3377" t="n">
        <v>0</v>
      </c>
      <c r="J3377" t="n">
        <v>0</v>
      </c>
      <c r="K3377" t="n">
        <v>0</v>
      </c>
      <c r="L3377" t="n">
        <v>0</v>
      </c>
      <c r="M3377" t="n">
        <v>0</v>
      </c>
      <c r="N3377" t="n">
        <v>0</v>
      </c>
      <c r="O3377" t="n">
        <v>0</v>
      </c>
      <c r="P3377" t="n">
        <v>0</v>
      </c>
      <c r="Q3377" t="n">
        <v>0</v>
      </c>
      <c r="R3377" s="2" t="inlineStr"/>
    </row>
    <row r="3378" ht="15" customHeight="1">
      <c r="A3378" t="inlineStr">
        <is>
          <t>A 42858-2024</t>
        </is>
      </c>
      <c r="B3378" s="1" t="n">
        <v>45566.65224537037</v>
      </c>
      <c r="C3378" s="1" t="n">
        <v>45883</v>
      </c>
      <c r="D3378" t="inlineStr">
        <is>
          <t>GÄVLEBORGS LÄN</t>
        </is>
      </c>
      <c r="E3378" t="inlineStr">
        <is>
          <t>NORDANSTIG</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42868-2024</t>
        </is>
      </c>
      <c r="B3379" s="1" t="n">
        <v>45566.6625462963</v>
      </c>
      <c r="C3379" s="1" t="n">
        <v>45883</v>
      </c>
      <c r="D3379" t="inlineStr">
        <is>
          <t>GÄVLEBORGS LÄN</t>
        </is>
      </c>
      <c r="E3379" t="inlineStr">
        <is>
          <t>SANDVIKEN</t>
        </is>
      </c>
      <c r="F3379" t="inlineStr">
        <is>
          <t>Sveaskog</t>
        </is>
      </c>
      <c r="G3379" t="n">
        <v>3.3</v>
      </c>
      <c r="H3379" t="n">
        <v>0</v>
      </c>
      <c r="I3379" t="n">
        <v>0</v>
      </c>
      <c r="J3379" t="n">
        <v>0</v>
      </c>
      <c r="K3379" t="n">
        <v>0</v>
      </c>
      <c r="L3379" t="n">
        <v>0</v>
      </c>
      <c r="M3379" t="n">
        <v>0</v>
      </c>
      <c r="N3379" t="n">
        <v>0</v>
      </c>
      <c r="O3379" t="n">
        <v>0</v>
      </c>
      <c r="P3379" t="n">
        <v>0</v>
      </c>
      <c r="Q3379" t="n">
        <v>0</v>
      </c>
      <c r="R3379" s="2" t="inlineStr"/>
    </row>
    <row r="3380" ht="15" customHeight="1">
      <c r="A3380" t="inlineStr">
        <is>
          <t>A 47794-2024</t>
        </is>
      </c>
      <c r="B3380" s="1" t="n">
        <v>45588.59930555556</v>
      </c>
      <c r="C3380" s="1" t="n">
        <v>45883</v>
      </c>
      <c r="D3380" t="inlineStr">
        <is>
          <t>GÄVLEBORGS LÄN</t>
        </is>
      </c>
      <c r="E3380" t="inlineStr">
        <is>
          <t>SÖDERHAMN</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6096-2022</t>
        </is>
      </c>
      <c r="B3381" s="1" t="n">
        <v>44599</v>
      </c>
      <c r="C3381" s="1" t="n">
        <v>45883</v>
      </c>
      <c r="D3381" t="inlineStr">
        <is>
          <t>GÄVLEBORGS LÄN</t>
        </is>
      </c>
      <c r="E3381" t="inlineStr">
        <is>
          <t>NORDANSTIG</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22976-2024</t>
        </is>
      </c>
      <c r="B3382" s="1" t="n">
        <v>45449.8512962963</v>
      </c>
      <c r="C3382" s="1" t="n">
        <v>45883</v>
      </c>
      <c r="D3382" t="inlineStr">
        <is>
          <t>GÄVLEBORGS LÄN</t>
        </is>
      </c>
      <c r="E3382" t="inlineStr">
        <is>
          <t>HUDIKSVALL</t>
        </is>
      </c>
      <c r="F3382" t="inlineStr">
        <is>
          <t>Holmen skog AB</t>
        </is>
      </c>
      <c r="G3382" t="n">
        <v>5.9</v>
      </c>
      <c r="H3382" t="n">
        <v>0</v>
      </c>
      <c r="I3382" t="n">
        <v>0</v>
      </c>
      <c r="J3382" t="n">
        <v>0</v>
      </c>
      <c r="K3382" t="n">
        <v>0</v>
      </c>
      <c r="L3382" t="n">
        <v>0</v>
      </c>
      <c r="M3382" t="n">
        <v>0</v>
      </c>
      <c r="N3382" t="n">
        <v>0</v>
      </c>
      <c r="O3382" t="n">
        <v>0</v>
      </c>
      <c r="P3382" t="n">
        <v>0</v>
      </c>
      <c r="Q3382" t="n">
        <v>0</v>
      </c>
      <c r="R3382" s="2" t="inlineStr"/>
    </row>
    <row r="3383" ht="15" customHeight="1">
      <c r="A3383" t="inlineStr">
        <is>
          <t>A 38268-2023</t>
        </is>
      </c>
      <c r="B3383" s="1" t="n">
        <v>45161.61159722223</v>
      </c>
      <c r="C3383" s="1" t="n">
        <v>45883</v>
      </c>
      <c r="D3383" t="inlineStr">
        <is>
          <t>GÄVLEBORGS LÄN</t>
        </is>
      </c>
      <c r="E3383" t="inlineStr">
        <is>
          <t>BOLLNÄS</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56468-2020</t>
        </is>
      </c>
      <c r="B3384" s="1" t="n">
        <v>44133</v>
      </c>
      <c r="C3384" s="1" t="n">
        <v>45883</v>
      </c>
      <c r="D3384" t="inlineStr">
        <is>
          <t>GÄVLEBORGS LÄN</t>
        </is>
      </c>
      <c r="E3384" t="inlineStr">
        <is>
          <t>SÖDERHAMN</t>
        </is>
      </c>
      <c r="G3384" t="n">
        <v>12.8</v>
      </c>
      <c r="H3384" t="n">
        <v>0</v>
      </c>
      <c r="I3384" t="n">
        <v>0</v>
      </c>
      <c r="J3384" t="n">
        <v>0</v>
      </c>
      <c r="K3384" t="n">
        <v>0</v>
      </c>
      <c r="L3384" t="n">
        <v>0</v>
      </c>
      <c r="M3384" t="n">
        <v>0</v>
      </c>
      <c r="N3384" t="n">
        <v>0</v>
      </c>
      <c r="O3384" t="n">
        <v>0</v>
      </c>
      <c r="P3384" t="n">
        <v>0</v>
      </c>
      <c r="Q3384" t="n">
        <v>0</v>
      </c>
      <c r="R3384" s="2" t="inlineStr"/>
    </row>
    <row r="3385" ht="15" customHeight="1">
      <c r="A3385" t="inlineStr">
        <is>
          <t>A 46006-2024</t>
        </is>
      </c>
      <c r="B3385" s="1" t="n">
        <v>45580</v>
      </c>
      <c r="C3385" s="1" t="n">
        <v>45883</v>
      </c>
      <c r="D3385" t="inlineStr">
        <is>
          <t>GÄVLEBORGS LÄN</t>
        </is>
      </c>
      <c r="E3385" t="inlineStr">
        <is>
          <t>SÖDERHAMN</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56406-2024</t>
        </is>
      </c>
      <c r="B3386" s="1" t="n">
        <v>45625.36425925926</v>
      </c>
      <c r="C3386" s="1" t="n">
        <v>45883</v>
      </c>
      <c r="D3386" t="inlineStr">
        <is>
          <t>GÄVLEBORGS LÄN</t>
        </is>
      </c>
      <c r="E3386" t="inlineStr">
        <is>
          <t>NORDANSTIG</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59000-2023</t>
        </is>
      </c>
      <c r="B3387" s="1" t="n">
        <v>45252.63642361111</v>
      </c>
      <c r="C3387" s="1" t="n">
        <v>45883</v>
      </c>
      <c r="D3387" t="inlineStr">
        <is>
          <t>GÄVLEBORGS LÄN</t>
        </is>
      </c>
      <c r="E3387" t="inlineStr">
        <is>
          <t>SÖDERHAMN</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57673-2024</t>
        </is>
      </c>
      <c r="B3388" s="1" t="n">
        <v>45630.62938657407</v>
      </c>
      <c r="C3388" s="1" t="n">
        <v>45883</v>
      </c>
      <c r="D3388" t="inlineStr">
        <is>
          <t>GÄVLEBORGS LÄN</t>
        </is>
      </c>
      <c r="E3388" t="inlineStr">
        <is>
          <t>LJUSDAL</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17402-2025</t>
        </is>
      </c>
      <c r="B3389" s="1" t="n">
        <v>45757</v>
      </c>
      <c r="C3389" s="1" t="n">
        <v>45883</v>
      </c>
      <c r="D3389" t="inlineStr">
        <is>
          <t>GÄVLEBORGS LÄN</t>
        </is>
      </c>
      <c r="E3389" t="inlineStr">
        <is>
          <t>OCKELBO</t>
        </is>
      </c>
      <c r="F3389" t="inlineStr">
        <is>
          <t>Bergvik skog väst AB</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55070-2023</t>
        </is>
      </c>
      <c r="B3390" s="1" t="n">
        <v>45237</v>
      </c>
      <c r="C3390" s="1" t="n">
        <v>45883</v>
      </c>
      <c r="D3390" t="inlineStr">
        <is>
          <t>GÄVLEBORGS LÄN</t>
        </is>
      </c>
      <c r="E3390" t="inlineStr">
        <is>
          <t>OCKELBO</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61977-2022</t>
        </is>
      </c>
      <c r="B3391" s="1" t="n">
        <v>44918</v>
      </c>
      <c r="C3391" s="1" t="n">
        <v>45883</v>
      </c>
      <c r="D3391" t="inlineStr">
        <is>
          <t>GÄVLEBORGS LÄN</t>
        </is>
      </c>
      <c r="E3391" t="inlineStr">
        <is>
          <t>HUDIKSVALL</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13471-2024</t>
        </is>
      </c>
      <c r="B3392" s="1" t="n">
        <v>45387.57859953704</v>
      </c>
      <c r="C3392" s="1" t="n">
        <v>45883</v>
      </c>
      <c r="D3392" t="inlineStr">
        <is>
          <t>GÄVLEBORGS LÄN</t>
        </is>
      </c>
      <c r="E3392" t="inlineStr">
        <is>
          <t>HOFORS</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6587-2021</t>
        </is>
      </c>
      <c r="B3393" s="1" t="n">
        <v>44236</v>
      </c>
      <c r="C3393" s="1" t="n">
        <v>45883</v>
      </c>
      <c r="D3393" t="inlineStr">
        <is>
          <t>GÄVLEBORGS LÄN</t>
        </is>
      </c>
      <c r="E3393" t="inlineStr">
        <is>
          <t>LJUSDAL</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20756-2022</t>
        </is>
      </c>
      <c r="B3394" s="1" t="n">
        <v>44701.33546296296</v>
      </c>
      <c r="C3394" s="1" t="n">
        <v>45883</v>
      </c>
      <c r="D3394" t="inlineStr">
        <is>
          <t>GÄVLEBORGS LÄN</t>
        </is>
      </c>
      <c r="E3394" t="inlineStr">
        <is>
          <t>LJUSDAL</t>
        </is>
      </c>
      <c r="F3394" t="inlineStr">
        <is>
          <t>Sveaskog</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15292-2021</t>
        </is>
      </c>
      <c r="B3395" s="1" t="n">
        <v>44284</v>
      </c>
      <c r="C3395" s="1" t="n">
        <v>45883</v>
      </c>
      <c r="D3395" t="inlineStr">
        <is>
          <t>GÄVLEBORGS LÄN</t>
        </is>
      </c>
      <c r="E3395" t="inlineStr">
        <is>
          <t>NORDANSTIG</t>
        </is>
      </c>
      <c r="G3395" t="n">
        <v>7</v>
      </c>
      <c r="H3395" t="n">
        <v>0</v>
      </c>
      <c r="I3395" t="n">
        <v>0</v>
      </c>
      <c r="J3395" t="n">
        <v>0</v>
      </c>
      <c r="K3395" t="n">
        <v>0</v>
      </c>
      <c r="L3395" t="n">
        <v>0</v>
      </c>
      <c r="M3395" t="n">
        <v>0</v>
      </c>
      <c r="N3395" t="n">
        <v>0</v>
      </c>
      <c r="O3395" t="n">
        <v>0</v>
      </c>
      <c r="P3395" t="n">
        <v>0</v>
      </c>
      <c r="Q3395" t="n">
        <v>0</v>
      </c>
      <c r="R3395" s="2" t="inlineStr"/>
    </row>
    <row r="3396" ht="15" customHeight="1">
      <c r="A3396" t="inlineStr">
        <is>
          <t>A 33138-2022</t>
        </is>
      </c>
      <c r="B3396" s="1" t="n">
        <v>44785.54732638889</v>
      </c>
      <c r="C3396" s="1" t="n">
        <v>45883</v>
      </c>
      <c r="D3396" t="inlineStr">
        <is>
          <t>GÄVLEBORGS LÄN</t>
        </is>
      </c>
      <c r="E3396" t="inlineStr">
        <is>
          <t>HUDIKSVALL</t>
        </is>
      </c>
      <c r="F3396" t="inlineStr">
        <is>
          <t>Holmen skog AB</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10514-2024</t>
        </is>
      </c>
      <c r="B3397" s="1" t="n">
        <v>45366</v>
      </c>
      <c r="C3397" s="1" t="n">
        <v>45883</v>
      </c>
      <c r="D3397" t="inlineStr">
        <is>
          <t>GÄVLEBORGS LÄN</t>
        </is>
      </c>
      <c r="E3397" t="inlineStr">
        <is>
          <t>LJUSDAL</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51842-2024</t>
        </is>
      </c>
      <c r="B3398" s="1" t="n">
        <v>45607.52349537037</v>
      </c>
      <c r="C3398" s="1" t="n">
        <v>45883</v>
      </c>
      <c r="D3398" t="inlineStr">
        <is>
          <t>GÄVLEBORGS LÄN</t>
        </is>
      </c>
      <c r="E3398" t="inlineStr">
        <is>
          <t>NORDANSTIG</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38755-2024</t>
        </is>
      </c>
      <c r="B3399" s="1" t="n">
        <v>45547</v>
      </c>
      <c r="C3399" s="1" t="n">
        <v>45883</v>
      </c>
      <c r="D3399" t="inlineStr">
        <is>
          <t>GÄVLEBORGS LÄN</t>
        </is>
      </c>
      <c r="E3399" t="inlineStr">
        <is>
          <t>HUDIKSVALL</t>
        </is>
      </c>
      <c r="F3399" t="inlineStr">
        <is>
          <t>Holmen skog AB</t>
        </is>
      </c>
      <c r="G3399" t="n">
        <v>6.4</v>
      </c>
      <c r="H3399" t="n">
        <v>0</v>
      </c>
      <c r="I3399" t="n">
        <v>0</v>
      </c>
      <c r="J3399" t="n">
        <v>0</v>
      </c>
      <c r="K3399" t="n">
        <v>0</v>
      </c>
      <c r="L3399" t="n">
        <v>0</v>
      </c>
      <c r="M3399" t="n">
        <v>0</v>
      </c>
      <c r="N3399" t="n">
        <v>0</v>
      </c>
      <c r="O3399" t="n">
        <v>0</v>
      </c>
      <c r="P3399" t="n">
        <v>0</v>
      </c>
      <c r="Q3399" t="n">
        <v>0</v>
      </c>
      <c r="R3399" s="2" t="inlineStr"/>
    </row>
    <row r="3400" ht="15" customHeight="1">
      <c r="A3400" t="inlineStr">
        <is>
          <t>A 38201-2024</t>
        </is>
      </c>
      <c r="B3400" s="1" t="n">
        <v>45545.5003125</v>
      </c>
      <c r="C3400" s="1" t="n">
        <v>45883</v>
      </c>
      <c r="D3400" t="inlineStr">
        <is>
          <t>GÄVLEBORGS LÄN</t>
        </is>
      </c>
      <c r="E3400" t="inlineStr">
        <is>
          <t>HUDIKSVALL</t>
        </is>
      </c>
      <c r="F3400" t="inlineStr">
        <is>
          <t>Holmen skog AB</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58787-2021</t>
        </is>
      </c>
      <c r="B3401" s="1" t="n">
        <v>44489.56234953704</v>
      </c>
      <c r="C3401" s="1" t="n">
        <v>45883</v>
      </c>
      <c r="D3401" t="inlineStr">
        <is>
          <t>GÄVLEBORGS LÄN</t>
        </is>
      </c>
      <c r="E3401" t="inlineStr">
        <is>
          <t>HOFORS</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52932-2022</t>
        </is>
      </c>
      <c r="B3402" s="1" t="n">
        <v>44875.62975694444</v>
      </c>
      <c r="C3402" s="1" t="n">
        <v>45883</v>
      </c>
      <c r="D3402" t="inlineStr">
        <is>
          <t>GÄVLEBORGS LÄN</t>
        </is>
      </c>
      <c r="E3402" t="inlineStr">
        <is>
          <t>SANDVIKEN</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59476-2022</t>
        </is>
      </c>
      <c r="B3403" s="1" t="n">
        <v>44907.44679398148</v>
      </c>
      <c r="C3403" s="1" t="n">
        <v>45883</v>
      </c>
      <c r="D3403" t="inlineStr">
        <is>
          <t>GÄVLEBORGS LÄN</t>
        </is>
      </c>
      <c r="E3403" t="inlineStr">
        <is>
          <t>SÖDERHAMN</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61694-2021</t>
        </is>
      </c>
      <c r="B3404" s="1" t="n">
        <v>44501.58199074074</v>
      </c>
      <c r="C3404" s="1" t="n">
        <v>45883</v>
      </c>
      <c r="D3404" t="inlineStr">
        <is>
          <t>GÄVLEBORGS LÄN</t>
        </is>
      </c>
      <c r="E3404" t="inlineStr">
        <is>
          <t>SANDVIKEN</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6073-2024</t>
        </is>
      </c>
      <c r="B3405" s="1" t="n">
        <v>45336</v>
      </c>
      <c r="C3405" s="1" t="n">
        <v>45883</v>
      </c>
      <c r="D3405" t="inlineStr">
        <is>
          <t>GÄVLEBORGS LÄN</t>
        </is>
      </c>
      <c r="E3405" t="inlineStr">
        <is>
          <t>LJUSDAL</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38295-2024</t>
        </is>
      </c>
      <c r="B3406" s="1" t="n">
        <v>45545.6265625</v>
      </c>
      <c r="C3406" s="1" t="n">
        <v>45883</v>
      </c>
      <c r="D3406" t="inlineStr">
        <is>
          <t>GÄVLEBORGS LÄN</t>
        </is>
      </c>
      <c r="E3406" t="inlineStr">
        <is>
          <t>HUDIKSVALL</t>
        </is>
      </c>
      <c r="F3406" t="inlineStr">
        <is>
          <t>Holmen skog AB</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9378-2025</t>
        </is>
      </c>
      <c r="B3407" s="1" t="n">
        <v>45715.34081018518</v>
      </c>
      <c r="C3407" s="1" t="n">
        <v>45883</v>
      </c>
      <c r="D3407" t="inlineStr">
        <is>
          <t>GÄVLEBORGS LÄN</t>
        </is>
      </c>
      <c r="E3407" t="inlineStr">
        <is>
          <t>GÄVLE</t>
        </is>
      </c>
      <c r="F3407" t="inlineStr">
        <is>
          <t>Kyrkan</t>
        </is>
      </c>
      <c r="G3407" t="n">
        <v>8.1</v>
      </c>
      <c r="H3407" t="n">
        <v>0</v>
      </c>
      <c r="I3407" t="n">
        <v>0</v>
      </c>
      <c r="J3407" t="n">
        <v>0</v>
      </c>
      <c r="K3407" t="n">
        <v>0</v>
      </c>
      <c r="L3407" t="n">
        <v>0</v>
      </c>
      <c r="M3407" t="n">
        <v>0</v>
      </c>
      <c r="N3407" t="n">
        <v>0</v>
      </c>
      <c r="O3407" t="n">
        <v>0</v>
      </c>
      <c r="P3407" t="n">
        <v>0</v>
      </c>
      <c r="Q3407" t="n">
        <v>0</v>
      </c>
      <c r="R3407" s="2" t="inlineStr"/>
    </row>
    <row r="3408" ht="15" customHeight="1">
      <c r="A3408" t="inlineStr">
        <is>
          <t>A 10577-2025</t>
        </is>
      </c>
      <c r="B3408" s="1" t="n">
        <v>45721.54620370371</v>
      </c>
      <c r="C3408" s="1" t="n">
        <v>45883</v>
      </c>
      <c r="D3408" t="inlineStr">
        <is>
          <t>GÄVLEBORGS LÄN</t>
        </is>
      </c>
      <c r="E3408" t="inlineStr">
        <is>
          <t>SANDVIKEN</t>
        </is>
      </c>
      <c r="F3408" t="inlineStr">
        <is>
          <t>Sveaskog</t>
        </is>
      </c>
      <c r="G3408" t="n">
        <v>10.9</v>
      </c>
      <c r="H3408" t="n">
        <v>0</v>
      </c>
      <c r="I3408" t="n">
        <v>0</v>
      </c>
      <c r="J3408" t="n">
        <v>0</v>
      </c>
      <c r="K3408" t="n">
        <v>0</v>
      </c>
      <c r="L3408" t="n">
        <v>0</v>
      </c>
      <c r="M3408" t="n">
        <v>0</v>
      </c>
      <c r="N3408" t="n">
        <v>0</v>
      </c>
      <c r="O3408" t="n">
        <v>0</v>
      </c>
      <c r="P3408" t="n">
        <v>0</v>
      </c>
      <c r="Q3408" t="n">
        <v>0</v>
      </c>
      <c r="R3408" s="2" t="inlineStr"/>
    </row>
    <row r="3409" ht="15" customHeight="1">
      <c r="A3409" t="inlineStr">
        <is>
          <t>A 43152-2023</t>
        </is>
      </c>
      <c r="B3409" s="1" t="n">
        <v>45183.32864583333</v>
      </c>
      <c r="C3409" s="1" t="n">
        <v>45883</v>
      </c>
      <c r="D3409" t="inlineStr">
        <is>
          <t>GÄVLEBORGS LÄN</t>
        </is>
      </c>
      <c r="E3409" t="inlineStr">
        <is>
          <t>BOLLNÄS</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44457-2024</t>
        </is>
      </c>
      <c r="B3410" s="1" t="n">
        <v>45574.35596064815</v>
      </c>
      <c r="C3410" s="1" t="n">
        <v>45883</v>
      </c>
      <c r="D3410" t="inlineStr">
        <is>
          <t>GÄVLEBORGS LÄN</t>
        </is>
      </c>
      <c r="E3410" t="inlineStr">
        <is>
          <t>OCKELBO</t>
        </is>
      </c>
      <c r="G3410" t="n">
        <v>3.5</v>
      </c>
      <c r="H3410" t="n">
        <v>0</v>
      </c>
      <c r="I3410" t="n">
        <v>0</v>
      </c>
      <c r="J3410" t="n">
        <v>0</v>
      </c>
      <c r="K3410" t="n">
        <v>0</v>
      </c>
      <c r="L3410" t="n">
        <v>0</v>
      </c>
      <c r="M3410" t="n">
        <v>0</v>
      </c>
      <c r="N3410" t="n">
        <v>0</v>
      </c>
      <c r="O3410" t="n">
        <v>0</v>
      </c>
      <c r="P3410" t="n">
        <v>0</v>
      </c>
      <c r="Q3410" t="n">
        <v>0</v>
      </c>
      <c r="R3410" s="2" t="inlineStr"/>
    </row>
    <row r="3411" ht="15" customHeight="1">
      <c r="A3411" t="inlineStr">
        <is>
          <t>A 38079-2024</t>
        </is>
      </c>
      <c r="B3411" s="1" t="n">
        <v>45545</v>
      </c>
      <c r="C3411" s="1" t="n">
        <v>45883</v>
      </c>
      <c r="D3411" t="inlineStr">
        <is>
          <t>GÄVLEBORGS LÄN</t>
        </is>
      </c>
      <c r="E3411" t="inlineStr">
        <is>
          <t>SÖDERHAMN</t>
        </is>
      </c>
      <c r="G3411" t="n">
        <v>3.4</v>
      </c>
      <c r="H3411" t="n">
        <v>0</v>
      </c>
      <c r="I3411" t="n">
        <v>0</v>
      </c>
      <c r="J3411" t="n">
        <v>0</v>
      </c>
      <c r="K3411" t="n">
        <v>0</v>
      </c>
      <c r="L3411" t="n">
        <v>0</v>
      </c>
      <c r="M3411" t="n">
        <v>0</v>
      </c>
      <c r="N3411" t="n">
        <v>0</v>
      </c>
      <c r="O3411" t="n">
        <v>0</v>
      </c>
      <c r="P3411" t="n">
        <v>0</v>
      </c>
      <c r="Q3411" t="n">
        <v>0</v>
      </c>
      <c r="R3411" s="2" t="inlineStr"/>
    </row>
    <row r="3412" ht="15" customHeight="1">
      <c r="A3412" t="inlineStr">
        <is>
          <t>A 57814-2022</t>
        </is>
      </c>
      <c r="B3412" s="1" t="n">
        <v>44897.91680555556</v>
      </c>
      <c r="C3412" s="1" t="n">
        <v>45883</v>
      </c>
      <c r="D3412" t="inlineStr">
        <is>
          <t>GÄVLEBORGS LÄN</t>
        </is>
      </c>
      <c r="E3412" t="inlineStr">
        <is>
          <t>SÖDERHAMN</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54401-2024</t>
        </is>
      </c>
      <c r="B3413" s="1" t="n">
        <v>45617.46939814815</v>
      </c>
      <c r="C3413" s="1" t="n">
        <v>45883</v>
      </c>
      <c r="D3413" t="inlineStr">
        <is>
          <t>GÄVLEBORGS LÄN</t>
        </is>
      </c>
      <c r="E3413" t="inlineStr">
        <is>
          <t>NORDANSTIG</t>
        </is>
      </c>
      <c r="F3413" t="inlineStr">
        <is>
          <t>Holmen skog AB</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17618-2025</t>
        </is>
      </c>
      <c r="B3414" s="1" t="n">
        <v>45757.8506712963</v>
      </c>
      <c r="C3414" s="1" t="n">
        <v>45883</v>
      </c>
      <c r="D3414" t="inlineStr">
        <is>
          <t>GÄVLEBORGS LÄN</t>
        </is>
      </c>
      <c r="E3414" t="inlineStr">
        <is>
          <t>OVANÅKER</t>
        </is>
      </c>
      <c r="F3414" t="inlineStr">
        <is>
          <t>Holmen skog AB</t>
        </is>
      </c>
      <c r="G3414" t="n">
        <v>5.8</v>
      </c>
      <c r="H3414" t="n">
        <v>0</v>
      </c>
      <c r="I3414" t="n">
        <v>0</v>
      </c>
      <c r="J3414" t="n">
        <v>0</v>
      </c>
      <c r="K3414" t="n">
        <v>0</v>
      </c>
      <c r="L3414" t="n">
        <v>0</v>
      </c>
      <c r="M3414" t="n">
        <v>0</v>
      </c>
      <c r="N3414" t="n">
        <v>0</v>
      </c>
      <c r="O3414" t="n">
        <v>0</v>
      </c>
      <c r="P3414" t="n">
        <v>0</v>
      </c>
      <c r="Q3414" t="n">
        <v>0</v>
      </c>
      <c r="R3414" s="2" t="inlineStr"/>
    </row>
    <row r="3415" ht="15" customHeight="1">
      <c r="A3415" t="inlineStr">
        <is>
          <t>A 17641-2025</t>
        </is>
      </c>
      <c r="B3415" s="1" t="n">
        <v>45758.32194444445</v>
      </c>
      <c r="C3415" s="1" t="n">
        <v>45883</v>
      </c>
      <c r="D3415" t="inlineStr">
        <is>
          <t>GÄVLEBORGS LÄN</t>
        </is>
      </c>
      <c r="E3415" t="inlineStr">
        <is>
          <t>NORDANSTIG</t>
        </is>
      </c>
      <c r="G3415" t="n">
        <v>4.7</v>
      </c>
      <c r="H3415" t="n">
        <v>0</v>
      </c>
      <c r="I3415" t="n">
        <v>0</v>
      </c>
      <c r="J3415" t="n">
        <v>0</v>
      </c>
      <c r="K3415" t="n">
        <v>0</v>
      </c>
      <c r="L3415" t="n">
        <v>0</v>
      </c>
      <c r="M3415" t="n">
        <v>0</v>
      </c>
      <c r="N3415" t="n">
        <v>0</v>
      </c>
      <c r="O3415" t="n">
        <v>0</v>
      </c>
      <c r="P3415" t="n">
        <v>0</v>
      </c>
      <c r="Q3415" t="n">
        <v>0</v>
      </c>
      <c r="R3415" s="2" t="inlineStr"/>
    </row>
    <row r="3416" ht="15" customHeight="1">
      <c r="A3416" t="inlineStr">
        <is>
          <t>A 55983-2024</t>
        </is>
      </c>
      <c r="B3416" s="1" t="n">
        <v>45623.66719907407</v>
      </c>
      <c r="C3416" s="1" t="n">
        <v>45883</v>
      </c>
      <c r="D3416" t="inlineStr">
        <is>
          <t>GÄVLEBORGS LÄN</t>
        </is>
      </c>
      <c r="E3416" t="inlineStr">
        <is>
          <t>LJUSDAL</t>
        </is>
      </c>
      <c r="F3416" t="inlineStr">
        <is>
          <t>Holmen skog AB</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54565-2021</t>
        </is>
      </c>
      <c r="B3417" s="1" t="n">
        <v>44473.57090277778</v>
      </c>
      <c r="C3417" s="1" t="n">
        <v>45883</v>
      </c>
      <c r="D3417" t="inlineStr">
        <is>
          <t>GÄVLEBORGS LÄN</t>
        </is>
      </c>
      <c r="E3417" t="inlineStr">
        <is>
          <t>HUDIKSVALL</t>
        </is>
      </c>
      <c r="F3417" t="inlineStr">
        <is>
          <t>Holmen skog AB</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47520-2020</t>
        </is>
      </c>
      <c r="B3418" s="1" t="n">
        <v>44098</v>
      </c>
      <c r="C3418" s="1" t="n">
        <v>45883</v>
      </c>
      <c r="D3418" t="inlineStr">
        <is>
          <t>GÄVLEBORGS LÄN</t>
        </is>
      </c>
      <c r="E3418" t="inlineStr">
        <is>
          <t>OCKELBO</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12526-2024</t>
        </is>
      </c>
      <c r="B3419" s="1" t="n">
        <v>45379.61818287037</v>
      </c>
      <c r="C3419" s="1" t="n">
        <v>45883</v>
      </c>
      <c r="D3419" t="inlineStr">
        <is>
          <t>GÄVLEBORGS LÄN</t>
        </is>
      </c>
      <c r="E3419" t="inlineStr">
        <is>
          <t>HUDIKSVALL</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12545-2024</t>
        </is>
      </c>
      <c r="B3420" s="1" t="n">
        <v>45379</v>
      </c>
      <c r="C3420" s="1" t="n">
        <v>45883</v>
      </c>
      <c r="D3420" t="inlineStr">
        <is>
          <t>GÄVLEBORGS LÄN</t>
        </is>
      </c>
      <c r="E3420" t="inlineStr">
        <is>
          <t>HUDIKSVALL</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49798-2020</t>
        </is>
      </c>
      <c r="B3421" s="1" t="n">
        <v>44106</v>
      </c>
      <c r="C3421" s="1" t="n">
        <v>45883</v>
      </c>
      <c r="D3421" t="inlineStr">
        <is>
          <t>GÄVLEBORGS LÄN</t>
        </is>
      </c>
      <c r="E3421" t="inlineStr">
        <is>
          <t>HUDIKSVALL</t>
        </is>
      </c>
      <c r="F3421" t="inlineStr">
        <is>
          <t>Holmen skog AB</t>
        </is>
      </c>
      <c r="G3421" t="n">
        <v>4.4</v>
      </c>
      <c r="H3421" t="n">
        <v>0</v>
      </c>
      <c r="I3421" t="n">
        <v>0</v>
      </c>
      <c r="J3421" t="n">
        <v>0</v>
      </c>
      <c r="K3421" t="n">
        <v>0</v>
      </c>
      <c r="L3421" t="n">
        <v>0</v>
      </c>
      <c r="M3421" t="n">
        <v>0</v>
      </c>
      <c r="N3421" t="n">
        <v>0</v>
      </c>
      <c r="O3421" t="n">
        <v>0</v>
      </c>
      <c r="P3421" t="n">
        <v>0</v>
      </c>
      <c r="Q3421" t="n">
        <v>0</v>
      </c>
      <c r="R3421" s="2" t="inlineStr"/>
    </row>
    <row r="3422" ht="15" customHeight="1">
      <c r="A3422" t="inlineStr">
        <is>
          <t>A 54167-2023</t>
        </is>
      </c>
      <c r="B3422" s="1" t="n">
        <v>45232</v>
      </c>
      <c r="C3422" s="1" t="n">
        <v>45883</v>
      </c>
      <c r="D3422" t="inlineStr">
        <is>
          <t>GÄVLEBORGS LÄN</t>
        </is>
      </c>
      <c r="E3422" t="inlineStr">
        <is>
          <t>LJUSDAL</t>
        </is>
      </c>
      <c r="F3422" t="inlineStr">
        <is>
          <t>Sveaskog</t>
        </is>
      </c>
      <c r="G3422" t="n">
        <v>20.5</v>
      </c>
      <c r="H3422" t="n">
        <v>0</v>
      </c>
      <c r="I3422" t="n">
        <v>0</v>
      </c>
      <c r="J3422" t="n">
        <v>0</v>
      </c>
      <c r="K3422" t="n">
        <v>0</v>
      </c>
      <c r="L3422" t="n">
        <v>0</v>
      </c>
      <c r="M3422" t="n">
        <v>0</v>
      </c>
      <c r="N3422" t="n">
        <v>0</v>
      </c>
      <c r="O3422" t="n">
        <v>0</v>
      </c>
      <c r="P3422" t="n">
        <v>0</v>
      </c>
      <c r="Q3422" t="n">
        <v>0</v>
      </c>
      <c r="R3422" s="2" t="inlineStr"/>
    </row>
    <row r="3423" ht="15" customHeight="1">
      <c r="A3423" t="inlineStr">
        <is>
          <t>A 49198-2020</t>
        </is>
      </c>
      <c r="B3423" s="1" t="n">
        <v>44105</v>
      </c>
      <c r="C3423" s="1" t="n">
        <v>45883</v>
      </c>
      <c r="D3423" t="inlineStr">
        <is>
          <t>GÄVLEBORGS LÄN</t>
        </is>
      </c>
      <c r="E3423" t="inlineStr">
        <is>
          <t>OVANÅKER</t>
        </is>
      </c>
      <c r="F3423" t="inlineStr">
        <is>
          <t>Sveaskog</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4043-2024</t>
        </is>
      </c>
      <c r="B3424" s="1" t="n">
        <v>45323</v>
      </c>
      <c r="C3424" s="1" t="n">
        <v>45883</v>
      </c>
      <c r="D3424" t="inlineStr">
        <is>
          <t>GÄVLEBORGS LÄN</t>
        </is>
      </c>
      <c r="E3424" t="inlineStr">
        <is>
          <t>LJUSDAL</t>
        </is>
      </c>
      <c r="G3424" t="n">
        <v>9.9</v>
      </c>
      <c r="H3424" t="n">
        <v>0</v>
      </c>
      <c r="I3424" t="n">
        <v>0</v>
      </c>
      <c r="J3424" t="n">
        <v>0</v>
      </c>
      <c r="K3424" t="n">
        <v>0</v>
      </c>
      <c r="L3424" t="n">
        <v>0</v>
      </c>
      <c r="M3424" t="n">
        <v>0</v>
      </c>
      <c r="N3424" t="n">
        <v>0</v>
      </c>
      <c r="O3424" t="n">
        <v>0</v>
      </c>
      <c r="P3424" t="n">
        <v>0</v>
      </c>
      <c r="Q3424" t="n">
        <v>0</v>
      </c>
      <c r="R3424" s="2" t="inlineStr"/>
    </row>
    <row r="3425" ht="15" customHeight="1">
      <c r="A3425" t="inlineStr">
        <is>
          <t>A 553-2025</t>
        </is>
      </c>
      <c r="B3425" s="1" t="n">
        <v>45664</v>
      </c>
      <c r="C3425" s="1" t="n">
        <v>45883</v>
      </c>
      <c r="D3425" t="inlineStr">
        <is>
          <t>GÄVLEBORGS LÄN</t>
        </is>
      </c>
      <c r="E3425" t="inlineStr">
        <is>
          <t>HUDIKSVALL</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595-2025</t>
        </is>
      </c>
      <c r="B3426" s="1" t="n">
        <v>45664.58971064815</v>
      </c>
      <c r="C3426" s="1" t="n">
        <v>45883</v>
      </c>
      <c r="D3426" t="inlineStr">
        <is>
          <t>GÄVLEBORGS LÄN</t>
        </is>
      </c>
      <c r="E3426" t="inlineStr">
        <is>
          <t>BOLLNÄS</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58916-2023</t>
        </is>
      </c>
      <c r="B3427" s="1" t="n">
        <v>45252.53457175926</v>
      </c>
      <c r="C3427" s="1" t="n">
        <v>45883</v>
      </c>
      <c r="D3427" t="inlineStr">
        <is>
          <t>GÄVLEBORGS LÄN</t>
        </is>
      </c>
      <c r="E3427" t="inlineStr">
        <is>
          <t>SANDVIKEN</t>
        </is>
      </c>
      <c r="F3427" t="inlineStr">
        <is>
          <t>Bergvik skog öst AB</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58929-2023</t>
        </is>
      </c>
      <c r="B3428" s="1" t="n">
        <v>45252.5525462963</v>
      </c>
      <c r="C3428" s="1" t="n">
        <v>45883</v>
      </c>
      <c r="D3428" t="inlineStr">
        <is>
          <t>GÄVLEBORGS LÄN</t>
        </is>
      </c>
      <c r="E3428" t="inlineStr">
        <is>
          <t>BOLLNÄS</t>
        </is>
      </c>
      <c r="F3428" t="inlineStr">
        <is>
          <t>Holmen skog AB</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8005-2022</t>
        </is>
      </c>
      <c r="B3429" s="1" t="n">
        <v>44609.37395833333</v>
      </c>
      <c r="C3429" s="1" t="n">
        <v>45883</v>
      </c>
      <c r="D3429" t="inlineStr">
        <is>
          <t>GÄVLEBORGS LÄN</t>
        </is>
      </c>
      <c r="E3429" t="inlineStr">
        <is>
          <t>HUDIKSVALL</t>
        </is>
      </c>
      <c r="F3429" t="inlineStr">
        <is>
          <t>Holmen skog AB</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55976-2022</t>
        </is>
      </c>
      <c r="B3430" s="1" t="n">
        <v>44889.4528125</v>
      </c>
      <c r="C3430" s="1" t="n">
        <v>45883</v>
      </c>
      <c r="D3430" t="inlineStr">
        <is>
          <t>GÄVLEBORGS LÄN</t>
        </is>
      </c>
      <c r="E3430" t="inlineStr">
        <is>
          <t>GÄVLE</t>
        </is>
      </c>
      <c r="F3430" t="inlineStr">
        <is>
          <t>Kyrkan</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11084-2025</t>
        </is>
      </c>
      <c r="B3431" s="1" t="n">
        <v>45723.56917824074</v>
      </c>
      <c r="C3431" s="1" t="n">
        <v>45883</v>
      </c>
      <c r="D3431" t="inlineStr">
        <is>
          <t>GÄVLEBORGS LÄN</t>
        </is>
      </c>
      <c r="E3431" t="inlineStr">
        <is>
          <t>GÄVLE</t>
        </is>
      </c>
      <c r="G3431" t="n">
        <v>6.8</v>
      </c>
      <c r="H3431" t="n">
        <v>0</v>
      </c>
      <c r="I3431" t="n">
        <v>0</v>
      </c>
      <c r="J3431" t="n">
        <v>0</v>
      </c>
      <c r="K3431" t="n">
        <v>0</v>
      </c>
      <c r="L3431" t="n">
        <v>0</v>
      </c>
      <c r="M3431" t="n">
        <v>0</v>
      </c>
      <c r="N3431" t="n">
        <v>0</v>
      </c>
      <c r="O3431" t="n">
        <v>0</v>
      </c>
      <c r="P3431" t="n">
        <v>0</v>
      </c>
      <c r="Q3431" t="n">
        <v>0</v>
      </c>
      <c r="R3431" s="2" t="inlineStr"/>
    </row>
    <row r="3432" ht="15" customHeight="1">
      <c r="A3432" t="inlineStr">
        <is>
          <t>A 1570-2024</t>
        </is>
      </c>
      <c r="B3432" s="1" t="n">
        <v>45306</v>
      </c>
      <c r="C3432" s="1" t="n">
        <v>45883</v>
      </c>
      <c r="D3432" t="inlineStr">
        <is>
          <t>GÄVLEBORGS LÄN</t>
        </is>
      </c>
      <c r="E3432" t="inlineStr">
        <is>
          <t>OVANÅKER</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16426-2025</t>
        </is>
      </c>
      <c r="B3433" s="1" t="n">
        <v>45751.47662037037</v>
      </c>
      <c r="C3433" s="1" t="n">
        <v>45883</v>
      </c>
      <c r="D3433" t="inlineStr">
        <is>
          <t>GÄVLEBORGS LÄN</t>
        </is>
      </c>
      <c r="E3433" t="inlineStr">
        <is>
          <t>OVANÅKER</t>
        </is>
      </c>
      <c r="F3433" t="inlineStr">
        <is>
          <t>Bergvik skog öst AB</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64112-2023</t>
        </is>
      </c>
      <c r="B3434" s="1" t="n">
        <v>45279.47818287037</v>
      </c>
      <c r="C3434" s="1" t="n">
        <v>45883</v>
      </c>
      <c r="D3434" t="inlineStr">
        <is>
          <t>GÄVLEBORGS LÄN</t>
        </is>
      </c>
      <c r="E3434" t="inlineStr">
        <is>
          <t>SANDVIKEN</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50066-2023</t>
        </is>
      </c>
      <c r="B3435" s="1" t="n">
        <v>45215</v>
      </c>
      <c r="C3435" s="1" t="n">
        <v>45883</v>
      </c>
      <c r="D3435" t="inlineStr">
        <is>
          <t>GÄVLEBORGS LÄN</t>
        </is>
      </c>
      <c r="E3435" t="inlineStr">
        <is>
          <t>SÖDERHAMN</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1392-2025</t>
        </is>
      </c>
      <c r="B3436" s="1" t="n">
        <v>45667</v>
      </c>
      <c r="C3436" s="1" t="n">
        <v>45883</v>
      </c>
      <c r="D3436" t="inlineStr">
        <is>
          <t>GÄVLEBORGS LÄN</t>
        </is>
      </c>
      <c r="E3436" t="inlineStr">
        <is>
          <t>NORDANSTIG</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55154-2024</t>
        </is>
      </c>
      <c r="B3437" s="1" t="n">
        <v>45621.4991087963</v>
      </c>
      <c r="C3437" s="1" t="n">
        <v>45883</v>
      </c>
      <c r="D3437" t="inlineStr">
        <is>
          <t>GÄVLEBORGS LÄN</t>
        </is>
      </c>
      <c r="E3437" t="inlineStr">
        <is>
          <t>OCKELBO</t>
        </is>
      </c>
      <c r="F3437" t="inlineStr">
        <is>
          <t>Bergvik skog väst AB</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61319-2024</t>
        </is>
      </c>
      <c r="B3438" s="1" t="n">
        <v>45646.33236111111</v>
      </c>
      <c r="C3438" s="1" t="n">
        <v>45883</v>
      </c>
      <c r="D3438" t="inlineStr">
        <is>
          <t>GÄVLEBORGS LÄN</t>
        </is>
      </c>
      <c r="E3438" t="inlineStr">
        <is>
          <t>OCKELBO</t>
        </is>
      </c>
      <c r="G3438" t="n">
        <v>3.5</v>
      </c>
      <c r="H3438" t="n">
        <v>0</v>
      </c>
      <c r="I3438" t="n">
        <v>0</v>
      </c>
      <c r="J3438" t="n">
        <v>0</v>
      </c>
      <c r="K3438" t="n">
        <v>0</v>
      </c>
      <c r="L3438" t="n">
        <v>0</v>
      </c>
      <c r="M3438" t="n">
        <v>0</v>
      </c>
      <c r="N3438" t="n">
        <v>0</v>
      </c>
      <c r="O3438" t="n">
        <v>0</v>
      </c>
      <c r="P3438" t="n">
        <v>0</v>
      </c>
      <c r="Q3438" t="n">
        <v>0</v>
      </c>
      <c r="R3438" s="2" t="inlineStr"/>
    </row>
    <row r="3439" ht="15" customHeight="1">
      <c r="A3439" t="inlineStr">
        <is>
          <t>A 9131-2024</t>
        </is>
      </c>
      <c r="B3439" s="1" t="n">
        <v>45358.34773148148</v>
      </c>
      <c r="C3439" s="1" t="n">
        <v>45883</v>
      </c>
      <c r="D3439" t="inlineStr">
        <is>
          <t>GÄVLEBORGS LÄN</t>
        </is>
      </c>
      <c r="E3439" t="inlineStr">
        <is>
          <t>NORDANSTIG</t>
        </is>
      </c>
      <c r="F3439" t="inlineStr">
        <is>
          <t>Holmen skog AB</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65879-2021</t>
        </is>
      </c>
      <c r="B3440" s="1" t="n">
        <v>44517</v>
      </c>
      <c r="C3440" s="1" t="n">
        <v>45883</v>
      </c>
      <c r="D3440" t="inlineStr">
        <is>
          <t>GÄVLEBORGS LÄN</t>
        </is>
      </c>
      <c r="E3440" t="inlineStr">
        <is>
          <t>GÄVLE</t>
        </is>
      </c>
      <c r="F3440" t="inlineStr">
        <is>
          <t>Kyrkan</t>
        </is>
      </c>
      <c r="G3440" t="n">
        <v>5.6</v>
      </c>
      <c r="H3440" t="n">
        <v>0</v>
      </c>
      <c r="I3440" t="n">
        <v>0</v>
      </c>
      <c r="J3440" t="n">
        <v>0</v>
      </c>
      <c r="K3440" t="n">
        <v>0</v>
      </c>
      <c r="L3440" t="n">
        <v>0</v>
      </c>
      <c r="M3440" t="n">
        <v>0</v>
      </c>
      <c r="N3440" t="n">
        <v>0</v>
      </c>
      <c r="O3440" t="n">
        <v>0</v>
      </c>
      <c r="P3440" t="n">
        <v>0</v>
      </c>
      <c r="Q3440" t="n">
        <v>0</v>
      </c>
      <c r="R3440" s="2" t="inlineStr"/>
    </row>
    <row r="3441" ht="15" customHeight="1">
      <c r="A3441" t="inlineStr">
        <is>
          <t>A 1570-2025</t>
        </is>
      </c>
      <c r="B3441" s="1" t="n">
        <v>45670.55271990741</v>
      </c>
      <c r="C3441" s="1" t="n">
        <v>45883</v>
      </c>
      <c r="D3441" t="inlineStr">
        <is>
          <t>GÄVLEBORGS LÄN</t>
        </is>
      </c>
      <c r="E3441" t="inlineStr">
        <is>
          <t>LJUSDAL</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60944-2024</t>
        </is>
      </c>
      <c r="B3442" s="1" t="n">
        <v>45645.37596064815</v>
      </c>
      <c r="C3442" s="1" t="n">
        <v>45883</v>
      </c>
      <c r="D3442" t="inlineStr">
        <is>
          <t>GÄVLEBORGS LÄN</t>
        </is>
      </c>
      <c r="E3442" t="inlineStr">
        <is>
          <t>NORDANSTIG</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20331-2023</t>
        </is>
      </c>
      <c r="B3443" s="1" t="n">
        <v>45056.4747337963</v>
      </c>
      <c r="C3443" s="1" t="n">
        <v>45883</v>
      </c>
      <c r="D3443" t="inlineStr">
        <is>
          <t>GÄVLEBORGS LÄN</t>
        </is>
      </c>
      <c r="E3443" t="inlineStr">
        <is>
          <t>OVANÅKER</t>
        </is>
      </c>
      <c r="G3443" t="n">
        <v>5.1</v>
      </c>
      <c r="H3443" t="n">
        <v>0</v>
      </c>
      <c r="I3443" t="n">
        <v>0</v>
      </c>
      <c r="J3443" t="n">
        <v>0</v>
      </c>
      <c r="K3443" t="n">
        <v>0</v>
      </c>
      <c r="L3443" t="n">
        <v>0</v>
      </c>
      <c r="M3443" t="n">
        <v>0</v>
      </c>
      <c r="N3443" t="n">
        <v>0</v>
      </c>
      <c r="O3443" t="n">
        <v>0</v>
      </c>
      <c r="P3443" t="n">
        <v>0</v>
      </c>
      <c r="Q3443" t="n">
        <v>0</v>
      </c>
      <c r="R3443" s="2" t="inlineStr"/>
    </row>
    <row r="3444" ht="15" customHeight="1">
      <c r="A3444" t="inlineStr">
        <is>
          <t>A 2022-2025</t>
        </is>
      </c>
      <c r="B3444" s="1" t="n">
        <v>45672.47560185185</v>
      </c>
      <c r="C3444" s="1" t="n">
        <v>45883</v>
      </c>
      <c r="D3444" t="inlineStr">
        <is>
          <t>GÄVLEBORGS LÄN</t>
        </is>
      </c>
      <c r="E3444" t="inlineStr">
        <is>
          <t>BOLLNÄS</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2056-2025</t>
        </is>
      </c>
      <c r="B3445" s="1" t="n">
        <v>45672.55016203703</v>
      </c>
      <c r="C3445" s="1" t="n">
        <v>45883</v>
      </c>
      <c r="D3445" t="inlineStr">
        <is>
          <t>GÄVLEBORGS LÄN</t>
        </is>
      </c>
      <c r="E3445" t="inlineStr">
        <is>
          <t>LJUSDAL</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28070-2024</t>
        </is>
      </c>
      <c r="B3446" s="1" t="n">
        <v>45476</v>
      </c>
      <c r="C3446" s="1" t="n">
        <v>45883</v>
      </c>
      <c r="D3446" t="inlineStr">
        <is>
          <t>GÄVLEBORGS LÄN</t>
        </is>
      </c>
      <c r="E3446" t="inlineStr">
        <is>
          <t>SÖDERHAMN</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61407-2024</t>
        </is>
      </c>
      <c r="B3447" s="1" t="n">
        <v>45646.43694444445</v>
      </c>
      <c r="C3447" s="1" t="n">
        <v>45883</v>
      </c>
      <c r="D3447" t="inlineStr">
        <is>
          <t>GÄVLEBORGS LÄN</t>
        </is>
      </c>
      <c r="E3447" t="inlineStr">
        <is>
          <t>NORDANSTIG</t>
        </is>
      </c>
      <c r="G3447" t="n">
        <v>5.8</v>
      </c>
      <c r="H3447" t="n">
        <v>0</v>
      </c>
      <c r="I3447" t="n">
        <v>0</v>
      </c>
      <c r="J3447" t="n">
        <v>0</v>
      </c>
      <c r="K3447" t="n">
        <v>0</v>
      </c>
      <c r="L3447" t="n">
        <v>0</v>
      </c>
      <c r="M3447" t="n">
        <v>0</v>
      </c>
      <c r="N3447" t="n">
        <v>0</v>
      </c>
      <c r="O3447" t="n">
        <v>0</v>
      </c>
      <c r="P3447" t="n">
        <v>0</v>
      </c>
      <c r="Q3447" t="n">
        <v>0</v>
      </c>
      <c r="R3447" s="2" t="inlineStr"/>
    </row>
    <row r="3448" ht="15" customHeight="1">
      <c r="A3448" t="inlineStr">
        <is>
          <t>A 61430-2024</t>
        </is>
      </c>
      <c r="B3448" s="1" t="n">
        <v>45646.45672453703</v>
      </c>
      <c r="C3448" s="1" t="n">
        <v>45883</v>
      </c>
      <c r="D3448" t="inlineStr">
        <is>
          <t>GÄVLEBORGS LÄN</t>
        </is>
      </c>
      <c r="E3448" t="inlineStr">
        <is>
          <t>NORDANSTIG</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514-2025</t>
        </is>
      </c>
      <c r="B3449" s="1" t="n">
        <v>45664</v>
      </c>
      <c r="C3449" s="1" t="n">
        <v>45883</v>
      </c>
      <c r="D3449" t="inlineStr">
        <is>
          <t>GÄVLEBORGS LÄN</t>
        </is>
      </c>
      <c r="E3449" t="inlineStr">
        <is>
          <t>NORDANSTIG</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10577-2023</t>
        </is>
      </c>
      <c r="B3450" s="1" t="n">
        <v>44988</v>
      </c>
      <c r="C3450" s="1" t="n">
        <v>45883</v>
      </c>
      <c r="D3450" t="inlineStr">
        <is>
          <t>GÄVLEBORGS LÄN</t>
        </is>
      </c>
      <c r="E3450" t="inlineStr">
        <is>
          <t>GÄVLE</t>
        </is>
      </c>
      <c r="F3450" t="inlineStr">
        <is>
          <t>Kyrkan</t>
        </is>
      </c>
      <c r="G3450" t="n">
        <v>3.6</v>
      </c>
      <c r="H3450" t="n">
        <v>0</v>
      </c>
      <c r="I3450" t="n">
        <v>0</v>
      </c>
      <c r="J3450" t="n">
        <v>0</v>
      </c>
      <c r="K3450" t="n">
        <v>0</v>
      </c>
      <c r="L3450" t="n">
        <v>0</v>
      </c>
      <c r="M3450" t="n">
        <v>0</v>
      </c>
      <c r="N3450" t="n">
        <v>0</v>
      </c>
      <c r="O3450" t="n">
        <v>0</v>
      </c>
      <c r="P3450" t="n">
        <v>0</v>
      </c>
      <c r="Q3450" t="n">
        <v>0</v>
      </c>
      <c r="R3450" s="2" t="inlineStr"/>
    </row>
    <row r="3451" ht="15" customHeight="1">
      <c r="A3451" t="inlineStr">
        <is>
          <t>A 61769-2024</t>
        </is>
      </c>
      <c r="B3451" s="1" t="n">
        <v>45649.45278935185</v>
      </c>
      <c r="C3451" s="1" t="n">
        <v>45883</v>
      </c>
      <c r="D3451" t="inlineStr">
        <is>
          <t>GÄVLEBORGS LÄN</t>
        </is>
      </c>
      <c r="E3451" t="inlineStr">
        <is>
          <t>BOLLNÄS</t>
        </is>
      </c>
      <c r="G3451" t="n">
        <v>6.2</v>
      </c>
      <c r="H3451" t="n">
        <v>0</v>
      </c>
      <c r="I3451" t="n">
        <v>0</v>
      </c>
      <c r="J3451" t="n">
        <v>0</v>
      </c>
      <c r="K3451" t="n">
        <v>0</v>
      </c>
      <c r="L3451" t="n">
        <v>0</v>
      </c>
      <c r="M3451" t="n">
        <v>0</v>
      </c>
      <c r="N3451" t="n">
        <v>0</v>
      </c>
      <c r="O3451" t="n">
        <v>0</v>
      </c>
      <c r="P3451" t="n">
        <v>0</v>
      </c>
      <c r="Q3451" t="n">
        <v>0</v>
      </c>
      <c r="R3451" s="2" t="inlineStr"/>
    </row>
    <row r="3452" ht="15" customHeight="1">
      <c r="A3452" t="inlineStr">
        <is>
          <t>A 57441-2024</t>
        </is>
      </c>
      <c r="B3452" s="1" t="n">
        <v>45629.87905092593</v>
      </c>
      <c r="C3452" s="1" t="n">
        <v>45883</v>
      </c>
      <c r="D3452" t="inlineStr">
        <is>
          <t>GÄVLEBORGS LÄN</t>
        </is>
      </c>
      <c r="E3452" t="inlineStr">
        <is>
          <t>SÖDERHAMN</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58797-2024</t>
        </is>
      </c>
      <c r="B3453" s="1" t="n">
        <v>45636.29861111111</v>
      </c>
      <c r="C3453" s="1" t="n">
        <v>45883</v>
      </c>
      <c r="D3453" t="inlineStr">
        <is>
          <t>GÄVLEBORGS LÄN</t>
        </is>
      </c>
      <c r="E3453" t="inlineStr">
        <is>
          <t>SANDVIKEN</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58802-2024</t>
        </is>
      </c>
      <c r="B3454" s="1" t="n">
        <v>45636.33385416667</v>
      </c>
      <c r="C3454" s="1" t="n">
        <v>45883</v>
      </c>
      <c r="D3454" t="inlineStr">
        <is>
          <t>GÄVLEBORGS LÄN</t>
        </is>
      </c>
      <c r="E3454" t="inlineStr">
        <is>
          <t>LJUSDAL</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61786-2024</t>
        </is>
      </c>
      <c r="B3455" s="1" t="n">
        <v>45649</v>
      </c>
      <c r="C3455" s="1" t="n">
        <v>45883</v>
      </c>
      <c r="D3455" t="inlineStr">
        <is>
          <t>GÄVLEBORGS LÄN</t>
        </is>
      </c>
      <c r="E3455" t="inlineStr">
        <is>
          <t>GÄVLE</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10484-2024</t>
        </is>
      </c>
      <c r="B3456" s="1" t="n">
        <v>45366</v>
      </c>
      <c r="C3456" s="1" t="n">
        <v>45883</v>
      </c>
      <c r="D3456" t="inlineStr">
        <is>
          <t>GÄVLEBORGS LÄN</t>
        </is>
      </c>
      <c r="E3456" t="inlineStr">
        <is>
          <t>BOLLNÄS</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57976-2022</t>
        </is>
      </c>
      <c r="B3457" s="1" t="n">
        <v>44900.4591087963</v>
      </c>
      <c r="C3457" s="1" t="n">
        <v>45883</v>
      </c>
      <c r="D3457" t="inlineStr">
        <is>
          <t>GÄVLEBORGS LÄN</t>
        </is>
      </c>
      <c r="E3457" t="inlineStr">
        <is>
          <t>NORDANSTIG</t>
        </is>
      </c>
      <c r="F3457" t="inlineStr">
        <is>
          <t>Holmen skog AB</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57983-2022</t>
        </is>
      </c>
      <c r="B3458" s="1" t="n">
        <v>44900</v>
      </c>
      <c r="C3458" s="1" t="n">
        <v>45883</v>
      </c>
      <c r="D3458" t="inlineStr">
        <is>
          <t>GÄVLEBORGS LÄN</t>
        </is>
      </c>
      <c r="E3458" t="inlineStr">
        <is>
          <t>NORDANSTIG</t>
        </is>
      </c>
      <c r="F3458" t="inlineStr">
        <is>
          <t>Holmen skog AB</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29979-2023</t>
        </is>
      </c>
      <c r="B3459" s="1" t="n">
        <v>45108</v>
      </c>
      <c r="C3459" s="1" t="n">
        <v>45883</v>
      </c>
      <c r="D3459" t="inlineStr">
        <is>
          <t>GÄVLEBORGS LÄN</t>
        </is>
      </c>
      <c r="E3459" t="inlineStr">
        <is>
          <t>SÖDERHAMN</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46151-2024</t>
        </is>
      </c>
      <c r="B3460" s="1" t="n">
        <v>45581.45340277778</v>
      </c>
      <c r="C3460" s="1" t="n">
        <v>45883</v>
      </c>
      <c r="D3460" t="inlineStr">
        <is>
          <t>GÄVLEBORGS LÄN</t>
        </is>
      </c>
      <c r="E3460" t="inlineStr">
        <is>
          <t>BOLLNÄS</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61300-2024</t>
        </is>
      </c>
      <c r="B3461" s="1" t="n">
        <v>45645.90335648148</v>
      </c>
      <c r="C3461" s="1" t="n">
        <v>45883</v>
      </c>
      <c r="D3461" t="inlineStr">
        <is>
          <t>GÄVLEBORGS LÄN</t>
        </is>
      </c>
      <c r="E3461" t="inlineStr">
        <is>
          <t>GÄVLE</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701-2025</t>
        </is>
      </c>
      <c r="B3462" s="1" t="n">
        <v>45665</v>
      </c>
      <c r="C3462" s="1" t="n">
        <v>45883</v>
      </c>
      <c r="D3462" t="inlineStr">
        <is>
          <t>GÄVLEBORGS LÄN</t>
        </is>
      </c>
      <c r="E3462" t="inlineStr">
        <is>
          <t>GÄVLE</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55330-2021</t>
        </is>
      </c>
      <c r="B3463" s="1" t="n">
        <v>44475</v>
      </c>
      <c r="C3463" s="1" t="n">
        <v>45883</v>
      </c>
      <c r="D3463" t="inlineStr">
        <is>
          <t>GÄVLEBORGS LÄN</t>
        </is>
      </c>
      <c r="E3463" t="inlineStr">
        <is>
          <t>HUDIKSVALL</t>
        </is>
      </c>
      <c r="G3463" t="n">
        <v>6</v>
      </c>
      <c r="H3463" t="n">
        <v>0</v>
      </c>
      <c r="I3463" t="n">
        <v>0</v>
      </c>
      <c r="J3463" t="n">
        <v>0</v>
      </c>
      <c r="K3463" t="n">
        <v>0</v>
      </c>
      <c r="L3463" t="n">
        <v>0</v>
      </c>
      <c r="M3463" t="n">
        <v>0</v>
      </c>
      <c r="N3463" t="n">
        <v>0</v>
      </c>
      <c r="O3463" t="n">
        <v>0</v>
      </c>
      <c r="P3463" t="n">
        <v>0</v>
      </c>
      <c r="Q3463" t="n">
        <v>0</v>
      </c>
      <c r="R3463" s="2" t="inlineStr"/>
    </row>
    <row r="3464" ht="15" customHeight="1">
      <c r="A3464" t="inlineStr">
        <is>
          <t>A 55371-2021</t>
        </is>
      </c>
      <c r="B3464" s="1" t="n">
        <v>44475.49870370371</v>
      </c>
      <c r="C3464" s="1" t="n">
        <v>45883</v>
      </c>
      <c r="D3464" t="inlineStr">
        <is>
          <t>GÄVLEBORGS LÄN</t>
        </is>
      </c>
      <c r="E3464" t="inlineStr">
        <is>
          <t>OVANÅKER</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30562-2023</t>
        </is>
      </c>
      <c r="B3465" s="1" t="n">
        <v>45111</v>
      </c>
      <c r="C3465" s="1" t="n">
        <v>45883</v>
      </c>
      <c r="D3465" t="inlineStr">
        <is>
          <t>GÄVLEBORGS LÄN</t>
        </is>
      </c>
      <c r="E3465" t="inlineStr">
        <is>
          <t>HUDIKSVALL</t>
        </is>
      </c>
      <c r="G3465" t="n">
        <v>11.5</v>
      </c>
      <c r="H3465" t="n">
        <v>0</v>
      </c>
      <c r="I3465" t="n">
        <v>0</v>
      </c>
      <c r="J3465" t="n">
        <v>0</v>
      </c>
      <c r="K3465" t="n">
        <v>0</v>
      </c>
      <c r="L3465" t="n">
        <v>0</v>
      </c>
      <c r="M3465" t="n">
        <v>0</v>
      </c>
      <c r="N3465" t="n">
        <v>0</v>
      </c>
      <c r="O3465" t="n">
        <v>0</v>
      </c>
      <c r="P3465" t="n">
        <v>0</v>
      </c>
      <c r="Q3465" t="n">
        <v>0</v>
      </c>
      <c r="R3465" s="2" t="inlineStr"/>
    </row>
    <row r="3466" ht="15" customHeight="1">
      <c r="A3466" t="inlineStr">
        <is>
          <t>A 3044-2023</t>
        </is>
      </c>
      <c r="B3466" s="1" t="n">
        <v>44946</v>
      </c>
      <c r="C3466" s="1" t="n">
        <v>45883</v>
      </c>
      <c r="D3466" t="inlineStr">
        <is>
          <t>GÄVLEBORGS LÄN</t>
        </is>
      </c>
      <c r="E3466" t="inlineStr">
        <is>
          <t>OVANÅKER</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60425-2024</t>
        </is>
      </c>
      <c r="B3467" s="1" t="n">
        <v>45643.5507175926</v>
      </c>
      <c r="C3467" s="1" t="n">
        <v>45883</v>
      </c>
      <c r="D3467" t="inlineStr">
        <is>
          <t>GÄVLEBORGS LÄN</t>
        </is>
      </c>
      <c r="E3467" t="inlineStr">
        <is>
          <t>BOLLNÄS</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69620-2021</t>
        </is>
      </c>
      <c r="B3468" s="1" t="n">
        <v>44532.40591435185</v>
      </c>
      <c r="C3468" s="1" t="n">
        <v>45883</v>
      </c>
      <c r="D3468" t="inlineStr">
        <is>
          <t>GÄVLEBORGS LÄN</t>
        </is>
      </c>
      <c r="E3468" t="inlineStr">
        <is>
          <t>BOLLNÄS</t>
        </is>
      </c>
      <c r="F3468" t="inlineStr">
        <is>
          <t>Bergvik skog väst AB</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54106-2023</t>
        </is>
      </c>
      <c r="B3469" s="1" t="n">
        <v>45232</v>
      </c>
      <c r="C3469" s="1" t="n">
        <v>45883</v>
      </c>
      <c r="D3469" t="inlineStr">
        <is>
          <t>GÄVLEBORGS LÄN</t>
        </is>
      </c>
      <c r="E3469" t="inlineStr">
        <is>
          <t>SANDVIKEN</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54200-2023</t>
        </is>
      </c>
      <c r="B3470" s="1" t="n">
        <v>45232.55104166667</v>
      </c>
      <c r="C3470" s="1" t="n">
        <v>45883</v>
      </c>
      <c r="D3470" t="inlineStr">
        <is>
          <t>GÄVLEBORGS LÄN</t>
        </is>
      </c>
      <c r="E3470" t="inlineStr">
        <is>
          <t>NORDANSTIG</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59043-2024</t>
        </is>
      </c>
      <c r="B3471" s="1" t="n">
        <v>45636</v>
      </c>
      <c r="C3471" s="1" t="n">
        <v>45883</v>
      </c>
      <c r="D3471" t="inlineStr">
        <is>
          <t>GÄVLEBORGS LÄN</t>
        </is>
      </c>
      <c r="E3471" t="inlineStr">
        <is>
          <t>NORDANSTIG</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37741-2023</t>
        </is>
      </c>
      <c r="B3472" s="1" t="n">
        <v>45159.62744212963</v>
      </c>
      <c r="C3472" s="1" t="n">
        <v>45883</v>
      </c>
      <c r="D3472" t="inlineStr">
        <is>
          <t>GÄVLEBORGS LÄN</t>
        </is>
      </c>
      <c r="E3472" t="inlineStr">
        <is>
          <t>SANDVIKEN</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64364-2023</t>
        </is>
      </c>
      <c r="B3473" s="1" t="n">
        <v>45280.52896990741</v>
      </c>
      <c r="C3473" s="1" t="n">
        <v>45883</v>
      </c>
      <c r="D3473" t="inlineStr">
        <is>
          <t>GÄVLEBORGS LÄN</t>
        </is>
      </c>
      <c r="E3473" t="inlineStr">
        <is>
          <t>OCKELBO</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64367-2023</t>
        </is>
      </c>
      <c r="B3474" s="1" t="n">
        <v>45280.53886574074</v>
      </c>
      <c r="C3474" s="1" t="n">
        <v>45883</v>
      </c>
      <c r="D3474" t="inlineStr">
        <is>
          <t>GÄVLEBORGS LÄN</t>
        </is>
      </c>
      <c r="E3474" t="inlineStr">
        <is>
          <t>OCKELBO</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20109-2025</t>
        </is>
      </c>
      <c r="B3475" s="1" t="n">
        <v>45772.47123842593</v>
      </c>
      <c r="C3475" s="1" t="n">
        <v>45883</v>
      </c>
      <c r="D3475" t="inlineStr">
        <is>
          <t>GÄVLEBORGS LÄN</t>
        </is>
      </c>
      <c r="E3475" t="inlineStr">
        <is>
          <t>LJUSDAL</t>
        </is>
      </c>
      <c r="F3475" t="inlineStr">
        <is>
          <t>Sveaskog</t>
        </is>
      </c>
      <c r="G3475" t="n">
        <v>6.8</v>
      </c>
      <c r="H3475" t="n">
        <v>0</v>
      </c>
      <c r="I3475" t="n">
        <v>0</v>
      </c>
      <c r="J3475" t="n">
        <v>0</v>
      </c>
      <c r="K3475" t="n">
        <v>0</v>
      </c>
      <c r="L3475" t="n">
        <v>0</v>
      </c>
      <c r="M3475" t="n">
        <v>0</v>
      </c>
      <c r="N3475" t="n">
        <v>0</v>
      </c>
      <c r="O3475" t="n">
        <v>0</v>
      </c>
      <c r="P3475" t="n">
        <v>0</v>
      </c>
      <c r="Q3475" t="n">
        <v>0</v>
      </c>
      <c r="R3475" s="2" t="inlineStr"/>
    </row>
    <row r="3476" ht="15" customHeight="1">
      <c r="A3476" t="inlineStr">
        <is>
          <t>A 10069-2025</t>
        </is>
      </c>
      <c r="B3476" s="1" t="n">
        <v>45719.54538194444</v>
      </c>
      <c r="C3476" s="1" t="n">
        <v>45883</v>
      </c>
      <c r="D3476" t="inlineStr">
        <is>
          <t>GÄVLEBORGS LÄN</t>
        </is>
      </c>
      <c r="E3476" t="inlineStr">
        <is>
          <t>NORDANSTIG</t>
        </is>
      </c>
      <c r="F3476" t="inlineStr">
        <is>
          <t>Holmen skog AB</t>
        </is>
      </c>
      <c r="G3476" t="n">
        <v>4.6</v>
      </c>
      <c r="H3476" t="n">
        <v>0</v>
      </c>
      <c r="I3476" t="n">
        <v>0</v>
      </c>
      <c r="J3476" t="n">
        <v>0</v>
      </c>
      <c r="K3476" t="n">
        <v>0</v>
      </c>
      <c r="L3476" t="n">
        <v>0</v>
      </c>
      <c r="M3476" t="n">
        <v>0</v>
      </c>
      <c r="N3476" t="n">
        <v>0</v>
      </c>
      <c r="O3476" t="n">
        <v>0</v>
      </c>
      <c r="P3476" t="n">
        <v>0</v>
      </c>
      <c r="Q3476" t="n">
        <v>0</v>
      </c>
      <c r="R3476" s="2" t="inlineStr"/>
    </row>
    <row r="3477" ht="15" customHeight="1">
      <c r="A3477" t="inlineStr">
        <is>
          <t>A 13014-2023</t>
        </is>
      </c>
      <c r="B3477" s="1" t="n">
        <v>45002</v>
      </c>
      <c r="C3477" s="1" t="n">
        <v>45883</v>
      </c>
      <c r="D3477" t="inlineStr">
        <is>
          <t>GÄVLEBORGS LÄN</t>
        </is>
      </c>
      <c r="E3477" t="inlineStr">
        <is>
          <t>OVANÅKER</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3334-2022</t>
        </is>
      </c>
      <c r="B3478" s="1" t="n">
        <v>44585.3431712963</v>
      </c>
      <c r="C3478" s="1" t="n">
        <v>45883</v>
      </c>
      <c r="D3478" t="inlineStr">
        <is>
          <t>GÄVLEBORGS LÄN</t>
        </is>
      </c>
      <c r="E3478" t="inlineStr">
        <is>
          <t>GÄVLE</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62152-2024</t>
        </is>
      </c>
      <c r="B3479" s="1" t="n">
        <v>45656</v>
      </c>
      <c r="C3479" s="1" t="n">
        <v>45883</v>
      </c>
      <c r="D3479" t="inlineStr">
        <is>
          <t>GÄVLEBORGS LÄN</t>
        </is>
      </c>
      <c r="E3479" t="inlineStr">
        <is>
          <t>OVANÅKER</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60869-2024</t>
        </is>
      </c>
      <c r="B3480" s="1" t="n">
        <v>45644.70296296296</v>
      </c>
      <c r="C3480" s="1" t="n">
        <v>45883</v>
      </c>
      <c r="D3480" t="inlineStr">
        <is>
          <t>GÄVLEBORGS LÄN</t>
        </is>
      </c>
      <c r="E3480" t="inlineStr">
        <is>
          <t>NORDANSTIG</t>
        </is>
      </c>
      <c r="F3480" t="inlineStr">
        <is>
          <t>Holmen skog AB</t>
        </is>
      </c>
      <c r="G3480" t="n">
        <v>3.5</v>
      </c>
      <c r="H3480" t="n">
        <v>0</v>
      </c>
      <c r="I3480" t="n">
        <v>0</v>
      </c>
      <c r="J3480" t="n">
        <v>0</v>
      </c>
      <c r="K3480" t="n">
        <v>0</v>
      </c>
      <c r="L3480" t="n">
        <v>0</v>
      </c>
      <c r="M3480" t="n">
        <v>0</v>
      </c>
      <c r="N3480" t="n">
        <v>0</v>
      </c>
      <c r="O3480" t="n">
        <v>0</v>
      </c>
      <c r="P3480" t="n">
        <v>0</v>
      </c>
      <c r="Q3480" t="n">
        <v>0</v>
      </c>
      <c r="R3480" s="2" t="inlineStr"/>
    </row>
    <row r="3481" ht="15" customHeight="1">
      <c r="A3481" t="inlineStr">
        <is>
          <t>A 14002-2025</t>
        </is>
      </c>
      <c r="B3481" s="1" t="n">
        <v>45740.28945601852</v>
      </c>
      <c r="C3481" s="1" t="n">
        <v>45883</v>
      </c>
      <c r="D3481" t="inlineStr">
        <is>
          <t>GÄVLEBORGS LÄN</t>
        </is>
      </c>
      <c r="E3481" t="inlineStr">
        <is>
          <t>LJUSDAL</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50336-2023</t>
        </is>
      </c>
      <c r="B3482" s="1" t="n">
        <v>45216.56440972222</v>
      </c>
      <c r="C3482" s="1" t="n">
        <v>45883</v>
      </c>
      <c r="D3482" t="inlineStr">
        <is>
          <t>GÄVLEBORGS LÄN</t>
        </is>
      </c>
      <c r="E3482" t="inlineStr">
        <is>
          <t>NORDANSTIG</t>
        </is>
      </c>
      <c r="F3482" t="inlineStr">
        <is>
          <t>Holmen skog AB</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50385-2023</t>
        </is>
      </c>
      <c r="B3483" s="1" t="n">
        <v>45216.62857638889</v>
      </c>
      <c r="C3483" s="1" t="n">
        <v>45883</v>
      </c>
      <c r="D3483" t="inlineStr">
        <is>
          <t>GÄVLEBORGS LÄN</t>
        </is>
      </c>
      <c r="E3483" t="inlineStr">
        <is>
          <t>LJUSDAL</t>
        </is>
      </c>
      <c r="G3483" t="n">
        <v>4.3</v>
      </c>
      <c r="H3483" t="n">
        <v>0</v>
      </c>
      <c r="I3483" t="n">
        <v>0</v>
      </c>
      <c r="J3483" t="n">
        <v>0</v>
      </c>
      <c r="K3483" t="n">
        <v>0</v>
      </c>
      <c r="L3483" t="n">
        <v>0</v>
      </c>
      <c r="M3483" t="n">
        <v>0</v>
      </c>
      <c r="N3483" t="n">
        <v>0</v>
      </c>
      <c r="O3483" t="n">
        <v>0</v>
      </c>
      <c r="P3483" t="n">
        <v>0</v>
      </c>
      <c r="Q3483" t="n">
        <v>0</v>
      </c>
      <c r="R3483" s="2" t="inlineStr"/>
    </row>
    <row r="3484" ht="15" customHeight="1">
      <c r="A3484" t="inlineStr">
        <is>
          <t>A 44346-2023</t>
        </is>
      </c>
      <c r="B3484" s="1" t="n">
        <v>45188</v>
      </c>
      <c r="C3484" s="1" t="n">
        <v>45883</v>
      </c>
      <c r="D3484" t="inlineStr">
        <is>
          <t>GÄVLEBORGS LÄN</t>
        </is>
      </c>
      <c r="E3484" t="inlineStr">
        <is>
          <t>OVANÅKER</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32609-2023</t>
        </is>
      </c>
      <c r="B3485" s="1" t="n">
        <v>45121.54181712963</v>
      </c>
      <c r="C3485" s="1" t="n">
        <v>45883</v>
      </c>
      <c r="D3485" t="inlineStr">
        <is>
          <t>GÄVLEBORGS LÄN</t>
        </is>
      </c>
      <c r="E3485" t="inlineStr">
        <is>
          <t>SANDVIKEN</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43542-2024</t>
        </is>
      </c>
      <c r="B3486" s="1" t="n">
        <v>45569.36570601852</v>
      </c>
      <c r="C3486" s="1" t="n">
        <v>45883</v>
      </c>
      <c r="D3486" t="inlineStr">
        <is>
          <t>GÄVLEBORGS LÄN</t>
        </is>
      </c>
      <c r="E3486" t="inlineStr">
        <is>
          <t>OVANÅKER</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34986-2024</t>
        </is>
      </c>
      <c r="B3487" s="1" t="n">
        <v>45527</v>
      </c>
      <c r="C3487" s="1" t="n">
        <v>45883</v>
      </c>
      <c r="D3487" t="inlineStr">
        <is>
          <t>GÄVLEBORGS LÄN</t>
        </is>
      </c>
      <c r="E3487" t="inlineStr">
        <is>
          <t>LJUSDAL</t>
        </is>
      </c>
      <c r="F3487" t="inlineStr">
        <is>
          <t>Sveaskog</t>
        </is>
      </c>
      <c r="G3487" t="n">
        <v>8.5</v>
      </c>
      <c r="H3487" t="n">
        <v>0</v>
      </c>
      <c r="I3487" t="n">
        <v>0</v>
      </c>
      <c r="J3487" t="n">
        <v>0</v>
      </c>
      <c r="K3487" t="n">
        <v>0</v>
      </c>
      <c r="L3487" t="n">
        <v>0</v>
      </c>
      <c r="M3487" t="n">
        <v>0</v>
      </c>
      <c r="N3487" t="n">
        <v>0</v>
      </c>
      <c r="O3487" t="n">
        <v>0</v>
      </c>
      <c r="P3487" t="n">
        <v>0</v>
      </c>
      <c r="Q3487" t="n">
        <v>0</v>
      </c>
      <c r="R3487" s="2" t="inlineStr"/>
    </row>
    <row r="3488" ht="15" customHeight="1">
      <c r="A3488" t="inlineStr">
        <is>
          <t>A 62047-2022</t>
        </is>
      </c>
      <c r="B3488" s="1" t="n">
        <v>44918</v>
      </c>
      <c r="C3488" s="1" t="n">
        <v>45883</v>
      </c>
      <c r="D3488" t="inlineStr">
        <is>
          <t>GÄVLEBORGS LÄN</t>
        </is>
      </c>
      <c r="E3488" t="inlineStr">
        <is>
          <t>SANDVIKEN</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5059-2023</t>
        </is>
      </c>
      <c r="B3489" s="1" t="n">
        <v>44958</v>
      </c>
      <c r="C3489" s="1" t="n">
        <v>45883</v>
      </c>
      <c r="D3489" t="inlineStr">
        <is>
          <t>GÄVLEBORGS LÄN</t>
        </is>
      </c>
      <c r="E3489" t="inlineStr">
        <is>
          <t>OVANÅKER</t>
        </is>
      </c>
      <c r="G3489" t="n">
        <v>0.2</v>
      </c>
      <c r="H3489" t="n">
        <v>0</v>
      </c>
      <c r="I3489" t="n">
        <v>0</v>
      </c>
      <c r="J3489" t="n">
        <v>0</v>
      </c>
      <c r="K3489" t="n">
        <v>0</v>
      </c>
      <c r="L3489" t="n">
        <v>0</v>
      </c>
      <c r="M3489" t="n">
        <v>0</v>
      </c>
      <c r="N3489" t="n">
        <v>0</v>
      </c>
      <c r="O3489" t="n">
        <v>0</v>
      </c>
      <c r="P3489" t="n">
        <v>0</v>
      </c>
      <c r="Q3489" t="n">
        <v>0</v>
      </c>
      <c r="R3489" s="2" t="inlineStr"/>
    </row>
    <row r="3490" ht="15" customHeight="1">
      <c r="A3490" t="inlineStr">
        <is>
          <t>A 40345-2021</t>
        </is>
      </c>
      <c r="B3490" s="1" t="n">
        <v>44419</v>
      </c>
      <c r="C3490" s="1" t="n">
        <v>45883</v>
      </c>
      <c r="D3490" t="inlineStr">
        <is>
          <t>GÄVLEBORGS LÄN</t>
        </is>
      </c>
      <c r="E3490" t="inlineStr">
        <is>
          <t>LJUSDAL</t>
        </is>
      </c>
      <c r="F3490" t="inlineStr">
        <is>
          <t>Bergvik skog väst AB</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42869-2024</t>
        </is>
      </c>
      <c r="B3491" s="1" t="n">
        <v>45566.66402777778</v>
      </c>
      <c r="C3491" s="1" t="n">
        <v>45883</v>
      </c>
      <c r="D3491" t="inlineStr">
        <is>
          <t>GÄVLEBORGS LÄN</t>
        </is>
      </c>
      <c r="E3491" t="inlineStr">
        <is>
          <t>SANDVIKEN</t>
        </is>
      </c>
      <c r="F3491" t="inlineStr">
        <is>
          <t>Sveaskog</t>
        </is>
      </c>
      <c r="G3491" t="n">
        <v>6.9</v>
      </c>
      <c r="H3491" t="n">
        <v>0</v>
      </c>
      <c r="I3491" t="n">
        <v>0</v>
      </c>
      <c r="J3491" t="n">
        <v>0</v>
      </c>
      <c r="K3491" t="n">
        <v>0</v>
      </c>
      <c r="L3491" t="n">
        <v>0</v>
      </c>
      <c r="M3491" t="n">
        <v>0</v>
      </c>
      <c r="N3491" t="n">
        <v>0</v>
      </c>
      <c r="O3491" t="n">
        <v>0</v>
      </c>
      <c r="P3491" t="n">
        <v>0</v>
      </c>
      <c r="Q3491" t="n">
        <v>0</v>
      </c>
      <c r="R3491" s="2" t="inlineStr"/>
    </row>
    <row r="3492" ht="15" customHeight="1">
      <c r="A3492" t="inlineStr">
        <is>
          <t>A 5230-2024</t>
        </is>
      </c>
      <c r="B3492" s="1" t="n">
        <v>45330</v>
      </c>
      <c r="C3492" s="1" t="n">
        <v>45883</v>
      </c>
      <c r="D3492" t="inlineStr">
        <is>
          <t>GÄVLEBORGS LÄN</t>
        </is>
      </c>
      <c r="E3492" t="inlineStr">
        <is>
          <t>HUDIKSVALL</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10894-2025</t>
        </is>
      </c>
      <c r="B3493" s="1" t="n">
        <v>45722.68009259259</v>
      </c>
      <c r="C3493" s="1" t="n">
        <v>45883</v>
      </c>
      <c r="D3493" t="inlineStr">
        <is>
          <t>GÄVLEBORGS LÄN</t>
        </is>
      </c>
      <c r="E3493" t="inlineStr">
        <is>
          <t>SANDVIKEN</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42902-2024</t>
        </is>
      </c>
      <c r="B3494" s="1" t="n">
        <v>45566.87280092593</v>
      </c>
      <c r="C3494" s="1" t="n">
        <v>45883</v>
      </c>
      <c r="D3494" t="inlineStr">
        <is>
          <t>GÄVLEBORGS LÄN</t>
        </is>
      </c>
      <c r="E3494" t="inlineStr">
        <is>
          <t>SÖDERHAMN</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42942-2024</t>
        </is>
      </c>
      <c r="B3495" s="1" t="n">
        <v>45567.35226851852</v>
      </c>
      <c r="C3495" s="1" t="n">
        <v>45883</v>
      </c>
      <c r="D3495" t="inlineStr">
        <is>
          <t>GÄVLEBORGS LÄN</t>
        </is>
      </c>
      <c r="E3495" t="inlineStr">
        <is>
          <t>HUDIKSVALL</t>
        </is>
      </c>
      <c r="F3495" t="inlineStr">
        <is>
          <t>Holmen skog AB</t>
        </is>
      </c>
      <c r="G3495" t="n">
        <v>5.4</v>
      </c>
      <c r="H3495" t="n">
        <v>0</v>
      </c>
      <c r="I3495" t="n">
        <v>0</v>
      </c>
      <c r="J3495" t="n">
        <v>0</v>
      </c>
      <c r="K3495" t="n">
        <v>0</v>
      </c>
      <c r="L3495" t="n">
        <v>0</v>
      </c>
      <c r="M3495" t="n">
        <v>0</v>
      </c>
      <c r="N3495" t="n">
        <v>0</v>
      </c>
      <c r="O3495" t="n">
        <v>0</v>
      </c>
      <c r="P3495" t="n">
        <v>0</v>
      </c>
      <c r="Q3495" t="n">
        <v>0</v>
      </c>
      <c r="R3495" s="2" t="inlineStr"/>
    </row>
    <row r="3496" ht="15" customHeight="1">
      <c r="A3496" t="inlineStr">
        <is>
          <t>A 40218-2023</t>
        </is>
      </c>
      <c r="B3496" s="1" t="n">
        <v>45169.45846064815</v>
      </c>
      <c r="C3496" s="1" t="n">
        <v>45883</v>
      </c>
      <c r="D3496" t="inlineStr">
        <is>
          <t>GÄVLEBORGS LÄN</t>
        </is>
      </c>
      <c r="E3496" t="inlineStr">
        <is>
          <t>OCKELBO</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40241-2023</t>
        </is>
      </c>
      <c r="B3497" s="1" t="n">
        <v>45169.48854166667</v>
      </c>
      <c r="C3497" s="1" t="n">
        <v>45883</v>
      </c>
      <c r="D3497" t="inlineStr">
        <is>
          <t>GÄVLEBORGS LÄN</t>
        </is>
      </c>
      <c r="E3497" t="inlineStr">
        <is>
          <t>NORDANSTIG</t>
        </is>
      </c>
      <c r="F3497" t="inlineStr">
        <is>
          <t>Holmen skog AB</t>
        </is>
      </c>
      <c r="G3497" t="n">
        <v>4.3</v>
      </c>
      <c r="H3497" t="n">
        <v>0</v>
      </c>
      <c r="I3497" t="n">
        <v>0</v>
      </c>
      <c r="J3497" t="n">
        <v>0</v>
      </c>
      <c r="K3497" t="n">
        <v>0</v>
      </c>
      <c r="L3497" t="n">
        <v>0</v>
      </c>
      <c r="M3497" t="n">
        <v>0</v>
      </c>
      <c r="N3497" t="n">
        <v>0</v>
      </c>
      <c r="O3497" t="n">
        <v>0</v>
      </c>
      <c r="P3497" t="n">
        <v>0</v>
      </c>
      <c r="Q3497" t="n">
        <v>0</v>
      </c>
      <c r="R3497" s="2" t="inlineStr"/>
    </row>
    <row r="3498" ht="15" customHeight="1">
      <c r="A3498" t="inlineStr">
        <is>
          <t>A 64835-2021</t>
        </is>
      </c>
      <c r="B3498" s="1" t="n">
        <v>44512.56263888889</v>
      </c>
      <c r="C3498" s="1" t="n">
        <v>45883</v>
      </c>
      <c r="D3498" t="inlineStr">
        <is>
          <t>GÄVLEBORGS LÄN</t>
        </is>
      </c>
      <c r="E3498" t="inlineStr">
        <is>
          <t>NORDANSTIG</t>
        </is>
      </c>
      <c r="F3498" t="inlineStr">
        <is>
          <t>Holmen skog AB</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24766-2023</t>
        </is>
      </c>
      <c r="B3499" s="1" t="n">
        <v>45084</v>
      </c>
      <c r="C3499" s="1" t="n">
        <v>45883</v>
      </c>
      <c r="D3499" t="inlineStr">
        <is>
          <t>GÄVLEBORGS LÄN</t>
        </is>
      </c>
      <c r="E3499" t="inlineStr">
        <is>
          <t>SÖDERHAMN</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46383-2024</t>
        </is>
      </c>
      <c r="B3500" s="1" t="n">
        <v>45582.39152777778</v>
      </c>
      <c r="C3500" s="1" t="n">
        <v>45883</v>
      </c>
      <c r="D3500" t="inlineStr">
        <is>
          <t>GÄVLEBORGS LÄN</t>
        </is>
      </c>
      <c r="E3500" t="inlineStr">
        <is>
          <t>BOLLNÄS</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15912-2024</t>
        </is>
      </c>
      <c r="B3501" s="1" t="n">
        <v>45405.4396875</v>
      </c>
      <c r="C3501" s="1" t="n">
        <v>45883</v>
      </c>
      <c r="D3501" t="inlineStr">
        <is>
          <t>GÄVLEBORGS LÄN</t>
        </is>
      </c>
      <c r="E3501" t="inlineStr">
        <is>
          <t>OVANÅKER</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15499-2025</t>
        </is>
      </c>
      <c r="B3502" s="1" t="n">
        <v>45747.58306712963</v>
      </c>
      <c r="C3502" s="1" t="n">
        <v>45883</v>
      </c>
      <c r="D3502" t="inlineStr">
        <is>
          <t>GÄVLEBORGS LÄN</t>
        </is>
      </c>
      <c r="E3502" t="inlineStr">
        <is>
          <t>SÖDERHAMN</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13486-2024</t>
        </is>
      </c>
      <c r="B3503" s="1" t="n">
        <v>45387.61106481482</v>
      </c>
      <c r="C3503" s="1" t="n">
        <v>45883</v>
      </c>
      <c r="D3503" t="inlineStr">
        <is>
          <t>GÄVLEBORGS LÄN</t>
        </is>
      </c>
      <c r="E3503" t="inlineStr">
        <is>
          <t>OVANÅKER</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64601-2021</t>
        </is>
      </c>
      <c r="B3504" s="1" t="n">
        <v>44511</v>
      </c>
      <c r="C3504" s="1" t="n">
        <v>45883</v>
      </c>
      <c r="D3504" t="inlineStr">
        <is>
          <t>GÄVLEBORGS LÄN</t>
        </is>
      </c>
      <c r="E3504" t="inlineStr">
        <is>
          <t>LJUSDAL</t>
        </is>
      </c>
      <c r="F3504" t="inlineStr">
        <is>
          <t>Kommuner</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57798-2021</t>
        </is>
      </c>
      <c r="B3505" s="1" t="n">
        <v>44484</v>
      </c>
      <c r="C3505" s="1" t="n">
        <v>45883</v>
      </c>
      <c r="D3505" t="inlineStr">
        <is>
          <t>GÄVLEBORGS LÄN</t>
        </is>
      </c>
      <c r="E3505" t="inlineStr">
        <is>
          <t>OVANÅKER</t>
        </is>
      </c>
      <c r="G3505" t="n">
        <v>13.4</v>
      </c>
      <c r="H3505" t="n">
        <v>0</v>
      </c>
      <c r="I3505" t="n">
        <v>0</v>
      </c>
      <c r="J3505" t="n">
        <v>0</v>
      </c>
      <c r="K3505" t="n">
        <v>0</v>
      </c>
      <c r="L3505" t="n">
        <v>0</v>
      </c>
      <c r="M3505" t="n">
        <v>0</v>
      </c>
      <c r="N3505" t="n">
        <v>0</v>
      </c>
      <c r="O3505" t="n">
        <v>0</v>
      </c>
      <c r="P3505" t="n">
        <v>0</v>
      </c>
      <c r="Q3505" t="n">
        <v>0</v>
      </c>
      <c r="R3505" s="2" t="inlineStr"/>
    </row>
    <row r="3506" ht="15" customHeight="1">
      <c r="A3506" t="inlineStr">
        <is>
          <t>A 7731-2024</t>
        </is>
      </c>
      <c r="B3506" s="1" t="n">
        <v>45349</v>
      </c>
      <c r="C3506" s="1" t="n">
        <v>45883</v>
      </c>
      <c r="D3506" t="inlineStr">
        <is>
          <t>GÄVLEBORGS LÄN</t>
        </is>
      </c>
      <c r="E3506" t="inlineStr">
        <is>
          <t>LJUSDAL</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6761-2024</t>
        </is>
      </c>
      <c r="B3507" s="1" t="n">
        <v>45342</v>
      </c>
      <c r="C3507" s="1" t="n">
        <v>45883</v>
      </c>
      <c r="D3507" t="inlineStr">
        <is>
          <t>GÄVLEBORGS LÄN</t>
        </is>
      </c>
      <c r="E3507" t="inlineStr">
        <is>
          <t>OVANÅKER</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12057-2021</t>
        </is>
      </c>
      <c r="B3508" s="1" t="n">
        <v>44266</v>
      </c>
      <c r="C3508" s="1" t="n">
        <v>45883</v>
      </c>
      <c r="D3508" t="inlineStr">
        <is>
          <t>GÄVLEBORGS LÄN</t>
        </is>
      </c>
      <c r="E3508" t="inlineStr">
        <is>
          <t>HOFORS</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33489-2024</t>
        </is>
      </c>
      <c r="B3509" s="1" t="n">
        <v>45519.61517361111</v>
      </c>
      <c r="C3509" s="1" t="n">
        <v>45883</v>
      </c>
      <c r="D3509" t="inlineStr">
        <is>
          <t>GÄVLEBORGS LÄN</t>
        </is>
      </c>
      <c r="E3509" t="inlineStr">
        <is>
          <t>OVANÅKER</t>
        </is>
      </c>
      <c r="F3509" t="inlineStr">
        <is>
          <t>Bergvik skog öst AB</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23375-2024</t>
        </is>
      </c>
      <c r="B3510" s="1" t="n">
        <v>45453.55662037037</v>
      </c>
      <c r="C3510" s="1" t="n">
        <v>45883</v>
      </c>
      <c r="D3510" t="inlineStr">
        <is>
          <t>GÄVLEBORGS LÄN</t>
        </is>
      </c>
      <c r="E3510" t="inlineStr">
        <is>
          <t>BOLLNÄS</t>
        </is>
      </c>
      <c r="G3510" t="n">
        <v>3.5</v>
      </c>
      <c r="H3510" t="n">
        <v>0</v>
      </c>
      <c r="I3510" t="n">
        <v>0</v>
      </c>
      <c r="J3510" t="n">
        <v>0</v>
      </c>
      <c r="K3510" t="n">
        <v>0</v>
      </c>
      <c r="L3510" t="n">
        <v>0</v>
      </c>
      <c r="M3510" t="n">
        <v>0</v>
      </c>
      <c r="N3510" t="n">
        <v>0</v>
      </c>
      <c r="O3510" t="n">
        <v>0</v>
      </c>
      <c r="P3510" t="n">
        <v>0</v>
      </c>
      <c r="Q3510" t="n">
        <v>0</v>
      </c>
      <c r="R3510" s="2" t="inlineStr"/>
    </row>
    <row r="3511" ht="15" customHeight="1">
      <c r="A3511" t="inlineStr">
        <is>
          <t>A 23394-2024</t>
        </is>
      </c>
      <c r="B3511" s="1" t="n">
        <v>45453</v>
      </c>
      <c r="C3511" s="1" t="n">
        <v>45883</v>
      </c>
      <c r="D3511" t="inlineStr">
        <is>
          <t>GÄVLEBORGS LÄN</t>
        </is>
      </c>
      <c r="E3511" t="inlineStr">
        <is>
          <t>LJUSDAL</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853-2024</t>
        </is>
      </c>
      <c r="B3512" s="1" t="n">
        <v>45300</v>
      </c>
      <c r="C3512" s="1" t="n">
        <v>45883</v>
      </c>
      <c r="D3512" t="inlineStr">
        <is>
          <t>GÄVLEBORGS LÄN</t>
        </is>
      </c>
      <c r="E3512" t="inlineStr">
        <is>
          <t>NORDANSTIG</t>
        </is>
      </c>
      <c r="G3512" t="n">
        <v>8.1</v>
      </c>
      <c r="H3512" t="n">
        <v>0</v>
      </c>
      <c r="I3512" t="n">
        <v>0</v>
      </c>
      <c r="J3512" t="n">
        <v>0</v>
      </c>
      <c r="K3512" t="n">
        <v>0</v>
      </c>
      <c r="L3512" t="n">
        <v>0</v>
      </c>
      <c r="M3512" t="n">
        <v>0</v>
      </c>
      <c r="N3512" t="n">
        <v>0</v>
      </c>
      <c r="O3512" t="n">
        <v>0</v>
      </c>
      <c r="P3512" t="n">
        <v>0</v>
      </c>
      <c r="Q3512" t="n">
        <v>0</v>
      </c>
      <c r="R3512" s="2" t="inlineStr"/>
    </row>
    <row r="3513" ht="15" customHeight="1">
      <c r="A3513" t="inlineStr">
        <is>
          <t>A 27620-2024</t>
        </is>
      </c>
      <c r="B3513" s="1" t="n">
        <v>45474.88189814815</v>
      </c>
      <c r="C3513" s="1" t="n">
        <v>45883</v>
      </c>
      <c r="D3513" t="inlineStr">
        <is>
          <t>GÄVLEBORGS LÄN</t>
        </is>
      </c>
      <c r="E3513" t="inlineStr">
        <is>
          <t>HUDIKSVALL</t>
        </is>
      </c>
      <c r="F3513" t="inlineStr">
        <is>
          <t>Holmen skog AB</t>
        </is>
      </c>
      <c r="G3513" t="n">
        <v>11.7</v>
      </c>
      <c r="H3513" t="n">
        <v>0</v>
      </c>
      <c r="I3513" t="n">
        <v>0</v>
      </c>
      <c r="J3513" t="n">
        <v>0</v>
      </c>
      <c r="K3513" t="n">
        <v>0</v>
      </c>
      <c r="L3513" t="n">
        <v>0</v>
      </c>
      <c r="M3513" t="n">
        <v>0</v>
      </c>
      <c r="N3513" t="n">
        <v>0</v>
      </c>
      <c r="O3513" t="n">
        <v>0</v>
      </c>
      <c r="P3513" t="n">
        <v>0</v>
      </c>
      <c r="Q3513" t="n">
        <v>0</v>
      </c>
      <c r="R3513" s="2" t="inlineStr"/>
    </row>
    <row r="3514" ht="15" customHeight="1">
      <c r="A3514" t="inlineStr">
        <is>
          <t>A 884-2024</t>
        </is>
      </c>
      <c r="B3514" s="1" t="n">
        <v>45301.39141203704</v>
      </c>
      <c r="C3514" s="1" t="n">
        <v>45883</v>
      </c>
      <c r="D3514" t="inlineStr">
        <is>
          <t>GÄVLEBORGS LÄN</t>
        </is>
      </c>
      <c r="E3514" t="inlineStr">
        <is>
          <t>NORDANSTIG</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60779-2022</t>
        </is>
      </c>
      <c r="B3515" s="1" t="n">
        <v>44914.38584490741</v>
      </c>
      <c r="C3515" s="1" t="n">
        <v>45883</v>
      </c>
      <c r="D3515" t="inlineStr">
        <is>
          <t>GÄVLEBORGS LÄN</t>
        </is>
      </c>
      <c r="E3515" t="inlineStr">
        <is>
          <t>OVANÅKER</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49281-2024</t>
        </is>
      </c>
      <c r="B3516" s="1" t="n">
        <v>45595.50841435185</v>
      </c>
      <c r="C3516" s="1" t="n">
        <v>45883</v>
      </c>
      <c r="D3516" t="inlineStr">
        <is>
          <t>GÄVLEBORGS LÄN</t>
        </is>
      </c>
      <c r="E3516" t="inlineStr">
        <is>
          <t>SÖDERHAMN</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49282-2024</t>
        </is>
      </c>
      <c r="B3517" s="1" t="n">
        <v>45595.50844907408</v>
      </c>
      <c r="C3517" s="1" t="n">
        <v>45883</v>
      </c>
      <c r="D3517" t="inlineStr">
        <is>
          <t>GÄVLEBORGS LÄN</t>
        </is>
      </c>
      <c r="E3517" t="inlineStr">
        <is>
          <t>SÖDERHAMN</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38232-2024</t>
        </is>
      </c>
      <c r="B3518" s="1" t="n">
        <v>45545.55649305556</v>
      </c>
      <c r="C3518" s="1" t="n">
        <v>45883</v>
      </c>
      <c r="D3518" t="inlineStr">
        <is>
          <t>GÄVLEBORGS LÄN</t>
        </is>
      </c>
      <c r="E3518" t="inlineStr">
        <is>
          <t>LJUSDAL</t>
        </is>
      </c>
      <c r="F3518" t="inlineStr">
        <is>
          <t>Sveaskog</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38240-2024</t>
        </is>
      </c>
      <c r="B3519" s="1" t="n">
        <v>45545</v>
      </c>
      <c r="C3519" s="1" t="n">
        <v>45883</v>
      </c>
      <c r="D3519" t="inlineStr">
        <is>
          <t>GÄVLEBORGS LÄN</t>
        </is>
      </c>
      <c r="E3519" t="inlineStr">
        <is>
          <t>GÄVLE</t>
        </is>
      </c>
      <c r="F3519" t="inlineStr">
        <is>
          <t>Bergvik skog väst AB</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71408-2021</t>
        </is>
      </c>
      <c r="B3520" s="1" t="n">
        <v>44540.38681712963</v>
      </c>
      <c r="C3520" s="1" t="n">
        <v>45883</v>
      </c>
      <c r="D3520" t="inlineStr">
        <is>
          <t>GÄVLEBORGS LÄN</t>
        </is>
      </c>
      <c r="E3520" t="inlineStr">
        <is>
          <t>HUDIKSVALL</t>
        </is>
      </c>
      <c r="F3520" t="inlineStr">
        <is>
          <t>Holmen skog AB</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14472-2024</t>
        </is>
      </c>
      <c r="B3521" s="1" t="n">
        <v>45394.55886574074</v>
      </c>
      <c r="C3521" s="1" t="n">
        <v>45883</v>
      </c>
      <c r="D3521" t="inlineStr">
        <is>
          <t>GÄVLEBORGS LÄN</t>
        </is>
      </c>
      <c r="E3521" t="inlineStr">
        <is>
          <t>SÖDERHAMN</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43143-2024</t>
        </is>
      </c>
      <c r="B3522" s="1" t="n">
        <v>45567.62359953704</v>
      </c>
      <c r="C3522" s="1" t="n">
        <v>45883</v>
      </c>
      <c r="D3522" t="inlineStr">
        <is>
          <t>GÄVLEBORGS LÄN</t>
        </is>
      </c>
      <c r="E3522" t="inlineStr">
        <is>
          <t>HOFORS</t>
        </is>
      </c>
      <c r="G3522" t="n">
        <v>3.3</v>
      </c>
      <c r="H3522" t="n">
        <v>0</v>
      </c>
      <c r="I3522" t="n">
        <v>0</v>
      </c>
      <c r="J3522" t="n">
        <v>0</v>
      </c>
      <c r="K3522" t="n">
        <v>0</v>
      </c>
      <c r="L3522" t="n">
        <v>0</v>
      </c>
      <c r="M3522" t="n">
        <v>0</v>
      </c>
      <c r="N3522" t="n">
        <v>0</v>
      </c>
      <c r="O3522" t="n">
        <v>0</v>
      </c>
      <c r="P3522" t="n">
        <v>0</v>
      </c>
      <c r="Q3522" t="n">
        <v>0</v>
      </c>
      <c r="R3522" s="2" t="inlineStr"/>
    </row>
    <row r="3523" ht="15" customHeight="1">
      <c r="A3523" t="inlineStr">
        <is>
          <t>A 45598-2024</t>
        </is>
      </c>
      <c r="B3523" s="1" t="n">
        <v>45579</v>
      </c>
      <c r="C3523" s="1" t="n">
        <v>45883</v>
      </c>
      <c r="D3523" t="inlineStr">
        <is>
          <t>GÄVLEBORGS LÄN</t>
        </is>
      </c>
      <c r="E3523" t="inlineStr">
        <is>
          <t>BOLLNÄS</t>
        </is>
      </c>
      <c r="F3523" t="inlineStr">
        <is>
          <t>Kommuner</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48307-2023</t>
        </is>
      </c>
      <c r="B3524" s="1" t="n">
        <v>45205.58381944444</v>
      </c>
      <c r="C3524" s="1" t="n">
        <v>45883</v>
      </c>
      <c r="D3524" t="inlineStr">
        <is>
          <t>GÄVLEBORGS LÄN</t>
        </is>
      </c>
      <c r="E3524" t="inlineStr">
        <is>
          <t>BOLLNÄS</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52099-2024</t>
        </is>
      </c>
      <c r="B3525" s="1" t="n">
        <v>45608</v>
      </c>
      <c r="C3525" s="1" t="n">
        <v>45883</v>
      </c>
      <c r="D3525" t="inlineStr">
        <is>
          <t>GÄVLEBORGS LÄN</t>
        </is>
      </c>
      <c r="E3525" t="inlineStr">
        <is>
          <t>LJUSDAL</t>
        </is>
      </c>
      <c r="G3525" t="n">
        <v>0.2</v>
      </c>
      <c r="H3525" t="n">
        <v>0</v>
      </c>
      <c r="I3525" t="n">
        <v>0</v>
      </c>
      <c r="J3525" t="n">
        <v>0</v>
      </c>
      <c r="K3525" t="n">
        <v>0</v>
      </c>
      <c r="L3525" t="n">
        <v>0</v>
      </c>
      <c r="M3525" t="n">
        <v>0</v>
      </c>
      <c r="N3525" t="n">
        <v>0</v>
      </c>
      <c r="O3525" t="n">
        <v>0</v>
      </c>
      <c r="P3525" t="n">
        <v>0</v>
      </c>
      <c r="Q3525" t="n">
        <v>0</v>
      </c>
      <c r="R3525" s="2" t="inlineStr"/>
    </row>
    <row r="3526" ht="15" customHeight="1">
      <c r="A3526" t="inlineStr">
        <is>
          <t>A 48907-2024</t>
        </is>
      </c>
      <c r="B3526" s="1" t="n">
        <v>45594.36177083333</v>
      </c>
      <c r="C3526" s="1" t="n">
        <v>45883</v>
      </c>
      <c r="D3526" t="inlineStr">
        <is>
          <t>GÄVLEBORGS LÄN</t>
        </is>
      </c>
      <c r="E3526" t="inlineStr">
        <is>
          <t>OVANÅKER</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2546-2023</t>
        </is>
      </c>
      <c r="B3527" s="1" t="n">
        <v>44943</v>
      </c>
      <c r="C3527" s="1" t="n">
        <v>45883</v>
      </c>
      <c r="D3527" t="inlineStr">
        <is>
          <t>GÄVLEBORGS LÄN</t>
        </is>
      </c>
      <c r="E3527" t="inlineStr">
        <is>
          <t>OVANÅKER</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13498-2024</t>
        </is>
      </c>
      <c r="B3528" s="1" t="n">
        <v>45387.63298611111</v>
      </c>
      <c r="C3528" s="1" t="n">
        <v>45883</v>
      </c>
      <c r="D3528" t="inlineStr">
        <is>
          <t>GÄVLEBORGS LÄN</t>
        </is>
      </c>
      <c r="E3528" t="inlineStr">
        <is>
          <t>LJUSDAL</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11340-2025</t>
        </is>
      </c>
      <c r="B3529" s="1" t="n">
        <v>45726.49440972223</v>
      </c>
      <c r="C3529" s="1" t="n">
        <v>45883</v>
      </c>
      <c r="D3529" t="inlineStr">
        <is>
          <t>GÄVLEBORGS LÄN</t>
        </is>
      </c>
      <c r="E3529" t="inlineStr">
        <is>
          <t>GÄVLE</t>
        </is>
      </c>
      <c r="F3529" t="inlineStr">
        <is>
          <t>Bergvik skog öst AB</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13123-2023</t>
        </is>
      </c>
      <c r="B3530" s="1" t="n">
        <v>45002.49291666667</v>
      </c>
      <c r="C3530" s="1" t="n">
        <v>45883</v>
      </c>
      <c r="D3530" t="inlineStr">
        <is>
          <t>GÄVLEBORGS LÄN</t>
        </is>
      </c>
      <c r="E3530" t="inlineStr">
        <is>
          <t>OVANÅKER</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29769-2023</t>
        </is>
      </c>
      <c r="B3531" s="1" t="n">
        <v>45107</v>
      </c>
      <c r="C3531" s="1" t="n">
        <v>45883</v>
      </c>
      <c r="D3531" t="inlineStr">
        <is>
          <t>GÄVLEBORGS LÄN</t>
        </is>
      </c>
      <c r="E3531" t="inlineStr">
        <is>
          <t>BOLLNÄS</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38743-2020</t>
        </is>
      </c>
      <c r="B3532" s="1" t="n">
        <v>44061</v>
      </c>
      <c r="C3532" s="1" t="n">
        <v>45883</v>
      </c>
      <c r="D3532" t="inlineStr">
        <is>
          <t>GÄVLEBORGS LÄN</t>
        </is>
      </c>
      <c r="E3532" t="inlineStr">
        <is>
          <t>SANDVIKEN</t>
        </is>
      </c>
      <c r="G3532" t="n">
        <v>6.2</v>
      </c>
      <c r="H3532" t="n">
        <v>0</v>
      </c>
      <c r="I3532" t="n">
        <v>0</v>
      </c>
      <c r="J3532" t="n">
        <v>0</v>
      </c>
      <c r="K3532" t="n">
        <v>0</v>
      </c>
      <c r="L3532" t="n">
        <v>0</v>
      </c>
      <c r="M3532" t="n">
        <v>0</v>
      </c>
      <c r="N3532" t="n">
        <v>0</v>
      </c>
      <c r="O3532" t="n">
        <v>0</v>
      </c>
      <c r="P3532" t="n">
        <v>0</v>
      </c>
      <c r="Q3532" t="n">
        <v>0</v>
      </c>
      <c r="R3532" s="2" t="inlineStr"/>
    </row>
    <row r="3533" ht="15" customHeight="1">
      <c r="A3533" t="inlineStr">
        <is>
          <t>A 31935-2024</t>
        </is>
      </c>
      <c r="B3533" s="1" t="n">
        <v>45510.41490740741</v>
      </c>
      <c r="C3533" s="1" t="n">
        <v>45883</v>
      </c>
      <c r="D3533" t="inlineStr">
        <is>
          <t>GÄVLEBORGS LÄN</t>
        </is>
      </c>
      <c r="E3533" t="inlineStr">
        <is>
          <t>SÖDERHAMN</t>
        </is>
      </c>
      <c r="F3533" t="inlineStr">
        <is>
          <t>Bergvik skog väst AB</t>
        </is>
      </c>
      <c r="G3533" t="n">
        <v>6</v>
      </c>
      <c r="H3533" t="n">
        <v>0</v>
      </c>
      <c r="I3533" t="n">
        <v>0</v>
      </c>
      <c r="J3533" t="n">
        <v>0</v>
      </c>
      <c r="K3533" t="n">
        <v>0</v>
      </c>
      <c r="L3533" t="n">
        <v>0</v>
      </c>
      <c r="M3533" t="n">
        <v>0</v>
      </c>
      <c r="N3533" t="n">
        <v>0</v>
      </c>
      <c r="O3533" t="n">
        <v>0</v>
      </c>
      <c r="P3533" t="n">
        <v>0</v>
      </c>
      <c r="Q3533" t="n">
        <v>0</v>
      </c>
      <c r="R3533" s="2" t="inlineStr"/>
    </row>
    <row r="3534" ht="15" customHeight="1">
      <c r="A3534" t="inlineStr">
        <is>
          <t>A 29818-2023</t>
        </is>
      </c>
      <c r="B3534" s="1" t="n">
        <v>45107.55921296297</v>
      </c>
      <c r="C3534" s="1" t="n">
        <v>45883</v>
      </c>
      <c r="D3534" t="inlineStr">
        <is>
          <t>GÄVLEBORGS LÄN</t>
        </is>
      </c>
      <c r="E3534" t="inlineStr">
        <is>
          <t>SÖDERHAMN</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29845-2023</t>
        </is>
      </c>
      <c r="B3535" s="1" t="n">
        <v>45099</v>
      </c>
      <c r="C3535" s="1" t="n">
        <v>45883</v>
      </c>
      <c r="D3535" t="inlineStr">
        <is>
          <t>GÄVLEBORGS LÄN</t>
        </is>
      </c>
      <c r="E3535" t="inlineStr">
        <is>
          <t>LJUSDAL</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11394-2025</t>
        </is>
      </c>
      <c r="B3536" s="1" t="n">
        <v>45726</v>
      </c>
      <c r="C3536" s="1" t="n">
        <v>45883</v>
      </c>
      <c r="D3536" t="inlineStr">
        <is>
          <t>GÄVLEBORGS LÄN</t>
        </is>
      </c>
      <c r="E3536" t="inlineStr">
        <is>
          <t>NORDANSTIG</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42265-2024</t>
        </is>
      </c>
      <c r="B3537" s="1" t="n">
        <v>45562.59310185185</v>
      </c>
      <c r="C3537" s="1" t="n">
        <v>45883</v>
      </c>
      <c r="D3537" t="inlineStr">
        <is>
          <t>GÄVLEBORGS LÄN</t>
        </is>
      </c>
      <c r="E3537" t="inlineStr">
        <is>
          <t>SÖDERHAMN</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43121-2024</t>
        </is>
      </c>
      <c r="B3538" s="1" t="n">
        <v>45567.57664351852</v>
      </c>
      <c r="C3538" s="1" t="n">
        <v>45883</v>
      </c>
      <c r="D3538" t="inlineStr">
        <is>
          <t>GÄVLEBORGS LÄN</t>
        </is>
      </c>
      <c r="E3538" t="inlineStr">
        <is>
          <t>SANDVIKEN</t>
        </is>
      </c>
      <c r="G3538" t="n">
        <v>4.3</v>
      </c>
      <c r="H3538" t="n">
        <v>0</v>
      </c>
      <c r="I3538" t="n">
        <v>0</v>
      </c>
      <c r="J3538" t="n">
        <v>0</v>
      </c>
      <c r="K3538" t="n">
        <v>0</v>
      </c>
      <c r="L3538" t="n">
        <v>0</v>
      </c>
      <c r="M3538" t="n">
        <v>0</v>
      </c>
      <c r="N3538" t="n">
        <v>0</v>
      </c>
      <c r="O3538" t="n">
        <v>0</v>
      </c>
      <c r="P3538" t="n">
        <v>0</v>
      </c>
      <c r="Q3538" t="n">
        <v>0</v>
      </c>
      <c r="R3538" s="2" t="inlineStr"/>
    </row>
    <row r="3539" ht="15" customHeight="1">
      <c r="A3539" t="inlineStr">
        <is>
          <t>A 21709-2024</t>
        </is>
      </c>
      <c r="B3539" s="1" t="n">
        <v>45442.47200231482</v>
      </c>
      <c r="C3539" s="1" t="n">
        <v>45883</v>
      </c>
      <c r="D3539" t="inlineStr">
        <is>
          <t>GÄVLEBORGS LÄN</t>
        </is>
      </c>
      <c r="E3539" t="inlineStr">
        <is>
          <t>LJUSDAL</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27460-2023</t>
        </is>
      </c>
      <c r="B3540" s="1" t="n">
        <v>45097</v>
      </c>
      <c r="C3540" s="1" t="n">
        <v>45883</v>
      </c>
      <c r="D3540" t="inlineStr">
        <is>
          <t>GÄVLEBORGS LÄN</t>
        </is>
      </c>
      <c r="E3540" t="inlineStr">
        <is>
          <t>LJUSDAL</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3451-2025</t>
        </is>
      </c>
      <c r="B3541" s="1" t="n">
        <v>45680</v>
      </c>
      <c r="C3541" s="1" t="n">
        <v>45883</v>
      </c>
      <c r="D3541" t="inlineStr">
        <is>
          <t>GÄVLEBORGS LÄN</t>
        </is>
      </c>
      <c r="E3541" t="inlineStr">
        <is>
          <t>BOLLNÄS</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33487-2024</t>
        </is>
      </c>
      <c r="B3542" s="1" t="n">
        <v>45519.61461805556</v>
      </c>
      <c r="C3542" s="1" t="n">
        <v>45883</v>
      </c>
      <c r="D3542" t="inlineStr">
        <is>
          <t>GÄVLEBORGS LÄN</t>
        </is>
      </c>
      <c r="E3542" t="inlineStr">
        <is>
          <t>SANDVIKEN</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41649-2024</t>
        </is>
      </c>
      <c r="B3543" s="1" t="n">
        <v>45560.63702546297</v>
      </c>
      <c r="C3543" s="1" t="n">
        <v>45883</v>
      </c>
      <c r="D3543" t="inlineStr">
        <is>
          <t>GÄVLEBORGS LÄN</t>
        </is>
      </c>
      <c r="E3543" t="inlineStr">
        <is>
          <t>SÖDERHAMN</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41650-2024</t>
        </is>
      </c>
      <c r="B3544" s="1" t="n">
        <v>45560.63703703704</v>
      </c>
      <c r="C3544" s="1" t="n">
        <v>45883</v>
      </c>
      <c r="D3544" t="inlineStr">
        <is>
          <t>GÄVLEBORGS LÄN</t>
        </is>
      </c>
      <c r="E3544" t="inlineStr">
        <is>
          <t>SÖDERHAMN</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55523-2024</t>
        </is>
      </c>
      <c r="B3545" s="1" t="n">
        <v>45622.47424768518</v>
      </c>
      <c r="C3545" s="1" t="n">
        <v>45883</v>
      </c>
      <c r="D3545" t="inlineStr">
        <is>
          <t>GÄVLEBORGS LÄN</t>
        </is>
      </c>
      <c r="E3545" t="inlineStr">
        <is>
          <t>NORDANSTIG</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34558-2024</t>
        </is>
      </c>
      <c r="B3546" s="1" t="n">
        <v>45525.97503472222</v>
      </c>
      <c r="C3546" s="1" t="n">
        <v>45883</v>
      </c>
      <c r="D3546" t="inlineStr">
        <is>
          <t>GÄVLEBORGS LÄN</t>
        </is>
      </c>
      <c r="E3546" t="inlineStr">
        <is>
          <t>BOLLNÄS</t>
        </is>
      </c>
      <c r="G3546" t="n">
        <v>3.4</v>
      </c>
      <c r="H3546" t="n">
        <v>0</v>
      </c>
      <c r="I3546" t="n">
        <v>0</v>
      </c>
      <c r="J3546" t="n">
        <v>0</v>
      </c>
      <c r="K3546" t="n">
        <v>0</v>
      </c>
      <c r="L3546" t="n">
        <v>0</v>
      </c>
      <c r="M3546" t="n">
        <v>0</v>
      </c>
      <c r="N3546" t="n">
        <v>0</v>
      </c>
      <c r="O3546" t="n">
        <v>0</v>
      </c>
      <c r="P3546" t="n">
        <v>0</v>
      </c>
      <c r="Q3546" t="n">
        <v>0</v>
      </c>
      <c r="R3546" s="2" t="inlineStr"/>
    </row>
    <row r="3547" ht="15" customHeight="1">
      <c r="A3547" t="inlineStr">
        <is>
          <t>A 46800-2021</t>
        </is>
      </c>
      <c r="B3547" s="1" t="n">
        <v>44446.30126157407</v>
      </c>
      <c r="C3547" s="1" t="n">
        <v>45883</v>
      </c>
      <c r="D3547" t="inlineStr">
        <is>
          <t>GÄVLEBORGS LÄN</t>
        </is>
      </c>
      <c r="E3547" t="inlineStr">
        <is>
          <t>GÄVLE</t>
        </is>
      </c>
      <c r="F3547" t="inlineStr">
        <is>
          <t>Bergvik skog väst AB</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34617-2024</t>
        </is>
      </c>
      <c r="B3548" s="1" t="n">
        <v>45526</v>
      </c>
      <c r="C3548" s="1" t="n">
        <v>45883</v>
      </c>
      <c r="D3548" t="inlineStr">
        <is>
          <t>GÄVLEBORGS LÄN</t>
        </is>
      </c>
      <c r="E3548" t="inlineStr">
        <is>
          <t>LJUSDAL</t>
        </is>
      </c>
      <c r="F3548" t="inlineStr">
        <is>
          <t>Sveaskog</t>
        </is>
      </c>
      <c r="G3548" t="n">
        <v>4.6</v>
      </c>
      <c r="H3548" t="n">
        <v>0</v>
      </c>
      <c r="I3548" t="n">
        <v>0</v>
      </c>
      <c r="J3548" t="n">
        <v>0</v>
      </c>
      <c r="K3548" t="n">
        <v>0</v>
      </c>
      <c r="L3548" t="n">
        <v>0</v>
      </c>
      <c r="M3548" t="n">
        <v>0</v>
      </c>
      <c r="N3548" t="n">
        <v>0</v>
      </c>
      <c r="O3548" t="n">
        <v>0</v>
      </c>
      <c r="P3548" t="n">
        <v>0</v>
      </c>
      <c r="Q3548" t="n">
        <v>0</v>
      </c>
      <c r="R3548" s="2" t="inlineStr"/>
    </row>
    <row r="3549" ht="15" customHeight="1">
      <c r="A3549" t="inlineStr">
        <is>
          <t>A 37233-2023</t>
        </is>
      </c>
      <c r="B3549" s="1" t="n">
        <v>45155</v>
      </c>
      <c r="C3549" s="1" t="n">
        <v>45883</v>
      </c>
      <c r="D3549" t="inlineStr">
        <is>
          <t>GÄVLEBORGS LÄN</t>
        </is>
      </c>
      <c r="E3549" t="inlineStr">
        <is>
          <t>BOLLNÄS</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22042-2023</t>
        </is>
      </c>
      <c r="B3550" s="1" t="n">
        <v>45069</v>
      </c>
      <c r="C3550" s="1" t="n">
        <v>45883</v>
      </c>
      <c r="D3550" t="inlineStr">
        <is>
          <t>GÄVLEBORGS LÄN</t>
        </is>
      </c>
      <c r="E3550" t="inlineStr">
        <is>
          <t>SANDVIKEN</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14866-2024</t>
        </is>
      </c>
      <c r="B3551" s="1" t="n">
        <v>45397</v>
      </c>
      <c r="C3551" s="1" t="n">
        <v>45883</v>
      </c>
      <c r="D3551" t="inlineStr">
        <is>
          <t>GÄVLEBORGS LÄN</t>
        </is>
      </c>
      <c r="E3551" t="inlineStr">
        <is>
          <t>NORDANSTIG</t>
        </is>
      </c>
      <c r="G3551" t="n">
        <v>0.3</v>
      </c>
      <c r="H3551" t="n">
        <v>0</v>
      </c>
      <c r="I3551" t="n">
        <v>0</v>
      </c>
      <c r="J3551" t="n">
        <v>0</v>
      </c>
      <c r="K3551" t="n">
        <v>0</v>
      </c>
      <c r="L3551" t="n">
        <v>0</v>
      </c>
      <c r="M3551" t="n">
        <v>0</v>
      </c>
      <c r="N3551" t="n">
        <v>0</v>
      </c>
      <c r="O3551" t="n">
        <v>0</v>
      </c>
      <c r="P3551" t="n">
        <v>0</v>
      </c>
      <c r="Q3551" t="n">
        <v>0</v>
      </c>
      <c r="R3551" s="2" t="inlineStr"/>
    </row>
    <row r="3552" ht="15" customHeight="1">
      <c r="A3552" t="inlineStr">
        <is>
          <t>A 60750-2023</t>
        </is>
      </c>
      <c r="B3552" s="1" t="n">
        <v>45260.5928587963</v>
      </c>
      <c r="C3552" s="1" t="n">
        <v>45883</v>
      </c>
      <c r="D3552" t="inlineStr">
        <is>
          <t>GÄVLEBORGS LÄN</t>
        </is>
      </c>
      <c r="E3552" t="inlineStr">
        <is>
          <t>HUDIKSVALL</t>
        </is>
      </c>
      <c r="F3552" t="inlineStr">
        <is>
          <t>Holmen skog AB</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18906-2023</t>
        </is>
      </c>
      <c r="B3553" s="1" t="n">
        <v>45044.57915509259</v>
      </c>
      <c r="C3553" s="1" t="n">
        <v>45883</v>
      </c>
      <c r="D3553" t="inlineStr">
        <is>
          <t>GÄVLEBORGS LÄN</t>
        </is>
      </c>
      <c r="E3553" t="inlineStr">
        <is>
          <t>OVANÅKER</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406-2025</t>
        </is>
      </c>
      <c r="B3554" s="1" t="n">
        <v>45663.63243055555</v>
      </c>
      <c r="C3554" s="1" t="n">
        <v>45883</v>
      </c>
      <c r="D3554" t="inlineStr">
        <is>
          <t>GÄVLEBORGS LÄN</t>
        </is>
      </c>
      <c r="E3554" t="inlineStr">
        <is>
          <t>HUDIKSVALL</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10159-2025</t>
        </is>
      </c>
      <c r="B3555" s="1" t="n">
        <v>45719.64797453704</v>
      </c>
      <c r="C3555" s="1" t="n">
        <v>45883</v>
      </c>
      <c r="D3555" t="inlineStr">
        <is>
          <t>GÄVLEBORGS LÄN</t>
        </is>
      </c>
      <c r="E3555" t="inlineStr">
        <is>
          <t>HUDIKSVALL</t>
        </is>
      </c>
      <c r="F3555" t="inlineStr">
        <is>
          <t>Kommuner</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43539-2023</t>
        </is>
      </c>
      <c r="B3556" s="1" t="n">
        <v>45184.54789351852</v>
      </c>
      <c r="C3556" s="1" t="n">
        <v>45883</v>
      </c>
      <c r="D3556" t="inlineStr">
        <is>
          <t>GÄVLEBORGS LÄN</t>
        </is>
      </c>
      <c r="E3556" t="inlineStr">
        <is>
          <t>NORDANSTIG</t>
        </is>
      </c>
      <c r="G3556" t="n">
        <v>3.9</v>
      </c>
      <c r="H3556" t="n">
        <v>0</v>
      </c>
      <c r="I3556" t="n">
        <v>0</v>
      </c>
      <c r="J3556" t="n">
        <v>0</v>
      </c>
      <c r="K3556" t="n">
        <v>0</v>
      </c>
      <c r="L3556" t="n">
        <v>0</v>
      </c>
      <c r="M3556" t="n">
        <v>0</v>
      </c>
      <c r="N3556" t="n">
        <v>0</v>
      </c>
      <c r="O3556" t="n">
        <v>0</v>
      </c>
      <c r="P3556" t="n">
        <v>0</v>
      </c>
      <c r="Q3556" t="n">
        <v>0</v>
      </c>
      <c r="R3556" s="2" t="inlineStr"/>
    </row>
    <row r="3557" ht="15" customHeight="1">
      <c r="A3557" t="inlineStr">
        <is>
          <t>A 56208-2023</t>
        </is>
      </c>
      <c r="B3557" s="1" t="n">
        <v>45240</v>
      </c>
      <c r="C3557" s="1" t="n">
        <v>45883</v>
      </c>
      <c r="D3557" t="inlineStr">
        <is>
          <t>GÄVLEBORGS LÄN</t>
        </is>
      </c>
      <c r="E3557" t="inlineStr">
        <is>
          <t>BOLLNÄS</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56217-2023</t>
        </is>
      </c>
      <c r="B3558" s="1" t="n">
        <v>45240</v>
      </c>
      <c r="C3558" s="1" t="n">
        <v>45883</v>
      </c>
      <c r="D3558" t="inlineStr">
        <is>
          <t>GÄVLEBORGS LÄN</t>
        </is>
      </c>
      <c r="E3558" t="inlineStr">
        <is>
          <t>SANDVIKEN</t>
        </is>
      </c>
      <c r="F3558" t="inlineStr">
        <is>
          <t>Sveaskog</t>
        </is>
      </c>
      <c r="G3558" t="n">
        <v>10.6</v>
      </c>
      <c r="H3558" t="n">
        <v>0</v>
      </c>
      <c r="I3558" t="n">
        <v>0</v>
      </c>
      <c r="J3558" t="n">
        <v>0</v>
      </c>
      <c r="K3558" t="n">
        <v>0</v>
      </c>
      <c r="L3558" t="n">
        <v>0</v>
      </c>
      <c r="M3558" t="n">
        <v>0</v>
      </c>
      <c r="N3558" t="n">
        <v>0</v>
      </c>
      <c r="O3558" t="n">
        <v>0</v>
      </c>
      <c r="P3558" t="n">
        <v>0</v>
      </c>
      <c r="Q3558" t="n">
        <v>0</v>
      </c>
      <c r="R3558" s="2" t="inlineStr"/>
    </row>
    <row r="3559" ht="15" customHeight="1">
      <c r="A3559" t="inlineStr">
        <is>
          <t>A 13519-2021</t>
        </is>
      </c>
      <c r="B3559" s="1" t="n">
        <v>44273</v>
      </c>
      <c r="C3559" s="1" t="n">
        <v>45883</v>
      </c>
      <c r="D3559" t="inlineStr">
        <is>
          <t>GÄVLEBORGS LÄN</t>
        </is>
      </c>
      <c r="E3559" t="inlineStr">
        <is>
          <t>LJUSDAL</t>
        </is>
      </c>
      <c r="F3559" t="inlineStr">
        <is>
          <t>Sveaskog</t>
        </is>
      </c>
      <c r="G3559" t="n">
        <v>17.2</v>
      </c>
      <c r="H3559" t="n">
        <v>0</v>
      </c>
      <c r="I3559" t="n">
        <v>0</v>
      </c>
      <c r="J3559" t="n">
        <v>0</v>
      </c>
      <c r="K3559" t="n">
        <v>0</v>
      </c>
      <c r="L3559" t="n">
        <v>0</v>
      </c>
      <c r="M3559" t="n">
        <v>0</v>
      </c>
      <c r="N3559" t="n">
        <v>0</v>
      </c>
      <c r="O3559" t="n">
        <v>0</v>
      </c>
      <c r="P3559" t="n">
        <v>0</v>
      </c>
      <c r="Q3559" t="n">
        <v>0</v>
      </c>
      <c r="R3559" s="2" t="inlineStr"/>
    </row>
    <row r="3560" ht="15" customHeight="1">
      <c r="A3560" t="inlineStr">
        <is>
          <t>A 19536-2025</t>
        </is>
      </c>
      <c r="B3560" s="1" t="n">
        <v>45770.47952546296</v>
      </c>
      <c r="C3560" s="1" t="n">
        <v>45883</v>
      </c>
      <c r="D3560" t="inlineStr">
        <is>
          <t>GÄVLEBORGS LÄN</t>
        </is>
      </c>
      <c r="E3560" t="inlineStr">
        <is>
          <t>SÖDERHAMN</t>
        </is>
      </c>
      <c r="G3560" t="n">
        <v>6.6</v>
      </c>
      <c r="H3560" t="n">
        <v>0</v>
      </c>
      <c r="I3560" t="n">
        <v>0</v>
      </c>
      <c r="J3560" t="n">
        <v>0</v>
      </c>
      <c r="K3560" t="n">
        <v>0</v>
      </c>
      <c r="L3560" t="n">
        <v>0</v>
      </c>
      <c r="M3560" t="n">
        <v>0</v>
      </c>
      <c r="N3560" t="n">
        <v>0</v>
      </c>
      <c r="O3560" t="n">
        <v>0</v>
      </c>
      <c r="P3560" t="n">
        <v>0</v>
      </c>
      <c r="Q3560" t="n">
        <v>0</v>
      </c>
      <c r="R3560" s="2" t="inlineStr"/>
    </row>
    <row r="3561" ht="15" customHeight="1">
      <c r="A3561" t="inlineStr">
        <is>
          <t>A 18706-2024</t>
        </is>
      </c>
      <c r="B3561" s="1" t="n">
        <v>45426</v>
      </c>
      <c r="C3561" s="1" t="n">
        <v>45883</v>
      </c>
      <c r="D3561" t="inlineStr">
        <is>
          <t>GÄVLEBORGS LÄN</t>
        </is>
      </c>
      <c r="E3561" t="inlineStr">
        <is>
          <t>HUDIKSVALL</t>
        </is>
      </c>
      <c r="F3561" t="inlineStr">
        <is>
          <t>Holmen skog AB</t>
        </is>
      </c>
      <c r="G3561" t="n">
        <v>9.199999999999999</v>
      </c>
      <c r="H3561" t="n">
        <v>0</v>
      </c>
      <c r="I3561" t="n">
        <v>0</v>
      </c>
      <c r="J3561" t="n">
        <v>0</v>
      </c>
      <c r="K3561" t="n">
        <v>0</v>
      </c>
      <c r="L3561" t="n">
        <v>0</v>
      </c>
      <c r="M3561" t="n">
        <v>0</v>
      </c>
      <c r="N3561" t="n">
        <v>0</v>
      </c>
      <c r="O3561" t="n">
        <v>0</v>
      </c>
      <c r="P3561" t="n">
        <v>0</v>
      </c>
      <c r="Q3561" t="n">
        <v>0</v>
      </c>
      <c r="R3561" s="2" t="inlineStr"/>
    </row>
    <row r="3562" ht="15" customHeight="1">
      <c r="A3562" t="inlineStr">
        <is>
          <t>A 3899-2022</t>
        </is>
      </c>
      <c r="B3562" s="1" t="n">
        <v>44587</v>
      </c>
      <c r="C3562" s="1" t="n">
        <v>45883</v>
      </c>
      <c r="D3562" t="inlineStr">
        <is>
          <t>GÄVLEBORGS LÄN</t>
        </is>
      </c>
      <c r="E3562" t="inlineStr">
        <is>
          <t>SANDVIKEN</t>
        </is>
      </c>
      <c r="F3562" t="inlineStr">
        <is>
          <t>Kyrkan</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5788-2025</t>
        </is>
      </c>
      <c r="B3563" s="1" t="n">
        <v>45694</v>
      </c>
      <c r="C3563" s="1" t="n">
        <v>45883</v>
      </c>
      <c r="D3563" t="inlineStr">
        <is>
          <t>GÄVLEBORGS LÄN</t>
        </is>
      </c>
      <c r="E3563" t="inlineStr">
        <is>
          <t>HUDIKSVALL</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7031-2025</t>
        </is>
      </c>
      <c r="B3564" s="1" t="n">
        <v>45701.63361111111</v>
      </c>
      <c r="C3564" s="1" t="n">
        <v>45883</v>
      </c>
      <c r="D3564" t="inlineStr">
        <is>
          <t>GÄVLEBORGS LÄN</t>
        </is>
      </c>
      <c r="E3564" t="inlineStr">
        <is>
          <t>SANDVIKEN</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60617-2024</t>
        </is>
      </c>
      <c r="B3565" s="1" t="n">
        <v>45644.38703703704</v>
      </c>
      <c r="C3565" s="1" t="n">
        <v>45883</v>
      </c>
      <c r="D3565" t="inlineStr">
        <is>
          <t>GÄVLEBORGS LÄN</t>
        </is>
      </c>
      <c r="E3565" t="inlineStr">
        <is>
          <t>GÄVLE</t>
        </is>
      </c>
      <c r="F3565" t="inlineStr">
        <is>
          <t>Kyrkan</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44070-2023</t>
        </is>
      </c>
      <c r="B3566" s="1" t="n">
        <v>45188</v>
      </c>
      <c r="C3566" s="1" t="n">
        <v>45883</v>
      </c>
      <c r="D3566" t="inlineStr">
        <is>
          <t>GÄVLEBORGS LÄN</t>
        </is>
      </c>
      <c r="E3566" t="inlineStr">
        <is>
          <t>HUDIKSVALL</t>
        </is>
      </c>
      <c r="F3566" t="inlineStr">
        <is>
          <t>Holmen skog AB</t>
        </is>
      </c>
      <c r="G3566" t="n">
        <v>11.6</v>
      </c>
      <c r="H3566" t="n">
        <v>0</v>
      </c>
      <c r="I3566" t="n">
        <v>0</v>
      </c>
      <c r="J3566" t="n">
        <v>0</v>
      </c>
      <c r="K3566" t="n">
        <v>0</v>
      </c>
      <c r="L3566" t="n">
        <v>0</v>
      </c>
      <c r="M3566" t="n">
        <v>0</v>
      </c>
      <c r="N3566" t="n">
        <v>0</v>
      </c>
      <c r="O3566" t="n">
        <v>0</v>
      </c>
      <c r="P3566" t="n">
        <v>0</v>
      </c>
      <c r="Q3566" t="n">
        <v>0</v>
      </c>
      <c r="R3566" s="2" t="inlineStr"/>
    </row>
    <row r="3567" ht="15" customHeight="1">
      <c r="A3567" t="inlineStr">
        <is>
          <t>A 37253-2024</t>
        </is>
      </c>
      <c r="B3567" s="1" t="n">
        <v>45540.36526620371</v>
      </c>
      <c r="C3567" s="1" t="n">
        <v>45883</v>
      </c>
      <c r="D3567" t="inlineStr">
        <is>
          <t>GÄVLEBORGS LÄN</t>
        </is>
      </c>
      <c r="E3567" t="inlineStr">
        <is>
          <t>GÄVLE</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13745-2023</t>
        </is>
      </c>
      <c r="B3568" s="1" t="n">
        <v>45007</v>
      </c>
      <c r="C3568" s="1" t="n">
        <v>45883</v>
      </c>
      <c r="D3568" t="inlineStr">
        <is>
          <t>GÄVLEBORGS LÄN</t>
        </is>
      </c>
      <c r="E3568" t="inlineStr">
        <is>
          <t>HOFORS</t>
        </is>
      </c>
      <c r="F3568" t="inlineStr">
        <is>
          <t>Övriga statliga verk och myndigheter</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32947-2024</t>
        </is>
      </c>
      <c r="B3569" s="1" t="n">
        <v>45517.35216435185</v>
      </c>
      <c r="C3569" s="1" t="n">
        <v>45883</v>
      </c>
      <c r="D3569" t="inlineStr">
        <is>
          <t>GÄVLEBORGS LÄN</t>
        </is>
      </c>
      <c r="E3569" t="inlineStr">
        <is>
          <t>OVANÅKER</t>
        </is>
      </c>
      <c r="F3569" t="inlineStr">
        <is>
          <t>Bergvik skog väst AB</t>
        </is>
      </c>
      <c r="G3569" t="n">
        <v>11.9</v>
      </c>
      <c r="H3569" t="n">
        <v>0</v>
      </c>
      <c r="I3569" t="n">
        <v>0</v>
      </c>
      <c r="J3569" t="n">
        <v>0</v>
      </c>
      <c r="K3569" t="n">
        <v>0</v>
      </c>
      <c r="L3569" t="n">
        <v>0</v>
      </c>
      <c r="M3569" t="n">
        <v>0</v>
      </c>
      <c r="N3569" t="n">
        <v>0</v>
      </c>
      <c r="O3569" t="n">
        <v>0</v>
      </c>
      <c r="P3569" t="n">
        <v>0</v>
      </c>
      <c r="Q3569" t="n">
        <v>0</v>
      </c>
      <c r="R3569" s="2" t="inlineStr"/>
    </row>
    <row r="3570" ht="15" customHeight="1">
      <c r="A3570" t="inlineStr">
        <is>
          <t>A 42331-2024</t>
        </is>
      </c>
      <c r="B3570" s="1" t="n">
        <v>45562.65523148148</v>
      </c>
      <c r="C3570" s="1" t="n">
        <v>45883</v>
      </c>
      <c r="D3570" t="inlineStr">
        <is>
          <t>GÄVLEBORGS LÄN</t>
        </is>
      </c>
      <c r="E3570" t="inlineStr">
        <is>
          <t>OVANÅKER</t>
        </is>
      </c>
      <c r="G3570" t="n">
        <v>0.1</v>
      </c>
      <c r="H3570" t="n">
        <v>0</v>
      </c>
      <c r="I3570" t="n">
        <v>0</v>
      </c>
      <c r="J3570" t="n">
        <v>0</v>
      </c>
      <c r="K3570" t="n">
        <v>0</v>
      </c>
      <c r="L3570" t="n">
        <v>0</v>
      </c>
      <c r="M3570" t="n">
        <v>0</v>
      </c>
      <c r="N3570" t="n">
        <v>0</v>
      </c>
      <c r="O3570" t="n">
        <v>0</v>
      </c>
      <c r="P3570" t="n">
        <v>0</v>
      </c>
      <c r="Q3570" t="n">
        <v>0</v>
      </c>
      <c r="R3570" s="2" t="inlineStr"/>
    </row>
    <row r="3571" ht="15" customHeight="1">
      <c r="A3571" t="inlineStr">
        <is>
          <t>A 33120-2024</t>
        </is>
      </c>
      <c r="B3571" s="1" t="n">
        <v>45517</v>
      </c>
      <c r="C3571" s="1" t="n">
        <v>45883</v>
      </c>
      <c r="D3571" t="inlineStr">
        <is>
          <t>GÄVLEBORGS LÄN</t>
        </is>
      </c>
      <c r="E3571" t="inlineStr">
        <is>
          <t>LJUSDAL</t>
        </is>
      </c>
      <c r="F3571" t="inlineStr">
        <is>
          <t>SCA</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33131-2024</t>
        </is>
      </c>
      <c r="B3572" s="1" t="n">
        <v>45518.30189814815</v>
      </c>
      <c r="C3572" s="1" t="n">
        <v>45883</v>
      </c>
      <c r="D3572" t="inlineStr">
        <is>
          <t>GÄVLEBORGS LÄN</t>
        </is>
      </c>
      <c r="E3572" t="inlineStr">
        <is>
          <t>LJUSDAL</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55606-2020</t>
        </is>
      </c>
      <c r="B3573" s="1" t="n">
        <v>44131</v>
      </c>
      <c r="C3573" s="1" t="n">
        <v>45883</v>
      </c>
      <c r="D3573" t="inlineStr">
        <is>
          <t>GÄVLEBORGS LÄN</t>
        </is>
      </c>
      <c r="E3573" t="inlineStr">
        <is>
          <t>OVANÅKER</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6963-2024</t>
        </is>
      </c>
      <c r="B3574" s="1" t="n">
        <v>45343.4562037037</v>
      </c>
      <c r="C3574" s="1" t="n">
        <v>45883</v>
      </c>
      <c r="D3574" t="inlineStr">
        <is>
          <t>GÄVLEBORGS LÄN</t>
        </is>
      </c>
      <c r="E3574" t="inlineStr">
        <is>
          <t>HOFORS</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7693-2024</t>
        </is>
      </c>
      <c r="B3575" s="1" t="n">
        <v>45349.29034722222</v>
      </c>
      <c r="C3575" s="1" t="n">
        <v>45883</v>
      </c>
      <c r="D3575" t="inlineStr">
        <is>
          <t>GÄVLEBORGS LÄN</t>
        </is>
      </c>
      <c r="E3575" t="inlineStr">
        <is>
          <t>OVANÅKER</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50286-2023</t>
        </is>
      </c>
      <c r="B3576" s="1" t="n">
        <v>45216</v>
      </c>
      <c r="C3576" s="1" t="n">
        <v>45883</v>
      </c>
      <c r="D3576" t="inlineStr">
        <is>
          <t>GÄVLEBORGS LÄN</t>
        </is>
      </c>
      <c r="E3576" t="inlineStr">
        <is>
          <t>NORDANSTIG</t>
        </is>
      </c>
      <c r="F3576" t="inlineStr">
        <is>
          <t>Holmen skog AB</t>
        </is>
      </c>
      <c r="G3576" t="n">
        <v>10.3</v>
      </c>
      <c r="H3576" t="n">
        <v>0</v>
      </c>
      <c r="I3576" t="n">
        <v>0</v>
      </c>
      <c r="J3576" t="n">
        <v>0</v>
      </c>
      <c r="K3576" t="n">
        <v>0</v>
      </c>
      <c r="L3576" t="n">
        <v>0</v>
      </c>
      <c r="M3576" t="n">
        <v>0</v>
      </c>
      <c r="N3576" t="n">
        <v>0</v>
      </c>
      <c r="O3576" t="n">
        <v>0</v>
      </c>
      <c r="P3576" t="n">
        <v>0</v>
      </c>
      <c r="Q3576" t="n">
        <v>0</v>
      </c>
      <c r="R3576" s="2" t="inlineStr"/>
    </row>
    <row r="3577" ht="15" customHeight="1">
      <c r="A3577" t="inlineStr">
        <is>
          <t>A 15977-2025</t>
        </is>
      </c>
      <c r="B3577" s="1" t="n">
        <v>45749.56288194445</v>
      </c>
      <c r="C3577" s="1" t="n">
        <v>45883</v>
      </c>
      <c r="D3577" t="inlineStr">
        <is>
          <t>GÄVLEBORGS LÄN</t>
        </is>
      </c>
      <c r="E3577" t="inlineStr">
        <is>
          <t>HUDIKSVALL</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25991-2023</t>
        </is>
      </c>
      <c r="B3578" s="1" t="n">
        <v>45090.92539351852</v>
      </c>
      <c r="C3578" s="1" t="n">
        <v>45883</v>
      </c>
      <c r="D3578" t="inlineStr">
        <is>
          <t>GÄVLEBORGS LÄN</t>
        </is>
      </c>
      <c r="E3578" t="inlineStr">
        <is>
          <t>LJUSDAL</t>
        </is>
      </c>
      <c r="G3578" t="n">
        <v>9.5</v>
      </c>
      <c r="H3578" t="n">
        <v>0</v>
      </c>
      <c r="I3578" t="n">
        <v>0</v>
      </c>
      <c r="J3578" t="n">
        <v>0</v>
      </c>
      <c r="K3578" t="n">
        <v>0</v>
      </c>
      <c r="L3578" t="n">
        <v>0</v>
      </c>
      <c r="M3578" t="n">
        <v>0</v>
      </c>
      <c r="N3578" t="n">
        <v>0</v>
      </c>
      <c r="O3578" t="n">
        <v>0</v>
      </c>
      <c r="P3578" t="n">
        <v>0</v>
      </c>
      <c r="Q3578" t="n">
        <v>0</v>
      </c>
      <c r="R3578" s="2" t="inlineStr"/>
    </row>
    <row r="3579" ht="15" customHeight="1">
      <c r="A3579" t="inlineStr">
        <is>
          <t>A 53691-2022</t>
        </is>
      </c>
      <c r="B3579" s="1" t="n">
        <v>44880.33012731482</v>
      </c>
      <c r="C3579" s="1" t="n">
        <v>45883</v>
      </c>
      <c r="D3579" t="inlineStr">
        <is>
          <t>GÄVLEBORGS LÄN</t>
        </is>
      </c>
      <c r="E3579" t="inlineStr">
        <is>
          <t>OVANÅKER</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52206-2024</t>
        </is>
      </c>
      <c r="B3580" s="1" t="n">
        <v>45608.58549768518</v>
      </c>
      <c r="C3580" s="1" t="n">
        <v>45883</v>
      </c>
      <c r="D3580" t="inlineStr">
        <is>
          <t>GÄVLEBORGS LÄN</t>
        </is>
      </c>
      <c r="E3580" t="inlineStr">
        <is>
          <t>OCKELBO</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31611-2023</t>
        </is>
      </c>
      <c r="B3581" s="1" t="n">
        <v>45117</v>
      </c>
      <c r="C3581" s="1" t="n">
        <v>45883</v>
      </c>
      <c r="D3581" t="inlineStr">
        <is>
          <t>GÄVLEBORGS LÄN</t>
        </is>
      </c>
      <c r="E3581" t="inlineStr">
        <is>
          <t>HOFORS</t>
        </is>
      </c>
      <c r="G3581" t="n">
        <v>4.4</v>
      </c>
      <c r="H3581" t="n">
        <v>0</v>
      </c>
      <c r="I3581" t="n">
        <v>0</v>
      </c>
      <c r="J3581" t="n">
        <v>0</v>
      </c>
      <c r="K3581" t="n">
        <v>0</v>
      </c>
      <c r="L3581" t="n">
        <v>0</v>
      </c>
      <c r="M3581" t="n">
        <v>0</v>
      </c>
      <c r="N3581" t="n">
        <v>0</v>
      </c>
      <c r="O3581" t="n">
        <v>0</v>
      </c>
      <c r="P3581" t="n">
        <v>0</v>
      </c>
      <c r="Q3581" t="n">
        <v>0</v>
      </c>
      <c r="R3581" s="2" t="inlineStr"/>
    </row>
    <row r="3582" ht="15" customHeight="1">
      <c r="A3582" t="inlineStr">
        <is>
          <t>A 65039-2023</t>
        </is>
      </c>
      <c r="B3582" s="1" t="n">
        <v>45287.48986111111</v>
      </c>
      <c r="C3582" s="1" t="n">
        <v>45883</v>
      </c>
      <c r="D3582" t="inlineStr">
        <is>
          <t>GÄVLEBORGS LÄN</t>
        </is>
      </c>
      <c r="E3582" t="inlineStr">
        <is>
          <t>NORDANSTIG</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7496-2025</t>
        </is>
      </c>
      <c r="B3583" s="1" t="n">
        <v>45702</v>
      </c>
      <c r="C3583" s="1" t="n">
        <v>45883</v>
      </c>
      <c r="D3583" t="inlineStr">
        <is>
          <t>GÄVLEBORGS LÄN</t>
        </is>
      </c>
      <c r="E3583" t="inlineStr">
        <is>
          <t>HUDIKSVALL</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15973-2022</t>
        </is>
      </c>
      <c r="B3584" s="1" t="n">
        <v>44664.94773148148</v>
      </c>
      <c r="C3584" s="1" t="n">
        <v>45883</v>
      </c>
      <c r="D3584" t="inlineStr">
        <is>
          <t>GÄVLEBORGS LÄN</t>
        </is>
      </c>
      <c r="E3584" t="inlineStr">
        <is>
          <t>NORDANSTIG</t>
        </is>
      </c>
      <c r="F3584" t="inlineStr">
        <is>
          <t>SCA</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32350-2022</t>
        </is>
      </c>
      <c r="B3585" s="1" t="n">
        <v>44781.92569444444</v>
      </c>
      <c r="C3585" s="1" t="n">
        <v>45883</v>
      </c>
      <c r="D3585" t="inlineStr">
        <is>
          <t>GÄVLEBORGS LÄN</t>
        </is>
      </c>
      <c r="E3585" t="inlineStr">
        <is>
          <t>NORDANSTIG</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47143-2024</t>
        </is>
      </c>
      <c r="B3586" s="1" t="n">
        <v>45586.58848379629</v>
      </c>
      <c r="C3586" s="1" t="n">
        <v>45883</v>
      </c>
      <c r="D3586" t="inlineStr">
        <is>
          <t>GÄVLEBORGS LÄN</t>
        </is>
      </c>
      <c r="E3586" t="inlineStr">
        <is>
          <t>GÄVLE</t>
        </is>
      </c>
      <c r="F3586" t="inlineStr">
        <is>
          <t>Bergvik skog öst AB</t>
        </is>
      </c>
      <c r="G3586" t="n">
        <v>4.2</v>
      </c>
      <c r="H3586" t="n">
        <v>0</v>
      </c>
      <c r="I3586" t="n">
        <v>0</v>
      </c>
      <c r="J3586" t="n">
        <v>0</v>
      </c>
      <c r="K3586" t="n">
        <v>0</v>
      </c>
      <c r="L3586" t="n">
        <v>0</v>
      </c>
      <c r="M3586" t="n">
        <v>0</v>
      </c>
      <c r="N3586" t="n">
        <v>0</v>
      </c>
      <c r="O3586" t="n">
        <v>0</v>
      </c>
      <c r="P3586" t="n">
        <v>0</v>
      </c>
      <c r="Q3586" t="n">
        <v>0</v>
      </c>
      <c r="R3586" s="2" t="inlineStr"/>
    </row>
    <row r="3587" ht="15" customHeight="1">
      <c r="A3587" t="inlineStr">
        <is>
          <t>A 30286-2024</t>
        </is>
      </c>
      <c r="B3587" s="1" t="n">
        <v>45490</v>
      </c>
      <c r="C3587" s="1" t="n">
        <v>45883</v>
      </c>
      <c r="D3587" t="inlineStr">
        <is>
          <t>GÄVLEBORGS LÄN</t>
        </is>
      </c>
      <c r="E3587" t="inlineStr">
        <is>
          <t>LJUSDAL</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16188-2025</t>
        </is>
      </c>
      <c r="B3588" s="1" t="n">
        <v>45750.5878125</v>
      </c>
      <c r="C3588" s="1" t="n">
        <v>45883</v>
      </c>
      <c r="D3588" t="inlineStr">
        <is>
          <t>GÄVLEBORGS LÄN</t>
        </is>
      </c>
      <c r="E3588" t="inlineStr">
        <is>
          <t>SÖDERHAMN</t>
        </is>
      </c>
      <c r="F3588" t="inlineStr">
        <is>
          <t>Kommuner</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60914-2024</t>
        </is>
      </c>
      <c r="B3589" s="1" t="n">
        <v>45645.3344212963</v>
      </c>
      <c r="C3589" s="1" t="n">
        <v>45883</v>
      </c>
      <c r="D3589" t="inlineStr">
        <is>
          <t>GÄVLEBORGS LÄN</t>
        </is>
      </c>
      <c r="E3589" t="inlineStr">
        <is>
          <t>LJUSDAL</t>
        </is>
      </c>
      <c r="G3589" t="n">
        <v>6.9</v>
      </c>
      <c r="H3589" t="n">
        <v>0</v>
      </c>
      <c r="I3589" t="n">
        <v>0</v>
      </c>
      <c r="J3589" t="n">
        <v>0</v>
      </c>
      <c r="K3589" t="n">
        <v>0</v>
      </c>
      <c r="L3589" t="n">
        <v>0</v>
      </c>
      <c r="M3589" t="n">
        <v>0</v>
      </c>
      <c r="N3589" t="n">
        <v>0</v>
      </c>
      <c r="O3589" t="n">
        <v>0</v>
      </c>
      <c r="P3589" t="n">
        <v>0</v>
      </c>
      <c r="Q3589" t="n">
        <v>0</v>
      </c>
      <c r="R3589" s="2" t="inlineStr"/>
    </row>
    <row r="3590" ht="15" customHeight="1">
      <c r="A3590" t="inlineStr">
        <is>
          <t>A 60934-2024</t>
        </is>
      </c>
      <c r="B3590" s="1" t="n">
        <v>45645.36635416667</v>
      </c>
      <c r="C3590" s="1" t="n">
        <v>45883</v>
      </c>
      <c r="D3590" t="inlineStr">
        <is>
          <t>GÄVLEBORGS LÄN</t>
        </is>
      </c>
      <c r="E3590" t="inlineStr">
        <is>
          <t>NORDANSTIG</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61016-2024</t>
        </is>
      </c>
      <c r="B3591" s="1" t="n">
        <v>45645.45041666667</v>
      </c>
      <c r="C3591" s="1" t="n">
        <v>45883</v>
      </c>
      <c r="D3591" t="inlineStr">
        <is>
          <t>GÄVLEBORGS LÄN</t>
        </is>
      </c>
      <c r="E3591" t="inlineStr">
        <is>
          <t>GÄVLE</t>
        </is>
      </c>
      <c r="F3591" t="inlineStr">
        <is>
          <t>Bergvik skog öst AB</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52145-2023</t>
        </is>
      </c>
      <c r="B3592" s="1" t="n">
        <v>45223.96797453704</v>
      </c>
      <c r="C3592" s="1" t="n">
        <v>45883</v>
      </c>
      <c r="D3592" t="inlineStr">
        <is>
          <t>GÄVLEBORGS LÄN</t>
        </is>
      </c>
      <c r="E3592" t="inlineStr">
        <is>
          <t>LJUSDAL</t>
        </is>
      </c>
      <c r="F3592" t="inlineStr">
        <is>
          <t>Naturvårdsverket</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46482-2023</t>
        </is>
      </c>
      <c r="B3593" s="1" t="n">
        <v>45197.63974537037</v>
      </c>
      <c r="C3593" s="1" t="n">
        <v>45883</v>
      </c>
      <c r="D3593" t="inlineStr">
        <is>
          <t>GÄVLEBORGS LÄN</t>
        </is>
      </c>
      <c r="E3593" t="inlineStr">
        <is>
          <t>SANDVIKEN</t>
        </is>
      </c>
      <c r="G3593" t="n">
        <v>4</v>
      </c>
      <c r="H3593" t="n">
        <v>0</v>
      </c>
      <c r="I3593" t="n">
        <v>0</v>
      </c>
      <c r="J3593" t="n">
        <v>0</v>
      </c>
      <c r="K3593" t="n">
        <v>0</v>
      </c>
      <c r="L3593" t="n">
        <v>0</v>
      </c>
      <c r="M3593" t="n">
        <v>0</v>
      </c>
      <c r="N3593" t="n">
        <v>0</v>
      </c>
      <c r="O3593" t="n">
        <v>0</v>
      </c>
      <c r="P3593" t="n">
        <v>0</v>
      </c>
      <c r="Q3593" t="n">
        <v>0</v>
      </c>
      <c r="R3593" s="2" t="inlineStr"/>
    </row>
    <row r="3594" ht="15" customHeight="1">
      <c r="A3594" t="inlineStr">
        <is>
          <t>A 31645-2024</t>
        </is>
      </c>
      <c r="B3594" s="1" t="n">
        <v>45506.60777777778</v>
      </c>
      <c r="C3594" s="1" t="n">
        <v>45883</v>
      </c>
      <c r="D3594" t="inlineStr">
        <is>
          <t>GÄVLEBORGS LÄN</t>
        </is>
      </c>
      <c r="E3594" t="inlineStr">
        <is>
          <t>HOFORS</t>
        </is>
      </c>
      <c r="F3594" t="inlineStr">
        <is>
          <t>Sveaskog</t>
        </is>
      </c>
      <c r="G3594" t="n">
        <v>11.1</v>
      </c>
      <c r="H3594" t="n">
        <v>0</v>
      </c>
      <c r="I3594" t="n">
        <v>0</v>
      </c>
      <c r="J3594" t="n">
        <v>0</v>
      </c>
      <c r="K3594" t="n">
        <v>0</v>
      </c>
      <c r="L3594" t="n">
        <v>0</v>
      </c>
      <c r="M3594" t="n">
        <v>0</v>
      </c>
      <c r="N3594" t="n">
        <v>0</v>
      </c>
      <c r="O3594" t="n">
        <v>0</v>
      </c>
      <c r="P3594" t="n">
        <v>0</v>
      </c>
      <c r="Q3594" t="n">
        <v>0</v>
      </c>
      <c r="R3594" s="2" t="inlineStr"/>
    </row>
    <row r="3595" ht="15" customHeight="1">
      <c r="A3595" t="inlineStr">
        <is>
          <t>A 39509-2022</t>
        </is>
      </c>
      <c r="B3595" s="1" t="n">
        <v>44818</v>
      </c>
      <c r="C3595" s="1" t="n">
        <v>45883</v>
      </c>
      <c r="D3595" t="inlineStr">
        <is>
          <t>GÄVLEBORGS LÄN</t>
        </is>
      </c>
      <c r="E3595" t="inlineStr">
        <is>
          <t>GÄVLE</t>
        </is>
      </c>
      <c r="G3595" t="n">
        <v>4.2</v>
      </c>
      <c r="H3595" t="n">
        <v>0</v>
      </c>
      <c r="I3595" t="n">
        <v>0</v>
      </c>
      <c r="J3595" t="n">
        <v>0</v>
      </c>
      <c r="K3595" t="n">
        <v>0</v>
      </c>
      <c r="L3595" t="n">
        <v>0</v>
      </c>
      <c r="M3595" t="n">
        <v>0</v>
      </c>
      <c r="N3595" t="n">
        <v>0</v>
      </c>
      <c r="O3595" t="n">
        <v>0</v>
      </c>
      <c r="P3595" t="n">
        <v>0</v>
      </c>
      <c r="Q3595" t="n">
        <v>0</v>
      </c>
      <c r="R3595" s="2" t="inlineStr"/>
    </row>
    <row r="3596" ht="15" customHeight="1">
      <c r="A3596" t="inlineStr">
        <is>
          <t>A 39528-2022</t>
        </is>
      </c>
      <c r="B3596" s="1" t="n">
        <v>44818</v>
      </c>
      <c r="C3596" s="1" t="n">
        <v>45883</v>
      </c>
      <c r="D3596" t="inlineStr">
        <is>
          <t>GÄVLEBORGS LÄN</t>
        </is>
      </c>
      <c r="E3596" t="inlineStr">
        <is>
          <t>BOLLNÄS</t>
        </is>
      </c>
      <c r="G3596" t="n">
        <v>7.5</v>
      </c>
      <c r="H3596" t="n">
        <v>0</v>
      </c>
      <c r="I3596" t="n">
        <v>0</v>
      </c>
      <c r="J3596" t="n">
        <v>0</v>
      </c>
      <c r="K3596" t="n">
        <v>0</v>
      </c>
      <c r="L3596" t="n">
        <v>0</v>
      </c>
      <c r="M3596" t="n">
        <v>0</v>
      </c>
      <c r="N3596" t="n">
        <v>0</v>
      </c>
      <c r="O3596" t="n">
        <v>0</v>
      </c>
      <c r="P3596" t="n">
        <v>0</v>
      </c>
      <c r="Q3596" t="n">
        <v>0</v>
      </c>
      <c r="R3596" s="2" t="inlineStr"/>
    </row>
    <row r="3597" ht="15" customHeight="1">
      <c r="A3597" t="inlineStr">
        <is>
          <t>A 50575-2023</t>
        </is>
      </c>
      <c r="B3597" s="1" t="n">
        <v>45217.38545138889</v>
      </c>
      <c r="C3597" s="1" t="n">
        <v>45883</v>
      </c>
      <c r="D3597" t="inlineStr">
        <is>
          <t>GÄVLEBORGS LÄN</t>
        </is>
      </c>
      <c r="E3597" t="inlineStr">
        <is>
          <t>GÄVLE</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6128-2024</t>
        </is>
      </c>
      <c r="B3598" s="1" t="n">
        <v>45337</v>
      </c>
      <c r="C3598" s="1" t="n">
        <v>45883</v>
      </c>
      <c r="D3598" t="inlineStr">
        <is>
          <t>GÄVLEBORGS LÄN</t>
        </is>
      </c>
      <c r="E3598" t="inlineStr">
        <is>
          <t>OCKELBO</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11429-2025</t>
        </is>
      </c>
      <c r="B3599" s="1" t="n">
        <v>45726.60840277778</v>
      </c>
      <c r="C3599" s="1" t="n">
        <v>45883</v>
      </c>
      <c r="D3599" t="inlineStr">
        <is>
          <t>GÄVLEBORGS LÄN</t>
        </is>
      </c>
      <c r="E3599" t="inlineStr">
        <is>
          <t>GÄVLE</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13844-2025</t>
        </is>
      </c>
      <c r="B3600" s="1" t="n">
        <v>45737.55976851852</v>
      </c>
      <c r="C3600" s="1" t="n">
        <v>45883</v>
      </c>
      <c r="D3600" t="inlineStr">
        <is>
          <t>GÄVLEBORGS LÄN</t>
        </is>
      </c>
      <c r="E3600" t="inlineStr">
        <is>
          <t>LJUSDAL</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1969-2025</t>
        </is>
      </c>
      <c r="B3601" s="1" t="n">
        <v>45672.38815972222</v>
      </c>
      <c r="C3601" s="1" t="n">
        <v>45883</v>
      </c>
      <c r="D3601" t="inlineStr">
        <is>
          <t>GÄVLEBORGS LÄN</t>
        </is>
      </c>
      <c r="E3601" t="inlineStr">
        <is>
          <t>GÄVLE</t>
        </is>
      </c>
      <c r="F3601" t="inlineStr">
        <is>
          <t>Kyrkan</t>
        </is>
      </c>
      <c r="G3601" t="n">
        <v>6.7</v>
      </c>
      <c r="H3601" t="n">
        <v>0</v>
      </c>
      <c r="I3601" t="n">
        <v>0</v>
      </c>
      <c r="J3601" t="n">
        <v>0</v>
      </c>
      <c r="K3601" t="n">
        <v>0</v>
      </c>
      <c r="L3601" t="n">
        <v>0</v>
      </c>
      <c r="M3601" t="n">
        <v>0</v>
      </c>
      <c r="N3601" t="n">
        <v>0</v>
      </c>
      <c r="O3601" t="n">
        <v>0</v>
      </c>
      <c r="P3601" t="n">
        <v>0</v>
      </c>
      <c r="Q3601" t="n">
        <v>0</v>
      </c>
      <c r="R3601" s="2" t="inlineStr"/>
    </row>
    <row r="3602" ht="15" customHeight="1">
      <c r="A3602" t="inlineStr">
        <is>
          <t>A 4021-2023</t>
        </is>
      </c>
      <c r="B3602" s="1" t="n">
        <v>44952</v>
      </c>
      <c r="C3602" s="1" t="n">
        <v>45883</v>
      </c>
      <c r="D3602" t="inlineStr">
        <is>
          <t>GÄVLEBORGS LÄN</t>
        </is>
      </c>
      <c r="E3602" t="inlineStr">
        <is>
          <t>NORDANSTIG</t>
        </is>
      </c>
      <c r="F3602" t="inlineStr">
        <is>
          <t>Holmen skog AB</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1996-2025</t>
        </is>
      </c>
      <c r="B3603" s="1" t="n">
        <v>45672.4428125</v>
      </c>
      <c r="C3603" s="1" t="n">
        <v>45883</v>
      </c>
      <c r="D3603" t="inlineStr">
        <is>
          <t>GÄVLEBORGS LÄN</t>
        </is>
      </c>
      <c r="E3603" t="inlineStr">
        <is>
          <t>BOLLNÄS</t>
        </is>
      </c>
      <c r="G3603" t="n">
        <v>3.3</v>
      </c>
      <c r="H3603" t="n">
        <v>0</v>
      </c>
      <c r="I3603" t="n">
        <v>0</v>
      </c>
      <c r="J3603" t="n">
        <v>0</v>
      </c>
      <c r="K3603" t="n">
        <v>0</v>
      </c>
      <c r="L3603" t="n">
        <v>0</v>
      </c>
      <c r="M3603" t="n">
        <v>0</v>
      </c>
      <c r="N3603" t="n">
        <v>0</v>
      </c>
      <c r="O3603" t="n">
        <v>0</v>
      </c>
      <c r="P3603" t="n">
        <v>0</v>
      </c>
      <c r="Q3603" t="n">
        <v>0</v>
      </c>
      <c r="R3603" s="2" t="inlineStr"/>
    </row>
    <row r="3604" ht="15" customHeight="1">
      <c r="A3604" t="inlineStr">
        <is>
          <t>A 1256-2025</t>
        </is>
      </c>
      <c r="B3604" s="1" t="n">
        <v>45667</v>
      </c>
      <c r="C3604" s="1" t="n">
        <v>45883</v>
      </c>
      <c r="D3604" t="inlineStr">
        <is>
          <t>GÄVLEBORGS LÄN</t>
        </is>
      </c>
      <c r="E3604" t="inlineStr">
        <is>
          <t>OVANÅKER</t>
        </is>
      </c>
      <c r="F3604" t="inlineStr">
        <is>
          <t>Bergvik skog väst AB</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73331-2021</t>
        </is>
      </c>
      <c r="B3605" s="1" t="n">
        <v>44551.36337962963</v>
      </c>
      <c r="C3605" s="1" t="n">
        <v>45883</v>
      </c>
      <c r="D3605" t="inlineStr">
        <is>
          <t>GÄVLEBORGS LÄN</t>
        </is>
      </c>
      <c r="E3605" t="inlineStr">
        <is>
          <t>SANDVIKEN</t>
        </is>
      </c>
      <c r="F3605" t="inlineStr">
        <is>
          <t>Bergvik skog öst AB</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257-2025</t>
        </is>
      </c>
      <c r="B3606" s="1" t="n">
        <v>45660</v>
      </c>
      <c r="C3606" s="1" t="n">
        <v>45883</v>
      </c>
      <c r="D3606" t="inlineStr">
        <is>
          <t>GÄVLEBORGS LÄN</t>
        </is>
      </c>
      <c r="E3606" t="inlineStr">
        <is>
          <t>GÄVLE</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259-2025</t>
        </is>
      </c>
      <c r="B3607" s="1" t="n">
        <v>45660.44798611111</v>
      </c>
      <c r="C3607" s="1" t="n">
        <v>45883</v>
      </c>
      <c r="D3607" t="inlineStr">
        <is>
          <t>GÄVLEBORGS LÄN</t>
        </is>
      </c>
      <c r="E3607" t="inlineStr">
        <is>
          <t>GÄVLE</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50271-2023</t>
        </is>
      </c>
      <c r="B3608" s="1" t="n">
        <v>45216.39822916667</v>
      </c>
      <c r="C3608" s="1" t="n">
        <v>45883</v>
      </c>
      <c r="D3608" t="inlineStr">
        <is>
          <t>GÄVLEBORGS LÄN</t>
        </is>
      </c>
      <c r="E3608" t="inlineStr">
        <is>
          <t>LJUSDAL</t>
        </is>
      </c>
      <c r="G3608" t="n">
        <v>27.4</v>
      </c>
      <c r="H3608" t="n">
        <v>0</v>
      </c>
      <c r="I3608" t="n">
        <v>0</v>
      </c>
      <c r="J3608" t="n">
        <v>0</v>
      </c>
      <c r="K3608" t="n">
        <v>0</v>
      </c>
      <c r="L3608" t="n">
        <v>0</v>
      </c>
      <c r="M3608" t="n">
        <v>0</v>
      </c>
      <c r="N3608" t="n">
        <v>0</v>
      </c>
      <c r="O3608" t="n">
        <v>0</v>
      </c>
      <c r="P3608" t="n">
        <v>0</v>
      </c>
      <c r="Q3608" t="n">
        <v>0</v>
      </c>
      <c r="R3608" s="2" t="inlineStr"/>
    </row>
    <row r="3609" ht="15" customHeight="1">
      <c r="A3609" t="inlineStr">
        <is>
          <t>A 44208-2024</t>
        </is>
      </c>
      <c r="B3609" s="1" t="n">
        <v>45573.35883101852</v>
      </c>
      <c r="C3609" s="1" t="n">
        <v>45883</v>
      </c>
      <c r="D3609" t="inlineStr">
        <is>
          <t>GÄVLEBORGS LÄN</t>
        </is>
      </c>
      <c r="E3609" t="inlineStr">
        <is>
          <t>OVANÅKER</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55948-2024</t>
        </is>
      </c>
      <c r="B3610" s="1" t="n">
        <v>45623</v>
      </c>
      <c r="C3610" s="1" t="n">
        <v>45883</v>
      </c>
      <c r="D3610" t="inlineStr">
        <is>
          <t>GÄVLEBORGS LÄN</t>
        </is>
      </c>
      <c r="E3610" t="inlineStr">
        <is>
          <t>NORDANSTIG</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40196-2024</t>
        </is>
      </c>
      <c r="B3611" s="1" t="n">
        <v>45554.57899305555</v>
      </c>
      <c r="C3611" s="1" t="n">
        <v>45883</v>
      </c>
      <c r="D3611" t="inlineStr">
        <is>
          <t>GÄVLEBORGS LÄN</t>
        </is>
      </c>
      <c r="E3611" t="inlineStr">
        <is>
          <t>OCKELBO</t>
        </is>
      </c>
      <c r="F3611" t="inlineStr">
        <is>
          <t>Bergvik skog väst AB</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47701-2023</t>
        </is>
      </c>
      <c r="B3612" s="1" t="n">
        <v>45203.64033564815</v>
      </c>
      <c r="C3612" s="1" t="n">
        <v>45883</v>
      </c>
      <c r="D3612" t="inlineStr">
        <is>
          <t>GÄVLEBORGS LÄN</t>
        </is>
      </c>
      <c r="E3612" t="inlineStr">
        <is>
          <t>BOLLNÄS</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19178-2023</t>
        </is>
      </c>
      <c r="B3613" s="1" t="n">
        <v>45048.62515046296</v>
      </c>
      <c r="C3613" s="1" t="n">
        <v>45883</v>
      </c>
      <c r="D3613" t="inlineStr">
        <is>
          <t>GÄVLEBORGS LÄN</t>
        </is>
      </c>
      <c r="E3613" t="inlineStr">
        <is>
          <t>OCKELBO</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31890-2023</t>
        </is>
      </c>
      <c r="B3614" s="1" t="n">
        <v>45118</v>
      </c>
      <c r="C3614" s="1" t="n">
        <v>45883</v>
      </c>
      <c r="D3614" t="inlineStr">
        <is>
          <t>GÄVLEBORGS LÄN</t>
        </is>
      </c>
      <c r="E3614" t="inlineStr">
        <is>
          <t>LJUSDAL</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51553-2024</t>
        </is>
      </c>
      <c r="B3615" s="1" t="n">
        <v>45604.60453703703</v>
      </c>
      <c r="C3615" s="1" t="n">
        <v>45883</v>
      </c>
      <c r="D3615" t="inlineStr">
        <is>
          <t>GÄVLEBORGS LÄN</t>
        </is>
      </c>
      <c r="E3615" t="inlineStr">
        <is>
          <t>SÖDERHAMN</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29885-2023</t>
        </is>
      </c>
      <c r="B3616" s="1" t="n">
        <v>45107.63166666667</v>
      </c>
      <c r="C3616" s="1" t="n">
        <v>45883</v>
      </c>
      <c r="D3616" t="inlineStr">
        <is>
          <t>GÄVLEBORGS LÄN</t>
        </is>
      </c>
      <c r="E3616" t="inlineStr">
        <is>
          <t>OCKELBO</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4475-2025</t>
        </is>
      </c>
      <c r="B3617" s="1" t="n">
        <v>45686.62489583333</v>
      </c>
      <c r="C3617" s="1" t="n">
        <v>45883</v>
      </c>
      <c r="D3617" t="inlineStr">
        <is>
          <t>GÄVLEBORGS LÄN</t>
        </is>
      </c>
      <c r="E3617" t="inlineStr">
        <is>
          <t>OVANÅKER</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34250-2024</t>
        </is>
      </c>
      <c r="B3618" s="1" t="n">
        <v>45524.58820601852</v>
      </c>
      <c r="C3618" s="1" t="n">
        <v>45883</v>
      </c>
      <c r="D3618" t="inlineStr">
        <is>
          <t>GÄVLEBORGS LÄN</t>
        </is>
      </c>
      <c r="E3618" t="inlineStr">
        <is>
          <t>BOLLNÄS</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50842-2024</t>
        </is>
      </c>
      <c r="B3619" s="1" t="n">
        <v>45602.60487268519</v>
      </c>
      <c r="C3619" s="1" t="n">
        <v>45883</v>
      </c>
      <c r="D3619" t="inlineStr">
        <is>
          <t>GÄVLEBORGS LÄN</t>
        </is>
      </c>
      <c r="E3619" t="inlineStr">
        <is>
          <t>SÖDERHAMN</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48765-2021</t>
        </is>
      </c>
      <c r="B3620" s="1" t="n">
        <v>44452.65006944445</v>
      </c>
      <c r="C3620" s="1" t="n">
        <v>45883</v>
      </c>
      <c r="D3620" t="inlineStr">
        <is>
          <t>GÄVLEBORGS LÄN</t>
        </is>
      </c>
      <c r="E3620" t="inlineStr">
        <is>
          <t>SANDVIKEN</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55694-2024</t>
        </is>
      </c>
      <c r="B3621" s="1" t="n">
        <v>45622.68012731482</v>
      </c>
      <c r="C3621" s="1" t="n">
        <v>45883</v>
      </c>
      <c r="D3621" t="inlineStr">
        <is>
          <t>GÄVLEBORGS LÄN</t>
        </is>
      </c>
      <c r="E3621" t="inlineStr">
        <is>
          <t>NORDANSTIG</t>
        </is>
      </c>
      <c r="F3621" t="inlineStr">
        <is>
          <t>Holmen skog AB</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36250-2024</t>
        </is>
      </c>
      <c r="B3622" s="1" t="n">
        <v>45534</v>
      </c>
      <c r="C3622" s="1" t="n">
        <v>45883</v>
      </c>
      <c r="D3622" t="inlineStr">
        <is>
          <t>GÄVLEBORGS LÄN</t>
        </is>
      </c>
      <c r="E3622" t="inlineStr">
        <is>
          <t>NORDANSTIG</t>
        </is>
      </c>
      <c r="F3622" t="inlineStr">
        <is>
          <t>Holmen skog AB</t>
        </is>
      </c>
      <c r="G3622" t="n">
        <v>7.2</v>
      </c>
      <c r="H3622" t="n">
        <v>0</v>
      </c>
      <c r="I3622" t="n">
        <v>0</v>
      </c>
      <c r="J3622" t="n">
        <v>0</v>
      </c>
      <c r="K3622" t="n">
        <v>0</v>
      </c>
      <c r="L3622" t="n">
        <v>0</v>
      </c>
      <c r="M3622" t="n">
        <v>0</v>
      </c>
      <c r="N3622" t="n">
        <v>0</v>
      </c>
      <c r="O3622" t="n">
        <v>0</v>
      </c>
      <c r="P3622" t="n">
        <v>0</v>
      </c>
      <c r="Q3622" t="n">
        <v>0</v>
      </c>
      <c r="R3622" s="2" t="inlineStr"/>
    </row>
    <row r="3623" ht="15" customHeight="1">
      <c r="A3623" t="inlineStr">
        <is>
          <t>A 37249-2021</t>
        </is>
      </c>
      <c r="B3623" s="1" t="n">
        <v>44397</v>
      </c>
      <c r="C3623" s="1" t="n">
        <v>45883</v>
      </c>
      <c r="D3623" t="inlineStr">
        <is>
          <t>GÄVLEBORGS LÄN</t>
        </is>
      </c>
      <c r="E3623" t="inlineStr">
        <is>
          <t>LJUSDAL</t>
        </is>
      </c>
      <c r="F3623" t="inlineStr">
        <is>
          <t>Sveaskog</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34983-2024</t>
        </is>
      </c>
      <c r="B3624" s="1" t="n">
        <v>45527.54850694445</v>
      </c>
      <c r="C3624" s="1" t="n">
        <v>45883</v>
      </c>
      <c r="D3624" t="inlineStr">
        <is>
          <t>GÄVLEBORGS LÄN</t>
        </is>
      </c>
      <c r="E3624" t="inlineStr">
        <is>
          <t>HUDIKSVALL</t>
        </is>
      </c>
      <c r="F3624" t="inlineStr">
        <is>
          <t>Holmen skog AB</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44837-2024</t>
        </is>
      </c>
      <c r="B3625" s="1" t="n">
        <v>45574</v>
      </c>
      <c r="C3625" s="1" t="n">
        <v>45883</v>
      </c>
      <c r="D3625" t="inlineStr">
        <is>
          <t>GÄVLEBORGS LÄN</t>
        </is>
      </c>
      <c r="E3625" t="inlineStr">
        <is>
          <t>NORDANSTIG</t>
        </is>
      </c>
      <c r="F3625" t="inlineStr">
        <is>
          <t>Holmen skog AB</t>
        </is>
      </c>
      <c r="G3625" t="n">
        <v>1.6</v>
      </c>
      <c r="H3625" t="n">
        <v>0</v>
      </c>
      <c r="I3625" t="n">
        <v>0</v>
      </c>
      <c r="J3625" t="n">
        <v>0</v>
      </c>
      <c r="K3625" t="n">
        <v>0</v>
      </c>
      <c r="L3625" t="n">
        <v>0</v>
      </c>
      <c r="M3625" t="n">
        <v>0</v>
      </c>
      <c r="N3625" t="n">
        <v>0</v>
      </c>
      <c r="O3625" t="n">
        <v>0</v>
      </c>
      <c r="P3625" t="n">
        <v>0</v>
      </c>
      <c r="Q3625" t="n">
        <v>0</v>
      </c>
      <c r="R3625" s="2" t="inlineStr"/>
      <c r="U3625">
        <f>HYPERLINK("https://klasma.github.io/Logging_2132/knärot/A 44837-2024 karta knärot.png", "A 44837-2024")</f>
        <v/>
      </c>
      <c r="V3625">
        <f>HYPERLINK("https://klasma.github.io/Logging_2132/klagomål/A 44837-2024 FSC-klagomål.docx", "A 44837-2024")</f>
        <v/>
      </c>
      <c r="W3625">
        <f>HYPERLINK("https://klasma.github.io/Logging_2132/klagomålsmail/A 44837-2024 FSC-klagomål mail.docx", "A 44837-2024")</f>
        <v/>
      </c>
      <c r="X3625">
        <f>HYPERLINK("https://klasma.github.io/Logging_2132/tillsyn/A 44837-2024 tillsynsbegäran.docx", "A 44837-2024")</f>
        <v/>
      </c>
      <c r="Y3625">
        <f>HYPERLINK("https://klasma.github.io/Logging_2132/tillsynsmail/A 44837-2024 tillsynsbegäran mail.docx", "A 44837-2024")</f>
        <v/>
      </c>
    </row>
    <row r="3626" ht="15" customHeight="1">
      <c r="A3626" t="inlineStr">
        <is>
          <t>A 26936-2023</t>
        </is>
      </c>
      <c r="B3626" s="1" t="n">
        <v>45093.62740740741</v>
      </c>
      <c r="C3626" s="1" t="n">
        <v>45883</v>
      </c>
      <c r="D3626" t="inlineStr">
        <is>
          <t>GÄVLEBORGS LÄN</t>
        </is>
      </c>
      <c r="E3626" t="inlineStr">
        <is>
          <t>SÖDERHAMN</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31544-2023</t>
        </is>
      </c>
      <c r="B3627" s="1" t="n">
        <v>45117</v>
      </c>
      <c r="C3627" s="1" t="n">
        <v>45883</v>
      </c>
      <c r="D3627" t="inlineStr">
        <is>
          <t>GÄVLEBORGS LÄN</t>
        </is>
      </c>
      <c r="E3627" t="inlineStr">
        <is>
          <t>GÄVLE</t>
        </is>
      </c>
      <c r="F3627" t="inlineStr">
        <is>
          <t>Bergvik skog väst AB</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64225-2021</t>
        </is>
      </c>
      <c r="B3628" s="1" t="n">
        <v>44510.63287037037</v>
      </c>
      <c r="C3628" s="1" t="n">
        <v>45883</v>
      </c>
      <c r="D3628" t="inlineStr">
        <is>
          <t>GÄVLEBORGS LÄN</t>
        </is>
      </c>
      <c r="E3628" t="inlineStr">
        <is>
          <t>SANDVIKEN</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14606-2025</t>
        </is>
      </c>
      <c r="B3629" s="1" t="n">
        <v>45742.37480324074</v>
      </c>
      <c r="C3629" s="1" t="n">
        <v>45883</v>
      </c>
      <c r="D3629" t="inlineStr">
        <is>
          <t>GÄVLEBORGS LÄN</t>
        </is>
      </c>
      <c r="E3629" t="inlineStr">
        <is>
          <t>GÄVLE</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450-2025</t>
        </is>
      </c>
      <c r="B3630" s="1" t="n">
        <v>45664.39973379629</v>
      </c>
      <c r="C3630" s="1" t="n">
        <v>45883</v>
      </c>
      <c r="D3630" t="inlineStr">
        <is>
          <t>GÄVLEBORGS LÄN</t>
        </is>
      </c>
      <c r="E3630" t="inlineStr">
        <is>
          <t>HUDIKSVALL</t>
        </is>
      </c>
      <c r="G3630" t="n">
        <v>3.4</v>
      </c>
      <c r="H3630" t="n">
        <v>0</v>
      </c>
      <c r="I3630" t="n">
        <v>0</v>
      </c>
      <c r="J3630" t="n">
        <v>0</v>
      </c>
      <c r="K3630" t="n">
        <v>0</v>
      </c>
      <c r="L3630" t="n">
        <v>0</v>
      </c>
      <c r="M3630" t="n">
        <v>0</v>
      </c>
      <c r="N3630" t="n">
        <v>0</v>
      </c>
      <c r="O3630" t="n">
        <v>0</v>
      </c>
      <c r="P3630" t="n">
        <v>0</v>
      </c>
      <c r="Q3630" t="n">
        <v>0</v>
      </c>
      <c r="R3630" s="2" t="inlineStr"/>
    </row>
    <row r="3631" ht="15" customHeight="1">
      <c r="A3631" t="inlineStr">
        <is>
          <t>A 43169-2023</t>
        </is>
      </c>
      <c r="B3631" s="1" t="n">
        <v>45183.3571875</v>
      </c>
      <c r="C3631" s="1" t="n">
        <v>45883</v>
      </c>
      <c r="D3631" t="inlineStr">
        <is>
          <t>GÄVLEBORGS LÄN</t>
        </is>
      </c>
      <c r="E3631" t="inlineStr">
        <is>
          <t>OVANÅKER</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13683-2024</t>
        </is>
      </c>
      <c r="B3632" s="1" t="n">
        <v>45390.55900462963</v>
      </c>
      <c r="C3632" s="1" t="n">
        <v>45883</v>
      </c>
      <c r="D3632" t="inlineStr">
        <is>
          <t>GÄVLEBORGS LÄN</t>
        </is>
      </c>
      <c r="E3632" t="inlineStr">
        <is>
          <t>OVANÅKER</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14172-2024</t>
        </is>
      </c>
      <c r="B3633" s="1" t="n">
        <v>45392</v>
      </c>
      <c r="C3633" s="1" t="n">
        <v>45883</v>
      </c>
      <c r="D3633" t="inlineStr">
        <is>
          <t>GÄVLEBORGS LÄN</t>
        </is>
      </c>
      <c r="E3633" t="inlineStr">
        <is>
          <t>NORDANSTIG</t>
        </is>
      </c>
      <c r="F3633" t="inlineStr">
        <is>
          <t>SCA</t>
        </is>
      </c>
      <c r="G3633" t="n">
        <v>4.2</v>
      </c>
      <c r="H3633" t="n">
        <v>0</v>
      </c>
      <c r="I3633" t="n">
        <v>0</v>
      </c>
      <c r="J3633" t="n">
        <v>0</v>
      </c>
      <c r="K3633" t="n">
        <v>0</v>
      </c>
      <c r="L3633" t="n">
        <v>0</v>
      </c>
      <c r="M3633" t="n">
        <v>0</v>
      </c>
      <c r="N3633" t="n">
        <v>0</v>
      </c>
      <c r="O3633" t="n">
        <v>0</v>
      </c>
      <c r="P3633" t="n">
        <v>0</v>
      </c>
      <c r="Q3633" t="n">
        <v>0</v>
      </c>
      <c r="R3633" s="2" t="inlineStr"/>
    </row>
    <row r="3634" ht="15" customHeight="1">
      <c r="A3634" t="inlineStr">
        <is>
          <t>A 989-2023</t>
        </is>
      </c>
      <c r="B3634" s="1" t="n">
        <v>44935.38945601852</v>
      </c>
      <c r="C3634" s="1" t="n">
        <v>45883</v>
      </c>
      <c r="D3634" t="inlineStr">
        <is>
          <t>GÄVLEBORGS LÄN</t>
        </is>
      </c>
      <c r="E3634" t="inlineStr">
        <is>
          <t>GÄVLE</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39417-2024</t>
        </is>
      </c>
      <c r="B3635" s="1" t="n">
        <v>45551</v>
      </c>
      <c r="C3635" s="1" t="n">
        <v>45883</v>
      </c>
      <c r="D3635" t="inlineStr">
        <is>
          <t>GÄVLEBORGS LÄN</t>
        </is>
      </c>
      <c r="E3635" t="inlineStr">
        <is>
          <t>LJUSDAL</t>
        </is>
      </c>
      <c r="G3635" t="n">
        <v>0.1</v>
      </c>
      <c r="H3635" t="n">
        <v>0</v>
      </c>
      <c r="I3635" t="n">
        <v>0</v>
      </c>
      <c r="J3635" t="n">
        <v>0</v>
      </c>
      <c r="K3635" t="n">
        <v>0</v>
      </c>
      <c r="L3635" t="n">
        <v>0</v>
      </c>
      <c r="M3635" t="n">
        <v>0</v>
      </c>
      <c r="N3635" t="n">
        <v>0</v>
      </c>
      <c r="O3635" t="n">
        <v>0</v>
      </c>
      <c r="P3635" t="n">
        <v>0</v>
      </c>
      <c r="Q3635" t="n">
        <v>0</v>
      </c>
      <c r="R3635" s="2" t="inlineStr"/>
    </row>
    <row r="3636" ht="15" customHeight="1">
      <c r="A3636" t="inlineStr">
        <is>
          <t>A 35590-2023</t>
        </is>
      </c>
      <c r="B3636" s="1" t="n">
        <v>45147</v>
      </c>
      <c r="C3636" s="1" t="n">
        <v>45883</v>
      </c>
      <c r="D3636" t="inlineStr">
        <is>
          <t>GÄVLEBORGS LÄN</t>
        </is>
      </c>
      <c r="E3636" t="inlineStr">
        <is>
          <t>HUDIKSVALL</t>
        </is>
      </c>
      <c r="F3636" t="inlineStr">
        <is>
          <t>Holmen skog AB</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23770-2024</t>
        </is>
      </c>
      <c r="B3637" s="1" t="n">
        <v>45455.38045138889</v>
      </c>
      <c r="C3637" s="1" t="n">
        <v>45883</v>
      </c>
      <c r="D3637" t="inlineStr">
        <is>
          <t>GÄVLEBORGS LÄN</t>
        </is>
      </c>
      <c r="E3637" t="inlineStr">
        <is>
          <t>NORDANSTIG</t>
        </is>
      </c>
      <c r="F3637" t="inlineStr">
        <is>
          <t>Holmen skog AB</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14263-2024</t>
        </is>
      </c>
      <c r="B3638" s="1" t="n">
        <v>45393.55355324074</v>
      </c>
      <c r="C3638" s="1" t="n">
        <v>45883</v>
      </c>
      <c r="D3638" t="inlineStr">
        <is>
          <t>GÄVLEBORGS LÄN</t>
        </is>
      </c>
      <c r="E3638" t="inlineStr">
        <is>
          <t>LJUSDAL</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35683-2023</t>
        </is>
      </c>
      <c r="B3639" s="1" t="n">
        <v>45147</v>
      </c>
      <c r="C3639" s="1" t="n">
        <v>45883</v>
      </c>
      <c r="D3639" t="inlineStr">
        <is>
          <t>GÄVLEBORGS LÄN</t>
        </is>
      </c>
      <c r="E3639" t="inlineStr">
        <is>
          <t>LJUSDAL</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38673-2024</t>
        </is>
      </c>
      <c r="B3640" s="1" t="n">
        <v>45547.33135416666</v>
      </c>
      <c r="C3640" s="1" t="n">
        <v>45883</v>
      </c>
      <c r="D3640" t="inlineStr">
        <is>
          <t>GÄVLEBORGS LÄN</t>
        </is>
      </c>
      <c r="E3640" t="inlineStr">
        <is>
          <t>GÄVLE</t>
        </is>
      </c>
      <c r="F3640" t="inlineStr">
        <is>
          <t>Bergvik skog öst AB</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38687-2024</t>
        </is>
      </c>
      <c r="B3641" s="1" t="n">
        <v>45547</v>
      </c>
      <c r="C3641" s="1" t="n">
        <v>45883</v>
      </c>
      <c r="D3641" t="inlineStr">
        <is>
          <t>GÄVLEBORGS LÄN</t>
        </is>
      </c>
      <c r="E3641" t="inlineStr">
        <is>
          <t>HUDIKSVALL</t>
        </is>
      </c>
      <c r="G3641" t="n">
        <v>8.9</v>
      </c>
      <c r="H3641" t="n">
        <v>0</v>
      </c>
      <c r="I3641" t="n">
        <v>0</v>
      </c>
      <c r="J3641" t="n">
        <v>0</v>
      </c>
      <c r="K3641" t="n">
        <v>0</v>
      </c>
      <c r="L3641" t="n">
        <v>0</v>
      </c>
      <c r="M3641" t="n">
        <v>0</v>
      </c>
      <c r="N3641" t="n">
        <v>0</v>
      </c>
      <c r="O3641" t="n">
        <v>0</v>
      </c>
      <c r="P3641" t="n">
        <v>0</v>
      </c>
      <c r="Q3641" t="n">
        <v>0</v>
      </c>
      <c r="R3641" s="2" t="inlineStr"/>
    </row>
    <row r="3642" ht="15" customHeight="1">
      <c r="A3642" t="inlineStr">
        <is>
          <t>A 60030-2023</t>
        </is>
      </c>
      <c r="B3642" s="1" t="n">
        <v>45258</v>
      </c>
      <c r="C3642" s="1" t="n">
        <v>45883</v>
      </c>
      <c r="D3642" t="inlineStr">
        <is>
          <t>GÄVLEBORGS LÄN</t>
        </is>
      </c>
      <c r="E3642" t="inlineStr">
        <is>
          <t>HUDIKSVALL</t>
        </is>
      </c>
      <c r="F3642" t="inlineStr">
        <is>
          <t>Holmen skog AB</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38703-2024</t>
        </is>
      </c>
      <c r="B3643" s="1" t="n">
        <v>45547</v>
      </c>
      <c r="C3643" s="1" t="n">
        <v>45883</v>
      </c>
      <c r="D3643" t="inlineStr">
        <is>
          <t>GÄVLEBORGS LÄN</t>
        </is>
      </c>
      <c r="E3643" t="inlineStr">
        <is>
          <t>HUDIKSVALL</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30558-2024</t>
        </is>
      </c>
      <c r="B3644" s="1" t="n">
        <v>45492.92803240741</v>
      </c>
      <c r="C3644" s="1" t="n">
        <v>45883</v>
      </c>
      <c r="D3644" t="inlineStr">
        <is>
          <t>GÄVLEBORGS LÄN</t>
        </is>
      </c>
      <c r="E3644" t="inlineStr">
        <is>
          <t>SÖDERHAMN</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30559-2024</t>
        </is>
      </c>
      <c r="B3645" s="1" t="n">
        <v>45492</v>
      </c>
      <c r="C3645" s="1" t="n">
        <v>45883</v>
      </c>
      <c r="D3645" t="inlineStr">
        <is>
          <t>GÄVLEBORGS LÄN</t>
        </is>
      </c>
      <c r="E3645" t="inlineStr">
        <is>
          <t>SÖDERHAMN</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30562-2024</t>
        </is>
      </c>
      <c r="B3646" s="1" t="n">
        <v>45492.92842592593</v>
      </c>
      <c r="C3646" s="1" t="n">
        <v>45883</v>
      </c>
      <c r="D3646" t="inlineStr">
        <is>
          <t>GÄVLEBORGS LÄN</t>
        </is>
      </c>
      <c r="E3646" t="inlineStr">
        <is>
          <t>LJUSDAL</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60839-2023</t>
        </is>
      </c>
      <c r="B3647" s="1" t="n">
        <v>45260.92565972222</v>
      </c>
      <c r="C3647" s="1" t="n">
        <v>45883</v>
      </c>
      <c r="D3647" t="inlineStr">
        <is>
          <t>GÄVLEBORGS LÄN</t>
        </is>
      </c>
      <c r="E3647" t="inlineStr">
        <is>
          <t>NORDANSTIG</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30359-2024</t>
        </is>
      </c>
      <c r="B3648" s="1" t="n">
        <v>45491.34340277778</v>
      </c>
      <c r="C3648" s="1" t="n">
        <v>45883</v>
      </c>
      <c r="D3648" t="inlineStr">
        <is>
          <t>GÄVLEBORGS LÄN</t>
        </is>
      </c>
      <c r="E3648" t="inlineStr">
        <is>
          <t>SÖDERHAMN</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38220-2024</t>
        </is>
      </c>
      <c r="B3649" s="1" t="n">
        <v>45545.53237268519</v>
      </c>
      <c r="C3649" s="1" t="n">
        <v>45883</v>
      </c>
      <c r="D3649" t="inlineStr">
        <is>
          <t>GÄVLEBORGS LÄN</t>
        </is>
      </c>
      <c r="E3649" t="inlineStr">
        <is>
          <t>HUDIKSVALL</t>
        </is>
      </c>
      <c r="F3649" t="inlineStr">
        <is>
          <t>Holmen skog AB</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38241-2024</t>
        </is>
      </c>
      <c r="B3650" s="1" t="n">
        <v>45545.57097222222</v>
      </c>
      <c r="C3650" s="1" t="n">
        <v>45883</v>
      </c>
      <c r="D3650" t="inlineStr">
        <is>
          <t>GÄVLEBORGS LÄN</t>
        </is>
      </c>
      <c r="E3650" t="inlineStr">
        <is>
          <t>NORDANSTIG</t>
        </is>
      </c>
      <c r="F3650" t="inlineStr">
        <is>
          <t>Holmen skog AB</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40091-2023</t>
        </is>
      </c>
      <c r="B3651" s="1" t="n">
        <v>45168.92969907408</v>
      </c>
      <c r="C3651" s="1" t="n">
        <v>45883</v>
      </c>
      <c r="D3651" t="inlineStr">
        <is>
          <t>GÄVLEBORGS LÄN</t>
        </is>
      </c>
      <c r="E3651" t="inlineStr">
        <is>
          <t>GÄVLE</t>
        </is>
      </c>
      <c r="F3651" t="inlineStr">
        <is>
          <t>Bergvik skog väst AB</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58322-2024</t>
        </is>
      </c>
      <c r="B3652" s="1" t="n">
        <v>45632.62454861111</v>
      </c>
      <c r="C3652" s="1" t="n">
        <v>45883</v>
      </c>
      <c r="D3652" t="inlineStr">
        <is>
          <t>GÄVLEBORGS LÄN</t>
        </is>
      </c>
      <c r="E3652" t="inlineStr">
        <is>
          <t>LJUSDAL</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58329-2024</t>
        </is>
      </c>
      <c r="B3653" s="1" t="n">
        <v>45632.62980324074</v>
      </c>
      <c r="C3653" s="1" t="n">
        <v>45883</v>
      </c>
      <c r="D3653" t="inlineStr">
        <is>
          <t>GÄVLEBORGS LÄN</t>
        </is>
      </c>
      <c r="E3653" t="inlineStr">
        <is>
          <t>BOLLNÄS</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39207-2024</t>
        </is>
      </c>
      <c r="B3654" s="1" t="n">
        <v>45548.82506944444</v>
      </c>
      <c r="C3654" s="1" t="n">
        <v>45883</v>
      </c>
      <c r="D3654" t="inlineStr">
        <is>
          <t>GÄVLEBORGS LÄN</t>
        </is>
      </c>
      <c r="E3654" t="inlineStr">
        <is>
          <t>SÖDERHAMN</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38167-2024</t>
        </is>
      </c>
      <c r="B3655" s="1" t="n">
        <v>45545.45190972222</v>
      </c>
      <c r="C3655" s="1" t="n">
        <v>45883</v>
      </c>
      <c r="D3655" t="inlineStr">
        <is>
          <t>GÄVLEBORGS LÄN</t>
        </is>
      </c>
      <c r="E3655" t="inlineStr">
        <is>
          <t>HUDIKSVALL</t>
        </is>
      </c>
      <c r="F3655" t="inlineStr">
        <is>
          <t>Holmen skog AB</t>
        </is>
      </c>
      <c r="G3655" t="n">
        <v>3.8</v>
      </c>
      <c r="H3655" t="n">
        <v>0</v>
      </c>
      <c r="I3655" t="n">
        <v>0</v>
      </c>
      <c r="J3655" t="n">
        <v>0</v>
      </c>
      <c r="K3655" t="n">
        <v>0</v>
      </c>
      <c r="L3655" t="n">
        <v>0</v>
      </c>
      <c r="M3655" t="n">
        <v>0</v>
      </c>
      <c r="N3655" t="n">
        <v>0</v>
      </c>
      <c r="O3655" t="n">
        <v>0</v>
      </c>
      <c r="P3655" t="n">
        <v>0</v>
      </c>
      <c r="Q3655" t="n">
        <v>0</v>
      </c>
      <c r="R3655" s="2" t="inlineStr"/>
    </row>
    <row r="3656" ht="15" customHeight="1">
      <c r="A3656" t="inlineStr">
        <is>
          <t>A 32827-2023</t>
        </is>
      </c>
      <c r="B3656" s="1" t="n">
        <v>45124.57927083333</v>
      </c>
      <c r="C3656" s="1" t="n">
        <v>45883</v>
      </c>
      <c r="D3656" t="inlineStr">
        <is>
          <t>GÄVLEBORGS LÄN</t>
        </is>
      </c>
      <c r="E3656" t="inlineStr">
        <is>
          <t>NORDANSTIG</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60777-2024</t>
        </is>
      </c>
      <c r="B3657" s="1" t="n">
        <v>45644.58909722222</v>
      </c>
      <c r="C3657" s="1" t="n">
        <v>45883</v>
      </c>
      <c r="D3657" t="inlineStr">
        <is>
          <t>GÄVLEBORGS LÄN</t>
        </is>
      </c>
      <c r="E3657" t="inlineStr">
        <is>
          <t>HUDIKSVALL</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38040-2021</t>
        </is>
      </c>
      <c r="B3658" s="1" t="n">
        <v>44404</v>
      </c>
      <c r="C3658" s="1" t="n">
        <v>45883</v>
      </c>
      <c r="D3658" t="inlineStr">
        <is>
          <t>GÄVLEBORGS LÄN</t>
        </is>
      </c>
      <c r="E3658" t="inlineStr">
        <is>
          <t>LJUSDAL</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35073-2023</t>
        </is>
      </c>
      <c r="B3659" s="1" t="n">
        <v>45145.42378472222</v>
      </c>
      <c r="C3659" s="1" t="n">
        <v>45883</v>
      </c>
      <c r="D3659" t="inlineStr">
        <is>
          <t>GÄVLEBORGS LÄN</t>
        </is>
      </c>
      <c r="E3659" t="inlineStr">
        <is>
          <t>BOLLNÄS</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8434-2024</t>
        </is>
      </c>
      <c r="B3660" s="1" t="n">
        <v>45353</v>
      </c>
      <c r="C3660" s="1" t="n">
        <v>45883</v>
      </c>
      <c r="D3660" t="inlineStr">
        <is>
          <t>GÄVLEBORGS LÄN</t>
        </is>
      </c>
      <c r="E3660" t="inlineStr">
        <is>
          <t>HUDIKSVALL</t>
        </is>
      </c>
      <c r="F3660" t="inlineStr">
        <is>
          <t>Holmen skog AB</t>
        </is>
      </c>
      <c r="G3660" t="n">
        <v>10.1</v>
      </c>
      <c r="H3660" t="n">
        <v>0</v>
      </c>
      <c r="I3660" t="n">
        <v>0</v>
      </c>
      <c r="J3660" t="n">
        <v>0</v>
      </c>
      <c r="K3660" t="n">
        <v>0</v>
      </c>
      <c r="L3660" t="n">
        <v>0</v>
      </c>
      <c r="M3660" t="n">
        <v>0</v>
      </c>
      <c r="N3660" t="n">
        <v>0</v>
      </c>
      <c r="O3660" t="n">
        <v>0</v>
      </c>
      <c r="P3660" t="n">
        <v>0</v>
      </c>
      <c r="Q3660" t="n">
        <v>0</v>
      </c>
      <c r="R3660" s="2" t="inlineStr"/>
    </row>
    <row r="3661" ht="15" customHeight="1">
      <c r="A3661" t="inlineStr">
        <is>
          <t>A 5779-2023</t>
        </is>
      </c>
      <c r="B3661" s="1" t="n">
        <v>44963.4146412037</v>
      </c>
      <c r="C3661" s="1" t="n">
        <v>45883</v>
      </c>
      <c r="D3661" t="inlineStr">
        <is>
          <t>GÄVLEBORGS LÄN</t>
        </is>
      </c>
      <c r="E3661" t="inlineStr">
        <is>
          <t>LJUSDAL</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49858-2024</t>
        </is>
      </c>
      <c r="B3662" s="1" t="n">
        <v>45597.46925925926</v>
      </c>
      <c r="C3662" s="1" t="n">
        <v>45883</v>
      </c>
      <c r="D3662" t="inlineStr">
        <is>
          <t>GÄVLEBORGS LÄN</t>
        </is>
      </c>
      <c r="E3662" t="inlineStr">
        <is>
          <t>OVANÅKER</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17875-2025</t>
        </is>
      </c>
      <c r="B3663" s="1" t="n">
        <v>45758.64366898148</v>
      </c>
      <c r="C3663" s="1" t="n">
        <v>45883</v>
      </c>
      <c r="D3663" t="inlineStr">
        <is>
          <t>GÄVLEBORGS LÄN</t>
        </is>
      </c>
      <c r="E3663" t="inlineStr">
        <is>
          <t>SÖDERHAMN</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62095-2023</t>
        </is>
      </c>
      <c r="B3664" s="1" t="n">
        <v>45266</v>
      </c>
      <c r="C3664" s="1" t="n">
        <v>45883</v>
      </c>
      <c r="D3664" t="inlineStr">
        <is>
          <t>GÄVLEBORGS LÄN</t>
        </is>
      </c>
      <c r="E3664" t="inlineStr">
        <is>
          <t>LJUSDAL</t>
        </is>
      </c>
      <c r="G3664" t="n">
        <v>0.2</v>
      </c>
      <c r="H3664" t="n">
        <v>0</v>
      </c>
      <c r="I3664" t="n">
        <v>0</v>
      </c>
      <c r="J3664" t="n">
        <v>0</v>
      </c>
      <c r="K3664" t="n">
        <v>0</v>
      </c>
      <c r="L3664" t="n">
        <v>0</v>
      </c>
      <c r="M3664" t="n">
        <v>0</v>
      </c>
      <c r="N3664" t="n">
        <v>0</v>
      </c>
      <c r="O3664" t="n">
        <v>0</v>
      </c>
      <c r="P3664" t="n">
        <v>0</v>
      </c>
      <c r="Q3664" t="n">
        <v>0</v>
      </c>
      <c r="R3664" s="2" t="inlineStr"/>
    </row>
    <row r="3665" ht="15" customHeight="1">
      <c r="A3665" t="inlineStr">
        <is>
          <t>A 55713-2024</t>
        </is>
      </c>
      <c r="B3665" s="1" t="n">
        <v>45622.70282407408</v>
      </c>
      <c r="C3665" s="1" t="n">
        <v>45883</v>
      </c>
      <c r="D3665" t="inlineStr">
        <is>
          <t>GÄVLEBORGS LÄN</t>
        </is>
      </c>
      <c r="E3665" t="inlineStr">
        <is>
          <t>SÖDERHAMN</t>
        </is>
      </c>
      <c r="G3665" t="n">
        <v>4.5</v>
      </c>
      <c r="H3665" t="n">
        <v>0</v>
      </c>
      <c r="I3665" t="n">
        <v>0</v>
      </c>
      <c r="J3665" t="n">
        <v>0</v>
      </c>
      <c r="K3665" t="n">
        <v>0</v>
      </c>
      <c r="L3665" t="n">
        <v>0</v>
      </c>
      <c r="M3665" t="n">
        <v>0</v>
      </c>
      <c r="N3665" t="n">
        <v>0</v>
      </c>
      <c r="O3665" t="n">
        <v>0</v>
      </c>
      <c r="P3665" t="n">
        <v>0</v>
      </c>
      <c r="Q3665" t="n">
        <v>0</v>
      </c>
      <c r="R3665" s="2" t="inlineStr"/>
    </row>
    <row r="3666" ht="15" customHeight="1">
      <c r="A3666" t="inlineStr">
        <is>
          <t>A 12880-2023</t>
        </is>
      </c>
      <c r="B3666" s="1" t="n">
        <v>45001</v>
      </c>
      <c r="C3666" s="1" t="n">
        <v>45883</v>
      </c>
      <c r="D3666" t="inlineStr">
        <is>
          <t>GÄVLEBORGS LÄN</t>
        </is>
      </c>
      <c r="E3666" t="inlineStr">
        <is>
          <t>HUDIKSVALL</t>
        </is>
      </c>
      <c r="G3666" t="n">
        <v>11.4</v>
      </c>
      <c r="H3666" t="n">
        <v>0</v>
      </c>
      <c r="I3666" t="n">
        <v>0</v>
      </c>
      <c r="J3666" t="n">
        <v>0</v>
      </c>
      <c r="K3666" t="n">
        <v>0</v>
      </c>
      <c r="L3666" t="n">
        <v>0</v>
      </c>
      <c r="M3666" t="n">
        <v>0</v>
      </c>
      <c r="N3666" t="n">
        <v>0</v>
      </c>
      <c r="O3666" t="n">
        <v>0</v>
      </c>
      <c r="P3666" t="n">
        <v>0</v>
      </c>
      <c r="Q3666" t="n">
        <v>0</v>
      </c>
      <c r="R3666" s="2" t="inlineStr"/>
    </row>
    <row r="3667" ht="15" customHeight="1">
      <c r="A3667" t="inlineStr">
        <is>
          <t>A 65195-2023</t>
        </is>
      </c>
      <c r="B3667" s="1" t="n">
        <v>45289.39172453704</v>
      </c>
      <c r="C3667" s="1" t="n">
        <v>45883</v>
      </c>
      <c r="D3667" t="inlineStr">
        <is>
          <t>GÄVLEBORGS LÄN</t>
        </is>
      </c>
      <c r="E3667" t="inlineStr">
        <is>
          <t>HUDIKSVALL</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2651-2024</t>
        </is>
      </c>
      <c r="B3668" s="1" t="n">
        <v>45314.37082175926</v>
      </c>
      <c r="C3668" s="1" t="n">
        <v>45883</v>
      </c>
      <c r="D3668" t="inlineStr">
        <is>
          <t>GÄVLEBORGS LÄN</t>
        </is>
      </c>
      <c r="E3668" t="inlineStr">
        <is>
          <t>HUDIKSVALL</t>
        </is>
      </c>
      <c r="F3668" t="inlineStr">
        <is>
          <t>Holmen skog AB</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28697-2023</t>
        </is>
      </c>
      <c r="B3669" s="1" t="n">
        <v>45103</v>
      </c>
      <c r="C3669" s="1" t="n">
        <v>45883</v>
      </c>
      <c r="D3669" t="inlineStr">
        <is>
          <t>GÄVLEBORGS LÄN</t>
        </is>
      </c>
      <c r="E3669" t="inlineStr">
        <is>
          <t>NORDANSTIG</t>
        </is>
      </c>
      <c r="F3669" t="inlineStr">
        <is>
          <t>Holmen skog AB</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2658-2024</t>
        </is>
      </c>
      <c r="B3670" s="1" t="n">
        <v>45314.37314814814</v>
      </c>
      <c r="C3670" s="1" t="n">
        <v>45883</v>
      </c>
      <c r="D3670" t="inlineStr">
        <is>
          <t>GÄVLEBORGS LÄN</t>
        </is>
      </c>
      <c r="E3670" t="inlineStr">
        <is>
          <t>HUDIKSVALL</t>
        </is>
      </c>
      <c r="F3670" t="inlineStr">
        <is>
          <t>Holmen skog AB</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58918-2022</t>
        </is>
      </c>
      <c r="B3671" s="1" t="n">
        <v>44903.61586805555</v>
      </c>
      <c r="C3671" s="1" t="n">
        <v>45883</v>
      </c>
      <c r="D3671" t="inlineStr">
        <is>
          <t>GÄVLEBORGS LÄN</t>
        </is>
      </c>
      <c r="E3671" t="inlineStr">
        <is>
          <t>OVANÅKER</t>
        </is>
      </c>
      <c r="F3671" t="inlineStr">
        <is>
          <t>Bergvik skog väst AB</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63865-2023</t>
        </is>
      </c>
      <c r="B3672" s="1" t="n">
        <v>45278.50369212963</v>
      </c>
      <c r="C3672" s="1" t="n">
        <v>45883</v>
      </c>
      <c r="D3672" t="inlineStr">
        <is>
          <t>GÄVLEBORGS LÄN</t>
        </is>
      </c>
      <c r="E3672" t="inlineStr">
        <is>
          <t>BOLLNÄS</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63868-2023</t>
        </is>
      </c>
      <c r="B3673" s="1" t="n">
        <v>45278.50765046296</v>
      </c>
      <c r="C3673" s="1" t="n">
        <v>45883</v>
      </c>
      <c r="D3673" t="inlineStr">
        <is>
          <t>GÄVLEBORGS LÄN</t>
        </is>
      </c>
      <c r="E3673" t="inlineStr">
        <is>
          <t>BOLLNÄS</t>
        </is>
      </c>
      <c r="G3673" t="n">
        <v>0.3</v>
      </c>
      <c r="H3673" t="n">
        <v>0</v>
      </c>
      <c r="I3673" t="n">
        <v>0</v>
      </c>
      <c r="J3673" t="n">
        <v>0</v>
      </c>
      <c r="K3673" t="n">
        <v>0</v>
      </c>
      <c r="L3673" t="n">
        <v>0</v>
      </c>
      <c r="M3673" t="n">
        <v>0</v>
      </c>
      <c r="N3673" t="n">
        <v>0</v>
      </c>
      <c r="O3673" t="n">
        <v>0</v>
      </c>
      <c r="P3673" t="n">
        <v>0</v>
      </c>
      <c r="Q3673" t="n">
        <v>0</v>
      </c>
      <c r="R3673" s="2" t="inlineStr"/>
    </row>
    <row r="3674" ht="15" customHeight="1">
      <c r="A3674" t="inlineStr">
        <is>
          <t>A 23378-2022</t>
        </is>
      </c>
      <c r="B3674" s="1" t="n">
        <v>44720</v>
      </c>
      <c r="C3674" s="1" t="n">
        <v>45883</v>
      </c>
      <c r="D3674" t="inlineStr">
        <is>
          <t>GÄVLEBORGS LÄN</t>
        </is>
      </c>
      <c r="E3674" t="inlineStr">
        <is>
          <t>BOLLNÄS</t>
        </is>
      </c>
      <c r="G3674" t="n">
        <v>5.2</v>
      </c>
      <c r="H3674" t="n">
        <v>0</v>
      </c>
      <c r="I3674" t="n">
        <v>0</v>
      </c>
      <c r="J3674" t="n">
        <v>0</v>
      </c>
      <c r="K3674" t="n">
        <v>0</v>
      </c>
      <c r="L3674" t="n">
        <v>0</v>
      </c>
      <c r="M3674" t="n">
        <v>0</v>
      </c>
      <c r="N3674" t="n">
        <v>0</v>
      </c>
      <c r="O3674" t="n">
        <v>0</v>
      </c>
      <c r="P3674" t="n">
        <v>0</v>
      </c>
      <c r="Q3674" t="n">
        <v>0</v>
      </c>
      <c r="R3674" s="2" t="inlineStr"/>
    </row>
    <row r="3675" ht="15" customHeight="1">
      <c r="A3675" t="inlineStr">
        <is>
          <t>A 44681-2024</t>
        </is>
      </c>
      <c r="B3675" s="1" t="n">
        <v>45574.54585648148</v>
      </c>
      <c r="C3675" s="1" t="n">
        <v>45883</v>
      </c>
      <c r="D3675" t="inlineStr">
        <is>
          <t>GÄVLEBORGS LÄN</t>
        </is>
      </c>
      <c r="E3675" t="inlineStr">
        <is>
          <t>SÖDERHAMN</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44682-2024</t>
        </is>
      </c>
      <c r="B3676" s="1" t="n">
        <v>45574.54673611111</v>
      </c>
      <c r="C3676" s="1" t="n">
        <v>45883</v>
      </c>
      <c r="D3676" t="inlineStr">
        <is>
          <t>GÄVLEBORGS LÄN</t>
        </is>
      </c>
      <c r="E3676" t="inlineStr">
        <is>
          <t>BOLLNÄS</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39373-2024</t>
        </is>
      </c>
      <c r="B3677" s="1" t="n">
        <v>45551.48148148148</v>
      </c>
      <c r="C3677" s="1" t="n">
        <v>45883</v>
      </c>
      <c r="D3677" t="inlineStr">
        <is>
          <t>GÄVLEBORGS LÄN</t>
        </is>
      </c>
      <c r="E3677" t="inlineStr">
        <is>
          <t>OVANÅKER</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58942-2022</t>
        </is>
      </c>
      <c r="B3678" s="1" t="n">
        <v>44903</v>
      </c>
      <c r="C3678" s="1" t="n">
        <v>45883</v>
      </c>
      <c r="D3678" t="inlineStr">
        <is>
          <t>GÄVLEBORGS LÄN</t>
        </is>
      </c>
      <c r="E3678" t="inlineStr">
        <is>
          <t>HUDIKSVALL</t>
        </is>
      </c>
      <c r="F3678" t="inlineStr">
        <is>
          <t>Holmen skog AB</t>
        </is>
      </c>
      <c r="G3678" t="n">
        <v>5.7</v>
      </c>
      <c r="H3678" t="n">
        <v>0</v>
      </c>
      <c r="I3678" t="n">
        <v>0</v>
      </c>
      <c r="J3678" t="n">
        <v>0</v>
      </c>
      <c r="K3678" t="n">
        <v>0</v>
      </c>
      <c r="L3678" t="n">
        <v>0</v>
      </c>
      <c r="M3678" t="n">
        <v>0</v>
      </c>
      <c r="N3678" t="n">
        <v>0</v>
      </c>
      <c r="O3678" t="n">
        <v>0</v>
      </c>
      <c r="P3678" t="n">
        <v>0</v>
      </c>
      <c r="Q3678" t="n">
        <v>0</v>
      </c>
      <c r="R3678" s="2" t="inlineStr"/>
    </row>
    <row r="3679" ht="15" customHeight="1">
      <c r="A3679" t="inlineStr">
        <is>
          <t>A 30292-2024</t>
        </is>
      </c>
      <c r="B3679" s="1" t="n">
        <v>45490</v>
      </c>
      <c r="C3679" s="1" t="n">
        <v>45883</v>
      </c>
      <c r="D3679" t="inlineStr">
        <is>
          <t>GÄVLEBORGS LÄN</t>
        </is>
      </c>
      <c r="E3679" t="inlineStr">
        <is>
          <t>LJUSDAL</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5296-2022</t>
        </is>
      </c>
      <c r="B3680" s="1" t="n">
        <v>44594</v>
      </c>
      <c r="C3680" s="1" t="n">
        <v>45883</v>
      </c>
      <c r="D3680" t="inlineStr">
        <is>
          <t>GÄVLEBORGS LÄN</t>
        </is>
      </c>
      <c r="E3680" t="inlineStr">
        <is>
          <t>BOLLNÄS</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44856-2024</t>
        </is>
      </c>
      <c r="B3681" s="1" t="n">
        <v>45575.25853009259</v>
      </c>
      <c r="C3681" s="1" t="n">
        <v>45883</v>
      </c>
      <c r="D3681" t="inlineStr">
        <is>
          <t>GÄVLEBORGS LÄN</t>
        </is>
      </c>
      <c r="E3681" t="inlineStr">
        <is>
          <t>LJUSDAL</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23374-2024</t>
        </is>
      </c>
      <c r="B3682" s="1" t="n">
        <v>45453.55642361111</v>
      </c>
      <c r="C3682" s="1" t="n">
        <v>45883</v>
      </c>
      <c r="D3682" t="inlineStr">
        <is>
          <t>GÄVLEBORGS LÄN</t>
        </is>
      </c>
      <c r="E3682" t="inlineStr">
        <is>
          <t>LJUSDAL</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23386-2024</t>
        </is>
      </c>
      <c r="B3683" s="1" t="n">
        <v>45453.56219907408</v>
      </c>
      <c r="C3683" s="1" t="n">
        <v>45883</v>
      </c>
      <c r="D3683" t="inlineStr">
        <is>
          <t>GÄVLEBORGS LÄN</t>
        </is>
      </c>
      <c r="E3683" t="inlineStr">
        <is>
          <t>LJUSDAL</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24992-2024</t>
        </is>
      </c>
      <c r="B3684" s="1" t="n">
        <v>45461</v>
      </c>
      <c r="C3684" s="1" t="n">
        <v>45883</v>
      </c>
      <c r="D3684" t="inlineStr">
        <is>
          <t>GÄVLEBORGS LÄN</t>
        </is>
      </c>
      <c r="E3684" t="inlineStr">
        <is>
          <t>BOLLNÄS</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26721-2024</t>
        </is>
      </c>
      <c r="B3685" s="1" t="n">
        <v>45470.41822916667</v>
      </c>
      <c r="C3685" s="1" t="n">
        <v>45883</v>
      </c>
      <c r="D3685" t="inlineStr">
        <is>
          <t>GÄVLEBORGS LÄN</t>
        </is>
      </c>
      <c r="E3685" t="inlineStr">
        <is>
          <t>LJUSDAL</t>
        </is>
      </c>
      <c r="F3685" t="inlineStr">
        <is>
          <t>Bergvik skog väst AB</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4301-2023</t>
        </is>
      </c>
      <c r="B3686" s="1" t="n">
        <v>44953</v>
      </c>
      <c r="C3686" s="1" t="n">
        <v>45883</v>
      </c>
      <c r="D3686" t="inlineStr">
        <is>
          <t>GÄVLEBORGS LÄN</t>
        </is>
      </c>
      <c r="E3686" t="inlineStr">
        <is>
          <t>HUDIKSVALL</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24691-2024</t>
        </is>
      </c>
      <c r="B3687" s="1" t="n">
        <v>45460.60364583333</v>
      </c>
      <c r="C3687" s="1" t="n">
        <v>45883</v>
      </c>
      <c r="D3687" t="inlineStr">
        <is>
          <t>GÄVLEBORGS LÄN</t>
        </is>
      </c>
      <c r="E3687" t="inlineStr">
        <is>
          <t>LJUSDAL</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19718-2025</t>
        </is>
      </c>
      <c r="B3688" s="1" t="n">
        <v>45771.35664351852</v>
      </c>
      <c r="C3688" s="1" t="n">
        <v>45883</v>
      </c>
      <c r="D3688" t="inlineStr">
        <is>
          <t>GÄVLEBORGS LÄN</t>
        </is>
      </c>
      <c r="E3688" t="inlineStr">
        <is>
          <t>LJUSDAL</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22347-2024</t>
        </is>
      </c>
      <c r="B3689" s="1" t="n">
        <v>45446.61068287037</v>
      </c>
      <c r="C3689" s="1" t="n">
        <v>45883</v>
      </c>
      <c r="D3689" t="inlineStr">
        <is>
          <t>GÄVLEBORGS LÄN</t>
        </is>
      </c>
      <c r="E3689" t="inlineStr">
        <is>
          <t>OVANÅKER</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31011-2023</t>
        </is>
      </c>
      <c r="B3690" s="1" t="n">
        <v>45113</v>
      </c>
      <c r="C3690" s="1" t="n">
        <v>45883</v>
      </c>
      <c r="D3690" t="inlineStr">
        <is>
          <t>GÄVLEBORGS LÄN</t>
        </is>
      </c>
      <c r="E3690" t="inlineStr">
        <is>
          <t>GÄVLE</t>
        </is>
      </c>
      <c r="G3690" t="n">
        <v>5.2</v>
      </c>
      <c r="H3690" t="n">
        <v>0</v>
      </c>
      <c r="I3690" t="n">
        <v>0</v>
      </c>
      <c r="J3690" t="n">
        <v>0</v>
      </c>
      <c r="K3690" t="n">
        <v>0</v>
      </c>
      <c r="L3690" t="n">
        <v>0</v>
      </c>
      <c r="M3690" t="n">
        <v>0</v>
      </c>
      <c r="N3690" t="n">
        <v>0</v>
      </c>
      <c r="O3690" t="n">
        <v>0</v>
      </c>
      <c r="P3690" t="n">
        <v>0</v>
      </c>
      <c r="Q3690" t="n">
        <v>0</v>
      </c>
      <c r="R3690" s="2" t="inlineStr"/>
    </row>
    <row r="3691" ht="15" customHeight="1">
      <c r="A3691" t="inlineStr">
        <is>
          <t>A 50345-2022</t>
        </is>
      </c>
      <c r="B3691" s="1" t="n">
        <v>44866.26518518518</v>
      </c>
      <c r="C3691" s="1" t="n">
        <v>45883</v>
      </c>
      <c r="D3691" t="inlineStr">
        <is>
          <t>GÄVLEBORGS LÄN</t>
        </is>
      </c>
      <c r="E3691" t="inlineStr">
        <is>
          <t>LJUSDAL</t>
        </is>
      </c>
      <c r="F3691" t="inlineStr">
        <is>
          <t>Holmen skog AB</t>
        </is>
      </c>
      <c r="G3691" t="n">
        <v>10.1</v>
      </c>
      <c r="H3691" t="n">
        <v>0</v>
      </c>
      <c r="I3691" t="n">
        <v>0</v>
      </c>
      <c r="J3691" t="n">
        <v>0</v>
      </c>
      <c r="K3691" t="n">
        <v>0</v>
      </c>
      <c r="L3691" t="n">
        <v>0</v>
      </c>
      <c r="M3691" t="n">
        <v>0</v>
      </c>
      <c r="N3691" t="n">
        <v>0</v>
      </c>
      <c r="O3691" t="n">
        <v>0</v>
      </c>
      <c r="P3691" t="n">
        <v>0</v>
      </c>
      <c r="Q3691" t="n">
        <v>0</v>
      </c>
      <c r="R3691" s="2" t="inlineStr"/>
    </row>
    <row r="3692" ht="15" customHeight="1">
      <c r="A3692" t="inlineStr">
        <is>
          <t>A 35029-2024</t>
        </is>
      </c>
      <c r="B3692" s="1" t="n">
        <v>45527.6052662037</v>
      </c>
      <c r="C3692" s="1" t="n">
        <v>45883</v>
      </c>
      <c r="D3692" t="inlineStr">
        <is>
          <t>GÄVLEBORGS LÄN</t>
        </is>
      </c>
      <c r="E3692" t="inlineStr">
        <is>
          <t>LJUSDAL</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8308-2024</t>
        </is>
      </c>
      <c r="B3693" s="1" t="n">
        <v>45352</v>
      </c>
      <c r="C3693" s="1" t="n">
        <v>45883</v>
      </c>
      <c r="D3693" t="inlineStr">
        <is>
          <t>GÄVLEBORGS LÄN</t>
        </is>
      </c>
      <c r="E3693" t="inlineStr">
        <is>
          <t>BOLLNÄS</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24881-2021</t>
        </is>
      </c>
      <c r="B3694" s="1" t="n">
        <v>44341.32192129629</v>
      </c>
      <c r="C3694" s="1" t="n">
        <v>45883</v>
      </c>
      <c r="D3694" t="inlineStr">
        <is>
          <t>GÄVLEBORGS LÄN</t>
        </is>
      </c>
      <c r="E3694" t="inlineStr">
        <is>
          <t>LJUSDAL</t>
        </is>
      </c>
      <c r="F3694" t="inlineStr">
        <is>
          <t>Kommuner</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31123-2021</t>
        </is>
      </c>
      <c r="B3695" s="1" t="n">
        <v>44368</v>
      </c>
      <c r="C3695" s="1" t="n">
        <v>45883</v>
      </c>
      <c r="D3695" t="inlineStr">
        <is>
          <t>GÄVLEBORGS LÄN</t>
        </is>
      </c>
      <c r="E3695" t="inlineStr">
        <is>
          <t>HOFORS</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16594-2024</t>
        </is>
      </c>
      <c r="B3696" s="1" t="n">
        <v>45408.51733796296</v>
      </c>
      <c r="C3696" s="1" t="n">
        <v>45883</v>
      </c>
      <c r="D3696" t="inlineStr">
        <is>
          <t>GÄVLEBORGS LÄN</t>
        </is>
      </c>
      <c r="E3696" t="inlineStr">
        <is>
          <t>HUDIKSVALL</t>
        </is>
      </c>
      <c r="G3696" t="n">
        <v>11.8</v>
      </c>
      <c r="H3696" t="n">
        <v>0</v>
      </c>
      <c r="I3696" t="n">
        <v>0</v>
      </c>
      <c r="J3696" t="n">
        <v>0</v>
      </c>
      <c r="K3696" t="n">
        <v>0</v>
      </c>
      <c r="L3696" t="n">
        <v>0</v>
      </c>
      <c r="M3696" t="n">
        <v>0</v>
      </c>
      <c r="N3696" t="n">
        <v>0</v>
      </c>
      <c r="O3696" t="n">
        <v>0</v>
      </c>
      <c r="P3696" t="n">
        <v>0</v>
      </c>
      <c r="Q3696" t="n">
        <v>0</v>
      </c>
      <c r="R3696" s="2" t="inlineStr"/>
    </row>
    <row r="3697" ht="15" customHeight="1">
      <c r="A3697" t="inlineStr">
        <is>
          <t>A 8496-2024</t>
        </is>
      </c>
      <c r="B3697" s="1" t="n">
        <v>45355.44675925926</v>
      </c>
      <c r="C3697" s="1" t="n">
        <v>45883</v>
      </c>
      <c r="D3697" t="inlineStr">
        <is>
          <t>GÄVLEBORGS LÄN</t>
        </is>
      </c>
      <c r="E3697" t="inlineStr">
        <is>
          <t>HUDIKSVALL</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55281-2023</t>
        </is>
      </c>
      <c r="B3698" s="1" t="n">
        <v>45237.71347222223</v>
      </c>
      <c r="C3698" s="1" t="n">
        <v>45883</v>
      </c>
      <c r="D3698" t="inlineStr">
        <is>
          <t>GÄVLEBORGS LÄN</t>
        </is>
      </c>
      <c r="E3698" t="inlineStr">
        <is>
          <t>OVANÅKER</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36378-2023</t>
        </is>
      </c>
      <c r="B3699" s="1" t="n">
        <v>45152.51251157407</v>
      </c>
      <c r="C3699" s="1" t="n">
        <v>45883</v>
      </c>
      <c r="D3699" t="inlineStr">
        <is>
          <t>GÄVLEBORGS LÄN</t>
        </is>
      </c>
      <c r="E3699" t="inlineStr">
        <is>
          <t>LJUSDAL</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16327-2023</t>
        </is>
      </c>
      <c r="B3700" s="1" t="n">
        <v>45028</v>
      </c>
      <c r="C3700" s="1" t="n">
        <v>45883</v>
      </c>
      <c r="D3700" t="inlineStr">
        <is>
          <t>GÄVLEBORGS LÄN</t>
        </is>
      </c>
      <c r="E3700" t="inlineStr">
        <is>
          <t>HUDIKSVALL</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12893-2024</t>
        </is>
      </c>
      <c r="B3701" s="1" t="n">
        <v>45385.36851851852</v>
      </c>
      <c r="C3701" s="1" t="n">
        <v>45883</v>
      </c>
      <c r="D3701" t="inlineStr">
        <is>
          <t>GÄVLEBORGS LÄN</t>
        </is>
      </c>
      <c r="E3701" t="inlineStr">
        <is>
          <t>HUDIKSVALL</t>
        </is>
      </c>
      <c r="F3701" t="inlineStr">
        <is>
          <t>Holmen skog AB</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60190-2023</t>
        </is>
      </c>
      <c r="B3702" s="1" t="n">
        <v>45258.57988425926</v>
      </c>
      <c r="C3702" s="1" t="n">
        <v>45883</v>
      </c>
      <c r="D3702" t="inlineStr">
        <is>
          <t>GÄVLEBORGS LÄN</t>
        </is>
      </c>
      <c r="E3702" t="inlineStr">
        <is>
          <t>HUDIKSVALL</t>
        </is>
      </c>
      <c r="F3702" t="inlineStr">
        <is>
          <t>Holmen skog AB</t>
        </is>
      </c>
      <c r="G3702" t="n">
        <v>0.3</v>
      </c>
      <c r="H3702" t="n">
        <v>0</v>
      </c>
      <c r="I3702" t="n">
        <v>0</v>
      </c>
      <c r="J3702" t="n">
        <v>0</v>
      </c>
      <c r="K3702" t="n">
        <v>0</v>
      </c>
      <c r="L3702" t="n">
        <v>0</v>
      </c>
      <c r="M3702" t="n">
        <v>0</v>
      </c>
      <c r="N3702" t="n">
        <v>0</v>
      </c>
      <c r="O3702" t="n">
        <v>0</v>
      </c>
      <c r="P3702" t="n">
        <v>0</v>
      </c>
      <c r="Q3702" t="n">
        <v>0</v>
      </c>
      <c r="R3702" s="2" t="inlineStr"/>
    </row>
    <row r="3703" ht="15" customHeight="1">
      <c r="A3703" t="inlineStr">
        <is>
          <t>A 60192-2023</t>
        </is>
      </c>
      <c r="B3703" s="1" t="n">
        <v>45258</v>
      </c>
      <c r="C3703" s="1" t="n">
        <v>45883</v>
      </c>
      <c r="D3703" t="inlineStr">
        <is>
          <t>GÄVLEBORGS LÄN</t>
        </is>
      </c>
      <c r="E3703" t="inlineStr">
        <is>
          <t>HUDIKSVALL</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25268-2024</t>
        </is>
      </c>
      <c r="B3704" s="1" t="n">
        <v>45462.62112268519</v>
      </c>
      <c r="C3704" s="1" t="n">
        <v>45883</v>
      </c>
      <c r="D3704" t="inlineStr">
        <is>
          <t>GÄVLEBORGS LÄN</t>
        </is>
      </c>
      <c r="E3704" t="inlineStr">
        <is>
          <t>HUDIKSVALL</t>
        </is>
      </c>
      <c r="F3704" t="inlineStr">
        <is>
          <t>Holmen skog AB</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25273-2024</t>
        </is>
      </c>
      <c r="B3705" s="1" t="n">
        <v>45462</v>
      </c>
      <c r="C3705" s="1" t="n">
        <v>45883</v>
      </c>
      <c r="D3705" t="inlineStr">
        <is>
          <t>GÄVLEBORGS LÄN</t>
        </is>
      </c>
      <c r="E3705" t="inlineStr">
        <is>
          <t>NORDANSTIG</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57949-2023</t>
        </is>
      </c>
      <c r="B3706" s="1" t="n">
        <v>45244</v>
      </c>
      <c r="C3706" s="1" t="n">
        <v>45883</v>
      </c>
      <c r="D3706" t="inlineStr">
        <is>
          <t>GÄVLEBORGS LÄN</t>
        </is>
      </c>
      <c r="E3706" t="inlineStr">
        <is>
          <t>HUDIKSVALL</t>
        </is>
      </c>
      <c r="G3706" t="n">
        <v>3.9</v>
      </c>
      <c r="H3706" t="n">
        <v>0</v>
      </c>
      <c r="I3706" t="n">
        <v>0</v>
      </c>
      <c r="J3706" t="n">
        <v>0</v>
      </c>
      <c r="K3706" t="n">
        <v>0</v>
      </c>
      <c r="L3706" t="n">
        <v>0</v>
      </c>
      <c r="M3706" t="n">
        <v>0</v>
      </c>
      <c r="N3706" t="n">
        <v>0</v>
      </c>
      <c r="O3706" t="n">
        <v>0</v>
      </c>
      <c r="P3706" t="n">
        <v>0</v>
      </c>
      <c r="Q3706" t="n">
        <v>0</v>
      </c>
      <c r="R3706" s="2" t="inlineStr"/>
    </row>
    <row r="3707" ht="15" customHeight="1">
      <c r="A3707" t="inlineStr">
        <is>
          <t>A 41230-2024</t>
        </is>
      </c>
      <c r="B3707" s="1" t="n">
        <v>45559.56349537037</v>
      </c>
      <c r="C3707" s="1" t="n">
        <v>45883</v>
      </c>
      <c r="D3707" t="inlineStr">
        <is>
          <t>GÄVLEBORGS LÄN</t>
        </is>
      </c>
      <c r="E3707" t="inlineStr">
        <is>
          <t>HUDIKSVALL</t>
        </is>
      </c>
      <c r="F3707" t="inlineStr">
        <is>
          <t>Holmen skog AB</t>
        </is>
      </c>
      <c r="G3707" t="n">
        <v>5.9</v>
      </c>
      <c r="H3707" t="n">
        <v>0</v>
      </c>
      <c r="I3707" t="n">
        <v>0</v>
      </c>
      <c r="J3707" t="n">
        <v>0</v>
      </c>
      <c r="K3707" t="n">
        <v>0</v>
      </c>
      <c r="L3707" t="n">
        <v>0</v>
      </c>
      <c r="M3707" t="n">
        <v>0</v>
      </c>
      <c r="N3707" t="n">
        <v>0</v>
      </c>
      <c r="O3707" t="n">
        <v>0</v>
      </c>
      <c r="P3707" t="n">
        <v>0</v>
      </c>
      <c r="Q3707" t="n">
        <v>0</v>
      </c>
      <c r="R3707" s="2" t="inlineStr"/>
    </row>
    <row r="3708" ht="15" customHeight="1">
      <c r="A3708" t="inlineStr">
        <is>
          <t>A 50968-2024</t>
        </is>
      </c>
      <c r="B3708" s="1" t="n">
        <v>45603.33167824074</v>
      </c>
      <c r="C3708" s="1" t="n">
        <v>45883</v>
      </c>
      <c r="D3708" t="inlineStr">
        <is>
          <t>GÄVLEBORGS LÄN</t>
        </is>
      </c>
      <c r="E3708" t="inlineStr">
        <is>
          <t>OCKELBO</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6101-2023</t>
        </is>
      </c>
      <c r="B3709" s="1" t="n">
        <v>44964.58362268518</v>
      </c>
      <c r="C3709" s="1" t="n">
        <v>45883</v>
      </c>
      <c r="D3709" t="inlineStr">
        <is>
          <t>GÄVLEBORGS LÄN</t>
        </is>
      </c>
      <c r="E3709" t="inlineStr">
        <is>
          <t>SANDVIKEN</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48369-2022</t>
        </is>
      </c>
      <c r="B3710" s="1" t="n">
        <v>44858.58332175926</v>
      </c>
      <c r="C3710" s="1" t="n">
        <v>45883</v>
      </c>
      <c r="D3710" t="inlineStr">
        <is>
          <t>GÄVLEBORGS LÄN</t>
        </is>
      </c>
      <c r="E3710" t="inlineStr">
        <is>
          <t>OVANÅKER</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51413-2023</t>
        </is>
      </c>
      <c r="B3711" s="1" t="n">
        <v>45219</v>
      </c>
      <c r="C3711" s="1" t="n">
        <v>45883</v>
      </c>
      <c r="D3711" t="inlineStr">
        <is>
          <t>GÄVLEBORGS LÄN</t>
        </is>
      </c>
      <c r="E3711" t="inlineStr">
        <is>
          <t>SÖDERHAMN</t>
        </is>
      </c>
      <c r="F3711" t="inlineStr">
        <is>
          <t>Kommuner</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37386-2023</t>
        </is>
      </c>
      <c r="B3712" s="1" t="n">
        <v>45156</v>
      </c>
      <c r="C3712" s="1" t="n">
        <v>45883</v>
      </c>
      <c r="D3712" t="inlineStr">
        <is>
          <t>GÄVLEBORGS LÄN</t>
        </is>
      </c>
      <c r="E3712" t="inlineStr">
        <is>
          <t>OCKELBO</t>
        </is>
      </c>
      <c r="F3712" t="inlineStr">
        <is>
          <t>Bergvik skog väst AB</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7369-2023</t>
        </is>
      </c>
      <c r="B3713" s="1" t="n">
        <v>44966</v>
      </c>
      <c r="C3713" s="1" t="n">
        <v>45883</v>
      </c>
      <c r="D3713" t="inlineStr">
        <is>
          <t>GÄVLEBORGS LÄN</t>
        </is>
      </c>
      <c r="E3713" t="inlineStr">
        <is>
          <t>HUDIKSVALL</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52729-2023</t>
        </is>
      </c>
      <c r="B3714" s="1" t="n">
        <v>45225.92707175926</v>
      </c>
      <c r="C3714" s="1" t="n">
        <v>45883</v>
      </c>
      <c r="D3714" t="inlineStr">
        <is>
          <t>GÄVLEBORGS LÄN</t>
        </is>
      </c>
      <c r="E3714" t="inlineStr">
        <is>
          <t>LJUSDAL</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5413-2023</t>
        </is>
      </c>
      <c r="B3715" s="1" t="n">
        <v>44959.72408564815</v>
      </c>
      <c r="C3715" s="1" t="n">
        <v>45883</v>
      </c>
      <c r="D3715" t="inlineStr">
        <is>
          <t>GÄVLEBORGS LÄN</t>
        </is>
      </c>
      <c r="E3715" t="inlineStr">
        <is>
          <t>GÄVLE</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32007-2024</t>
        </is>
      </c>
      <c r="B3716" s="1" t="n">
        <v>45510.60719907407</v>
      </c>
      <c r="C3716" s="1" t="n">
        <v>45883</v>
      </c>
      <c r="D3716" t="inlineStr">
        <is>
          <t>GÄVLEBORGS LÄN</t>
        </is>
      </c>
      <c r="E3716" t="inlineStr">
        <is>
          <t>HUDIKSVALL</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15372-2024</t>
        </is>
      </c>
      <c r="B3717" s="1" t="n">
        <v>45400.92311342592</v>
      </c>
      <c r="C3717" s="1" t="n">
        <v>45883</v>
      </c>
      <c r="D3717" t="inlineStr">
        <is>
          <t>GÄVLEBORGS LÄN</t>
        </is>
      </c>
      <c r="E3717" t="inlineStr">
        <is>
          <t>LJUSDAL</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44905-2024</t>
        </is>
      </c>
      <c r="B3718" s="1" t="n">
        <v>45575.38402777778</v>
      </c>
      <c r="C3718" s="1" t="n">
        <v>45883</v>
      </c>
      <c r="D3718" t="inlineStr">
        <is>
          <t>GÄVLEBORGS LÄN</t>
        </is>
      </c>
      <c r="E3718" t="inlineStr">
        <is>
          <t>OVANÅKER</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50740-2023</t>
        </is>
      </c>
      <c r="B3719" s="1" t="n">
        <v>45217.58702546296</v>
      </c>
      <c r="C3719" s="1" t="n">
        <v>45883</v>
      </c>
      <c r="D3719" t="inlineStr">
        <is>
          <t>GÄVLEBORGS LÄN</t>
        </is>
      </c>
      <c r="E3719" t="inlineStr">
        <is>
          <t>OVANÅKER</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11346-2025</t>
        </is>
      </c>
      <c r="B3720" s="1" t="n">
        <v>45726.50033564815</v>
      </c>
      <c r="C3720" s="1" t="n">
        <v>45883</v>
      </c>
      <c r="D3720" t="inlineStr">
        <is>
          <t>GÄVLEBORGS LÄN</t>
        </is>
      </c>
      <c r="E3720" t="inlineStr">
        <is>
          <t>GÄVLE</t>
        </is>
      </c>
      <c r="F3720" t="inlineStr">
        <is>
          <t>Bergvik skog öst AB</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29813-2023</t>
        </is>
      </c>
      <c r="B3721" s="1" t="n">
        <v>45107.55283564814</v>
      </c>
      <c r="C3721" s="1" t="n">
        <v>45883</v>
      </c>
      <c r="D3721" t="inlineStr">
        <is>
          <t>GÄVLEBORGS LÄN</t>
        </is>
      </c>
      <c r="E3721" t="inlineStr">
        <is>
          <t>SÖDERHAMN</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24096-2023</t>
        </is>
      </c>
      <c r="B3722" s="1" t="n">
        <v>45079.43686342592</v>
      </c>
      <c r="C3722" s="1" t="n">
        <v>45883</v>
      </c>
      <c r="D3722" t="inlineStr">
        <is>
          <t>GÄVLEBORGS LÄN</t>
        </is>
      </c>
      <c r="E3722" t="inlineStr">
        <is>
          <t>NORDANSTIG</t>
        </is>
      </c>
      <c r="F3722" t="inlineStr">
        <is>
          <t>Holmen skog AB</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7362-2025</t>
        </is>
      </c>
      <c r="B3723" s="1" t="n">
        <v>45704.64761574074</v>
      </c>
      <c r="C3723" s="1" t="n">
        <v>45883</v>
      </c>
      <c r="D3723" t="inlineStr">
        <is>
          <t>GÄVLEBORGS LÄN</t>
        </is>
      </c>
      <c r="E3723" t="inlineStr">
        <is>
          <t>GÄVLE</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58423-2022</t>
        </is>
      </c>
      <c r="B3724" s="1" t="n">
        <v>44901.92490740741</v>
      </c>
      <c r="C3724" s="1" t="n">
        <v>45883</v>
      </c>
      <c r="D3724" t="inlineStr">
        <is>
          <t>GÄVLEBORGS LÄN</t>
        </is>
      </c>
      <c r="E3724" t="inlineStr">
        <is>
          <t>HUDIKSVALL</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24106-2023</t>
        </is>
      </c>
      <c r="B3725" s="1" t="n">
        <v>45079.46560185185</v>
      </c>
      <c r="C3725" s="1" t="n">
        <v>45883</v>
      </c>
      <c r="D3725" t="inlineStr">
        <is>
          <t>GÄVLEBORGS LÄN</t>
        </is>
      </c>
      <c r="E3725" t="inlineStr">
        <is>
          <t>NORDANSTIG</t>
        </is>
      </c>
      <c r="F3725" t="inlineStr">
        <is>
          <t>Holmen skog AB</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31404-2023</t>
        </is>
      </c>
      <c r="B3726" s="1" t="n">
        <v>45114.58046296296</v>
      </c>
      <c r="C3726" s="1" t="n">
        <v>45883</v>
      </c>
      <c r="D3726" t="inlineStr">
        <is>
          <t>GÄVLEBORGS LÄN</t>
        </is>
      </c>
      <c r="E3726" t="inlineStr">
        <is>
          <t>OVANÅKER</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43007-2023</t>
        </is>
      </c>
      <c r="B3727" s="1" t="n">
        <v>45182.63752314815</v>
      </c>
      <c r="C3727" s="1" t="n">
        <v>45883</v>
      </c>
      <c r="D3727" t="inlineStr">
        <is>
          <t>GÄVLEBORGS LÄN</t>
        </is>
      </c>
      <c r="E3727" t="inlineStr">
        <is>
          <t>HUDIKSVALL</t>
        </is>
      </c>
      <c r="F3727" t="inlineStr">
        <is>
          <t>Holmen skog AB</t>
        </is>
      </c>
      <c r="G3727" t="n">
        <v>5.8</v>
      </c>
      <c r="H3727" t="n">
        <v>0</v>
      </c>
      <c r="I3727" t="n">
        <v>0</v>
      </c>
      <c r="J3727" t="n">
        <v>0</v>
      </c>
      <c r="K3727" t="n">
        <v>0</v>
      </c>
      <c r="L3727" t="n">
        <v>0</v>
      </c>
      <c r="M3727" t="n">
        <v>0</v>
      </c>
      <c r="N3727" t="n">
        <v>0</v>
      </c>
      <c r="O3727" t="n">
        <v>0</v>
      </c>
      <c r="P3727" t="n">
        <v>0</v>
      </c>
      <c r="Q3727" t="n">
        <v>0</v>
      </c>
      <c r="R3727" s="2" t="inlineStr"/>
    </row>
    <row r="3728" ht="15" customHeight="1">
      <c r="A3728" t="inlineStr">
        <is>
          <t>A 33422-2024</t>
        </is>
      </c>
      <c r="B3728" s="1" t="n">
        <v>45519.50747685185</v>
      </c>
      <c r="C3728" s="1" t="n">
        <v>45883</v>
      </c>
      <c r="D3728" t="inlineStr">
        <is>
          <t>GÄVLEBORGS LÄN</t>
        </is>
      </c>
      <c r="E3728" t="inlineStr">
        <is>
          <t>BOLLNÄS</t>
        </is>
      </c>
      <c r="F3728" t="inlineStr">
        <is>
          <t>Bergvik skog väst AB</t>
        </is>
      </c>
      <c r="G3728" t="n">
        <v>4.4</v>
      </c>
      <c r="H3728" t="n">
        <v>0</v>
      </c>
      <c r="I3728" t="n">
        <v>0</v>
      </c>
      <c r="J3728" t="n">
        <v>0</v>
      </c>
      <c r="K3728" t="n">
        <v>0</v>
      </c>
      <c r="L3728" t="n">
        <v>0</v>
      </c>
      <c r="M3728" t="n">
        <v>0</v>
      </c>
      <c r="N3728" t="n">
        <v>0</v>
      </c>
      <c r="O3728" t="n">
        <v>0</v>
      </c>
      <c r="P3728" t="n">
        <v>0</v>
      </c>
      <c r="Q3728" t="n">
        <v>0</v>
      </c>
      <c r="R3728" s="2" t="inlineStr"/>
    </row>
    <row r="3729" ht="15" customHeight="1">
      <c r="A3729" t="inlineStr">
        <is>
          <t>A 50752-2023</t>
        </is>
      </c>
      <c r="B3729" s="1" t="n">
        <v>45217.6034375</v>
      </c>
      <c r="C3729" s="1" t="n">
        <v>45883</v>
      </c>
      <c r="D3729" t="inlineStr">
        <is>
          <t>GÄVLEBORGS LÄN</t>
        </is>
      </c>
      <c r="E3729" t="inlineStr">
        <is>
          <t>OVANÅKER</t>
        </is>
      </c>
      <c r="F3729" t="inlineStr">
        <is>
          <t>Bergvik skog väst AB</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2120-2024</t>
        </is>
      </c>
      <c r="B3730" s="1" t="n">
        <v>45309.50126157407</v>
      </c>
      <c r="C3730" s="1" t="n">
        <v>45883</v>
      </c>
      <c r="D3730" t="inlineStr">
        <is>
          <t>GÄVLEBORGS LÄN</t>
        </is>
      </c>
      <c r="E3730" t="inlineStr">
        <is>
          <t>HUDIKSVALL</t>
        </is>
      </c>
      <c r="F3730" t="inlineStr">
        <is>
          <t>Holmen skog AB</t>
        </is>
      </c>
      <c r="G3730" t="n">
        <v>10.9</v>
      </c>
      <c r="H3730" t="n">
        <v>0</v>
      </c>
      <c r="I3730" t="n">
        <v>0</v>
      </c>
      <c r="J3730" t="n">
        <v>0</v>
      </c>
      <c r="K3730" t="n">
        <v>0</v>
      </c>
      <c r="L3730" t="n">
        <v>0</v>
      </c>
      <c r="M3730" t="n">
        <v>0</v>
      </c>
      <c r="N3730" t="n">
        <v>0</v>
      </c>
      <c r="O3730" t="n">
        <v>0</v>
      </c>
      <c r="P3730" t="n">
        <v>0</v>
      </c>
      <c r="Q3730" t="n">
        <v>0</v>
      </c>
      <c r="R3730" s="2" t="inlineStr"/>
    </row>
    <row r="3731" ht="15" customHeight="1">
      <c r="A3731" t="inlineStr">
        <is>
          <t>A 4221-2024</t>
        </is>
      </c>
      <c r="B3731" s="1" t="n">
        <v>45324</v>
      </c>
      <c r="C3731" s="1" t="n">
        <v>45883</v>
      </c>
      <c r="D3731" t="inlineStr">
        <is>
          <t>GÄVLEBORGS LÄN</t>
        </is>
      </c>
      <c r="E3731" t="inlineStr">
        <is>
          <t>LJUSDAL</t>
        </is>
      </c>
      <c r="G3731" t="n">
        <v>14.5</v>
      </c>
      <c r="H3731" t="n">
        <v>0</v>
      </c>
      <c r="I3731" t="n">
        <v>0</v>
      </c>
      <c r="J3731" t="n">
        <v>0</v>
      </c>
      <c r="K3731" t="n">
        <v>0</v>
      </c>
      <c r="L3731" t="n">
        <v>0</v>
      </c>
      <c r="M3731" t="n">
        <v>0</v>
      </c>
      <c r="N3731" t="n">
        <v>0</v>
      </c>
      <c r="O3731" t="n">
        <v>0</v>
      </c>
      <c r="P3731" t="n">
        <v>0</v>
      </c>
      <c r="Q3731" t="n">
        <v>0</v>
      </c>
      <c r="R3731" s="2" t="inlineStr"/>
    </row>
    <row r="3732" ht="15" customHeight="1">
      <c r="A3732" t="inlineStr">
        <is>
          <t>A 57344-2021</t>
        </is>
      </c>
      <c r="B3732" s="1" t="n">
        <v>44483.48961805556</v>
      </c>
      <c r="C3732" s="1" t="n">
        <v>45883</v>
      </c>
      <c r="D3732" t="inlineStr">
        <is>
          <t>GÄVLEBORGS LÄN</t>
        </is>
      </c>
      <c r="E3732" t="inlineStr">
        <is>
          <t>LJUSDAL</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32098-2023</t>
        </is>
      </c>
      <c r="B3733" s="1" t="n">
        <v>45119</v>
      </c>
      <c r="C3733" s="1" t="n">
        <v>45883</v>
      </c>
      <c r="D3733" t="inlineStr">
        <is>
          <t>GÄVLEBORGS LÄN</t>
        </is>
      </c>
      <c r="E3733" t="inlineStr">
        <is>
          <t>LJUSDAL</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1708-2023</t>
        </is>
      </c>
      <c r="B3734" s="1" t="n">
        <v>44938</v>
      </c>
      <c r="C3734" s="1" t="n">
        <v>45883</v>
      </c>
      <c r="D3734" t="inlineStr">
        <is>
          <t>GÄVLEBORGS LÄN</t>
        </is>
      </c>
      <c r="E3734" t="inlineStr">
        <is>
          <t>NORDANSTIG</t>
        </is>
      </c>
      <c r="F3734" t="inlineStr">
        <is>
          <t>Holmen skog AB</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6370-2025</t>
        </is>
      </c>
      <c r="B3735" s="1" t="n">
        <v>45699.39001157408</v>
      </c>
      <c r="C3735" s="1" t="n">
        <v>45883</v>
      </c>
      <c r="D3735" t="inlineStr">
        <is>
          <t>GÄVLEBORGS LÄN</t>
        </is>
      </c>
      <c r="E3735" t="inlineStr">
        <is>
          <t>GÄVLE</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9262-2024</t>
        </is>
      </c>
      <c r="B3736" s="1" t="n">
        <v>45358.60657407407</v>
      </c>
      <c r="C3736" s="1" t="n">
        <v>45883</v>
      </c>
      <c r="D3736" t="inlineStr">
        <is>
          <t>GÄVLEBORGS LÄN</t>
        </is>
      </c>
      <c r="E3736" t="inlineStr">
        <is>
          <t>BOLLNÄS</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19818-2025</t>
        </is>
      </c>
      <c r="B3737" s="1" t="n">
        <v>45771.4608912037</v>
      </c>
      <c r="C3737" s="1" t="n">
        <v>45883</v>
      </c>
      <c r="D3737" t="inlineStr">
        <is>
          <t>GÄVLEBORGS LÄN</t>
        </is>
      </c>
      <c r="E3737" t="inlineStr">
        <is>
          <t>OVANÅKER</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11199-2025</t>
        </is>
      </c>
      <c r="B3738" s="1" t="n">
        <v>45725.91207175926</v>
      </c>
      <c r="C3738" s="1" t="n">
        <v>45883</v>
      </c>
      <c r="D3738" t="inlineStr">
        <is>
          <t>GÄVLEBORGS LÄN</t>
        </is>
      </c>
      <c r="E3738" t="inlineStr">
        <is>
          <t>LJUSDAL</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62816-2023</t>
        </is>
      </c>
      <c r="B3739" s="1" t="n">
        <v>45271.92625</v>
      </c>
      <c r="C3739" s="1" t="n">
        <v>45883</v>
      </c>
      <c r="D3739" t="inlineStr">
        <is>
          <t>GÄVLEBORGS LÄN</t>
        </is>
      </c>
      <c r="E3739" t="inlineStr">
        <is>
          <t>NORDANSTIG</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13822-2024</t>
        </is>
      </c>
      <c r="B3740" s="1" t="n">
        <v>45391.42918981481</v>
      </c>
      <c r="C3740" s="1" t="n">
        <v>45883</v>
      </c>
      <c r="D3740" t="inlineStr">
        <is>
          <t>GÄVLEBORGS LÄN</t>
        </is>
      </c>
      <c r="E3740" t="inlineStr">
        <is>
          <t>LJUSDAL</t>
        </is>
      </c>
      <c r="F3740" t="inlineStr">
        <is>
          <t>Kommuner</t>
        </is>
      </c>
      <c r="G3740" t="n">
        <v>3.8</v>
      </c>
      <c r="H3740" t="n">
        <v>0</v>
      </c>
      <c r="I3740" t="n">
        <v>0</v>
      </c>
      <c r="J3740" t="n">
        <v>0</v>
      </c>
      <c r="K3740" t="n">
        <v>0</v>
      </c>
      <c r="L3740" t="n">
        <v>0</v>
      </c>
      <c r="M3740" t="n">
        <v>0</v>
      </c>
      <c r="N3740" t="n">
        <v>0</v>
      </c>
      <c r="O3740" t="n">
        <v>0</v>
      </c>
      <c r="P3740" t="n">
        <v>0</v>
      </c>
      <c r="Q3740" t="n">
        <v>0</v>
      </c>
      <c r="R3740" s="2" t="inlineStr"/>
    </row>
    <row r="3741" ht="15" customHeight="1">
      <c r="A3741" t="inlineStr">
        <is>
          <t>A 41362-2023</t>
        </is>
      </c>
      <c r="B3741" s="1" t="n">
        <v>45174.82175925926</v>
      </c>
      <c r="C3741" s="1" t="n">
        <v>45883</v>
      </c>
      <c r="D3741" t="inlineStr">
        <is>
          <t>GÄVLEBORGS LÄN</t>
        </is>
      </c>
      <c r="E3741" t="inlineStr">
        <is>
          <t>NORDANSTIG</t>
        </is>
      </c>
      <c r="F3741" t="inlineStr">
        <is>
          <t>Holmen skog AB</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15622-2025</t>
        </is>
      </c>
      <c r="B3742" s="1" t="n">
        <v>45748.35768518518</v>
      </c>
      <c r="C3742" s="1" t="n">
        <v>45883</v>
      </c>
      <c r="D3742" t="inlineStr">
        <is>
          <t>GÄVLEBORGS LÄN</t>
        </is>
      </c>
      <c r="E3742" t="inlineStr">
        <is>
          <t>NORDANSTIG</t>
        </is>
      </c>
      <c r="F3742" t="inlineStr">
        <is>
          <t>Holmen skog AB</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15630-2025</t>
        </is>
      </c>
      <c r="B3743" s="1" t="n">
        <v>45748.36497685185</v>
      </c>
      <c r="C3743" s="1" t="n">
        <v>45883</v>
      </c>
      <c r="D3743" t="inlineStr">
        <is>
          <t>GÄVLEBORGS LÄN</t>
        </is>
      </c>
      <c r="E3743" t="inlineStr">
        <is>
          <t>SÖDERHAMN</t>
        </is>
      </c>
      <c r="F3743" t="inlineStr">
        <is>
          <t>Kommuner</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12393-2025</t>
        </is>
      </c>
      <c r="B3744" s="1" t="n">
        <v>45730.40202546296</v>
      </c>
      <c r="C3744" s="1" t="n">
        <v>45883</v>
      </c>
      <c r="D3744" t="inlineStr">
        <is>
          <t>GÄVLEBORGS LÄN</t>
        </is>
      </c>
      <c r="E3744" t="inlineStr">
        <is>
          <t>HUDIKSVALL</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42937-2022</t>
        </is>
      </c>
      <c r="B3745" s="1" t="n">
        <v>44833</v>
      </c>
      <c r="C3745" s="1" t="n">
        <v>45883</v>
      </c>
      <c r="D3745" t="inlineStr">
        <is>
          <t>GÄVLEBORGS LÄN</t>
        </is>
      </c>
      <c r="E3745" t="inlineStr">
        <is>
          <t>LJUSDAL</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43070-2024</t>
        </is>
      </c>
      <c r="B3746" s="1" t="n">
        <v>45567.47835648148</v>
      </c>
      <c r="C3746" s="1" t="n">
        <v>45883</v>
      </c>
      <c r="D3746" t="inlineStr">
        <is>
          <t>GÄVLEBORGS LÄN</t>
        </is>
      </c>
      <c r="E3746" t="inlineStr">
        <is>
          <t>HUDIKSVALL</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4195-2023</t>
        </is>
      </c>
      <c r="B3747" s="1" t="n">
        <v>44953.43362268519</v>
      </c>
      <c r="C3747" s="1" t="n">
        <v>45883</v>
      </c>
      <c r="D3747" t="inlineStr">
        <is>
          <t>GÄVLEBORGS LÄN</t>
        </is>
      </c>
      <c r="E3747" t="inlineStr">
        <is>
          <t>LJUSDAL</t>
        </is>
      </c>
      <c r="F3747" t="inlineStr">
        <is>
          <t>Holmen skog AB</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15635-2025</t>
        </is>
      </c>
      <c r="B3748" s="1" t="n">
        <v>45748.3718287037</v>
      </c>
      <c r="C3748" s="1" t="n">
        <v>45883</v>
      </c>
      <c r="D3748" t="inlineStr">
        <is>
          <t>GÄVLEBORGS LÄN</t>
        </is>
      </c>
      <c r="E3748" t="inlineStr">
        <is>
          <t>SÖDERHAMN</t>
        </is>
      </c>
      <c r="F3748" t="inlineStr">
        <is>
          <t>Kommuner</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16197-2025</t>
        </is>
      </c>
      <c r="B3749" s="1" t="n">
        <v>45750.60393518519</v>
      </c>
      <c r="C3749" s="1" t="n">
        <v>45883</v>
      </c>
      <c r="D3749" t="inlineStr">
        <is>
          <t>GÄVLEBORGS LÄN</t>
        </is>
      </c>
      <c r="E3749" t="inlineStr">
        <is>
          <t>SÖDERHAMN</t>
        </is>
      </c>
      <c r="F3749" t="inlineStr">
        <is>
          <t>Kommuner</t>
        </is>
      </c>
      <c r="G3749" t="n">
        <v>5</v>
      </c>
      <c r="H3749" t="n">
        <v>0</v>
      </c>
      <c r="I3749" t="n">
        <v>0</v>
      </c>
      <c r="J3749" t="n">
        <v>0</v>
      </c>
      <c r="K3749" t="n">
        <v>0</v>
      </c>
      <c r="L3749" t="n">
        <v>0</v>
      </c>
      <c r="M3749" t="n">
        <v>0</v>
      </c>
      <c r="N3749" t="n">
        <v>0</v>
      </c>
      <c r="O3749" t="n">
        <v>0</v>
      </c>
      <c r="P3749" t="n">
        <v>0</v>
      </c>
      <c r="Q3749" t="n">
        <v>0</v>
      </c>
      <c r="R3749" s="2" t="inlineStr"/>
    </row>
    <row r="3750" ht="15" customHeight="1">
      <c r="A3750" t="inlineStr">
        <is>
          <t>A 26367-2024</t>
        </is>
      </c>
      <c r="B3750" s="1" t="n">
        <v>45469.3924537037</v>
      </c>
      <c r="C3750" s="1" t="n">
        <v>45883</v>
      </c>
      <c r="D3750" t="inlineStr">
        <is>
          <t>GÄVLEBORGS LÄN</t>
        </is>
      </c>
      <c r="E3750" t="inlineStr">
        <is>
          <t>OCKELBO</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45534-2024</t>
        </is>
      </c>
      <c r="B3751" s="1" t="n">
        <v>45579.30975694444</v>
      </c>
      <c r="C3751" s="1" t="n">
        <v>45883</v>
      </c>
      <c r="D3751" t="inlineStr">
        <is>
          <t>GÄVLEBORGS LÄN</t>
        </is>
      </c>
      <c r="E3751" t="inlineStr">
        <is>
          <t>OVANÅKER</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45546-2024</t>
        </is>
      </c>
      <c r="B3752" s="1" t="n">
        <v>45579.3425462963</v>
      </c>
      <c r="C3752" s="1" t="n">
        <v>45883</v>
      </c>
      <c r="D3752" t="inlineStr">
        <is>
          <t>GÄVLEBORGS LÄN</t>
        </is>
      </c>
      <c r="E3752" t="inlineStr">
        <is>
          <t>OVANÅKER</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45550-2024</t>
        </is>
      </c>
      <c r="B3753" s="1" t="n">
        <v>45579</v>
      </c>
      <c r="C3753" s="1" t="n">
        <v>45883</v>
      </c>
      <c r="D3753" t="inlineStr">
        <is>
          <t>GÄVLEBORGS LÄN</t>
        </is>
      </c>
      <c r="E3753" t="inlineStr">
        <is>
          <t>NORDANSTIG</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50620-2023</t>
        </is>
      </c>
      <c r="B3754" s="1" t="n">
        <v>45217.45277777778</v>
      </c>
      <c r="C3754" s="1" t="n">
        <v>45883</v>
      </c>
      <c r="D3754" t="inlineStr">
        <is>
          <t>GÄVLEBORGS LÄN</t>
        </is>
      </c>
      <c r="E3754" t="inlineStr">
        <is>
          <t>OVANÅKER</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67558-2020</t>
        </is>
      </c>
      <c r="B3755" s="1" t="n">
        <v>44181</v>
      </c>
      <c r="C3755" s="1" t="n">
        <v>45883</v>
      </c>
      <c r="D3755" t="inlineStr">
        <is>
          <t>GÄVLEBORGS LÄN</t>
        </is>
      </c>
      <c r="E3755" t="inlineStr">
        <is>
          <t>HUDIKSVALL</t>
        </is>
      </c>
      <c r="G3755" t="n">
        <v>0.1</v>
      </c>
      <c r="H3755" t="n">
        <v>0</v>
      </c>
      <c r="I3755" t="n">
        <v>0</v>
      </c>
      <c r="J3755" t="n">
        <v>0</v>
      </c>
      <c r="K3755" t="n">
        <v>0</v>
      </c>
      <c r="L3755" t="n">
        <v>0</v>
      </c>
      <c r="M3755" t="n">
        <v>0</v>
      </c>
      <c r="N3755" t="n">
        <v>0</v>
      </c>
      <c r="O3755" t="n">
        <v>0</v>
      </c>
      <c r="P3755" t="n">
        <v>0</v>
      </c>
      <c r="Q3755" t="n">
        <v>0</v>
      </c>
      <c r="R3755" s="2" t="inlineStr"/>
    </row>
    <row r="3756" ht="15" customHeight="1">
      <c r="A3756" t="inlineStr">
        <is>
          <t>A 19227-2025</t>
        </is>
      </c>
      <c r="B3756" s="1" t="n">
        <v>45769.45020833334</v>
      </c>
      <c r="C3756" s="1" t="n">
        <v>45883</v>
      </c>
      <c r="D3756" t="inlineStr">
        <is>
          <t>GÄVLEBORGS LÄN</t>
        </is>
      </c>
      <c r="E3756" t="inlineStr">
        <is>
          <t>HUDIKSVALL</t>
        </is>
      </c>
      <c r="F3756" t="inlineStr">
        <is>
          <t>Holmen skog AB</t>
        </is>
      </c>
      <c r="G3756" t="n">
        <v>5.3</v>
      </c>
      <c r="H3756" t="n">
        <v>0</v>
      </c>
      <c r="I3756" t="n">
        <v>0</v>
      </c>
      <c r="J3756" t="n">
        <v>0</v>
      </c>
      <c r="K3756" t="n">
        <v>0</v>
      </c>
      <c r="L3756" t="n">
        <v>0</v>
      </c>
      <c r="M3756" t="n">
        <v>0</v>
      </c>
      <c r="N3756" t="n">
        <v>0</v>
      </c>
      <c r="O3756" t="n">
        <v>0</v>
      </c>
      <c r="P3756" t="n">
        <v>0</v>
      </c>
      <c r="Q3756" t="n">
        <v>0</v>
      </c>
      <c r="R3756" s="2" t="inlineStr"/>
    </row>
    <row r="3757" ht="15" customHeight="1">
      <c r="A3757" t="inlineStr">
        <is>
          <t>A 19555-2022</t>
        </is>
      </c>
      <c r="B3757" s="1" t="n">
        <v>44693</v>
      </c>
      <c r="C3757" s="1" t="n">
        <v>45883</v>
      </c>
      <c r="D3757" t="inlineStr">
        <is>
          <t>GÄVLEBORGS LÄN</t>
        </is>
      </c>
      <c r="E3757" t="inlineStr">
        <is>
          <t>GÄVLE</t>
        </is>
      </c>
      <c r="F3757" t="inlineStr">
        <is>
          <t>Bergvik skog väst AB</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52423-2023</t>
        </is>
      </c>
      <c r="B3758" s="1" t="n">
        <v>45225.32539351852</v>
      </c>
      <c r="C3758" s="1" t="n">
        <v>45883</v>
      </c>
      <c r="D3758" t="inlineStr">
        <is>
          <t>GÄVLEBORGS LÄN</t>
        </is>
      </c>
      <c r="E3758" t="inlineStr">
        <is>
          <t>OVANÅKER</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42239-2023</t>
        </is>
      </c>
      <c r="B3759" s="1" t="n">
        <v>45180</v>
      </c>
      <c r="C3759" s="1" t="n">
        <v>45883</v>
      </c>
      <c r="D3759" t="inlineStr">
        <is>
          <t>GÄVLEBORGS LÄN</t>
        </is>
      </c>
      <c r="E3759" t="inlineStr">
        <is>
          <t>HUDIKSVALL</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1802-2023</t>
        </is>
      </c>
      <c r="B3760" s="1" t="n">
        <v>44938.64047453704</v>
      </c>
      <c r="C3760" s="1" t="n">
        <v>45883</v>
      </c>
      <c r="D3760" t="inlineStr">
        <is>
          <t>GÄVLEBORGS LÄN</t>
        </is>
      </c>
      <c r="E3760" t="inlineStr">
        <is>
          <t>NORDANSTIG</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52438-2023</t>
        </is>
      </c>
      <c r="B3761" s="1" t="n">
        <v>45225.35223379629</v>
      </c>
      <c r="C3761" s="1" t="n">
        <v>45883</v>
      </c>
      <c r="D3761" t="inlineStr">
        <is>
          <t>GÄVLEBORGS LÄN</t>
        </is>
      </c>
      <c r="E3761" t="inlineStr">
        <is>
          <t>HUDIKSVALL</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11006-2025</t>
        </is>
      </c>
      <c r="B3762" s="1" t="n">
        <v>45723.44689814815</v>
      </c>
      <c r="C3762" s="1" t="n">
        <v>45883</v>
      </c>
      <c r="D3762" t="inlineStr">
        <is>
          <t>GÄVLEBORGS LÄN</t>
        </is>
      </c>
      <c r="E3762" t="inlineStr">
        <is>
          <t>BOLLNÄS</t>
        </is>
      </c>
      <c r="F3762" t="inlineStr">
        <is>
          <t>Kyrkan</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51876-2023</t>
        </is>
      </c>
      <c r="B3763" s="1" t="n">
        <v>45223.38060185185</v>
      </c>
      <c r="C3763" s="1" t="n">
        <v>45883</v>
      </c>
      <c r="D3763" t="inlineStr">
        <is>
          <t>GÄVLEBORGS LÄN</t>
        </is>
      </c>
      <c r="E3763" t="inlineStr">
        <is>
          <t>GÄVLE</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38495-2023</t>
        </is>
      </c>
      <c r="B3764" s="1" t="n">
        <v>45162</v>
      </c>
      <c r="C3764" s="1" t="n">
        <v>45883</v>
      </c>
      <c r="D3764" t="inlineStr">
        <is>
          <t>GÄVLEBORGS LÄN</t>
        </is>
      </c>
      <c r="E3764" t="inlineStr">
        <is>
          <t>GÄVLE</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36658-2024</t>
        </is>
      </c>
      <c r="B3765" s="1" t="n">
        <v>45537.62311342593</v>
      </c>
      <c r="C3765" s="1" t="n">
        <v>45883</v>
      </c>
      <c r="D3765" t="inlineStr">
        <is>
          <t>GÄVLEBORGS LÄN</t>
        </is>
      </c>
      <c r="E3765" t="inlineStr">
        <is>
          <t>LJUSDAL</t>
        </is>
      </c>
      <c r="F3765" t="inlineStr">
        <is>
          <t>Holmen skog AB</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14098-2025</t>
        </is>
      </c>
      <c r="B3766" s="1" t="n">
        <v>45740.4488425926</v>
      </c>
      <c r="C3766" s="1" t="n">
        <v>45883</v>
      </c>
      <c r="D3766" t="inlineStr">
        <is>
          <t>GÄVLEBORGS LÄN</t>
        </is>
      </c>
      <c r="E3766" t="inlineStr">
        <is>
          <t>HUDIKSVALL</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5366-2025</t>
        </is>
      </c>
      <c r="B3767" s="1" t="n">
        <v>45692.58184027778</v>
      </c>
      <c r="C3767" s="1" t="n">
        <v>45883</v>
      </c>
      <c r="D3767" t="inlineStr">
        <is>
          <t>GÄVLEBORGS LÄN</t>
        </is>
      </c>
      <c r="E3767" t="inlineStr">
        <is>
          <t>BOLLNÄS</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5368-2025</t>
        </is>
      </c>
      <c r="B3768" s="1" t="n">
        <v>45692.58333333334</v>
      </c>
      <c r="C3768" s="1" t="n">
        <v>45883</v>
      </c>
      <c r="D3768" t="inlineStr">
        <is>
          <t>GÄVLEBORGS LÄN</t>
        </is>
      </c>
      <c r="E3768" t="inlineStr">
        <is>
          <t>BOLLNÄS</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14143-2025</t>
        </is>
      </c>
      <c r="B3769" s="1" t="n">
        <v>45740.48563657407</v>
      </c>
      <c r="C3769" s="1" t="n">
        <v>45883</v>
      </c>
      <c r="D3769" t="inlineStr">
        <is>
          <t>GÄVLEBORGS LÄN</t>
        </is>
      </c>
      <c r="E3769" t="inlineStr">
        <is>
          <t>SANDVIKEN</t>
        </is>
      </c>
      <c r="F3769" t="inlineStr">
        <is>
          <t>Bergvik skog öst AB</t>
        </is>
      </c>
      <c r="G3769" t="n">
        <v>4.4</v>
      </c>
      <c r="H3769" t="n">
        <v>0</v>
      </c>
      <c r="I3769" t="n">
        <v>0</v>
      </c>
      <c r="J3769" t="n">
        <v>0</v>
      </c>
      <c r="K3769" t="n">
        <v>0</v>
      </c>
      <c r="L3769" t="n">
        <v>0</v>
      </c>
      <c r="M3769" t="n">
        <v>0</v>
      </c>
      <c r="N3769" t="n">
        <v>0</v>
      </c>
      <c r="O3769" t="n">
        <v>0</v>
      </c>
      <c r="P3769" t="n">
        <v>0</v>
      </c>
      <c r="Q3769" t="n">
        <v>0</v>
      </c>
      <c r="R3769" s="2" t="inlineStr"/>
    </row>
    <row r="3770" ht="15" customHeight="1">
      <c r="A3770" t="inlineStr">
        <is>
          <t>A 14150-2025</t>
        </is>
      </c>
      <c r="B3770" s="1" t="n">
        <v>45740.49162037037</v>
      </c>
      <c r="C3770" s="1" t="n">
        <v>45883</v>
      </c>
      <c r="D3770" t="inlineStr">
        <is>
          <t>GÄVLEBORGS LÄN</t>
        </is>
      </c>
      <c r="E3770" t="inlineStr">
        <is>
          <t>GÄVLE</t>
        </is>
      </c>
      <c r="F3770" t="inlineStr">
        <is>
          <t>Bergvik skog öst AB</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58467-2022</t>
        </is>
      </c>
      <c r="B3771" s="1" t="n">
        <v>44902</v>
      </c>
      <c r="C3771" s="1" t="n">
        <v>45883</v>
      </c>
      <c r="D3771" t="inlineStr">
        <is>
          <t>GÄVLEBORGS LÄN</t>
        </is>
      </c>
      <c r="E3771" t="inlineStr">
        <is>
          <t>OVANÅKER</t>
        </is>
      </c>
      <c r="F3771" t="inlineStr">
        <is>
          <t>Bergvik skog väst AB</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23251-2022</t>
        </is>
      </c>
      <c r="B3772" s="1" t="n">
        <v>44720.37357638889</v>
      </c>
      <c r="C3772" s="1" t="n">
        <v>45883</v>
      </c>
      <c r="D3772" t="inlineStr">
        <is>
          <t>GÄVLEBORGS LÄN</t>
        </is>
      </c>
      <c r="E3772" t="inlineStr">
        <is>
          <t>OVANÅKER</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14156-2025</t>
        </is>
      </c>
      <c r="B3773" s="1" t="n">
        <v>45740.49421296296</v>
      </c>
      <c r="C3773" s="1" t="n">
        <v>45883</v>
      </c>
      <c r="D3773" t="inlineStr">
        <is>
          <t>GÄVLEBORGS LÄN</t>
        </is>
      </c>
      <c r="E3773" t="inlineStr">
        <is>
          <t>GÄVLE</t>
        </is>
      </c>
      <c r="F3773" t="inlineStr">
        <is>
          <t>Bergvik skog öst AB</t>
        </is>
      </c>
      <c r="G3773" t="n">
        <v>4.2</v>
      </c>
      <c r="H3773" t="n">
        <v>0</v>
      </c>
      <c r="I3773" t="n">
        <v>0</v>
      </c>
      <c r="J3773" t="n">
        <v>0</v>
      </c>
      <c r="K3773" t="n">
        <v>0</v>
      </c>
      <c r="L3773" t="n">
        <v>0</v>
      </c>
      <c r="M3773" t="n">
        <v>0</v>
      </c>
      <c r="N3773" t="n">
        <v>0</v>
      </c>
      <c r="O3773" t="n">
        <v>0</v>
      </c>
      <c r="P3773" t="n">
        <v>0</v>
      </c>
      <c r="Q3773" t="n">
        <v>0</v>
      </c>
      <c r="R3773" s="2" t="inlineStr"/>
    </row>
    <row r="3774" ht="15" customHeight="1">
      <c r="A3774" t="inlineStr">
        <is>
          <t>A 43121-2023</t>
        </is>
      </c>
      <c r="B3774" s="1" t="n">
        <v>45182.94826388889</v>
      </c>
      <c r="C3774" s="1" t="n">
        <v>45883</v>
      </c>
      <c r="D3774" t="inlineStr">
        <is>
          <t>GÄVLEBORGS LÄN</t>
        </is>
      </c>
      <c r="E3774" t="inlineStr">
        <is>
          <t>LJUSDAL</t>
        </is>
      </c>
      <c r="F3774" t="inlineStr">
        <is>
          <t>SCA</t>
        </is>
      </c>
      <c r="G3774" t="n">
        <v>7.6</v>
      </c>
      <c r="H3774" t="n">
        <v>0</v>
      </c>
      <c r="I3774" t="n">
        <v>0</v>
      </c>
      <c r="J3774" t="n">
        <v>0</v>
      </c>
      <c r="K3774" t="n">
        <v>0</v>
      </c>
      <c r="L3774" t="n">
        <v>0</v>
      </c>
      <c r="M3774" t="n">
        <v>0</v>
      </c>
      <c r="N3774" t="n">
        <v>0</v>
      </c>
      <c r="O3774" t="n">
        <v>0</v>
      </c>
      <c r="P3774" t="n">
        <v>0</v>
      </c>
      <c r="Q3774" t="n">
        <v>0</v>
      </c>
      <c r="R3774" s="2" t="inlineStr"/>
    </row>
    <row r="3775" ht="15" customHeight="1">
      <c r="A3775" t="inlineStr">
        <is>
          <t>A 36452-2023</t>
        </is>
      </c>
      <c r="B3775" s="1" t="n">
        <v>45152</v>
      </c>
      <c r="C3775" s="1" t="n">
        <v>45883</v>
      </c>
      <c r="D3775" t="inlineStr">
        <is>
          <t>GÄVLEBORGS LÄN</t>
        </is>
      </c>
      <c r="E3775" t="inlineStr">
        <is>
          <t>OVANÅKER</t>
        </is>
      </c>
      <c r="F3775" t="inlineStr">
        <is>
          <t>Sveaskog</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61938-2022</t>
        </is>
      </c>
      <c r="B3776" s="1" t="n">
        <v>44918.25254629629</v>
      </c>
      <c r="C3776" s="1" t="n">
        <v>45883</v>
      </c>
      <c r="D3776" t="inlineStr">
        <is>
          <t>GÄVLEBORGS LÄN</t>
        </is>
      </c>
      <c r="E3776" t="inlineStr">
        <is>
          <t>HUDIKSVALL</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54468-2024</t>
        </is>
      </c>
      <c r="B3777" s="1" t="n">
        <v>45617.54085648148</v>
      </c>
      <c r="C3777" s="1" t="n">
        <v>45883</v>
      </c>
      <c r="D3777" t="inlineStr">
        <is>
          <t>GÄVLEBORGS LÄN</t>
        </is>
      </c>
      <c r="E3777" t="inlineStr">
        <is>
          <t>HUDIKSVALL</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51156-2023</t>
        </is>
      </c>
      <c r="B3778" s="1" t="n">
        <v>45212</v>
      </c>
      <c r="C3778" s="1" t="n">
        <v>45883</v>
      </c>
      <c r="D3778" t="inlineStr">
        <is>
          <t>GÄVLEBORGS LÄN</t>
        </is>
      </c>
      <c r="E3778" t="inlineStr">
        <is>
          <t>BOLLNÄS</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53969-2023</t>
        </is>
      </c>
      <c r="B3779" s="1" t="n">
        <v>45231.63473379629</v>
      </c>
      <c r="C3779" s="1" t="n">
        <v>45883</v>
      </c>
      <c r="D3779" t="inlineStr">
        <is>
          <t>GÄVLEBORGS LÄN</t>
        </is>
      </c>
      <c r="E3779" t="inlineStr">
        <is>
          <t>NORDANSTIG</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21283-2023</t>
        </is>
      </c>
      <c r="B3780" s="1" t="n">
        <v>45062.64236111111</v>
      </c>
      <c r="C3780" s="1" t="n">
        <v>45883</v>
      </c>
      <c r="D3780" t="inlineStr">
        <is>
          <t>GÄVLEBORGS LÄN</t>
        </is>
      </c>
      <c r="E3780" t="inlineStr">
        <is>
          <t>SÖDERHAMN</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5487-2025</t>
        </is>
      </c>
      <c r="B3781" s="1" t="n">
        <v>45693.36196759259</v>
      </c>
      <c r="C3781" s="1" t="n">
        <v>45883</v>
      </c>
      <c r="D3781" t="inlineStr">
        <is>
          <t>GÄVLEBORGS LÄN</t>
        </is>
      </c>
      <c r="E3781" t="inlineStr">
        <is>
          <t>GÄVLE</t>
        </is>
      </c>
      <c r="F3781" t="inlineStr">
        <is>
          <t>Kyrkan</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10486-2024</t>
        </is>
      </c>
      <c r="B3782" s="1" t="n">
        <v>45366</v>
      </c>
      <c r="C3782" s="1" t="n">
        <v>45883</v>
      </c>
      <c r="D3782" t="inlineStr">
        <is>
          <t>GÄVLEBORGS LÄN</t>
        </is>
      </c>
      <c r="E3782" t="inlineStr">
        <is>
          <t>BOLLNÄS</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1835-2025</t>
        </is>
      </c>
      <c r="B3783" s="1" t="n">
        <v>45671.55625</v>
      </c>
      <c r="C3783" s="1" t="n">
        <v>45883</v>
      </c>
      <c r="D3783" t="inlineStr">
        <is>
          <t>GÄVLEBORGS LÄN</t>
        </is>
      </c>
      <c r="E3783" t="inlineStr">
        <is>
          <t>OVANÅKER</t>
        </is>
      </c>
      <c r="F3783" t="inlineStr">
        <is>
          <t>Bergvik skog väst AB</t>
        </is>
      </c>
      <c r="G3783" t="n">
        <v>4.4</v>
      </c>
      <c r="H3783" t="n">
        <v>0</v>
      </c>
      <c r="I3783" t="n">
        <v>0</v>
      </c>
      <c r="J3783" t="n">
        <v>0</v>
      </c>
      <c r="K3783" t="n">
        <v>0</v>
      </c>
      <c r="L3783" t="n">
        <v>0</v>
      </c>
      <c r="M3783" t="n">
        <v>0</v>
      </c>
      <c r="N3783" t="n">
        <v>0</v>
      </c>
      <c r="O3783" t="n">
        <v>0</v>
      </c>
      <c r="P3783" t="n">
        <v>0</v>
      </c>
      <c r="Q3783" t="n">
        <v>0</v>
      </c>
      <c r="R3783" s="2" t="inlineStr"/>
    </row>
    <row r="3784" ht="15" customHeight="1">
      <c r="A3784" t="inlineStr">
        <is>
          <t>A 6188-2024</t>
        </is>
      </c>
      <c r="B3784" s="1" t="n">
        <v>45337</v>
      </c>
      <c r="C3784" s="1" t="n">
        <v>45883</v>
      </c>
      <c r="D3784" t="inlineStr">
        <is>
          <t>GÄVLEBORGS LÄN</t>
        </is>
      </c>
      <c r="E3784" t="inlineStr">
        <is>
          <t>OVANÅKER</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28063-2023</t>
        </is>
      </c>
      <c r="B3785" s="1" t="n">
        <v>45099.36172453704</v>
      </c>
      <c r="C3785" s="1" t="n">
        <v>45883</v>
      </c>
      <c r="D3785" t="inlineStr">
        <is>
          <t>GÄVLEBORGS LÄN</t>
        </is>
      </c>
      <c r="E3785" t="inlineStr">
        <is>
          <t>SANDVIKEN</t>
        </is>
      </c>
      <c r="G3785" t="n">
        <v>8.1</v>
      </c>
      <c r="H3785" t="n">
        <v>0</v>
      </c>
      <c r="I3785" t="n">
        <v>0</v>
      </c>
      <c r="J3785" t="n">
        <v>0</v>
      </c>
      <c r="K3785" t="n">
        <v>0</v>
      </c>
      <c r="L3785" t="n">
        <v>0</v>
      </c>
      <c r="M3785" t="n">
        <v>0</v>
      </c>
      <c r="N3785" t="n">
        <v>0</v>
      </c>
      <c r="O3785" t="n">
        <v>0</v>
      </c>
      <c r="P3785" t="n">
        <v>0</v>
      </c>
      <c r="Q3785" t="n">
        <v>0</v>
      </c>
      <c r="R3785" s="2" t="inlineStr"/>
    </row>
    <row r="3786" ht="15" customHeight="1">
      <c r="A3786" t="inlineStr">
        <is>
          <t>A 22212-2023</t>
        </is>
      </c>
      <c r="B3786" s="1" t="n">
        <v>45069.90076388889</v>
      </c>
      <c r="C3786" s="1" t="n">
        <v>45883</v>
      </c>
      <c r="D3786" t="inlineStr">
        <is>
          <t>GÄVLEBORGS LÄN</t>
        </is>
      </c>
      <c r="E3786" t="inlineStr">
        <is>
          <t>SÖDERHAMN</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50281-2024</t>
        </is>
      </c>
      <c r="B3787" s="1" t="n">
        <v>45600.61165509259</v>
      </c>
      <c r="C3787" s="1" t="n">
        <v>45883</v>
      </c>
      <c r="D3787" t="inlineStr">
        <is>
          <t>GÄVLEBORGS LÄN</t>
        </is>
      </c>
      <c r="E3787" t="inlineStr">
        <is>
          <t>SÖDERHAMN</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18538-2024</t>
        </is>
      </c>
      <c r="B3788" s="1" t="n">
        <v>45425.63649305556</v>
      </c>
      <c r="C3788" s="1" t="n">
        <v>45883</v>
      </c>
      <c r="D3788" t="inlineStr">
        <is>
          <t>GÄVLEBORGS LÄN</t>
        </is>
      </c>
      <c r="E3788" t="inlineStr">
        <is>
          <t>HUDIKSVALL</t>
        </is>
      </c>
      <c r="F3788" t="inlineStr">
        <is>
          <t>Holmen skog AB</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1405-2024</t>
        </is>
      </c>
      <c r="B3789" s="1" t="n">
        <v>45303</v>
      </c>
      <c r="C3789" s="1" t="n">
        <v>45883</v>
      </c>
      <c r="D3789" t="inlineStr">
        <is>
          <t>GÄVLEBORGS LÄN</t>
        </is>
      </c>
      <c r="E3789" t="inlineStr">
        <is>
          <t>OVANÅKER</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29773-2023</t>
        </is>
      </c>
      <c r="B3790" s="1" t="n">
        <v>45107.48931712963</v>
      </c>
      <c r="C3790" s="1" t="n">
        <v>45883</v>
      </c>
      <c r="D3790" t="inlineStr">
        <is>
          <t>GÄVLEBORGS LÄN</t>
        </is>
      </c>
      <c r="E3790" t="inlineStr">
        <is>
          <t>BOLLNÄS</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1873-2025</t>
        </is>
      </c>
      <c r="B3791" s="1" t="n">
        <v>45671.61848379629</v>
      </c>
      <c r="C3791" s="1" t="n">
        <v>45883</v>
      </c>
      <c r="D3791" t="inlineStr">
        <is>
          <t>GÄVLEBORGS LÄN</t>
        </is>
      </c>
      <c r="E3791" t="inlineStr">
        <is>
          <t>NORDANSTIG</t>
        </is>
      </c>
      <c r="F3791" t="inlineStr">
        <is>
          <t>Holmen skog AB</t>
        </is>
      </c>
      <c r="G3791" t="n">
        <v>9.199999999999999</v>
      </c>
      <c r="H3791" t="n">
        <v>0</v>
      </c>
      <c r="I3791" t="n">
        <v>0</v>
      </c>
      <c r="J3791" t="n">
        <v>0</v>
      </c>
      <c r="K3791" t="n">
        <v>0</v>
      </c>
      <c r="L3791" t="n">
        <v>0</v>
      </c>
      <c r="M3791" t="n">
        <v>0</v>
      </c>
      <c r="N3791" t="n">
        <v>0</v>
      </c>
      <c r="O3791" t="n">
        <v>0</v>
      </c>
      <c r="P3791" t="n">
        <v>0</v>
      </c>
      <c r="Q3791" t="n">
        <v>0</v>
      </c>
      <c r="R3791" s="2" t="inlineStr"/>
    </row>
    <row r="3792" ht="15" customHeight="1">
      <c r="A3792" t="inlineStr">
        <is>
          <t>A 50314-2024</t>
        </is>
      </c>
      <c r="B3792" s="1" t="n">
        <v>45600.65686342592</v>
      </c>
      <c r="C3792" s="1" t="n">
        <v>45883</v>
      </c>
      <c r="D3792" t="inlineStr">
        <is>
          <t>GÄVLEBORGS LÄN</t>
        </is>
      </c>
      <c r="E3792" t="inlineStr">
        <is>
          <t>GÄVLE</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38200-2024</t>
        </is>
      </c>
      <c r="B3793" s="1" t="n">
        <v>45545</v>
      </c>
      <c r="C3793" s="1" t="n">
        <v>45883</v>
      </c>
      <c r="D3793" t="inlineStr">
        <is>
          <t>GÄVLEBORGS LÄN</t>
        </is>
      </c>
      <c r="E3793" t="inlineStr">
        <is>
          <t>SANDVIKEN</t>
        </is>
      </c>
      <c r="F3793" t="inlineStr">
        <is>
          <t>Sveaskog</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37438-2023</t>
        </is>
      </c>
      <c r="B3794" s="1" t="n">
        <v>45156</v>
      </c>
      <c r="C3794" s="1" t="n">
        <v>45883</v>
      </c>
      <c r="D3794" t="inlineStr">
        <is>
          <t>GÄVLEBORGS LÄN</t>
        </is>
      </c>
      <c r="E3794" t="inlineStr">
        <is>
          <t>OCKELBO</t>
        </is>
      </c>
      <c r="F3794" t="inlineStr">
        <is>
          <t>Bergvik skog väst AB</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54690-2024</t>
        </is>
      </c>
      <c r="B3795" s="1" t="n">
        <v>45618.37921296297</v>
      </c>
      <c r="C3795" s="1" t="n">
        <v>45883</v>
      </c>
      <c r="D3795" t="inlineStr">
        <is>
          <t>GÄVLEBORGS LÄN</t>
        </is>
      </c>
      <c r="E3795" t="inlineStr">
        <is>
          <t>HUDIKSVALL</t>
        </is>
      </c>
      <c r="F3795" t="inlineStr">
        <is>
          <t>Holmen skog AB</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3316-2023</t>
        </is>
      </c>
      <c r="B3796" s="1" t="n">
        <v>44949</v>
      </c>
      <c r="C3796" s="1" t="n">
        <v>45883</v>
      </c>
      <c r="D3796" t="inlineStr">
        <is>
          <t>GÄVLEBORGS LÄN</t>
        </is>
      </c>
      <c r="E3796" t="inlineStr">
        <is>
          <t>SANDVIKEN</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23118-2024</t>
        </is>
      </c>
      <c r="B3797" s="1" t="n">
        <v>45450</v>
      </c>
      <c r="C3797" s="1" t="n">
        <v>45883</v>
      </c>
      <c r="D3797" t="inlineStr">
        <is>
          <t>GÄVLEBORGS LÄN</t>
        </is>
      </c>
      <c r="E3797" t="inlineStr">
        <is>
          <t>BOLLNÄS</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35181-2023</t>
        </is>
      </c>
      <c r="B3798" s="1" t="n">
        <v>45145.59108796297</v>
      </c>
      <c r="C3798" s="1" t="n">
        <v>45883</v>
      </c>
      <c r="D3798" t="inlineStr">
        <is>
          <t>GÄVLEBORGS LÄN</t>
        </is>
      </c>
      <c r="E3798" t="inlineStr">
        <is>
          <t>BOLLNÄS</t>
        </is>
      </c>
      <c r="F3798" t="inlineStr">
        <is>
          <t>Holmen skog AB</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21346-2024</t>
        </is>
      </c>
      <c r="B3799" s="1" t="n">
        <v>45440.92872685185</v>
      </c>
      <c r="C3799" s="1" t="n">
        <v>45883</v>
      </c>
      <c r="D3799" t="inlineStr">
        <is>
          <t>GÄVLEBORGS LÄN</t>
        </is>
      </c>
      <c r="E3799" t="inlineStr">
        <is>
          <t>LJUSDAL</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46217-2024</t>
        </is>
      </c>
      <c r="B3800" s="1" t="n">
        <v>45581.56543981482</v>
      </c>
      <c r="C3800" s="1" t="n">
        <v>45883</v>
      </c>
      <c r="D3800" t="inlineStr">
        <is>
          <t>GÄVLEBORGS LÄN</t>
        </is>
      </c>
      <c r="E3800" t="inlineStr">
        <is>
          <t>GÄVLE</t>
        </is>
      </c>
      <c r="F3800" t="inlineStr">
        <is>
          <t>Bergvik skog väst AB</t>
        </is>
      </c>
      <c r="G3800" t="n">
        <v>15.2</v>
      </c>
      <c r="H3800" t="n">
        <v>0</v>
      </c>
      <c r="I3800" t="n">
        <v>0</v>
      </c>
      <c r="J3800" t="n">
        <v>0</v>
      </c>
      <c r="K3800" t="n">
        <v>0</v>
      </c>
      <c r="L3800" t="n">
        <v>0</v>
      </c>
      <c r="M3800" t="n">
        <v>0</v>
      </c>
      <c r="N3800" t="n">
        <v>0</v>
      </c>
      <c r="O3800" t="n">
        <v>0</v>
      </c>
      <c r="P3800" t="n">
        <v>0</v>
      </c>
      <c r="Q3800" t="n">
        <v>0</v>
      </c>
      <c r="R3800" s="2" t="inlineStr"/>
    </row>
    <row r="3801" ht="15" customHeight="1">
      <c r="A3801" t="inlineStr">
        <is>
          <t>A 2611-2022</t>
        </is>
      </c>
      <c r="B3801" s="1" t="n">
        <v>44580.4372337963</v>
      </c>
      <c r="C3801" s="1" t="n">
        <v>45883</v>
      </c>
      <c r="D3801" t="inlineStr">
        <is>
          <t>GÄVLEBORGS LÄN</t>
        </is>
      </c>
      <c r="E3801" t="inlineStr">
        <is>
          <t>BOLLNÄS</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6016-2025</t>
        </is>
      </c>
      <c r="B3802" s="1" t="n">
        <v>45695</v>
      </c>
      <c r="C3802" s="1" t="n">
        <v>45883</v>
      </c>
      <c r="D3802" t="inlineStr">
        <is>
          <t>GÄVLEBORGS LÄN</t>
        </is>
      </c>
      <c r="E3802" t="inlineStr">
        <is>
          <t>LJUSDAL</t>
        </is>
      </c>
      <c r="G3802" t="n">
        <v>8</v>
      </c>
      <c r="H3802" t="n">
        <v>0</v>
      </c>
      <c r="I3802" t="n">
        <v>0</v>
      </c>
      <c r="J3802" t="n">
        <v>0</v>
      </c>
      <c r="K3802" t="n">
        <v>0</v>
      </c>
      <c r="L3802" t="n">
        <v>0</v>
      </c>
      <c r="M3802" t="n">
        <v>0</v>
      </c>
      <c r="N3802" t="n">
        <v>0</v>
      </c>
      <c r="O3802" t="n">
        <v>0</v>
      </c>
      <c r="P3802" t="n">
        <v>0</v>
      </c>
      <c r="Q3802" t="n">
        <v>0</v>
      </c>
      <c r="R3802" s="2" t="inlineStr"/>
    </row>
    <row r="3803" ht="15" customHeight="1">
      <c r="A3803" t="inlineStr">
        <is>
          <t>A 36369-2024</t>
        </is>
      </c>
      <c r="B3803" s="1" t="n">
        <v>45534.66434027778</v>
      </c>
      <c r="C3803" s="1" t="n">
        <v>45883</v>
      </c>
      <c r="D3803" t="inlineStr">
        <is>
          <t>GÄVLEBORGS LÄN</t>
        </is>
      </c>
      <c r="E3803" t="inlineStr">
        <is>
          <t>NORDANSTIG</t>
        </is>
      </c>
      <c r="F3803" t="inlineStr">
        <is>
          <t>Holmen skog AB</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50858-2024</t>
        </is>
      </c>
      <c r="B3804" s="1" t="n">
        <v>45602.62476851852</v>
      </c>
      <c r="C3804" s="1" t="n">
        <v>45883</v>
      </c>
      <c r="D3804" t="inlineStr">
        <is>
          <t>GÄVLEBORGS LÄN</t>
        </is>
      </c>
      <c r="E3804" t="inlineStr">
        <is>
          <t>LJUSDAL</t>
        </is>
      </c>
      <c r="F3804" t="inlineStr">
        <is>
          <t>Bergvik skog väst AB</t>
        </is>
      </c>
      <c r="G3804" t="n">
        <v>6.9</v>
      </c>
      <c r="H3804" t="n">
        <v>0</v>
      </c>
      <c r="I3804" t="n">
        <v>0</v>
      </c>
      <c r="J3804" t="n">
        <v>0</v>
      </c>
      <c r="K3804" t="n">
        <v>0</v>
      </c>
      <c r="L3804" t="n">
        <v>0</v>
      </c>
      <c r="M3804" t="n">
        <v>0</v>
      </c>
      <c r="N3804" t="n">
        <v>0</v>
      </c>
      <c r="O3804" t="n">
        <v>0</v>
      </c>
      <c r="P3804" t="n">
        <v>0</v>
      </c>
      <c r="Q3804" t="n">
        <v>0</v>
      </c>
      <c r="R3804" s="2" t="inlineStr"/>
    </row>
    <row r="3805" ht="15" customHeight="1">
      <c r="A3805" t="inlineStr">
        <is>
          <t>A 9474-2022</t>
        </is>
      </c>
      <c r="B3805" s="1" t="n">
        <v>44616.92188657408</v>
      </c>
      <c r="C3805" s="1" t="n">
        <v>45883</v>
      </c>
      <c r="D3805" t="inlineStr">
        <is>
          <t>GÄVLEBORGS LÄN</t>
        </is>
      </c>
      <c r="E3805" t="inlineStr">
        <is>
          <t>BOLLNÄS</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12095-2023</t>
        </is>
      </c>
      <c r="B3806" s="1" t="n">
        <v>44998.3634375</v>
      </c>
      <c r="C3806" s="1" t="n">
        <v>45883</v>
      </c>
      <c r="D3806" t="inlineStr">
        <is>
          <t>GÄVLEBORGS LÄN</t>
        </is>
      </c>
      <c r="E3806" t="inlineStr">
        <is>
          <t>NORDANSTIG</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3532-2023</t>
        </is>
      </c>
      <c r="B3807" s="1" t="n">
        <v>44950</v>
      </c>
      <c r="C3807" s="1" t="n">
        <v>45883</v>
      </c>
      <c r="D3807" t="inlineStr">
        <is>
          <t>GÄVLEBORGS LÄN</t>
        </is>
      </c>
      <c r="E3807" t="inlineStr">
        <is>
          <t>LJUSDAL</t>
        </is>
      </c>
      <c r="G3807" t="n">
        <v>4.6</v>
      </c>
      <c r="H3807" t="n">
        <v>0</v>
      </c>
      <c r="I3807" t="n">
        <v>0</v>
      </c>
      <c r="J3807" t="n">
        <v>0</v>
      </c>
      <c r="K3807" t="n">
        <v>0</v>
      </c>
      <c r="L3807" t="n">
        <v>0</v>
      </c>
      <c r="M3807" t="n">
        <v>0</v>
      </c>
      <c r="N3807" t="n">
        <v>0</v>
      </c>
      <c r="O3807" t="n">
        <v>0</v>
      </c>
      <c r="P3807" t="n">
        <v>0</v>
      </c>
      <c r="Q3807" t="n">
        <v>0</v>
      </c>
      <c r="R3807" s="2" t="inlineStr"/>
    </row>
    <row r="3808" ht="15" customHeight="1">
      <c r="A3808" t="inlineStr">
        <is>
          <t>A 3593-2023</t>
        </is>
      </c>
      <c r="B3808" s="1" t="n">
        <v>44950.56905092593</v>
      </c>
      <c r="C3808" s="1" t="n">
        <v>45883</v>
      </c>
      <c r="D3808" t="inlineStr">
        <is>
          <t>GÄVLEBORGS LÄN</t>
        </is>
      </c>
      <c r="E3808" t="inlineStr">
        <is>
          <t>OCKELBO</t>
        </is>
      </c>
      <c r="G3808" t="n">
        <v>4.1</v>
      </c>
      <c r="H3808" t="n">
        <v>0</v>
      </c>
      <c r="I3808" t="n">
        <v>0</v>
      </c>
      <c r="J3808" t="n">
        <v>0</v>
      </c>
      <c r="K3808" t="n">
        <v>0</v>
      </c>
      <c r="L3808" t="n">
        <v>0</v>
      </c>
      <c r="M3808" t="n">
        <v>0</v>
      </c>
      <c r="N3808" t="n">
        <v>0</v>
      </c>
      <c r="O3808" t="n">
        <v>0</v>
      </c>
      <c r="P3808" t="n">
        <v>0</v>
      </c>
      <c r="Q3808" t="n">
        <v>0</v>
      </c>
      <c r="R3808" s="2" t="inlineStr"/>
    </row>
    <row r="3809" ht="15" customHeight="1">
      <c r="A3809" t="inlineStr">
        <is>
          <t>A 15935-2025</t>
        </is>
      </c>
      <c r="B3809" s="1" t="n">
        <v>45749</v>
      </c>
      <c r="C3809" s="1" t="n">
        <v>45883</v>
      </c>
      <c r="D3809" t="inlineStr">
        <is>
          <t>GÄVLEBORGS LÄN</t>
        </is>
      </c>
      <c r="E3809" t="inlineStr">
        <is>
          <t>GÄVLE</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37360-2024</t>
        </is>
      </c>
      <c r="B3810" s="1" t="n">
        <v>45540</v>
      </c>
      <c r="C3810" s="1" t="n">
        <v>45883</v>
      </c>
      <c r="D3810" t="inlineStr">
        <is>
          <t>GÄVLEBORGS LÄN</t>
        </is>
      </c>
      <c r="E3810" t="inlineStr">
        <is>
          <t>BOLLNÄS</t>
        </is>
      </c>
      <c r="F3810" t="inlineStr">
        <is>
          <t>Bergvik skog väst AB</t>
        </is>
      </c>
      <c r="G3810" t="n">
        <v>8.1</v>
      </c>
      <c r="H3810" t="n">
        <v>0</v>
      </c>
      <c r="I3810" t="n">
        <v>0</v>
      </c>
      <c r="J3810" t="n">
        <v>0</v>
      </c>
      <c r="K3810" t="n">
        <v>0</v>
      </c>
      <c r="L3810" t="n">
        <v>0</v>
      </c>
      <c r="M3810" t="n">
        <v>0</v>
      </c>
      <c r="N3810" t="n">
        <v>0</v>
      </c>
      <c r="O3810" t="n">
        <v>0</v>
      </c>
      <c r="P3810" t="n">
        <v>0</v>
      </c>
      <c r="Q3810" t="n">
        <v>0</v>
      </c>
      <c r="R3810" s="2" t="inlineStr"/>
    </row>
    <row r="3811" ht="15" customHeight="1">
      <c r="A3811" t="inlineStr">
        <is>
          <t>A 37367-2024</t>
        </is>
      </c>
      <c r="B3811" s="1" t="n">
        <v>45540.56363425926</v>
      </c>
      <c r="C3811" s="1" t="n">
        <v>45883</v>
      </c>
      <c r="D3811" t="inlineStr">
        <is>
          <t>GÄVLEBORGS LÄN</t>
        </is>
      </c>
      <c r="E3811" t="inlineStr">
        <is>
          <t>SANDVIKEN</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15991-2025</t>
        </is>
      </c>
      <c r="B3812" s="1" t="n">
        <v>45749.58065972223</v>
      </c>
      <c r="C3812" s="1" t="n">
        <v>45883</v>
      </c>
      <c r="D3812" t="inlineStr">
        <is>
          <t>GÄVLEBORGS LÄN</t>
        </is>
      </c>
      <c r="E3812" t="inlineStr">
        <is>
          <t>SANDVIKEN</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45241-2024</t>
        </is>
      </c>
      <c r="B3813" s="1" t="n">
        <v>45575.95956018518</v>
      </c>
      <c r="C3813" s="1" t="n">
        <v>45883</v>
      </c>
      <c r="D3813" t="inlineStr">
        <is>
          <t>GÄVLEBORGS LÄN</t>
        </is>
      </c>
      <c r="E3813" t="inlineStr">
        <is>
          <t>LJUSDAL</t>
        </is>
      </c>
      <c r="F3813" t="inlineStr">
        <is>
          <t>Sveaskog</t>
        </is>
      </c>
      <c r="G3813" t="n">
        <v>14.4</v>
      </c>
      <c r="H3813" t="n">
        <v>0</v>
      </c>
      <c r="I3813" t="n">
        <v>0</v>
      </c>
      <c r="J3813" t="n">
        <v>0</v>
      </c>
      <c r="K3813" t="n">
        <v>0</v>
      </c>
      <c r="L3813" t="n">
        <v>0</v>
      </c>
      <c r="M3813" t="n">
        <v>0</v>
      </c>
      <c r="N3813" t="n">
        <v>0</v>
      </c>
      <c r="O3813" t="n">
        <v>0</v>
      </c>
      <c r="P3813" t="n">
        <v>0</v>
      </c>
      <c r="Q3813" t="n">
        <v>0</v>
      </c>
      <c r="R3813" s="2" t="inlineStr"/>
    </row>
    <row r="3814" ht="15" customHeight="1">
      <c r="A3814" t="inlineStr">
        <is>
          <t>A 62926-2023</t>
        </is>
      </c>
      <c r="B3814" s="1" t="n">
        <v>45272</v>
      </c>
      <c r="C3814" s="1" t="n">
        <v>45883</v>
      </c>
      <c r="D3814" t="inlineStr">
        <is>
          <t>GÄVLEBORGS LÄN</t>
        </is>
      </c>
      <c r="E3814" t="inlineStr">
        <is>
          <t>HUDIKSVALL</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33591-2021</t>
        </is>
      </c>
      <c r="B3815" s="1" t="n">
        <v>44378</v>
      </c>
      <c r="C3815" s="1" t="n">
        <v>45883</v>
      </c>
      <c r="D3815" t="inlineStr">
        <is>
          <t>GÄVLEBORGS LÄN</t>
        </is>
      </c>
      <c r="E3815" t="inlineStr">
        <is>
          <t>HUDIKSVALL</t>
        </is>
      </c>
      <c r="F3815" t="inlineStr">
        <is>
          <t>Kyrkan</t>
        </is>
      </c>
      <c r="G3815" t="n">
        <v>16.5</v>
      </c>
      <c r="H3815" t="n">
        <v>0</v>
      </c>
      <c r="I3815" t="n">
        <v>0</v>
      </c>
      <c r="J3815" t="n">
        <v>0</v>
      </c>
      <c r="K3815" t="n">
        <v>0</v>
      </c>
      <c r="L3815" t="n">
        <v>0</v>
      </c>
      <c r="M3815" t="n">
        <v>0</v>
      </c>
      <c r="N3815" t="n">
        <v>0</v>
      </c>
      <c r="O3815" t="n">
        <v>0</v>
      </c>
      <c r="P3815" t="n">
        <v>0</v>
      </c>
      <c r="Q3815" t="n">
        <v>0</v>
      </c>
      <c r="R3815" s="2" t="inlineStr"/>
    </row>
    <row r="3816" ht="15" customHeight="1">
      <c r="A3816" t="inlineStr">
        <is>
          <t>A 19768-2025</t>
        </is>
      </c>
      <c r="B3816" s="1" t="n">
        <v>45771.40961805556</v>
      </c>
      <c r="C3816" s="1" t="n">
        <v>45883</v>
      </c>
      <c r="D3816" t="inlineStr">
        <is>
          <t>GÄVLEBORGS LÄN</t>
        </is>
      </c>
      <c r="E3816" t="inlineStr">
        <is>
          <t>HUDIKSVALL</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4556-2025</t>
        </is>
      </c>
      <c r="B3817" s="1" t="n">
        <v>45687.44737268519</v>
      </c>
      <c r="C3817" s="1" t="n">
        <v>45883</v>
      </c>
      <c r="D3817" t="inlineStr">
        <is>
          <t>GÄVLEBORGS LÄN</t>
        </is>
      </c>
      <c r="E3817" t="inlineStr">
        <is>
          <t>NORDANSTIG</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42720-2024</t>
        </is>
      </c>
      <c r="B3818" s="1" t="n">
        <v>45566.459375</v>
      </c>
      <c r="C3818" s="1" t="n">
        <v>45883</v>
      </c>
      <c r="D3818" t="inlineStr">
        <is>
          <t>GÄVLEBORGS LÄN</t>
        </is>
      </c>
      <c r="E3818" t="inlineStr">
        <is>
          <t>LJUSDAL</t>
        </is>
      </c>
      <c r="F3818" t="inlineStr">
        <is>
          <t>Kommuner</t>
        </is>
      </c>
      <c r="G3818" t="n">
        <v>5.9</v>
      </c>
      <c r="H3818" t="n">
        <v>0</v>
      </c>
      <c r="I3818" t="n">
        <v>0</v>
      </c>
      <c r="J3818" t="n">
        <v>0</v>
      </c>
      <c r="K3818" t="n">
        <v>0</v>
      </c>
      <c r="L3818" t="n">
        <v>0</v>
      </c>
      <c r="M3818" t="n">
        <v>0</v>
      </c>
      <c r="N3818" t="n">
        <v>0</v>
      </c>
      <c r="O3818" t="n">
        <v>0</v>
      </c>
      <c r="P3818" t="n">
        <v>0</v>
      </c>
      <c r="Q3818" t="n">
        <v>0</v>
      </c>
      <c r="R3818" s="2" t="inlineStr"/>
    </row>
    <row r="3819" ht="15" customHeight="1">
      <c r="A3819" t="inlineStr">
        <is>
          <t>A 53440-2024</t>
        </is>
      </c>
      <c r="B3819" s="1" t="n">
        <v>45614.53799768518</v>
      </c>
      <c r="C3819" s="1" t="n">
        <v>45883</v>
      </c>
      <c r="D3819" t="inlineStr">
        <is>
          <t>GÄVLEBORGS LÄN</t>
        </is>
      </c>
      <c r="E3819" t="inlineStr">
        <is>
          <t>OVANÅKER</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1354-2021</t>
        </is>
      </c>
      <c r="B3820" s="1" t="n">
        <v>44208</v>
      </c>
      <c r="C3820" s="1" t="n">
        <v>45883</v>
      </c>
      <c r="D3820" t="inlineStr">
        <is>
          <t>GÄVLEBORGS LÄN</t>
        </is>
      </c>
      <c r="E3820" t="inlineStr">
        <is>
          <t>OCKELBO</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1373-2021</t>
        </is>
      </c>
      <c r="B3821" s="1" t="n">
        <v>44208</v>
      </c>
      <c r="C3821" s="1" t="n">
        <v>45883</v>
      </c>
      <c r="D3821" t="inlineStr">
        <is>
          <t>GÄVLEBORGS LÄN</t>
        </is>
      </c>
      <c r="E3821" t="inlineStr">
        <is>
          <t>NORDANSTIG</t>
        </is>
      </c>
      <c r="F3821" t="inlineStr">
        <is>
          <t>Holmen skog AB</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9139-2025</t>
        </is>
      </c>
      <c r="B3822" s="1" t="n">
        <v>45714.29621527778</v>
      </c>
      <c r="C3822" s="1" t="n">
        <v>45883</v>
      </c>
      <c r="D3822" t="inlineStr">
        <is>
          <t>GÄVLEBORGS LÄN</t>
        </is>
      </c>
      <c r="E3822" t="inlineStr">
        <is>
          <t>LJUSDAL</t>
        </is>
      </c>
      <c r="G3822" t="n">
        <v>5.2</v>
      </c>
      <c r="H3822" t="n">
        <v>0</v>
      </c>
      <c r="I3822" t="n">
        <v>0</v>
      </c>
      <c r="J3822" t="n">
        <v>0</v>
      </c>
      <c r="K3822" t="n">
        <v>0</v>
      </c>
      <c r="L3822" t="n">
        <v>0</v>
      </c>
      <c r="M3822" t="n">
        <v>0</v>
      </c>
      <c r="N3822" t="n">
        <v>0</v>
      </c>
      <c r="O3822" t="n">
        <v>0</v>
      </c>
      <c r="P3822" t="n">
        <v>0</v>
      </c>
      <c r="Q3822" t="n">
        <v>0</v>
      </c>
      <c r="R3822" s="2" t="inlineStr"/>
    </row>
    <row r="3823" ht="15" customHeight="1">
      <c r="A3823" t="inlineStr">
        <is>
          <t>A 57751-2024</t>
        </is>
      </c>
      <c r="B3823" s="1" t="n">
        <v>45630.82424768519</v>
      </c>
      <c r="C3823" s="1" t="n">
        <v>45883</v>
      </c>
      <c r="D3823" t="inlineStr">
        <is>
          <t>GÄVLEBORGS LÄN</t>
        </is>
      </c>
      <c r="E3823" t="inlineStr">
        <is>
          <t>HOFORS</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2556-2025</t>
        </is>
      </c>
      <c r="B3824" s="1" t="n">
        <v>45674.64923611111</v>
      </c>
      <c r="C3824" s="1" t="n">
        <v>45883</v>
      </c>
      <c r="D3824" t="inlineStr">
        <is>
          <t>GÄVLEBORGS LÄN</t>
        </is>
      </c>
      <c r="E3824" t="inlineStr">
        <is>
          <t>OCKELBO</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65208-2023</t>
        </is>
      </c>
      <c r="B3825" s="1" t="n">
        <v>45289.46237268519</v>
      </c>
      <c r="C3825" s="1" t="n">
        <v>45883</v>
      </c>
      <c r="D3825" t="inlineStr">
        <is>
          <t>GÄVLEBORGS LÄN</t>
        </is>
      </c>
      <c r="E3825" t="inlineStr">
        <is>
          <t>NORDANSTIG</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13116-2023</t>
        </is>
      </c>
      <c r="B3826" s="1" t="n">
        <v>45002.47825231482</v>
      </c>
      <c r="C3826" s="1" t="n">
        <v>45883</v>
      </c>
      <c r="D3826" t="inlineStr">
        <is>
          <t>GÄVLEBORGS LÄN</t>
        </is>
      </c>
      <c r="E3826" t="inlineStr">
        <is>
          <t>LJUSDAL</t>
        </is>
      </c>
      <c r="F3826" t="inlineStr">
        <is>
          <t>Allmännings- och besparingsskogar</t>
        </is>
      </c>
      <c r="G3826" t="n">
        <v>8.800000000000001</v>
      </c>
      <c r="H3826" t="n">
        <v>0</v>
      </c>
      <c r="I3826" t="n">
        <v>0</v>
      </c>
      <c r="J3826" t="n">
        <v>0</v>
      </c>
      <c r="K3826" t="n">
        <v>0</v>
      </c>
      <c r="L3826" t="n">
        <v>0</v>
      </c>
      <c r="M3826" t="n">
        <v>0</v>
      </c>
      <c r="N3826" t="n">
        <v>0</v>
      </c>
      <c r="O3826" t="n">
        <v>0</v>
      </c>
      <c r="P3826" t="n">
        <v>0</v>
      </c>
      <c r="Q3826" t="n">
        <v>0</v>
      </c>
      <c r="R3826" s="2" t="inlineStr"/>
    </row>
    <row r="3827" ht="15" customHeight="1">
      <c r="A3827" t="inlineStr">
        <is>
          <t>A 14574-2025</t>
        </is>
      </c>
      <c r="B3827" s="1" t="n">
        <v>45741</v>
      </c>
      <c r="C3827" s="1" t="n">
        <v>45883</v>
      </c>
      <c r="D3827" t="inlineStr">
        <is>
          <t>GÄVLEBORGS LÄN</t>
        </is>
      </c>
      <c r="E3827" t="inlineStr">
        <is>
          <t>OVANÅKER</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41591-2024</t>
        </is>
      </c>
      <c r="B3828" s="1" t="n">
        <v>45560.57263888889</v>
      </c>
      <c r="C3828" s="1" t="n">
        <v>45883</v>
      </c>
      <c r="D3828" t="inlineStr">
        <is>
          <t>GÄVLEBORGS LÄN</t>
        </is>
      </c>
      <c r="E3828" t="inlineStr">
        <is>
          <t>BOLLNÄS</t>
        </is>
      </c>
      <c r="G3828" t="n">
        <v>21.8</v>
      </c>
      <c r="H3828" t="n">
        <v>0</v>
      </c>
      <c r="I3828" t="n">
        <v>0</v>
      </c>
      <c r="J3828" t="n">
        <v>0</v>
      </c>
      <c r="K3828" t="n">
        <v>0</v>
      </c>
      <c r="L3828" t="n">
        <v>0</v>
      </c>
      <c r="M3828" t="n">
        <v>0</v>
      </c>
      <c r="N3828" t="n">
        <v>0</v>
      </c>
      <c r="O3828" t="n">
        <v>0</v>
      </c>
      <c r="P3828" t="n">
        <v>0</v>
      </c>
      <c r="Q3828" t="n">
        <v>0</v>
      </c>
      <c r="R3828" s="2" t="inlineStr"/>
    </row>
    <row r="3829" ht="15" customHeight="1">
      <c r="A3829" t="inlineStr">
        <is>
          <t>A 33449-2024</t>
        </is>
      </c>
      <c r="B3829" s="1" t="n">
        <v>45519.56657407407</v>
      </c>
      <c r="C3829" s="1" t="n">
        <v>45883</v>
      </c>
      <c r="D3829" t="inlineStr">
        <is>
          <t>GÄVLEBORGS LÄN</t>
        </is>
      </c>
      <c r="E3829" t="inlineStr">
        <is>
          <t>GÄVLE</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36061-2023</t>
        </is>
      </c>
      <c r="B3830" s="1" t="n">
        <v>45149.46030092592</v>
      </c>
      <c r="C3830" s="1" t="n">
        <v>45883</v>
      </c>
      <c r="D3830" t="inlineStr">
        <is>
          <t>GÄVLEBORGS LÄN</t>
        </is>
      </c>
      <c r="E3830" t="inlineStr">
        <is>
          <t>BOLLNÄS</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4685-2025</t>
        </is>
      </c>
      <c r="B3831" s="1" t="n">
        <v>45688.29756944445</v>
      </c>
      <c r="C3831" s="1" t="n">
        <v>45883</v>
      </c>
      <c r="D3831" t="inlineStr">
        <is>
          <t>GÄVLEBORGS LÄN</t>
        </is>
      </c>
      <c r="E3831" t="inlineStr">
        <is>
          <t>OVANÅKER</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67794-2021</t>
        </is>
      </c>
      <c r="B3832" s="1" t="n">
        <v>44525.42381944445</v>
      </c>
      <c r="C3832" s="1" t="n">
        <v>45883</v>
      </c>
      <c r="D3832" t="inlineStr">
        <is>
          <t>GÄVLEBORGS LÄN</t>
        </is>
      </c>
      <c r="E3832" t="inlineStr">
        <is>
          <t>LJUSDAL</t>
        </is>
      </c>
      <c r="F3832" t="inlineStr">
        <is>
          <t>Allmännings- och besparingsskogar</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57886-2024</t>
        </is>
      </c>
      <c r="B3833" s="1" t="n">
        <v>45631.46252314815</v>
      </c>
      <c r="C3833" s="1" t="n">
        <v>45883</v>
      </c>
      <c r="D3833" t="inlineStr">
        <is>
          <t>GÄVLEBORGS LÄN</t>
        </is>
      </c>
      <c r="E3833" t="inlineStr">
        <is>
          <t>LJUSDAL</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53604-2023</t>
        </is>
      </c>
      <c r="B3834" s="1" t="n">
        <v>45230.56694444444</v>
      </c>
      <c r="C3834" s="1" t="n">
        <v>45883</v>
      </c>
      <c r="D3834" t="inlineStr">
        <is>
          <t>GÄVLEBORGS LÄN</t>
        </is>
      </c>
      <c r="E3834" t="inlineStr">
        <is>
          <t>OVANÅKER</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7699-2025</t>
        </is>
      </c>
      <c r="B3835" s="1" t="n">
        <v>45706</v>
      </c>
      <c r="C3835" s="1" t="n">
        <v>45883</v>
      </c>
      <c r="D3835" t="inlineStr">
        <is>
          <t>GÄVLEBORGS LÄN</t>
        </is>
      </c>
      <c r="E3835" t="inlineStr">
        <is>
          <t>SANDVIKEN</t>
        </is>
      </c>
      <c r="F3835" t="inlineStr">
        <is>
          <t>Kommuner</t>
        </is>
      </c>
      <c r="G3835" t="n">
        <v>8.199999999999999</v>
      </c>
      <c r="H3835" t="n">
        <v>0</v>
      </c>
      <c r="I3835" t="n">
        <v>0</v>
      </c>
      <c r="J3835" t="n">
        <v>0</v>
      </c>
      <c r="K3835" t="n">
        <v>0</v>
      </c>
      <c r="L3835" t="n">
        <v>0</v>
      </c>
      <c r="M3835" t="n">
        <v>0</v>
      </c>
      <c r="N3835" t="n">
        <v>0</v>
      </c>
      <c r="O3835" t="n">
        <v>0</v>
      </c>
      <c r="P3835" t="n">
        <v>0</v>
      </c>
      <c r="Q3835" t="n">
        <v>0</v>
      </c>
      <c r="R3835" s="2" t="inlineStr"/>
    </row>
    <row r="3836" ht="15" customHeight="1">
      <c r="A3836" t="inlineStr">
        <is>
          <t>A 68397-2020</t>
        </is>
      </c>
      <c r="B3836" s="1" t="n">
        <v>44186</v>
      </c>
      <c r="C3836" s="1" t="n">
        <v>45883</v>
      </c>
      <c r="D3836" t="inlineStr">
        <is>
          <t>GÄVLEBORGS LÄN</t>
        </is>
      </c>
      <c r="E3836" t="inlineStr">
        <is>
          <t>HOFORS</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56898-2023</t>
        </is>
      </c>
      <c r="B3837" s="1" t="n">
        <v>45244.5674537037</v>
      </c>
      <c r="C3837" s="1" t="n">
        <v>45883</v>
      </c>
      <c r="D3837" t="inlineStr">
        <is>
          <t>GÄVLEBORGS LÄN</t>
        </is>
      </c>
      <c r="E3837" t="inlineStr">
        <is>
          <t>HUDIKSVALL</t>
        </is>
      </c>
      <c r="F3837" t="inlineStr">
        <is>
          <t>Holmen skog AB</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20670-2022</t>
        </is>
      </c>
      <c r="B3838" s="1" t="n">
        <v>44700.65533564815</v>
      </c>
      <c r="C3838" s="1" t="n">
        <v>45883</v>
      </c>
      <c r="D3838" t="inlineStr">
        <is>
          <t>GÄVLEBORGS LÄN</t>
        </is>
      </c>
      <c r="E3838" t="inlineStr">
        <is>
          <t>HUDIKSVALL</t>
        </is>
      </c>
      <c r="F3838" t="inlineStr">
        <is>
          <t>Holmen skog AB</t>
        </is>
      </c>
      <c r="G3838" t="n">
        <v>11.9</v>
      </c>
      <c r="H3838" t="n">
        <v>0</v>
      </c>
      <c r="I3838" t="n">
        <v>0</v>
      </c>
      <c r="J3838" t="n">
        <v>0</v>
      </c>
      <c r="K3838" t="n">
        <v>0</v>
      </c>
      <c r="L3838" t="n">
        <v>0</v>
      </c>
      <c r="M3838" t="n">
        <v>0</v>
      </c>
      <c r="N3838" t="n">
        <v>0</v>
      </c>
      <c r="O3838" t="n">
        <v>0</v>
      </c>
      <c r="P3838" t="n">
        <v>0</v>
      </c>
      <c r="Q3838" t="n">
        <v>0</v>
      </c>
      <c r="R3838" s="2" t="inlineStr"/>
    </row>
    <row r="3839" ht="15" customHeight="1">
      <c r="A3839" t="inlineStr">
        <is>
          <t>A 43996-2024</t>
        </is>
      </c>
      <c r="B3839" s="1" t="n">
        <v>45572.53714120371</v>
      </c>
      <c r="C3839" s="1" t="n">
        <v>45883</v>
      </c>
      <c r="D3839" t="inlineStr">
        <is>
          <t>GÄVLEBORGS LÄN</t>
        </is>
      </c>
      <c r="E3839" t="inlineStr">
        <is>
          <t>BOLLNÄS</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4864-2023</t>
        </is>
      </c>
      <c r="B3840" s="1" t="n">
        <v>44957.92511574074</v>
      </c>
      <c r="C3840" s="1" t="n">
        <v>45883</v>
      </c>
      <c r="D3840" t="inlineStr">
        <is>
          <t>GÄVLEBORGS LÄN</t>
        </is>
      </c>
      <c r="E3840" t="inlineStr">
        <is>
          <t>LJUSDAL</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19646-2024</t>
        </is>
      </c>
      <c r="B3841" s="1" t="n">
        <v>45432.40928240741</v>
      </c>
      <c r="C3841" s="1" t="n">
        <v>45883</v>
      </c>
      <c r="D3841" t="inlineStr">
        <is>
          <t>GÄVLEBORGS LÄN</t>
        </is>
      </c>
      <c r="E3841" t="inlineStr">
        <is>
          <t>LJUSDAL</t>
        </is>
      </c>
      <c r="F3841" t="inlineStr">
        <is>
          <t>Bergvik skog väst AB</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37146-2024</t>
        </is>
      </c>
      <c r="B3842" s="1" t="n">
        <v>45539.6021875</v>
      </c>
      <c r="C3842" s="1" t="n">
        <v>45883</v>
      </c>
      <c r="D3842" t="inlineStr">
        <is>
          <t>GÄVLEBORGS LÄN</t>
        </is>
      </c>
      <c r="E3842" t="inlineStr">
        <is>
          <t>GÄVLE</t>
        </is>
      </c>
      <c r="G3842" t="n">
        <v>9.4</v>
      </c>
      <c r="H3842" t="n">
        <v>0</v>
      </c>
      <c r="I3842" t="n">
        <v>0</v>
      </c>
      <c r="J3842" t="n">
        <v>0</v>
      </c>
      <c r="K3842" t="n">
        <v>0</v>
      </c>
      <c r="L3842" t="n">
        <v>0</v>
      </c>
      <c r="M3842" t="n">
        <v>0</v>
      </c>
      <c r="N3842" t="n">
        <v>0</v>
      </c>
      <c r="O3842" t="n">
        <v>0</v>
      </c>
      <c r="P3842" t="n">
        <v>0</v>
      </c>
      <c r="Q3842" t="n">
        <v>0</v>
      </c>
      <c r="R3842" s="2" t="inlineStr"/>
    </row>
    <row r="3843" ht="15" customHeight="1">
      <c r="A3843" t="inlineStr">
        <is>
          <t>A 26396-2024</t>
        </is>
      </c>
      <c r="B3843" s="1" t="n">
        <v>45469.43953703704</v>
      </c>
      <c r="C3843" s="1" t="n">
        <v>45883</v>
      </c>
      <c r="D3843" t="inlineStr">
        <is>
          <t>GÄVLEBORGS LÄN</t>
        </is>
      </c>
      <c r="E3843" t="inlineStr">
        <is>
          <t>HUDIKSVALL</t>
        </is>
      </c>
      <c r="F3843" t="inlineStr">
        <is>
          <t>Holmen skog AB</t>
        </is>
      </c>
      <c r="G3843" t="n">
        <v>8.6</v>
      </c>
      <c r="H3843" t="n">
        <v>0</v>
      </c>
      <c r="I3843" t="n">
        <v>0</v>
      </c>
      <c r="J3843" t="n">
        <v>0</v>
      </c>
      <c r="K3843" t="n">
        <v>0</v>
      </c>
      <c r="L3843" t="n">
        <v>0</v>
      </c>
      <c r="M3843" t="n">
        <v>0</v>
      </c>
      <c r="N3843" t="n">
        <v>0</v>
      </c>
      <c r="O3843" t="n">
        <v>0</v>
      </c>
      <c r="P3843" t="n">
        <v>0</v>
      </c>
      <c r="Q3843" t="n">
        <v>0</v>
      </c>
      <c r="R3843" s="2" t="inlineStr"/>
    </row>
    <row r="3844" ht="15" customHeight="1">
      <c r="A3844" t="inlineStr">
        <is>
          <t>A 38937-2023</t>
        </is>
      </c>
      <c r="B3844" s="1" t="n">
        <v>45163</v>
      </c>
      <c r="C3844" s="1" t="n">
        <v>45883</v>
      </c>
      <c r="D3844" t="inlineStr">
        <is>
          <t>GÄVLEBORGS LÄN</t>
        </is>
      </c>
      <c r="E3844" t="inlineStr">
        <is>
          <t>BOLLNÄS</t>
        </is>
      </c>
      <c r="G3844" t="n">
        <v>5.1</v>
      </c>
      <c r="H3844" t="n">
        <v>0</v>
      </c>
      <c r="I3844" t="n">
        <v>0</v>
      </c>
      <c r="J3844" t="n">
        <v>0</v>
      </c>
      <c r="K3844" t="n">
        <v>0</v>
      </c>
      <c r="L3844" t="n">
        <v>0</v>
      </c>
      <c r="M3844" t="n">
        <v>0</v>
      </c>
      <c r="N3844" t="n">
        <v>0</v>
      </c>
      <c r="O3844" t="n">
        <v>0</v>
      </c>
      <c r="P3844" t="n">
        <v>0</v>
      </c>
      <c r="Q3844" t="n">
        <v>0</v>
      </c>
      <c r="R3844" s="2" t="inlineStr"/>
    </row>
    <row r="3845" ht="15" customHeight="1">
      <c r="A3845" t="inlineStr">
        <is>
          <t>A 26456-2023</t>
        </is>
      </c>
      <c r="B3845" s="1" t="n">
        <v>45092.46173611111</v>
      </c>
      <c r="C3845" s="1" t="n">
        <v>45883</v>
      </c>
      <c r="D3845" t="inlineStr">
        <is>
          <t>GÄVLEBORGS LÄN</t>
        </is>
      </c>
      <c r="E3845" t="inlineStr">
        <is>
          <t>HUDIKSVALL</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28446-2024</t>
        </is>
      </c>
      <c r="B3846" s="1" t="n">
        <v>45477.67075231481</v>
      </c>
      <c r="C3846" s="1" t="n">
        <v>45883</v>
      </c>
      <c r="D3846" t="inlineStr">
        <is>
          <t>GÄVLEBORGS LÄN</t>
        </is>
      </c>
      <c r="E3846" t="inlineStr">
        <is>
          <t>OVANÅKER</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59511-2022</t>
        </is>
      </c>
      <c r="B3847" s="1" t="n">
        <v>44907</v>
      </c>
      <c r="C3847" s="1" t="n">
        <v>45883</v>
      </c>
      <c r="D3847" t="inlineStr">
        <is>
          <t>GÄVLEBORGS LÄN</t>
        </is>
      </c>
      <c r="E3847" t="inlineStr">
        <is>
          <t>OVANÅKER</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435-2024</t>
        </is>
      </c>
      <c r="B3848" s="1" t="n">
        <v>45296</v>
      </c>
      <c r="C3848" s="1" t="n">
        <v>45883</v>
      </c>
      <c r="D3848" t="inlineStr">
        <is>
          <t>GÄVLEBORGS LÄN</t>
        </is>
      </c>
      <c r="E3848" t="inlineStr">
        <is>
          <t>SÖDERHAMN</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461-2024</t>
        </is>
      </c>
      <c r="B3849" s="1" t="n">
        <v>45297</v>
      </c>
      <c r="C3849" s="1" t="n">
        <v>45883</v>
      </c>
      <c r="D3849" t="inlineStr">
        <is>
          <t>GÄVLEBORGS LÄN</t>
        </is>
      </c>
      <c r="E3849" t="inlineStr">
        <is>
          <t>HUDIKSVALL</t>
        </is>
      </c>
      <c r="G3849" t="n">
        <v>43.2</v>
      </c>
      <c r="H3849" t="n">
        <v>0</v>
      </c>
      <c r="I3849" t="n">
        <v>0</v>
      </c>
      <c r="J3849" t="n">
        <v>0</v>
      </c>
      <c r="K3849" t="n">
        <v>0</v>
      </c>
      <c r="L3849" t="n">
        <v>0</v>
      </c>
      <c r="M3849" t="n">
        <v>0</v>
      </c>
      <c r="N3849" t="n">
        <v>0</v>
      </c>
      <c r="O3849" t="n">
        <v>0</v>
      </c>
      <c r="P3849" t="n">
        <v>0</v>
      </c>
      <c r="Q3849" t="n">
        <v>0</v>
      </c>
      <c r="R3849" s="2" t="inlineStr"/>
    </row>
    <row r="3850" ht="15" customHeight="1">
      <c r="A3850" t="inlineStr">
        <is>
          <t>A 59799-2022</t>
        </is>
      </c>
      <c r="B3850" s="1" t="n">
        <v>44908.56585648148</v>
      </c>
      <c r="C3850" s="1" t="n">
        <v>45883</v>
      </c>
      <c r="D3850" t="inlineStr">
        <is>
          <t>GÄVLEBORGS LÄN</t>
        </is>
      </c>
      <c r="E3850" t="inlineStr">
        <is>
          <t>NORDANSTIG</t>
        </is>
      </c>
      <c r="F3850" t="inlineStr">
        <is>
          <t>Holmen skog AB</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29929-2022</t>
        </is>
      </c>
      <c r="B3851" s="1" t="n">
        <v>44756.57740740741</v>
      </c>
      <c r="C3851" s="1" t="n">
        <v>45883</v>
      </c>
      <c r="D3851" t="inlineStr">
        <is>
          <t>GÄVLEBORGS LÄN</t>
        </is>
      </c>
      <c r="E3851" t="inlineStr">
        <is>
          <t>GÄVLE</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29972-2022</t>
        </is>
      </c>
      <c r="B3852" s="1" t="n">
        <v>44756.68119212963</v>
      </c>
      <c r="C3852" s="1" t="n">
        <v>45883</v>
      </c>
      <c r="D3852" t="inlineStr">
        <is>
          <t>GÄVLEBORGS LÄN</t>
        </is>
      </c>
      <c r="E3852" t="inlineStr">
        <is>
          <t>SANDVIKEN</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41801-2023</t>
        </is>
      </c>
      <c r="B3853" s="1" t="n">
        <v>45176.50149305556</v>
      </c>
      <c r="C3853" s="1" t="n">
        <v>45883</v>
      </c>
      <c r="D3853" t="inlineStr">
        <is>
          <t>GÄVLEBORGS LÄN</t>
        </is>
      </c>
      <c r="E3853" t="inlineStr">
        <is>
          <t>OVANÅKER</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10118-2024</t>
        </is>
      </c>
      <c r="B3854" s="1" t="n">
        <v>45364.56001157407</v>
      </c>
      <c r="C3854" s="1" t="n">
        <v>45883</v>
      </c>
      <c r="D3854" t="inlineStr">
        <is>
          <t>GÄVLEBORGS LÄN</t>
        </is>
      </c>
      <c r="E3854" t="inlineStr">
        <is>
          <t>BOLLNÄS</t>
        </is>
      </c>
      <c r="G3854" t="n">
        <v>0.3</v>
      </c>
      <c r="H3854" t="n">
        <v>0</v>
      </c>
      <c r="I3854" t="n">
        <v>0</v>
      </c>
      <c r="J3854" t="n">
        <v>0</v>
      </c>
      <c r="K3854" t="n">
        <v>0</v>
      </c>
      <c r="L3854" t="n">
        <v>0</v>
      </c>
      <c r="M3854" t="n">
        <v>0</v>
      </c>
      <c r="N3854" t="n">
        <v>0</v>
      </c>
      <c r="O3854" t="n">
        <v>0</v>
      </c>
      <c r="P3854" t="n">
        <v>0</v>
      </c>
      <c r="Q3854" t="n">
        <v>0</v>
      </c>
      <c r="R3854" s="2" t="inlineStr"/>
    </row>
    <row r="3855" ht="15" customHeight="1">
      <c r="A3855" t="inlineStr">
        <is>
          <t>A 10119-2024</t>
        </is>
      </c>
      <c r="B3855" s="1" t="n">
        <v>45364.56122685185</v>
      </c>
      <c r="C3855" s="1" t="n">
        <v>45883</v>
      </c>
      <c r="D3855" t="inlineStr">
        <is>
          <t>GÄVLEBORGS LÄN</t>
        </is>
      </c>
      <c r="E3855" t="inlineStr">
        <is>
          <t>BOLLNÄS</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45284-2023</t>
        </is>
      </c>
      <c r="B3856" s="1" t="n">
        <v>45191.64744212963</v>
      </c>
      <c r="C3856" s="1" t="n">
        <v>45883</v>
      </c>
      <c r="D3856" t="inlineStr">
        <is>
          <t>GÄVLEBORGS LÄN</t>
        </is>
      </c>
      <c r="E3856" t="inlineStr">
        <is>
          <t>SANDVIKEN</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3464-2023</t>
        </is>
      </c>
      <c r="B3857" s="1" t="n">
        <v>44949.65045138889</v>
      </c>
      <c r="C3857" s="1" t="n">
        <v>45883</v>
      </c>
      <c r="D3857" t="inlineStr">
        <is>
          <t>GÄVLEBORGS LÄN</t>
        </is>
      </c>
      <c r="E3857" t="inlineStr">
        <is>
          <t>LJUSDAL</t>
        </is>
      </c>
      <c r="G3857" t="n">
        <v>18.6</v>
      </c>
      <c r="H3857" t="n">
        <v>0</v>
      </c>
      <c r="I3857" t="n">
        <v>0</v>
      </c>
      <c r="J3857" t="n">
        <v>0</v>
      </c>
      <c r="K3857" t="n">
        <v>0</v>
      </c>
      <c r="L3857" t="n">
        <v>0</v>
      </c>
      <c r="M3857" t="n">
        <v>0</v>
      </c>
      <c r="N3857" t="n">
        <v>0</v>
      </c>
      <c r="O3857" t="n">
        <v>0</v>
      </c>
      <c r="P3857" t="n">
        <v>0</v>
      </c>
      <c r="Q3857" t="n">
        <v>0</v>
      </c>
      <c r="R3857" s="2" t="inlineStr"/>
    </row>
    <row r="3858" ht="15" customHeight="1">
      <c r="A3858" t="inlineStr">
        <is>
          <t>A 3635-2023</t>
        </is>
      </c>
      <c r="B3858" s="1" t="n">
        <v>44950</v>
      </c>
      <c r="C3858" s="1" t="n">
        <v>45883</v>
      </c>
      <c r="D3858" t="inlineStr">
        <is>
          <t>GÄVLEBORGS LÄN</t>
        </is>
      </c>
      <c r="E3858" t="inlineStr">
        <is>
          <t>LJUSDAL</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29532-2024</t>
        </is>
      </c>
      <c r="B3859" s="1" t="n">
        <v>45484.48097222222</v>
      </c>
      <c r="C3859" s="1" t="n">
        <v>45883</v>
      </c>
      <c r="D3859" t="inlineStr">
        <is>
          <t>GÄVLEBORGS LÄN</t>
        </is>
      </c>
      <c r="E3859" t="inlineStr">
        <is>
          <t>NORDANSTIG</t>
        </is>
      </c>
      <c r="F3859" t="inlineStr">
        <is>
          <t>Holmen skog AB</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59063-2023</t>
        </is>
      </c>
      <c r="B3860" s="1" t="n">
        <v>45252.81868055555</v>
      </c>
      <c r="C3860" s="1" t="n">
        <v>45883</v>
      </c>
      <c r="D3860" t="inlineStr">
        <is>
          <t>GÄVLEBORGS LÄN</t>
        </is>
      </c>
      <c r="E3860" t="inlineStr">
        <is>
          <t>OCKELBO</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35504-2024</t>
        </is>
      </c>
      <c r="B3861" s="1" t="n">
        <v>45531.53686342593</v>
      </c>
      <c r="C3861" s="1" t="n">
        <v>45883</v>
      </c>
      <c r="D3861" t="inlineStr">
        <is>
          <t>GÄVLEBORGS LÄN</t>
        </is>
      </c>
      <c r="E3861" t="inlineStr">
        <is>
          <t>HOFORS</t>
        </is>
      </c>
      <c r="F3861" t="inlineStr">
        <is>
          <t>Sveaskog</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32631-2024</t>
        </is>
      </c>
      <c r="B3862" s="1" t="n">
        <v>45513.87604166667</v>
      </c>
      <c r="C3862" s="1" t="n">
        <v>45883</v>
      </c>
      <c r="D3862" t="inlineStr">
        <is>
          <t>GÄVLEBORGS LÄN</t>
        </is>
      </c>
      <c r="E3862" t="inlineStr">
        <is>
          <t>HUDIKSVALL</t>
        </is>
      </c>
      <c r="F3862" t="inlineStr">
        <is>
          <t>Holmen skog AB</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35225-2024</t>
        </is>
      </c>
      <c r="B3863" s="1" t="n">
        <v>45530.51480324074</v>
      </c>
      <c r="C3863" s="1" t="n">
        <v>45883</v>
      </c>
      <c r="D3863" t="inlineStr">
        <is>
          <t>GÄVLEBORGS LÄN</t>
        </is>
      </c>
      <c r="E3863" t="inlineStr">
        <is>
          <t>GÄVLE</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30953-2024</t>
        </is>
      </c>
      <c r="B3864" s="1" t="n">
        <v>45499.41650462963</v>
      </c>
      <c r="C3864" s="1" t="n">
        <v>45883</v>
      </c>
      <c r="D3864" t="inlineStr">
        <is>
          <t>GÄVLEBORGS LÄN</t>
        </is>
      </c>
      <c r="E3864" t="inlineStr">
        <is>
          <t>SANDVIKEN</t>
        </is>
      </c>
      <c r="G3864" t="n">
        <v>6</v>
      </c>
      <c r="H3864" t="n">
        <v>0</v>
      </c>
      <c r="I3864" t="n">
        <v>0</v>
      </c>
      <c r="J3864" t="n">
        <v>0</v>
      </c>
      <c r="K3864" t="n">
        <v>0</v>
      </c>
      <c r="L3864" t="n">
        <v>0</v>
      </c>
      <c r="M3864" t="n">
        <v>0</v>
      </c>
      <c r="N3864" t="n">
        <v>0</v>
      </c>
      <c r="O3864" t="n">
        <v>0</v>
      </c>
      <c r="P3864" t="n">
        <v>0</v>
      </c>
      <c r="Q3864" t="n">
        <v>0</v>
      </c>
      <c r="R3864" s="2" t="inlineStr"/>
    </row>
    <row r="3865" ht="15" customHeight="1">
      <c r="A3865" t="inlineStr">
        <is>
          <t>A 32686-2024</t>
        </is>
      </c>
      <c r="B3865" s="1" t="n">
        <v>45515.68230324074</v>
      </c>
      <c r="C3865" s="1" t="n">
        <v>45883</v>
      </c>
      <c r="D3865" t="inlineStr">
        <is>
          <t>GÄVLEBORGS LÄN</t>
        </is>
      </c>
      <c r="E3865" t="inlineStr">
        <is>
          <t>OVANÅKER</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31117-2024</t>
        </is>
      </c>
      <c r="B3866" s="1" t="n">
        <v>45502.57020833333</v>
      </c>
      <c r="C3866" s="1" t="n">
        <v>45883</v>
      </c>
      <c r="D3866" t="inlineStr">
        <is>
          <t>GÄVLEBORGS LÄN</t>
        </is>
      </c>
      <c r="E3866" t="inlineStr">
        <is>
          <t>HUDIKSVALL</t>
        </is>
      </c>
      <c r="F3866" t="inlineStr">
        <is>
          <t>Holmen skog AB</t>
        </is>
      </c>
      <c r="G3866" t="n">
        <v>10.9</v>
      </c>
      <c r="H3866" t="n">
        <v>0</v>
      </c>
      <c r="I3866" t="n">
        <v>0</v>
      </c>
      <c r="J3866" t="n">
        <v>0</v>
      </c>
      <c r="K3866" t="n">
        <v>0</v>
      </c>
      <c r="L3866" t="n">
        <v>0</v>
      </c>
      <c r="M3866" t="n">
        <v>0</v>
      </c>
      <c r="N3866" t="n">
        <v>0</v>
      </c>
      <c r="O3866" t="n">
        <v>0</v>
      </c>
      <c r="P3866" t="n">
        <v>0</v>
      </c>
      <c r="Q3866" t="n">
        <v>0</v>
      </c>
      <c r="R3866" s="2" t="inlineStr"/>
    </row>
    <row r="3867" ht="15" customHeight="1">
      <c r="A3867" t="inlineStr">
        <is>
          <t>A 31119-2024</t>
        </is>
      </c>
      <c r="B3867" s="1" t="n">
        <v>45502.57400462963</v>
      </c>
      <c r="C3867" s="1" t="n">
        <v>45883</v>
      </c>
      <c r="D3867" t="inlineStr">
        <is>
          <t>GÄVLEBORGS LÄN</t>
        </is>
      </c>
      <c r="E3867" t="inlineStr">
        <is>
          <t>HUDIKSVALL</t>
        </is>
      </c>
      <c r="F3867" t="inlineStr">
        <is>
          <t>Holmen skog AB</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36525-2024</t>
        </is>
      </c>
      <c r="B3868" s="1" t="n">
        <v>45537.43836805555</v>
      </c>
      <c r="C3868" s="1" t="n">
        <v>45883</v>
      </c>
      <c r="D3868" t="inlineStr">
        <is>
          <t>GÄVLEBORGS LÄN</t>
        </is>
      </c>
      <c r="E3868" t="inlineStr">
        <is>
          <t>NORDANSTIG</t>
        </is>
      </c>
      <c r="F3868" t="inlineStr">
        <is>
          <t>Holmen skog AB</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35646-2024</t>
        </is>
      </c>
      <c r="B3869" s="1" t="n">
        <v>45532</v>
      </c>
      <c r="C3869" s="1" t="n">
        <v>45883</v>
      </c>
      <c r="D3869" t="inlineStr">
        <is>
          <t>GÄVLEBORGS LÄN</t>
        </is>
      </c>
      <c r="E3869" t="inlineStr">
        <is>
          <t>SANDVIKEN</t>
        </is>
      </c>
      <c r="G3869" t="n">
        <v>6.8</v>
      </c>
      <c r="H3869" t="n">
        <v>0</v>
      </c>
      <c r="I3869" t="n">
        <v>0</v>
      </c>
      <c r="J3869" t="n">
        <v>0</v>
      </c>
      <c r="K3869" t="n">
        <v>0</v>
      </c>
      <c r="L3869" t="n">
        <v>0</v>
      </c>
      <c r="M3869" t="n">
        <v>0</v>
      </c>
      <c r="N3869" t="n">
        <v>0</v>
      </c>
      <c r="O3869" t="n">
        <v>0</v>
      </c>
      <c r="P3869" t="n">
        <v>0</v>
      </c>
      <c r="Q3869" t="n">
        <v>0</v>
      </c>
      <c r="R3869" s="2" t="inlineStr"/>
    </row>
    <row r="3870" ht="15" customHeight="1">
      <c r="A3870" t="inlineStr">
        <is>
          <t>A 3942-2023</t>
        </is>
      </c>
      <c r="B3870" s="1" t="n">
        <v>44952</v>
      </c>
      <c r="C3870" s="1" t="n">
        <v>45883</v>
      </c>
      <c r="D3870" t="inlineStr">
        <is>
          <t>GÄVLEBORGS LÄN</t>
        </is>
      </c>
      <c r="E3870" t="inlineStr">
        <is>
          <t>HUDIKSVALL</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4605-2023</t>
        </is>
      </c>
      <c r="B3871" s="1" t="n">
        <v>44956.92472222223</v>
      </c>
      <c r="C3871" s="1" t="n">
        <v>45883</v>
      </c>
      <c r="D3871" t="inlineStr">
        <is>
          <t>GÄVLEBORGS LÄN</t>
        </is>
      </c>
      <c r="E3871" t="inlineStr">
        <is>
          <t>HUDIKSVALL</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57260-2023</t>
        </is>
      </c>
      <c r="B3872" s="1" t="n">
        <v>45239</v>
      </c>
      <c r="C3872" s="1" t="n">
        <v>45883</v>
      </c>
      <c r="D3872" t="inlineStr">
        <is>
          <t>GÄVLEBORGS LÄN</t>
        </is>
      </c>
      <c r="E3872" t="inlineStr">
        <is>
          <t>BOLLNÄS</t>
        </is>
      </c>
      <c r="F3872" t="inlineStr">
        <is>
          <t>Kommuner</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4686-2023</t>
        </is>
      </c>
      <c r="B3873" s="1" t="n">
        <v>44957.46049768518</v>
      </c>
      <c r="C3873" s="1" t="n">
        <v>45883</v>
      </c>
      <c r="D3873" t="inlineStr">
        <is>
          <t>GÄVLEBORGS LÄN</t>
        </is>
      </c>
      <c r="E3873" t="inlineStr">
        <is>
          <t>LJUSDAL</t>
        </is>
      </c>
      <c r="F3873" t="inlineStr">
        <is>
          <t>Holmen skog AB</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10150-2023</t>
        </is>
      </c>
      <c r="B3874" s="1" t="n">
        <v>44986</v>
      </c>
      <c r="C3874" s="1" t="n">
        <v>45883</v>
      </c>
      <c r="D3874" t="inlineStr">
        <is>
          <t>GÄVLEBORGS LÄN</t>
        </is>
      </c>
      <c r="E3874" t="inlineStr">
        <is>
          <t>OCKELBO</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10190-2023</t>
        </is>
      </c>
      <c r="B3875" s="1" t="n">
        <v>44986</v>
      </c>
      <c r="C3875" s="1" t="n">
        <v>45883</v>
      </c>
      <c r="D3875" t="inlineStr">
        <is>
          <t>GÄVLEBORGS LÄN</t>
        </is>
      </c>
      <c r="E3875" t="inlineStr">
        <is>
          <t>HUDIKSVALL</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1377-2022</t>
        </is>
      </c>
      <c r="B3876" s="1" t="n">
        <v>44573</v>
      </c>
      <c r="C3876" s="1" t="n">
        <v>45883</v>
      </c>
      <c r="D3876" t="inlineStr">
        <is>
          <t>GÄVLEBORGS LÄN</t>
        </is>
      </c>
      <c r="E3876" t="inlineStr">
        <is>
          <t>HUDIKSVALL</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13337-2024</t>
        </is>
      </c>
      <c r="B3877" s="1" t="n">
        <v>45386</v>
      </c>
      <c r="C3877" s="1" t="n">
        <v>45883</v>
      </c>
      <c r="D3877" t="inlineStr">
        <is>
          <t>GÄVLEBORGS LÄN</t>
        </is>
      </c>
      <c r="E3877" t="inlineStr">
        <is>
          <t>LJUSDAL</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51380-2024</t>
        </is>
      </c>
      <c r="B3878" s="1" t="n">
        <v>45604.38657407407</v>
      </c>
      <c r="C3878" s="1" t="n">
        <v>45883</v>
      </c>
      <c r="D3878" t="inlineStr">
        <is>
          <t>GÄVLEBORGS LÄN</t>
        </is>
      </c>
      <c r="E3878" t="inlineStr">
        <is>
          <t>NORDANSTIG</t>
        </is>
      </c>
      <c r="F3878" t="inlineStr">
        <is>
          <t>Holmen skog AB</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6331-2022</t>
        </is>
      </c>
      <c r="B3879" s="1" t="n">
        <v>44600</v>
      </c>
      <c r="C3879" s="1" t="n">
        <v>45883</v>
      </c>
      <c r="D3879" t="inlineStr">
        <is>
          <t>GÄVLEBORGS LÄN</t>
        </is>
      </c>
      <c r="E3879" t="inlineStr">
        <is>
          <t>GÄVLE</t>
        </is>
      </c>
      <c r="F3879" t="inlineStr">
        <is>
          <t>Kyrkan</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19185-2025</t>
        </is>
      </c>
      <c r="B3880" s="1" t="n">
        <v>45769.40646990741</v>
      </c>
      <c r="C3880" s="1" t="n">
        <v>45883</v>
      </c>
      <c r="D3880" t="inlineStr">
        <is>
          <t>GÄVLEBORGS LÄN</t>
        </is>
      </c>
      <c r="E3880" t="inlineStr">
        <is>
          <t>NORDANSTIG</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27151-2023</t>
        </is>
      </c>
      <c r="B3881" s="1" t="n">
        <v>45096.47592592592</v>
      </c>
      <c r="C3881" s="1" t="n">
        <v>45883</v>
      </c>
      <c r="D3881" t="inlineStr">
        <is>
          <t>GÄVLEBORGS LÄN</t>
        </is>
      </c>
      <c r="E3881" t="inlineStr">
        <is>
          <t>SÖDERHAMN</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59422-2022</t>
        </is>
      </c>
      <c r="B3882" s="1" t="n">
        <v>44907.35174768518</v>
      </c>
      <c r="C3882" s="1" t="n">
        <v>45883</v>
      </c>
      <c r="D3882" t="inlineStr">
        <is>
          <t>GÄVLEBORGS LÄN</t>
        </is>
      </c>
      <c r="E3882" t="inlineStr">
        <is>
          <t>NORDANSTIG</t>
        </is>
      </c>
      <c r="F3882" t="inlineStr">
        <is>
          <t>Holmen skog AB</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56455-2022</t>
        </is>
      </c>
      <c r="B3883" s="1" t="n">
        <v>44893.31280092592</v>
      </c>
      <c r="C3883" s="1" t="n">
        <v>45883</v>
      </c>
      <c r="D3883" t="inlineStr">
        <is>
          <t>GÄVLEBORGS LÄN</t>
        </is>
      </c>
      <c r="E3883" t="inlineStr">
        <is>
          <t>OVANÅKER</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51965-2023</t>
        </is>
      </c>
      <c r="B3884" s="1" t="n">
        <v>45223</v>
      </c>
      <c r="C3884" s="1" t="n">
        <v>45883</v>
      </c>
      <c r="D3884" t="inlineStr">
        <is>
          <t>GÄVLEBORGS LÄN</t>
        </is>
      </c>
      <c r="E3884" t="inlineStr">
        <is>
          <t>BOLLNÄS</t>
        </is>
      </c>
      <c r="F3884" t="inlineStr">
        <is>
          <t>Bergvik skog väst AB</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60349-2022</t>
        </is>
      </c>
      <c r="B3885" s="1" t="n">
        <v>44910</v>
      </c>
      <c r="C3885" s="1" t="n">
        <v>45883</v>
      </c>
      <c r="D3885" t="inlineStr">
        <is>
          <t>GÄVLEBORGS LÄN</t>
        </is>
      </c>
      <c r="E3885" t="inlineStr">
        <is>
          <t>GÄVLE</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8698-2024</t>
        </is>
      </c>
      <c r="B3886" s="1" t="n">
        <v>45356.37516203704</v>
      </c>
      <c r="C3886" s="1" t="n">
        <v>45883</v>
      </c>
      <c r="D3886" t="inlineStr">
        <is>
          <t>GÄVLEBORGS LÄN</t>
        </is>
      </c>
      <c r="E3886" t="inlineStr">
        <is>
          <t>SANDVIKEN</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60500-2022</t>
        </is>
      </c>
      <c r="B3887" s="1" t="n">
        <v>44911</v>
      </c>
      <c r="C3887" s="1" t="n">
        <v>45883</v>
      </c>
      <c r="D3887" t="inlineStr">
        <is>
          <t>GÄVLEBORGS LÄN</t>
        </is>
      </c>
      <c r="E3887" t="inlineStr">
        <is>
          <t>HUDIKSVALL</t>
        </is>
      </c>
      <c r="F3887" t="inlineStr">
        <is>
          <t>Holmen skog AB</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32827-2024</t>
        </is>
      </c>
      <c r="B3888" s="1" t="n">
        <v>45516.59273148148</v>
      </c>
      <c r="C3888" s="1" t="n">
        <v>45883</v>
      </c>
      <c r="D3888" t="inlineStr">
        <is>
          <t>GÄVLEBORGS LÄN</t>
        </is>
      </c>
      <c r="E3888" t="inlineStr">
        <is>
          <t>HOFORS</t>
        </is>
      </c>
      <c r="F3888" t="inlineStr">
        <is>
          <t>Sveaskog</t>
        </is>
      </c>
      <c r="G3888" t="n">
        <v>8.5</v>
      </c>
      <c r="H3888" t="n">
        <v>0</v>
      </c>
      <c r="I3888" t="n">
        <v>0</v>
      </c>
      <c r="J3888" t="n">
        <v>0</v>
      </c>
      <c r="K3888" t="n">
        <v>0</v>
      </c>
      <c r="L3888" t="n">
        <v>0</v>
      </c>
      <c r="M3888" t="n">
        <v>0</v>
      </c>
      <c r="N3888" t="n">
        <v>0</v>
      </c>
      <c r="O3888" t="n">
        <v>0</v>
      </c>
      <c r="P3888" t="n">
        <v>0</v>
      </c>
      <c r="Q3888" t="n">
        <v>0</v>
      </c>
      <c r="R3888" s="2" t="inlineStr"/>
    </row>
    <row r="3889" ht="15" customHeight="1">
      <c r="A3889" t="inlineStr">
        <is>
          <t>A 62056-2022</t>
        </is>
      </c>
      <c r="B3889" s="1" t="n">
        <v>44918</v>
      </c>
      <c r="C3889" s="1" t="n">
        <v>45883</v>
      </c>
      <c r="D3889" t="inlineStr">
        <is>
          <t>GÄVLEBORGS LÄN</t>
        </is>
      </c>
      <c r="E3889" t="inlineStr">
        <is>
          <t>SANDVIKEN</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10326-2023</t>
        </is>
      </c>
      <c r="B3890" s="1" t="n">
        <v>44987.31462962963</v>
      </c>
      <c r="C3890" s="1" t="n">
        <v>45883</v>
      </c>
      <c r="D3890" t="inlineStr">
        <is>
          <t>GÄVLEBORGS LÄN</t>
        </is>
      </c>
      <c r="E3890" t="inlineStr">
        <is>
          <t>OCKELBO</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10332-2023</t>
        </is>
      </c>
      <c r="B3891" s="1" t="n">
        <v>44987</v>
      </c>
      <c r="C3891" s="1" t="n">
        <v>45883</v>
      </c>
      <c r="D3891" t="inlineStr">
        <is>
          <t>GÄVLEBORGS LÄN</t>
        </is>
      </c>
      <c r="E3891" t="inlineStr">
        <is>
          <t>HUDIKSVALL</t>
        </is>
      </c>
      <c r="F3891" t="inlineStr">
        <is>
          <t>Holmen skog AB</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44227-2024</t>
        </is>
      </c>
      <c r="B3892" s="1" t="n">
        <v>45573.39623842593</v>
      </c>
      <c r="C3892" s="1" t="n">
        <v>45883</v>
      </c>
      <c r="D3892" t="inlineStr">
        <is>
          <t>GÄVLEBORGS LÄN</t>
        </is>
      </c>
      <c r="E3892" t="inlineStr">
        <is>
          <t>HUDIKSVALL</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60396-2022</t>
        </is>
      </c>
      <c r="B3893" s="1" t="n">
        <v>44910</v>
      </c>
      <c r="C3893" s="1" t="n">
        <v>45883</v>
      </c>
      <c r="D3893" t="inlineStr">
        <is>
          <t>GÄVLEBORGS LÄN</t>
        </is>
      </c>
      <c r="E3893" t="inlineStr">
        <is>
          <t>GÄVLE</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34651-2021</t>
        </is>
      </c>
      <c r="B3894" s="1" t="n">
        <v>44382</v>
      </c>
      <c r="C3894" s="1" t="n">
        <v>45883</v>
      </c>
      <c r="D3894" t="inlineStr">
        <is>
          <t>GÄVLEBORGS LÄN</t>
        </is>
      </c>
      <c r="E3894" t="inlineStr">
        <is>
          <t>LJUSDAL</t>
        </is>
      </c>
      <c r="F3894" t="inlineStr">
        <is>
          <t>SCA</t>
        </is>
      </c>
      <c r="G3894" t="n">
        <v>15.5</v>
      </c>
      <c r="H3894" t="n">
        <v>0</v>
      </c>
      <c r="I3894" t="n">
        <v>0</v>
      </c>
      <c r="J3894" t="n">
        <v>0</v>
      </c>
      <c r="K3894" t="n">
        <v>0</v>
      </c>
      <c r="L3894" t="n">
        <v>0</v>
      </c>
      <c r="M3894" t="n">
        <v>0</v>
      </c>
      <c r="N3894" t="n">
        <v>0</v>
      </c>
      <c r="O3894" t="n">
        <v>0</v>
      </c>
      <c r="P3894" t="n">
        <v>0</v>
      </c>
      <c r="Q3894" t="n">
        <v>0</v>
      </c>
      <c r="R3894" s="2" t="inlineStr"/>
    </row>
    <row r="3895" ht="15" customHeight="1">
      <c r="A3895" t="inlineStr">
        <is>
          <t>A 13085-2023</t>
        </is>
      </c>
      <c r="B3895" s="1" t="n">
        <v>45002.42137731481</v>
      </c>
      <c r="C3895" s="1" t="n">
        <v>45883</v>
      </c>
      <c r="D3895" t="inlineStr">
        <is>
          <t>GÄVLEBORGS LÄN</t>
        </is>
      </c>
      <c r="E3895" t="inlineStr">
        <is>
          <t>HUDIKSVALL</t>
        </is>
      </c>
      <c r="F3895" t="inlineStr">
        <is>
          <t>Holmen skog AB</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41191-2024</t>
        </is>
      </c>
      <c r="B3896" s="1" t="n">
        <v>45559.50726851852</v>
      </c>
      <c r="C3896" s="1" t="n">
        <v>45883</v>
      </c>
      <c r="D3896" t="inlineStr">
        <is>
          <t>GÄVLEBORGS LÄN</t>
        </is>
      </c>
      <c r="E3896" t="inlineStr">
        <is>
          <t>HUDIKSVALL</t>
        </is>
      </c>
      <c r="F3896" t="inlineStr">
        <is>
          <t>Holmen skog AB</t>
        </is>
      </c>
      <c r="G3896" t="n">
        <v>15.7</v>
      </c>
      <c r="H3896" t="n">
        <v>0</v>
      </c>
      <c r="I3896" t="n">
        <v>0</v>
      </c>
      <c r="J3896" t="n">
        <v>0</v>
      </c>
      <c r="K3896" t="n">
        <v>0</v>
      </c>
      <c r="L3896" t="n">
        <v>0</v>
      </c>
      <c r="M3896" t="n">
        <v>0</v>
      </c>
      <c r="N3896" t="n">
        <v>0</v>
      </c>
      <c r="O3896" t="n">
        <v>0</v>
      </c>
      <c r="P3896" t="n">
        <v>0</v>
      </c>
      <c r="Q3896" t="n">
        <v>0</v>
      </c>
      <c r="R3896" s="2" t="inlineStr"/>
    </row>
    <row r="3897" ht="15" customHeight="1">
      <c r="A3897" t="inlineStr">
        <is>
          <t>A 48149-2024</t>
        </is>
      </c>
      <c r="B3897" s="1" t="n">
        <v>45589.6787962963</v>
      </c>
      <c r="C3897" s="1" t="n">
        <v>45883</v>
      </c>
      <c r="D3897" t="inlineStr">
        <is>
          <t>GÄVLEBORGS LÄN</t>
        </is>
      </c>
      <c r="E3897" t="inlineStr">
        <is>
          <t>LJUSDAL</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38667-2023</t>
        </is>
      </c>
      <c r="B3898" s="1" t="n">
        <v>45162.91134259259</v>
      </c>
      <c r="C3898" s="1" t="n">
        <v>45883</v>
      </c>
      <c r="D3898" t="inlineStr">
        <is>
          <t>GÄVLEBORGS LÄN</t>
        </is>
      </c>
      <c r="E3898" t="inlineStr">
        <is>
          <t>HUDIKSVALL</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60778-2022</t>
        </is>
      </c>
      <c r="B3899" s="1" t="n">
        <v>44914.38366898148</v>
      </c>
      <c r="C3899" s="1" t="n">
        <v>45883</v>
      </c>
      <c r="D3899" t="inlineStr">
        <is>
          <t>GÄVLEBORGS LÄN</t>
        </is>
      </c>
      <c r="E3899" t="inlineStr">
        <is>
          <t>OVANÅKER</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60847-2022</t>
        </is>
      </c>
      <c r="B3900" s="1" t="n">
        <v>44914.50501157407</v>
      </c>
      <c r="C3900" s="1" t="n">
        <v>45883</v>
      </c>
      <c r="D3900" t="inlineStr">
        <is>
          <t>GÄVLEBORGS LÄN</t>
        </is>
      </c>
      <c r="E3900" t="inlineStr">
        <is>
          <t>HUDIKSVALL</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41608-2024</t>
        </is>
      </c>
      <c r="B3901" s="1" t="n">
        <v>45560</v>
      </c>
      <c r="C3901" s="1" t="n">
        <v>45883</v>
      </c>
      <c r="D3901" t="inlineStr">
        <is>
          <t>GÄVLEBORGS LÄN</t>
        </is>
      </c>
      <c r="E3901" t="inlineStr">
        <is>
          <t>NORDANSTIG</t>
        </is>
      </c>
      <c r="F3901" t="inlineStr">
        <is>
          <t>Holmen skog AB</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16515-2023</t>
        </is>
      </c>
      <c r="B3902" s="1" t="n">
        <v>45029.65342592593</v>
      </c>
      <c r="C3902" s="1" t="n">
        <v>45883</v>
      </c>
      <c r="D3902" t="inlineStr">
        <is>
          <t>GÄVLEBORGS LÄN</t>
        </is>
      </c>
      <c r="E3902" t="inlineStr">
        <is>
          <t>NORDANSTIG</t>
        </is>
      </c>
      <c r="F3902" t="inlineStr">
        <is>
          <t>Holmen skog AB</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16624-2023</t>
        </is>
      </c>
      <c r="B3903" s="1" t="n">
        <v>45030.43475694444</v>
      </c>
      <c r="C3903" s="1" t="n">
        <v>45883</v>
      </c>
      <c r="D3903" t="inlineStr">
        <is>
          <t>GÄVLEBORGS LÄN</t>
        </is>
      </c>
      <c r="E3903" t="inlineStr">
        <is>
          <t>GÄVLE</t>
        </is>
      </c>
      <c r="F3903" t="inlineStr">
        <is>
          <t>Bergvik skog väst AB</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23657-2023</t>
        </is>
      </c>
      <c r="B3904" s="1" t="n">
        <v>45077.56275462963</v>
      </c>
      <c r="C3904" s="1" t="n">
        <v>45883</v>
      </c>
      <c r="D3904" t="inlineStr">
        <is>
          <t>GÄVLEBORGS LÄN</t>
        </is>
      </c>
      <c r="E3904" t="inlineStr">
        <is>
          <t>HUDIKSVALL</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57387-2024</t>
        </is>
      </c>
      <c r="B3905" s="1" t="n">
        <v>45629.68421296297</v>
      </c>
      <c r="C3905" s="1" t="n">
        <v>45883</v>
      </c>
      <c r="D3905" t="inlineStr">
        <is>
          <t>GÄVLEBORGS LÄN</t>
        </is>
      </c>
      <c r="E3905" t="inlineStr">
        <is>
          <t>BOLLNÄS</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15312-2023</t>
        </is>
      </c>
      <c r="B3906" s="1" t="n">
        <v>45019.47398148148</v>
      </c>
      <c r="C3906" s="1" t="n">
        <v>45883</v>
      </c>
      <c r="D3906" t="inlineStr">
        <is>
          <t>GÄVLEBORGS LÄN</t>
        </is>
      </c>
      <c r="E3906" t="inlineStr">
        <is>
          <t>GÄVLE</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15312-2022</t>
        </is>
      </c>
      <c r="B3907" s="1" t="n">
        <v>44659.47033564815</v>
      </c>
      <c r="C3907" s="1" t="n">
        <v>45883</v>
      </c>
      <c r="D3907" t="inlineStr">
        <is>
          <t>GÄVLEBORGS LÄN</t>
        </is>
      </c>
      <c r="E3907" t="inlineStr">
        <is>
          <t>NORDANSTIG</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37845-2024</t>
        </is>
      </c>
      <c r="B3908" s="1" t="n">
        <v>45544.3700462963</v>
      </c>
      <c r="C3908" s="1" t="n">
        <v>45883</v>
      </c>
      <c r="D3908" t="inlineStr">
        <is>
          <t>GÄVLEBORGS LÄN</t>
        </is>
      </c>
      <c r="E3908" t="inlineStr">
        <is>
          <t>OCKELBO</t>
        </is>
      </c>
      <c r="G3908" t="n">
        <v>5.1</v>
      </c>
      <c r="H3908" t="n">
        <v>0</v>
      </c>
      <c r="I3908" t="n">
        <v>0</v>
      </c>
      <c r="J3908" t="n">
        <v>0</v>
      </c>
      <c r="K3908" t="n">
        <v>0</v>
      </c>
      <c r="L3908" t="n">
        <v>0</v>
      </c>
      <c r="M3908" t="n">
        <v>0</v>
      </c>
      <c r="N3908" t="n">
        <v>0</v>
      </c>
      <c r="O3908" t="n">
        <v>0</v>
      </c>
      <c r="P3908" t="n">
        <v>0</v>
      </c>
      <c r="Q3908" t="n">
        <v>0</v>
      </c>
      <c r="R3908" s="2" t="inlineStr"/>
    </row>
    <row r="3909" ht="15" customHeight="1">
      <c r="A3909" t="inlineStr">
        <is>
          <t>A 2248-2023</t>
        </is>
      </c>
      <c r="B3909" s="1" t="n">
        <v>44942.47626157408</v>
      </c>
      <c r="C3909" s="1" t="n">
        <v>45883</v>
      </c>
      <c r="D3909" t="inlineStr">
        <is>
          <t>GÄVLEBORGS LÄN</t>
        </is>
      </c>
      <c r="E3909" t="inlineStr">
        <is>
          <t>LJUSDAL</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31571-2024</t>
        </is>
      </c>
      <c r="B3910" s="1" t="n">
        <v>45506.3241087963</v>
      </c>
      <c r="C3910" s="1" t="n">
        <v>45883</v>
      </c>
      <c r="D3910" t="inlineStr">
        <is>
          <t>GÄVLEBORGS LÄN</t>
        </is>
      </c>
      <c r="E3910" t="inlineStr">
        <is>
          <t>NORDANSTIG</t>
        </is>
      </c>
      <c r="F3910" t="inlineStr">
        <is>
          <t>Holmen skog AB</t>
        </is>
      </c>
      <c r="G3910" t="n">
        <v>5.7</v>
      </c>
      <c r="H3910" t="n">
        <v>0</v>
      </c>
      <c r="I3910" t="n">
        <v>0</v>
      </c>
      <c r="J3910" t="n">
        <v>0</v>
      </c>
      <c r="K3910" t="n">
        <v>0</v>
      </c>
      <c r="L3910" t="n">
        <v>0</v>
      </c>
      <c r="M3910" t="n">
        <v>0</v>
      </c>
      <c r="N3910" t="n">
        <v>0</v>
      </c>
      <c r="O3910" t="n">
        <v>0</v>
      </c>
      <c r="P3910" t="n">
        <v>0</v>
      </c>
      <c r="Q3910" t="n">
        <v>0</v>
      </c>
      <c r="R3910" s="2" t="inlineStr"/>
    </row>
    <row r="3911" ht="15" customHeight="1">
      <c r="A3911" t="inlineStr">
        <is>
          <t>A 40000-2021</t>
        </is>
      </c>
      <c r="B3911" s="1" t="n">
        <v>44418.36865740741</v>
      </c>
      <c r="C3911" s="1" t="n">
        <v>45883</v>
      </c>
      <c r="D3911" t="inlineStr">
        <is>
          <t>GÄVLEBORGS LÄN</t>
        </is>
      </c>
      <c r="E3911" t="inlineStr">
        <is>
          <t>LJUSDAL</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53815-2022</t>
        </is>
      </c>
      <c r="B3912" s="1" t="n">
        <v>44880</v>
      </c>
      <c r="C3912" s="1" t="n">
        <v>45883</v>
      </c>
      <c r="D3912" t="inlineStr">
        <is>
          <t>GÄVLEBORGS LÄN</t>
        </is>
      </c>
      <c r="E3912" t="inlineStr">
        <is>
          <t>BOLLNÄS</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7569-2023</t>
        </is>
      </c>
      <c r="B3913" s="1" t="n">
        <v>44972</v>
      </c>
      <c r="C3913" s="1" t="n">
        <v>45883</v>
      </c>
      <c r="D3913" t="inlineStr">
        <is>
          <t>GÄVLEBORGS LÄN</t>
        </is>
      </c>
      <c r="E3913" t="inlineStr">
        <is>
          <t>LJUSDAL</t>
        </is>
      </c>
      <c r="F3913" t="inlineStr">
        <is>
          <t>Kommuner</t>
        </is>
      </c>
      <c r="G3913" t="n">
        <v>6.9</v>
      </c>
      <c r="H3913" t="n">
        <v>0</v>
      </c>
      <c r="I3913" t="n">
        <v>0</v>
      </c>
      <c r="J3913" t="n">
        <v>0</v>
      </c>
      <c r="K3913" t="n">
        <v>0</v>
      </c>
      <c r="L3913" t="n">
        <v>0</v>
      </c>
      <c r="M3913" t="n">
        <v>0</v>
      </c>
      <c r="N3913" t="n">
        <v>0</v>
      </c>
      <c r="O3913" t="n">
        <v>0</v>
      </c>
      <c r="P3913" t="n">
        <v>0</v>
      </c>
      <c r="Q3913" t="n">
        <v>0</v>
      </c>
      <c r="R3913" s="2" t="inlineStr"/>
    </row>
    <row r="3914" ht="15" customHeight="1">
      <c r="A3914" t="inlineStr">
        <is>
          <t>A 1809-2023</t>
        </is>
      </c>
      <c r="B3914" s="1" t="n">
        <v>44938.64925925926</v>
      </c>
      <c r="C3914" s="1" t="n">
        <v>45883</v>
      </c>
      <c r="D3914" t="inlineStr">
        <is>
          <t>GÄVLEBORGS LÄN</t>
        </is>
      </c>
      <c r="E3914" t="inlineStr">
        <is>
          <t>HUDIKSVALL</t>
        </is>
      </c>
      <c r="F3914" t="inlineStr">
        <is>
          <t>Holmen skog AB</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42537-2024</t>
        </is>
      </c>
      <c r="B3915" s="1" t="n">
        <v>45565.58545138889</v>
      </c>
      <c r="C3915" s="1" t="n">
        <v>45883</v>
      </c>
      <c r="D3915" t="inlineStr">
        <is>
          <t>GÄVLEBORGS LÄN</t>
        </is>
      </c>
      <c r="E3915" t="inlineStr">
        <is>
          <t>LJUSDAL</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4287-2024</t>
        </is>
      </c>
      <c r="B3916" s="1" t="n">
        <v>45324.5987037037</v>
      </c>
      <c r="C3916" s="1" t="n">
        <v>45883</v>
      </c>
      <c r="D3916" t="inlineStr">
        <is>
          <t>GÄVLEBORGS LÄN</t>
        </is>
      </c>
      <c r="E3916" t="inlineStr">
        <is>
          <t>GÄVLE</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24662-2024</t>
        </is>
      </c>
      <c r="B3917" s="1" t="n">
        <v>45460.58079861111</v>
      </c>
      <c r="C3917" s="1" t="n">
        <v>45883</v>
      </c>
      <c r="D3917" t="inlineStr">
        <is>
          <t>GÄVLEBORGS LÄN</t>
        </is>
      </c>
      <c r="E3917" t="inlineStr">
        <is>
          <t>LJUSDAL</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24665-2024</t>
        </is>
      </c>
      <c r="B3918" s="1" t="n">
        <v>45460.58212962963</v>
      </c>
      <c r="C3918" s="1" t="n">
        <v>45883</v>
      </c>
      <c r="D3918" t="inlineStr">
        <is>
          <t>GÄVLEBORGS LÄN</t>
        </is>
      </c>
      <c r="E3918" t="inlineStr">
        <is>
          <t>LJUSDAL</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10537-2025</t>
        </is>
      </c>
      <c r="B3919" s="1" t="n">
        <v>45721</v>
      </c>
      <c r="C3919" s="1" t="n">
        <v>45883</v>
      </c>
      <c r="D3919" t="inlineStr">
        <is>
          <t>GÄVLEBORGS LÄN</t>
        </is>
      </c>
      <c r="E3919" t="inlineStr">
        <is>
          <t>HUDIKSVALL</t>
        </is>
      </c>
      <c r="F3919" t="inlineStr">
        <is>
          <t>Holmen skog AB</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54219-2023</t>
        </is>
      </c>
      <c r="B3920" s="1" t="n">
        <v>45232</v>
      </c>
      <c r="C3920" s="1" t="n">
        <v>45883</v>
      </c>
      <c r="D3920" t="inlineStr">
        <is>
          <t>GÄVLEBORGS LÄN</t>
        </is>
      </c>
      <c r="E3920" t="inlineStr">
        <is>
          <t>HUDIKSVALL</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55182-2023</t>
        </is>
      </c>
      <c r="B3921" s="1" t="n">
        <v>45230</v>
      </c>
      <c r="C3921" s="1" t="n">
        <v>45883</v>
      </c>
      <c r="D3921" t="inlineStr">
        <is>
          <t>GÄVLEBORGS LÄN</t>
        </is>
      </c>
      <c r="E3921" t="inlineStr">
        <is>
          <t>HUDIKSVALL</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16820-2025</t>
        </is>
      </c>
      <c r="B3922" s="1" t="n">
        <v>45754.64225694445</v>
      </c>
      <c r="C3922" s="1" t="n">
        <v>45883</v>
      </c>
      <c r="D3922" t="inlineStr">
        <is>
          <t>GÄVLEBORGS LÄN</t>
        </is>
      </c>
      <c r="E3922" t="inlineStr">
        <is>
          <t>SANDVIKEN</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16822-2025</t>
        </is>
      </c>
      <c r="B3923" s="1" t="n">
        <v>45754.64335648148</v>
      </c>
      <c r="C3923" s="1" t="n">
        <v>45883</v>
      </c>
      <c r="D3923" t="inlineStr">
        <is>
          <t>GÄVLEBORGS LÄN</t>
        </is>
      </c>
      <c r="E3923" t="inlineStr">
        <is>
          <t>SANDVIKEN</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2915-2025</t>
        </is>
      </c>
      <c r="B3924" s="1" t="n">
        <v>45677.96424768519</v>
      </c>
      <c r="C3924" s="1" t="n">
        <v>45883</v>
      </c>
      <c r="D3924" t="inlineStr">
        <is>
          <t>GÄVLEBORGS LÄN</t>
        </is>
      </c>
      <c r="E3924" t="inlineStr">
        <is>
          <t>HOFORS</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59128-2024</t>
        </is>
      </c>
      <c r="B3925" s="1" t="n">
        <v>45637</v>
      </c>
      <c r="C3925" s="1" t="n">
        <v>45883</v>
      </c>
      <c r="D3925" t="inlineStr">
        <is>
          <t>GÄVLEBORGS LÄN</t>
        </is>
      </c>
      <c r="E3925" t="inlineStr">
        <is>
          <t>NORDANSTIG</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1213-2025</t>
        </is>
      </c>
      <c r="B3926" s="1" t="n">
        <v>45667</v>
      </c>
      <c r="C3926" s="1" t="n">
        <v>45883</v>
      </c>
      <c r="D3926" t="inlineStr">
        <is>
          <t>GÄVLEBORGS LÄN</t>
        </is>
      </c>
      <c r="E3926" t="inlineStr">
        <is>
          <t>SANDVIKEN</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22877-2024</t>
        </is>
      </c>
      <c r="B3927" s="1" t="n">
        <v>45448.65388888889</v>
      </c>
      <c r="C3927" s="1" t="n">
        <v>45883</v>
      </c>
      <c r="D3927" t="inlineStr">
        <is>
          <t>GÄVLEBORGS LÄN</t>
        </is>
      </c>
      <c r="E3927" t="inlineStr">
        <is>
          <t>BOLLNÄS</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11385-2025</t>
        </is>
      </c>
      <c r="B3928" s="1" t="n">
        <v>45726.56340277778</v>
      </c>
      <c r="C3928" s="1" t="n">
        <v>45883</v>
      </c>
      <c r="D3928" t="inlineStr">
        <is>
          <t>GÄVLEBORGS LÄN</t>
        </is>
      </c>
      <c r="E3928" t="inlineStr">
        <is>
          <t>OCKELBO</t>
        </is>
      </c>
      <c r="G3928" t="n">
        <v>4.9</v>
      </c>
      <c r="H3928" t="n">
        <v>0</v>
      </c>
      <c r="I3928" t="n">
        <v>0</v>
      </c>
      <c r="J3928" t="n">
        <v>0</v>
      </c>
      <c r="K3928" t="n">
        <v>0</v>
      </c>
      <c r="L3928" t="n">
        <v>0</v>
      </c>
      <c r="M3928" t="n">
        <v>0</v>
      </c>
      <c r="N3928" t="n">
        <v>0</v>
      </c>
      <c r="O3928" t="n">
        <v>0</v>
      </c>
      <c r="P3928" t="n">
        <v>0</v>
      </c>
      <c r="Q3928" t="n">
        <v>0</v>
      </c>
      <c r="R3928" s="2" t="inlineStr"/>
    </row>
    <row r="3929" ht="15" customHeight="1">
      <c r="A3929" t="inlineStr">
        <is>
          <t>A 16340-2023</t>
        </is>
      </c>
      <c r="B3929" s="1" t="n">
        <v>45028.64403935185</v>
      </c>
      <c r="C3929" s="1" t="n">
        <v>45883</v>
      </c>
      <c r="D3929" t="inlineStr">
        <is>
          <t>GÄVLEBORGS LÄN</t>
        </is>
      </c>
      <c r="E3929" t="inlineStr">
        <is>
          <t>SÖDERHAMN</t>
        </is>
      </c>
      <c r="F3929" t="inlineStr">
        <is>
          <t>Bergvik skog väst AB</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45181-2024</t>
        </is>
      </c>
      <c r="B3930" s="1" t="n">
        <v>45575.66368055555</v>
      </c>
      <c r="C3930" s="1" t="n">
        <v>45883</v>
      </c>
      <c r="D3930" t="inlineStr">
        <is>
          <t>GÄVLEBORGS LÄN</t>
        </is>
      </c>
      <c r="E3930" t="inlineStr">
        <is>
          <t>HUDIKSVALL</t>
        </is>
      </c>
      <c r="F3930" t="inlineStr">
        <is>
          <t>Holmen skog AB</t>
        </is>
      </c>
      <c r="G3930" t="n">
        <v>8.300000000000001</v>
      </c>
      <c r="H3930" t="n">
        <v>0</v>
      </c>
      <c r="I3930" t="n">
        <v>0</v>
      </c>
      <c r="J3930" t="n">
        <v>0</v>
      </c>
      <c r="K3930" t="n">
        <v>0</v>
      </c>
      <c r="L3930" t="n">
        <v>0</v>
      </c>
      <c r="M3930" t="n">
        <v>0</v>
      </c>
      <c r="N3930" t="n">
        <v>0</v>
      </c>
      <c r="O3930" t="n">
        <v>0</v>
      </c>
      <c r="P3930" t="n">
        <v>0</v>
      </c>
      <c r="Q3930" t="n">
        <v>0</v>
      </c>
      <c r="R3930" s="2" t="inlineStr"/>
    </row>
    <row r="3931" ht="15" customHeight="1">
      <c r="A3931" t="inlineStr">
        <is>
          <t>A 14840-2025</t>
        </is>
      </c>
      <c r="B3931" s="1" t="n">
        <v>45743.38597222222</v>
      </c>
      <c r="C3931" s="1" t="n">
        <v>45883</v>
      </c>
      <c r="D3931" t="inlineStr">
        <is>
          <t>GÄVLEBORGS LÄN</t>
        </is>
      </c>
      <c r="E3931" t="inlineStr">
        <is>
          <t>HUDIKSVALL</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38701-2024</t>
        </is>
      </c>
      <c r="B3932" s="1" t="n">
        <v>45547</v>
      </c>
      <c r="C3932" s="1" t="n">
        <v>45883</v>
      </c>
      <c r="D3932" t="inlineStr">
        <is>
          <t>GÄVLEBORGS LÄN</t>
        </is>
      </c>
      <c r="E3932" t="inlineStr">
        <is>
          <t>HUDIKSVALL</t>
        </is>
      </c>
      <c r="G3932" t="n">
        <v>6</v>
      </c>
      <c r="H3932" t="n">
        <v>0</v>
      </c>
      <c r="I3932" t="n">
        <v>0</v>
      </c>
      <c r="J3932" t="n">
        <v>0</v>
      </c>
      <c r="K3932" t="n">
        <v>0</v>
      </c>
      <c r="L3932" t="n">
        <v>0</v>
      </c>
      <c r="M3932" t="n">
        <v>0</v>
      </c>
      <c r="N3932" t="n">
        <v>0</v>
      </c>
      <c r="O3932" t="n">
        <v>0</v>
      </c>
      <c r="P3932" t="n">
        <v>0</v>
      </c>
      <c r="Q3932" t="n">
        <v>0</v>
      </c>
      <c r="R3932" s="2" t="inlineStr"/>
    </row>
    <row r="3933" ht="15" customHeight="1">
      <c r="A3933" t="inlineStr">
        <is>
          <t>A 23014-2022</t>
        </is>
      </c>
      <c r="B3933" s="1" t="n">
        <v>44719.36284722222</v>
      </c>
      <c r="C3933" s="1" t="n">
        <v>45883</v>
      </c>
      <c r="D3933" t="inlineStr">
        <is>
          <t>GÄVLEBORGS LÄN</t>
        </is>
      </c>
      <c r="E3933" t="inlineStr">
        <is>
          <t>OVANÅKER</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7606-2022</t>
        </is>
      </c>
      <c r="B3934" s="1" t="n">
        <v>44607.65809027778</v>
      </c>
      <c r="C3934" s="1" t="n">
        <v>45883</v>
      </c>
      <c r="D3934" t="inlineStr">
        <is>
          <t>GÄVLEBORGS LÄN</t>
        </is>
      </c>
      <c r="E3934" t="inlineStr">
        <is>
          <t>LJUSDAL</t>
        </is>
      </c>
      <c r="F3934" t="inlineStr">
        <is>
          <t>Holmen skog AB</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54149-2023</t>
        </is>
      </c>
      <c r="B3935" s="1" t="n">
        <v>45232.4528125</v>
      </c>
      <c r="C3935" s="1" t="n">
        <v>45883</v>
      </c>
      <c r="D3935" t="inlineStr">
        <is>
          <t>GÄVLEBORGS LÄN</t>
        </is>
      </c>
      <c r="E3935" t="inlineStr">
        <is>
          <t>HOFORS</t>
        </is>
      </c>
      <c r="G3935" t="n">
        <v>4.6</v>
      </c>
      <c r="H3935" t="n">
        <v>0</v>
      </c>
      <c r="I3935" t="n">
        <v>0</v>
      </c>
      <c r="J3935" t="n">
        <v>0</v>
      </c>
      <c r="K3935" t="n">
        <v>0</v>
      </c>
      <c r="L3935" t="n">
        <v>0</v>
      </c>
      <c r="M3935" t="n">
        <v>0</v>
      </c>
      <c r="N3935" t="n">
        <v>0</v>
      </c>
      <c r="O3935" t="n">
        <v>0</v>
      </c>
      <c r="P3935" t="n">
        <v>0</v>
      </c>
      <c r="Q3935" t="n">
        <v>0</v>
      </c>
      <c r="R3935" s="2" t="inlineStr"/>
    </row>
    <row r="3936" ht="15" customHeight="1">
      <c r="A3936" t="inlineStr">
        <is>
          <t>A 19364-2022</t>
        </is>
      </c>
      <c r="B3936" s="1" t="n">
        <v>44692</v>
      </c>
      <c r="C3936" s="1" t="n">
        <v>45883</v>
      </c>
      <c r="D3936" t="inlineStr">
        <is>
          <t>GÄVLEBORGS LÄN</t>
        </is>
      </c>
      <c r="E3936" t="inlineStr">
        <is>
          <t>NORDANSTIG</t>
        </is>
      </c>
      <c r="F3936" t="inlineStr">
        <is>
          <t>Holmen skog AB</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61880-2024</t>
        </is>
      </c>
      <c r="B3937" s="1" t="n">
        <v>45652.44746527778</v>
      </c>
      <c r="C3937" s="1" t="n">
        <v>45883</v>
      </c>
      <c r="D3937" t="inlineStr">
        <is>
          <t>GÄVLEBORGS LÄN</t>
        </is>
      </c>
      <c r="E3937" t="inlineStr">
        <is>
          <t>GÄVLE</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26157-2022</t>
        </is>
      </c>
      <c r="B3938" s="1" t="n">
        <v>44735</v>
      </c>
      <c r="C3938" s="1" t="n">
        <v>45883</v>
      </c>
      <c r="D3938" t="inlineStr">
        <is>
          <t>GÄVLEBORGS LÄN</t>
        </is>
      </c>
      <c r="E3938" t="inlineStr">
        <is>
          <t>GÄVLE</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3031-2022</t>
        </is>
      </c>
      <c r="B3939" s="1" t="n">
        <v>44582.27614583333</v>
      </c>
      <c r="C3939" s="1" t="n">
        <v>45883</v>
      </c>
      <c r="D3939" t="inlineStr">
        <is>
          <t>GÄVLEBORGS LÄN</t>
        </is>
      </c>
      <c r="E3939" t="inlineStr">
        <is>
          <t>SÖDERHAMN</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22275-2024</t>
        </is>
      </c>
      <c r="B3940" s="1" t="n">
        <v>45446.54258101852</v>
      </c>
      <c r="C3940" s="1" t="n">
        <v>45883</v>
      </c>
      <c r="D3940" t="inlineStr">
        <is>
          <t>GÄVLEBORGS LÄN</t>
        </is>
      </c>
      <c r="E3940" t="inlineStr">
        <is>
          <t>SANDVIKEN</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46524-2021</t>
        </is>
      </c>
      <c r="B3941" s="1" t="n">
        <v>44445.45006944444</v>
      </c>
      <c r="C3941" s="1" t="n">
        <v>45883</v>
      </c>
      <c r="D3941" t="inlineStr">
        <is>
          <t>GÄVLEBORGS LÄN</t>
        </is>
      </c>
      <c r="E3941" t="inlineStr">
        <is>
          <t>LJUSDAL</t>
        </is>
      </c>
      <c r="F3941" t="inlineStr">
        <is>
          <t>Allmännings- och besparingsskogar</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44377-2024</t>
        </is>
      </c>
      <c r="B3942" s="1" t="n">
        <v>45573.66002314815</v>
      </c>
      <c r="C3942" s="1" t="n">
        <v>45883</v>
      </c>
      <c r="D3942" t="inlineStr">
        <is>
          <t>GÄVLEBORGS LÄN</t>
        </is>
      </c>
      <c r="E3942" t="inlineStr">
        <is>
          <t>NORDANSTIG</t>
        </is>
      </c>
      <c r="F3942" t="inlineStr">
        <is>
          <t>Holmen skog AB</t>
        </is>
      </c>
      <c r="G3942" t="n">
        <v>6.2</v>
      </c>
      <c r="H3942" t="n">
        <v>0</v>
      </c>
      <c r="I3942" t="n">
        <v>0</v>
      </c>
      <c r="J3942" t="n">
        <v>0</v>
      </c>
      <c r="K3942" t="n">
        <v>0</v>
      </c>
      <c r="L3942" t="n">
        <v>0</v>
      </c>
      <c r="M3942" t="n">
        <v>0</v>
      </c>
      <c r="N3942" t="n">
        <v>0</v>
      </c>
      <c r="O3942" t="n">
        <v>0</v>
      </c>
      <c r="P3942" t="n">
        <v>0</v>
      </c>
      <c r="Q3942" t="n">
        <v>0</v>
      </c>
      <c r="R3942" s="2" t="inlineStr"/>
    </row>
    <row r="3943" ht="15" customHeight="1">
      <c r="A3943" t="inlineStr">
        <is>
          <t>A 62089-2021</t>
        </is>
      </c>
      <c r="B3943" s="1" t="n">
        <v>44502.61646990741</v>
      </c>
      <c r="C3943" s="1" t="n">
        <v>45883</v>
      </c>
      <c r="D3943" t="inlineStr">
        <is>
          <t>GÄVLEBORGS LÄN</t>
        </is>
      </c>
      <c r="E3943" t="inlineStr">
        <is>
          <t>NORDANSTIG</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20747-2023</t>
        </is>
      </c>
      <c r="B3944" s="1" t="n">
        <v>45058</v>
      </c>
      <c r="C3944" s="1" t="n">
        <v>45883</v>
      </c>
      <c r="D3944" t="inlineStr">
        <is>
          <t>GÄVLEBORGS LÄN</t>
        </is>
      </c>
      <c r="E3944" t="inlineStr">
        <is>
          <t>NORDANSTIG</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2127-2024</t>
        </is>
      </c>
      <c r="B3945" s="1" t="n">
        <v>45309.51131944444</v>
      </c>
      <c r="C3945" s="1" t="n">
        <v>45883</v>
      </c>
      <c r="D3945" t="inlineStr">
        <is>
          <t>GÄVLEBORGS LÄN</t>
        </is>
      </c>
      <c r="E3945" t="inlineStr">
        <is>
          <t>HUDIKSVALL</t>
        </is>
      </c>
      <c r="F3945" t="inlineStr">
        <is>
          <t>Holmen skog AB</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61166-2022</t>
        </is>
      </c>
      <c r="B3946" s="1" t="n">
        <v>44915.47952546296</v>
      </c>
      <c r="C3946" s="1" t="n">
        <v>45883</v>
      </c>
      <c r="D3946" t="inlineStr">
        <is>
          <t>GÄVLEBORGS LÄN</t>
        </is>
      </c>
      <c r="E3946" t="inlineStr">
        <is>
          <t>SANDVIKEN</t>
        </is>
      </c>
      <c r="G3946" t="n">
        <v>5.4</v>
      </c>
      <c r="H3946" t="n">
        <v>0</v>
      </c>
      <c r="I3946" t="n">
        <v>0</v>
      </c>
      <c r="J3946" t="n">
        <v>0</v>
      </c>
      <c r="K3946" t="n">
        <v>0</v>
      </c>
      <c r="L3946" t="n">
        <v>0</v>
      </c>
      <c r="M3946" t="n">
        <v>0</v>
      </c>
      <c r="N3946" t="n">
        <v>0</v>
      </c>
      <c r="O3946" t="n">
        <v>0</v>
      </c>
      <c r="P3946" t="n">
        <v>0</v>
      </c>
      <c r="Q3946" t="n">
        <v>0</v>
      </c>
      <c r="R3946" s="2" t="inlineStr"/>
    </row>
    <row r="3947" ht="15" customHeight="1">
      <c r="A3947" t="inlineStr">
        <is>
          <t>A 19095-2022</t>
        </is>
      </c>
      <c r="B3947" s="1" t="n">
        <v>44691</v>
      </c>
      <c r="C3947" s="1" t="n">
        <v>45883</v>
      </c>
      <c r="D3947" t="inlineStr">
        <is>
          <t>GÄVLEBORGS LÄN</t>
        </is>
      </c>
      <c r="E3947" t="inlineStr">
        <is>
          <t>GÄVLE</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47416-2020</t>
        </is>
      </c>
      <c r="B3948" s="1" t="n">
        <v>44097</v>
      </c>
      <c r="C3948" s="1" t="n">
        <v>45883</v>
      </c>
      <c r="D3948" t="inlineStr">
        <is>
          <t>GÄVLEBORGS LÄN</t>
        </is>
      </c>
      <c r="E3948" t="inlineStr">
        <is>
          <t>HUDIKSVALL</t>
        </is>
      </c>
      <c r="G3948" t="n">
        <v>10</v>
      </c>
      <c r="H3948" t="n">
        <v>0</v>
      </c>
      <c r="I3948" t="n">
        <v>0</v>
      </c>
      <c r="J3948" t="n">
        <v>0</v>
      </c>
      <c r="K3948" t="n">
        <v>0</v>
      </c>
      <c r="L3948" t="n">
        <v>0</v>
      </c>
      <c r="M3948" t="n">
        <v>0</v>
      </c>
      <c r="N3948" t="n">
        <v>0</v>
      </c>
      <c r="O3948" t="n">
        <v>0</v>
      </c>
      <c r="P3948" t="n">
        <v>0</v>
      </c>
      <c r="Q3948" t="n">
        <v>0</v>
      </c>
      <c r="R3948" s="2" t="inlineStr"/>
    </row>
    <row r="3949" ht="15" customHeight="1">
      <c r="A3949" t="inlineStr">
        <is>
          <t>A 19035-2023</t>
        </is>
      </c>
      <c r="B3949" s="1" t="n">
        <v>45047.53366898148</v>
      </c>
      <c r="C3949" s="1" t="n">
        <v>45883</v>
      </c>
      <c r="D3949" t="inlineStr">
        <is>
          <t>GÄVLEBORGS LÄN</t>
        </is>
      </c>
      <c r="E3949" t="inlineStr">
        <is>
          <t>LJUSDAL</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61536-2022</t>
        </is>
      </c>
      <c r="B3950" s="1" t="n">
        <v>44916</v>
      </c>
      <c r="C3950" s="1" t="n">
        <v>45883</v>
      </c>
      <c r="D3950" t="inlineStr">
        <is>
          <t>GÄVLEBORGS LÄN</t>
        </is>
      </c>
      <c r="E3950" t="inlineStr">
        <is>
          <t>HUDIKSVALL</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43177-2024</t>
        </is>
      </c>
      <c r="B3951" s="1" t="n">
        <v>45567.66236111111</v>
      </c>
      <c r="C3951" s="1" t="n">
        <v>45883</v>
      </c>
      <c r="D3951" t="inlineStr">
        <is>
          <t>GÄVLEBORGS LÄN</t>
        </is>
      </c>
      <c r="E3951" t="inlineStr">
        <is>
          <t>BOLLNÄS</t>
        </is>
      </c>
      <c r="G3951" t="n">
        <v>4.3</v>
      </c>
      <c r="H3951" t="n">
        <v>0</v>
      </c>
      <c r="I3951" t="n">
        <v>0</v>
      </c>
      <c r="J3951" t="n">
        <v>0</v>
      </c>
      <c r="K3951" t="n">
        <v>0</v>
      </c>
      <c r="L3951" t="n">
        <v>0</v>
      </c>
      <c r="M3951" t="n">
        <v>0</v>
      </c>
      <c r="N3951" t="n">
        <v>0</v>
      </c>
      <c r="O3951" t="n">
        <v>0</v>
      </c>
      <c r="P3951" t="n">
        <v>0</v>
      </c>
      <c r="Q3951" t="n">
        <v>0</v>
      </c>
      <c r="R3951" s="2" t="inlineStr"/>
    </row>
    <row r="3952" ht="15" customHeight="1">
      <c r="A3952" t="inlineStr">
        <is>
          <t>A 43180-2024</t>
        </is>
      </c>
      <c r="B3952" s="1" t="n">
        <v>45567.66302083333</v>
      </c>
      <c r="C3952" s="1" t="n">
        <v>45883</v>
      </c>
      <c r="D3952" t="inlineStr">
        <is>
          <t>GÄVLEBORGS LÄN</t>
        </is>
      </c>
      <c r="E3952" t="inlineStr">
        <is>
          <t>LJUSDAL</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60118-2022</t>
        </is>
      </c>
      <c r="B3953" s="1" t="n">
        <v>44909</v>
      </c>
      <c r="C3953" s="1" t="n">
        <v>45883</v>
      </c>
      <c r="D3953" t="inlineStr">
        <is>
          <t>GÄVLEBORGS LÄN</t>
        </is>
      </c>
      <c r="E3953" t="inlineStr">
        <is>
          <t>LJUSDAL</t>
        </is>
      </c>
      <c r="F3953" t="inlineStr">
        <is>
          <t>Bergvik skog väst AB</t>
        </is>
      </c>
      <c r="G3953" t="n">
        <v>4.2</v>
      </c>
      <c r="H3953" t="n">
        <v>0</v>
      </c>
      <c r="I3953" t="n">
        <v>0</v>
      </c>
      <c r="J3953" t="n">
        <v>0</v>
      </c>
      <c r="K3953" t="n">
        <v>0</v>
      </c>
      <c r="L3953" t="n">
        <v>0</v>
      </c>
      <c r="M3953" t="n">
        <v>0</v>
      </c>
      <c r="N3953" t="n">
        <v>0</v>
      </c>
      <c r="O3953" t="n">
        <v>0</v>
      </c>
      <c r="P3953" t="n">
        <v>0</v>
      </c>
      <c r="Q3953" t="n">
        <v>0</v>
      </c>
      <c r="R3953" s="2" t="inlineStr"/>
    </row>
    <row r="3954" ht="15" customHeight="1">
      <c r="A3954" t="inlineStr">
        <is>
          <t>A 9697-2025</t>
        </is>
      </c>
      <c r="B3954" s="1" t="n">
        <v>45716.37329861111</v>
      </c>
      <c r="C3954" s="1" t="n">
        <v>45883</v>
      </c>
      <c r="D3954" t="inlineStr">
        <is>
          <t>GÄVLEBORGS LÄN</t>
        </is>
      </c>
      <c r="E3954" t="inlineStr">
        <is>
          <t>BOLLNÄS</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62766-2022</t>
        </is>
      </c>
      <c r="B3955" s="1" t="n">
        <v>44885</v>
      </c>
      <c r="C3955" s="1" t="n">
        <v>45883</v>
      </c>
      <c r="D3955" t="inlineStr">
        <is>
          <t>GÄVLEBORGS LÄN</t>
        </is>
      </c>
      <c r="E3955" t="inlineStr">
        <is>
          <t>GÄVLE</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46549-2021</t>
        </is>
      </c>
      <c r="B3956" s="1" t="n">
        <v>44445</v>
      </c>
      <c r="C3956" s="1" t="n">
        <v>45883</v>
      </c>
      <c r="D3956" t="inlineStr">
        <is>
          <t>GÄVLEBORGS LÄN</t>
        </is>
      </c>
      <c r="E3956" t="inlineStr">
        <is>
          <t>GÄVLE</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18377-2024</t>
        </is>
      </c>
      <c r="B3957" s="1" t="n">
        <v>45423</v>
      </c>
      <c r="C3957" s="1" t="n">
        <v>45883</v>
      </c>
      <c r="D3957" t="inlineStr">
        <is>
          <t>GÄVLEBORGS LÄN</t>
        </is>
      </c>
      <c r="E3957" t="inlineStr">
        <is>
          <t>GÄVLE</t>
        </is>
      </c>
      <c r="F3957" t="inlineStr">
        <is>
          <t>Bergvik skog väst AB</t>
        </is>
      </c>
      <c r="G3957" t="n">
        <v>4.5</v>
      </c>
      <c r="H3957" t="n">
        <v>0</v>
      </c>
      <c r="I3957" t="n">
        <v>0</v>
      </c>
      <c r="J3957" t="n">
        <v>0</v>
      </c>
      <c r="K3957" t="n">
        <v>0</v>
      </c>
      <c r="L3957" t="n">
        <v>0</v>
      </c>
      <c r="M3957" t="n">
        <v>0</v>
      </c>
      <c r="N3957" t="n">
        <v>0</v>
      </c>
      <c r="O3957" t="n">
        <v>0</v>
      </c>
      <c r="P3957" t="n">
        <v>0</v>
      </c>
      <c r="Q3957" t="n">
        <v>0</v>
      </c>
      <c r="R3957" s="2" t="inlineStr"/>
    </row>
    <row r="3958" ht="15" customHeight="1">
      <c r="A3958" t="inlineStr">
        <is>
          <t>A 5409-2023</t>
        </is>
      </c>
      <c r="B3958" s="1" t="n">
        <v>44959</v>
      </c>
      <c r="C3958" s="1" t="n">
        <v>45883</v>
      </c>
      <c r="D3958" t="inlineStr">
        <is>
          <t>GÄVLEBORGS LÄN</t>
        </is>
      </c>
      <c r="E3958" t="inlineStr">
        <is>
          <t>GÄVLE</t>
        </is>
      </c>
      <c r="G3958" t="n">
        <v>0.3</v>
      </c>
      <c r="H3958" t="n">
        <v>0</v>
      </c>
      <c r="I3958" t="n">
        <v>0</v>
      </c>
      <c r="J3958" t="n">
        <v>0</v>
      </c>
      <c r="K3958" t="n">
        <v>0</v>
      </c>
      <c r="L3958" t="n">
        <v>0</v>
      </c>
      <c r="M3958" t="n">
        <v>0</v>
      </c>
      <c r="N3958" t="n">
        <v>0</v>
      </c>
      <c r="O3958" t="n">
        <v>0</v>
      </c>
      <c r="P3958" t="n">
        <v>0</v>
      </c>
      <c r="Q3958" t="n">
        <v>0</v>
      </c>
      <c r="R3958" s="2" t="inlineStr"/>
    </row>
    <row r="3959" ht="15" customHeight="1">
      <c r="A3959" t="inlineStr">
        <is>
          <t>A 5415-2023</t>
        </is>
      </c>
      <c r="B3959" s="1" t="n">
        <v>44959</v>
      </c>
      <c r="C3959" s="1" t="n">
        <v>45883</v>
      </c>
      <c r="D3959" t="inlineStr">
        <is>
          <t>GÄVLEBORGS LÄN</t>
        </is>
      </c>
      <c r="E3959" t="inlineStr">
        <is>
          <t>GÄVLE</t>
        </is>
      </c>
      <c r="G3959" t="n">
        <v>0.1</v>
      </c>
      <c r="H3959" t="n">
        <v>0</v>
      </c>
      <c r="I3959" t="n">
        <v>0</v>
      </c>
      <c r="J3959" t="n">
        <v>0</v>
      </c>
      <c r="K3959" t="n">
        <v>0</v>
      </c>
      <c r="L3959" t="n">
        <v>0</v>
      </c>
      <c r="M3959" t="n">
        <v>0</v>
      </c>
      <c r="N3959" t="n">
        <v>0</v>
      </c>
      <c r="O3959" t="n">
        <v>0</v>
      </c>
      <c r="P3959" t="n">
        <v>0</v>
      </c>
      <c r="Q3959" t="n">
        <v>0</v>
      </c>
      <c r="R3959" s="2" t="inlineStr"/>
    </row>
    <row r="3960" ht="15" customHeight="1">
      <c r="A3960" t="inlineStr">
        <is>
          <t>A 6109-2023</t>
        </is>
      </c>
      <c r="B3960" s="1" t="n">
        <v>44964</v>
      </c>
      <c r="C3960" s="1" t="n">
        <v>45883</v>
      </c>
      <c r="D3960" t="inlineStr">
        <is>
          <t>GÄVLEBORGS LÄN</t>
        </is>
      </c>
      <c r="E3960" t="inlineStr">
        <is>
          <t>NORDANSTIG</t>
        </is>
      </c>
      <c r="G3960" t="n">
        <v>0.1</v>
      </c>
      <c r="H3960" t="n">
        <v>0</v>
      </c>
      <c r="I3960" t="n">
        <v>0</v>
      </c>
      <c r="J3960" t="n">
        <v>0</v>
      </c>
      <c r="K3960" t="n">
        <v>0</v>
      </c>
      <c r="L3960" t="n">
        <v>0</v>
      </c>
      <c r="M3960" t="n">
        <v>0</v>
      </c>
      <c r="N3960" t="n">
        <v>0</v>
      </c>
      <c r="O3960" t="n">
        <v>0</v>
      </c>
      <c r="P3960" t="n">
        <v>0</v>
      </c>
      <c r="Q3960" t="n">
        <v>0</v>
      </c>
      <c r="R3960" s="2" t="inlineStr"/>
    </row>
    <row r="3961" ht="15" customHeight="1">
      <c r="A3961" t="inlineStr">
        <is>
          <t>A 36257-2024</t>
        </is>
      </c>
      <c r="B3961" s="1" t="n">
        <v>45534</v>
      </c>
      <c r="C3961" s="1" t="n">
        <v>45883</v>
      </c>
      <c r="D3961" t="inlineStr">
        <is>
          <t>GÄVLEBORGS LÄN</t>
        </is>
      </c>
      <c r="E3961" t="inlineStr">
        <is>
          <t>OVANÅKER</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36261-2024</t>
        </is>
      </c>
      <c r="B3962" s="1" t="n">
        <v>45534.54993055556</v>
      </c>
      <c r="C3962" s="1" t="n">
        <v>45883</v>
      </c>
      <c r="D3962" t="inlineStr">
        <is>
          <t>GÄVLEBORGS LÄN</t>
        </is>
      </c>
      <c r="E3962" t="inlineStr">
        <is>
          <t>NORDANSTIG</t>
        </is>
      </c>
      <c r="F3962" t="inlineStr">
        <is>
          <t>Holmen skog AB</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35783-2024</t>
        </is>
      </c>
      <c r="B3963" s="1" t="n">
        <v>45532.61126157407</v>
      </c>
      <c r="C3963" s="1" t="n">
        <v>45883</v>
      </c>
      <c r="D3963" t="inlineStr">
        <is>
          <t>GÄVLEBORGS LÄN</t>
        </is>
      </c>
      <c r="E3963" t="inlineStr">
        <is>
          <t>SANDVIKEN</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1458-2023</t>
        </is>
      </c>
      <c r="B3964" s="1" t="n">
        <v>44937</v>
      </c>
      <c r="C3964" s="1" t="n">
        <v>45883</v>
      </c>
      <c r="D3964" t="inlineStr">
        <is>
          <t>GÄVLEBORGS LÄN</t>
        </is>
      </c>
      <c r="E3964" t="inlineStr">
        <is>
          <t>SÖDERHAMN</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41521-2024</t>
        </is>
      </c>
      <c r="B3965" s="1" t="n">
        <v>45560.47880787037</v>
      </c>
      <c r="C3965" s="1" t="n">
        <v>45883</v>
      </c>
      <c r="D3965" t="inlineStr">
        <is>
          <t>GÄVLEBORGS LÄN</t>
        </is>
      </c>
      <c r="E3965" t="inlineStr">
        <is>
          <t>HUDIKSVALL</t>
        </is>
      </c>
      <c r="F3965" t="inlineStr">
        <is>
          <t>Holmen skog AB</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8967-2022</t>
        </is>
      </c>
      <c r="B3966" s="1" t="n">
        <v>44614</v>
      </c>
      <c r="C3966" s="1" t="n">
        <v>45883</v>
      </c>
      <c r="D3966" t="inlineStr">
        <is>
          <t>GÄVLEBORGS LÄN</t>
        </is>
      </c>
      <c r="E3966" t="inlineStr">
        <is>
          <t>OVANÅKER</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18017-2023</t>
        </is>
      </c>
      <c r="B3967" s="1" t="n">
        <v>45040.57936342592</v>
      </c>
      <c r="C3967" s="1" t="n">
        <v>45883</v>
      </c>
      <c r="D3967" t="inlineStr">
        <is>
          <t>GÄVLEBORGS LÄN</t>
        </is>
      </c>
      <c r="E3967" t="inlineStr">
        <is>
          <t>GÄVLE</t>
        </is>
      </c>
      <c r="F3967" t="inlineStr">
        <is>
          <t>Bergvik skog väst AB</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30798-2024</t>
        </is>
      </c>
      <c r="B3968" s="1" t="n">
        <v>45497.36582175926</v>
      </c>
      <c r="C3968" s="1" t="n">
        <v>45883</v>
      </c>
      <c r="D3968" t="inlineStr">
        <is>
          <t>GÄVLEBORGS LÄN</t>
        </is>
      </c>
      <c r="E3968" t="inlineStr">
        <is>
          <t>OCKELBO</t>
        </is>
      </c>
      <c r="G3968" t="n">
        <v>8.699999999999999</v>
      </c>
      <c r="H3968" t="n">
        <v>0</v>
      </c>
      <c r="I3968" t="n">
        <v>0</v>
      </c>
      <c r="J3968" t="n">
        <v>0</v>
      </c>
      <c r="K3968" t="n">
        <v>0</v>
      </c>
      <c r="L3968" t="n">
        <v>0</v>
      </c>
      <c r="M3968" t="n">
        <v>0</v>
      </c>
      <c r="N3968" t="n">
        <v>0</v>
      </c>
      <c r="O3968" t="n">
        <v>0</v>
      </c>
      <c r="P3968" t="n">
        <v>0</v>
      </c>
      <c r="Q3968" t="n">
        <v>0</v>
      </c>
      <c r="R3968" s="2" t="inlineStr"/>
    </row>
    <row r="3969" ht="15" customHeight="1">
      <c r="A3969" t="inlineStr">
        <is>
          <t>A 30818-2024</t>
        </is>
      </c>
      <c r="B3969" s="1" t="n">
        <v>45497.46219907407</v>
      </c>
      <c r="C3969" s="1" t="n">
        <v>45883</v>
      </c>
      <c r="D3969" t="inlineStr">
        <is>
          <t>GÄVLEBORGS LÄN</t>
        </is>
      </c>
      <c r="E3969" t="inlineStr">
        <is>
          <t>LJUSDAL</t>
        </is>
      </c>
      <c r="F3969" t="inlineStr">
        <is>
          <t>Bergvik skog väst AB</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15042-2022</t>
        </is>
      </c>
      <c r="B3970" s="1" t="n">
        <v>44657</v>
      </c>
      <c r="C3970" s="1" t="n">
        <v>45883</v>
      </c>
      <c r="D3970" t="inlineStr">
        <is>
          <t>GÄVLEBORGS LÄN</t>
        </is>
      </c>
      <c r="E3970" t="inlineStr">
        <is>
          <t>LJUSDAL</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1236-2021</t>
        </is>
      </c>
      <c r="B3971" s="1" t="n">
        <v>44208</v>
      </c>
      <c r="C3971" s="1" t="n">
        <v>45883</v>
      </c>
      <c r="D3971" t="inlineStr">
        <is>
          <t>GÄVLEBORGS LÄN</t>
        </is>
      </c>
      <c r="E3971" t="inlineStr">
        <is>
          <t>NORDANSTIG</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51458-2022</t>
        </is>
      </c>
      <c r="B3972" s="1" t="n">
        <v>44869.53126157408</v>
      </c>
      <c r="C3972" s="1" t="n">
        <v>45883</v>
      </c>
      <c r="D3972" t="inlineStr">
        <is>
          <t>GÄVLEBORGS LÄN</t>
        </is>
      </c>
      <c r="E3972" t="inlineStr">
        <is>
          <t>SÖDERHAMN</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39337-2024</t>
        </is>
      </c>
      <c r="B3973" s="1" t="n">
        <v>45551.44206018518</v>
      </c>
      <c r="C3973" s="1" t="n">
        <v>45883</v>
      </c>
      <c r="D3973" t="inlineStr">
        <is>
          <t>GÄVLEBORGS LÄN</t>
        </is>
      </c>
      <c r="E3973" t="inlineStr">
        <is>
          <t>SANDVIKEN</t>
        </is>
      </c>
      <c r="F3973" t="inlineStr">
        <is>
          <t>Sveaskog</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44487-2024</t>
        </is>
      </c>
      <c r="B3974" s="1" t="n">
        <v>45574.38811342593</v>
      </c>
      <c r="C3974" s="1" t="n">
        <v>45883</v>
      </c>
      <c r="D3974" t="inlineStr">
        <is>
          <t>GÄVLEBORGS LÄN</t>
        </is>
      </c>
      <c r="E3974" t="inlineStr">
        <is>
          <t>BOLLNÄS</t>
        </is>
      </c>
      <c r="F3974" t="inlineStr">
        <is>
          <t>Kyrkan</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42703-2024</t>
        </is>
      </c>
      <c r="B3975" s="1" t="n">
        <v>45566.43296296296</v>
      </c>
      <c r="C3975" s="1" t="n">
        <v>45883</v>
      </c>
      <c r="D3975" t="inlineStr">
        <is>
          <t>GÄVLEBORGS LÄN</t>
        </is>
      </c>
      <c r="E3975" t="inlineStr">
        <is>
          <t>LJUSDAL</t>
        </is>
      </c>
      <c r="F3975" t="inlineStr">
        <is>
          <t>Kommuner</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6673-2021</t>
        </is>
      </c>
      <c r="B3976" s="1" t="n">
        <v>44236</v>
      </c>
      <c r="C3976" s="1" t="n">
        <v>45883</v>
      </c>
      <c r="D3976" t="inlineStr">
        <is>
          <t>GÄVLEBORGS LÄN</t>
        </is>
      </c>
      <c r="E3976" t="inlineStr">
        <is>
          <t>SANDVIKEN</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29802-2023</t>
        </is>
      </c>
      <c r="B3977" s="1" t="n">
        <v>45107.54129629629</v>
      </c>
      <c r="C3977" s="1" t="n">
        <v>45883</v>
      </c>
      <c r="D3977" t="inlineStr">
        <is>
          <t>GÄVLEBORGS LÄN</t>
        </is>
      </c>
      <c r="E3977" t="inlineStr">
        <is>
          <t>SÖDERHAMN</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29807-2023</t>
        </is>
      </c>
      <c r="B3978" s="1" t="n">
        <v>45099</v>
      </c>
      <c r="C3978" s="1" t="n">
        <v>45883</v>
      </c>
      <c r="D3978" t="inlineStr">
        <is>
          <t>GÄVLEBORGS LÄN</t>
        </is>
      </c>
      <c r="E3978" t="inlineStr">
        <is>
          <t>LJUSDAL</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31707-2024</t>
        </is>
      </c>
      <c r="B3979" s="1" t="n">
        <v>45508.92780092593</v>
      </c>
      <c r="C3979" s="1" t="n">
        <v>45883</v>
      </c>
      <c r="D3979" t="inlineStr">
        <is>
          <t>GÄVLEBORGS LÄN</t>
        </is>
      </c>
      <c r="E3979" t="inlineStr">
        <is>
          <t>HUDIKSVALL</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31723-2024</t>
        </is>
      </c>
      <c r="B3980" s="1" t="n">
        <v>45509.32942129629</v>
      </c>
      <c r="C3980" s="1" t="n">
        <v>45883</v>
      </c>
      <c r="D3980" t="inlineStr">
        <is>
          <t>GÄVLEBORGS LÄN</t>
        </is>
      </c>
      <c r="E3980" t="inlineStr">
        <is>
          <t>NORDANSTIG</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33945-2024</t>
        </is>
      </c>
      <c r="B3981" s="1" t="n">
        <v>45523.45549768519</v>
      </c>
      <c r="C3981" s="1" t="n">
        <v>45883</v>
      </c>
      <c r="D3981" t="inlineStr">
        <is>
          <t>GÄVLEBORGS LÄN</t>
        </is>
      </c>
      <c r="E3981" t="inlineStr">
        <is>
          <t>OVANÅKER</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69571-2020</t>
        </is>
      </c>
      <c r="B3982" s="1" t="n">
        <v>44194</v>
      </c>
      <c r="C3982" s="1" t="n">
        <v>45883</v>
      </c>
      <c r="D3982" t="inlineStr">
        <is>
          <t>GÄVLEBORGS LÄN</t>
        </is>
      </c>
      <c r="E3982" t="inlineStr">
        <is>
          <t>LJUSDAL</t>
        </is>
      </c>
      <c r="G3982" t="n">
        <v>2.2</v>
      </c>
      <c r="H3982" t="n">
        <v>0</v>
      </c>
      <c r="I3982" t="n">
        <v>0</v>
      </c>
      <c r="J3982" t="n">
        <v>0</v>
      </c>
      <c r="K3982" t="n">
        <v>0</v>
      </c>
      <c r="L3982" t="n">
        <v>0</v>
      </c>
      <c r="M3982" t="n">
        <v>0</v>
      </c>
      <c r="N3982" t="n">
        <v>0</v>
      </c>
      <c r="O3982" t="n">
        <v>0</v>
      </c>
      <c r="P3982" t="n">
        <v>0</v>
      </c>
      <c r="Q3982" t="n">
        <v>0</v>
      </c>
      <c r="R3982" s="2" t="inlineStr"/>
      <c r="U3982">
        <f>HYPERLINK("https://klasma.github.io/Logging_2161/knärot/A 69571-2020 karta knärot.png", "A 69571-2020")</f>
        <v/>
      </c>
      <c r="V3982">
        <f>HYPERLINK("https://klasma.github.io/Logging_2161/klagomål/A 69571-2020 FSC-klagomål.docx", "A 69571-2020")</f>
        <v/>
      </c>
      <c r="W3982">
        <f>HYPERLINK("https://klasma.github.io/Logging_2161/klagomålsmail/A 69571-2020 FSC-klagomål mail.docx", "A 69571-2020")</f>
        <v/>
      </c>
      <c r="X3982">
        <f>HYPERLINK("https://klasma.github.io/Logging_2161/tillsyn/A 69571-2020 tillsynsbegäran.docx", "A 69571-2020")</f>
        <v/>
      </c>
      <c r="Y3982">
        <f>HYPERLINK("https://klasma.github.io/Logging_2161/tillsynsmail/A 69571-2020 tillsynsbegäran mail.docx", "A 69571-2020")</f>
        <v/>
      </c>
    </row>
    <row r="3983" ht="15" customHeight="1">
      <c r="A3983" t="inlineStr">
        <is>
          <t>A 4275-2023</t>
        </is>
      </c>
      <c r="B3983" s="1" t="n">
        <v>44953.5824537037</v>
      </c>
      <c r="C3983" s="1" t="n">
        <v>45883</v>
      </c>
      <c r="D3983" t="inlineStr">
        <is>
          <t>GÄVLEBORGS LÄN</t>
        </is>
      </c>
      <c r="E3983" t="inlineStr">
        <is>
          <t>LJUSDAL</t>
        </is>
      </c>
      <c r="F3983" t="inlineStr">
        <is>
          <t>Holmen skog AB</t>
        </is>
      </c>
      <c r="G3983" t="n">
        <v>16.4</v>
      </c>
      <c r="H3983" t="n">
        <v>0</v>
      </c>
      <c r="I3983" t="n">
        <v>0</v>
      </c>
      <c r="J3983" t="n">
        <v>0</v>
      </c>
      <c r="K3983" t="n">
        <v>0</v>
      </c>
      <c r="L3983" t="n">
        <v>0</v>
      </c>
      <c r="M3983" t="n">
        <v>0</v>
      </c>
      <c r="N3983" t="n">
        <v>0</v>
      </c>
      <c r="O3983" t="n">
        <v>0</v>
      </c>
      <c r="P3983" t="n">
        <v>0</v>
      </c>
      <c r="Q3983" t="n">
        <v>0</v>
      </c>
      <c r="R3983" s="2" t="inlineStr"/>
    </row>
    <row r="3984" ht="15" customHeight="1">
      <c r="A3984" t="inlineStr">
        <is>
          <t>A 5395-2025</t>
        </is>
      </c>
      <c r="B3984" s="1" t="n">
        <v>45692</v>
      </c>
      <c r="C3984" s="1" t="n">
        <v>45883</v>
      </c>
      <c r="D3984" t="inlineStr">
        <is>
          <t>GÄVLEBORGS LÄN</t>
        </is>
      </c>
      <c r="E3984" t="inlineStr">
        <is>
          <t>HUDIKSVALL</t>
        </is>
      </c>
      <c r="F3984" t="inlineStr">
        <is>
          <t>Holmen skog AB</t>
        </is>
      </c>
      <c r="G3984" t="n">
        <v>7.3</v>
      </c>
      <c r="H3984" t="n">
        <v>0</v>
      </c>
      <c r="I3984" t="n">
        <v>0</v>
      </c>
      <c r="J3984" t="n">
        <v>0</v>
      </c>
      <c r="K3984" t="n">
        <v>0</v>
      </c>
      <c r="L3984" t="n">
        <v>0</v>
      </c>
      <c r="M3984" t="n">
        <v>0</v>
      </c>
      <c r="N3984" t="n">
        <v>0</v>
      </c>
      <c r="O3984" t="n">
        <v>0</v>
      </c>
      <c r="P3984" t="n">
        <v>0</v>
      </c>
      <c r="Q3984" t="n">
        <v>0</v>
      </c>
      <c r="R3984" s="2" t="inlineStr"/>
    </row>
    <row r="3985" ht="15" customHeight="1">
      <c r="A3985" t="inlineStr">
        <is>
          <t>A 18288-2023</t>
        </is>
      </c>
      <c r="B3985" s="1" t="n">
        <v>45041.5646412037</v>
      </c>
      <c r="C3985" s="1" t="n">
        <v>45883</v>
      </c>
      <c r="D3985" t="inlineStr">
        <is>
          <t>GÄVLEBORGS LÄN</t>
        </is>
      </c>
      <c r="E3985" t="inlineStr">
        <is>
          <t>NORDANSTIG</t>
        </is>
      </c>
      <c r="F3985" t="inlineStr">
        <is>
          <t>Holmen skog AB</t>
        </is>
      </c>
      <c r="G3985" t="n">
        <v>4.4</v>
      </c>
      <c r="H3985" t="n">
        <v>0</v>
      </c>
      <c r="I3985" t="n">
        <v>0</v>
      </c>
      <c r="J3985" t="n">
        <v>0</v>
      </c>
      <c r="K3985" t="n">
        <v>0</v>
      </c>
      <c r="L3985" t="n">
        <v>0</v>
      </c>
      <c r="M3985" t="n">
        <v>0</v>
      </c>
      <c r="N3985" t="n">
        <v>0</v>
      </c>
      <c r="O3985" t="n">
        <v>0</v>
      </c>
      <c r="P3985" t="n">
        <v>0</v>
      </c>
      <c r="Q3985" t="n">
        <v>0</v>
      </c>
      <c r="R3985" s="2" t="inlineStr"/>
    </row>
    <row r="3986" ht="15" customHeight="1">
      <c r="A3986" t="inlineStr">
        <is>
          <t>A 40886-2024</t>
        </is>
      </c>
      <c r="B3986" s="1" t="n">
        <v>45558.60701388889</v>
      </c>
      <c r="C3986" s="1" t="n">
        <v>45883</v>
      </c>
      <c r="D3986" t="inlineStr">
        <is>
          <t>GÄVLEBORGS LÄN</t>
        </is>
      </c>
      <c r="E3986" t="inlineStr">
        <is>
          <t>OVANÅKER</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9241-2023</t>
        </is>
      </c>
      <c r="B3987" s="1" t="n">
        <v>44980</v>
      </c>
      <c r="C3987" s="1" t="n">
        <v>45883</v>
      </c>
      <c r="D3987" t="inlineStr">
        <is>
          <t>GÄVLEBORGS LÄN</t>
        </is>
      </c>
      <c r="E3987" t="inlineStr">
        <is>
          <t>LJUSDAL</t>
        </is>
      </c>
      <c r="G3987" t="n">
        <v>5.3</v>
      </c>
      <c r="H3987" t="n">
        <v>0</v>
      </c>
      <c r="I3987" t="n">
        <v>0</v>
      </c>
      <c r="J3987" t="n">
        <v>0</v>
      </c>
      <c r="K3987" t="n">
        <v>0</v>
      </c>
      <c r="L3987" t="n">
        <v>0</v>
      </c>
      <c r="M3987" t="n">
        <v>0</v>
      </c>
      <c r="N3987" t="n">
        <v>0</v>
      </c>
      <c r="O3987" t="n">
        <v>0</v>
      </c>
      <c r="P3987" t="n">
        <v>0</v>
      </c>
      <c r="Q3987" t="n">
        <v>0</v>
      </c>
      <c r="R3987" s="2" t="inlineStr"/>
    </row>
    <row r="3988" ht="15" customHeight="1">
      <c r="A3988" t="inlineStr">
        <is>
          <t>A 38202-2024</t>
        </is>
      </c>
      <c r="B3988" s="1" t="n">
        <v>45545</v>
      </c>
      <c r="C3988" s="1" t="n">
        <v>45883</v>
      </c>
      <c r="D3988" t="inlineStr">
        <is>
          <t>GÄVLEBORGS LÄN</t>
        </is>
      </c>
      <c r="E3988" t="inlineStr">
        <is>
          <t>SANDVIKEN</t>
        </is>
      </c>
      <c r="F3988" t="inlineStr">
        <is>
          <t>Sveaskog</t>
        </is>
      </c>
      <c r="G3988" t="n">
        <v>3.6</v>
      </c>
      <c r="H3988" t="n">
        <v>0</v>
      </c>
      <c r="I3988" t="n">
        <v>0</v>
      </c>
      <c r="J3988" t="n">
        <v>0</v>
      </c>
      <c r="K3988" t="n">
        <v>0</v>
      </c>
      <c r="L3988" t="n">
        <v>0</v>
      </c>
      <c r="M3988" t="n">
        <v>0</v>
      </c>
      <c r="N3988" t="n">
        <v>0</v>
      </c>
      <c r="O3988" t="n">
        <v>0</v>
      </c>
      <c r="P3988" t="n">
        <v>0</v>
      </c>
      <c r="Q3988" t="n">
        <v>0</v>
      </c>
      <c r="R3988" s="2" t="inlineStr"/>
    </row>
    <row r="3989" ht="15" customHeight="1">
      <c r="A3989" t="inlineStr">
        <is>
          <t>A 11087-2022</t>
        </is>
      </c>
      <c r="B3989" s="1" t="n">
        <v>44628.69327546296</v>
      </c>
      <c r="C3989" s="1" t="n">
        <v>45883</v>
      </c>
      <c r="D3989" t="inlineStr">
        <is>
          <t>GÄVLEBORGS LÄN</t>
        </is>
      </c>
      <c r="E3989" t="inlineStr">
        <is>
          <t>NORDANSTIG</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6425-2024</t>
        </is>
      </c>
      <c r="B3990" s="1" t="n">
        <v>45338.63030092593</v>
      </c>
      <c r="C3990" s="1" t="n">
        <v>45883</v>
      </c>
      <c r="D3990" t="inlineStr">
        <is>
          <t>GÄVLEBORGS LÄN</t>
        </is>
      </c>
      <c r="E3990" t="inlineStr">
        <is>
          <t>HUDIKSVALL</t>
        </is>
      </c>
      <c r="F3990" t="inlineStr">
        <is>
          <t>Holmen skog AB</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16745-2025</t>
        </is>
      </c>
      <c r="B3991" s="1" t="n">
        <v>45754.56126157408</v>
      </c>
      <c r="C3991" s="1" t="n">
        <v>45883</v>
      </c>
      <c r="D3991" t="inlineStr">
        <is>
          <t>GÄVLEBORGS LÄN</t>
        </is>
      </c>
      <c r="E3991" t="inlineStr">
        <is>
          <t>HUDIKSVALL</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16641-2024</t>
        </is>
      </c>
      <c r="B3992" s="1" t="n">
        <v>45408.60974537037</v>
      </c>
      <c r="C3992" s="1" t="n">
        <v>45883</v>
      </c>
      <c r="D3992" t="inlineStr">
        <is>
          <t>GÄVLEBORGS LÄN</t>
        </is>
      </c>
      <c r="E3992" t="inlineStr">
        <is>
          <t>BOLLNÄS</t>
        </is>
      </c>
      <c r="F3992" t="inlineStr">
        <is>
          <t>Bergvik skog öst AB</t>
        </is>
      </c>
      <c r="G3992" t="n">
        <v>4.5</v>
      </c>
      <c r="H3992" t="n">
        <v>0</v>
      </c>
      <c r="I3992" t="n">
        <v>0</v>
      </c>
      <c r="J3992" t="n">
        <v>0</v>
      </c>
      <c r="K3992" t="n">
        <v>0</v>
      </c>
      <c r="L3992" t="n">
        <v>0</v>
      </c>
      <c r="M3992" t="n">
        <v>0</v>
      </c>
      <c r="N3992" t="n">
        <v>0</v>
      </c>
      <c r="O3992" t="n">
        <v>0</v>
      </c>
      <c r="P3992" t="n">
        <v>0</v>
      </c>
      <c r="Q3992" t="n">
        <v>0</v>
      </c>
      <c r="R3992" s="2" t="inlineStr"/>
    </row>
    <row r="3993" ht="15" customHeight="1">
      <c r="A3993" t="inlineStr">
        <is>
          <t>A 21125-2023</t>
        </is>
      </c>
      <c r="B3993" s="1" t="n">
        <v>45062.29048611111</v>
      </c>
      <c r="C3993" s="1" t="n">
        <v>45883</v>
      </c>
      <c r="D3993" t="inlineStr">
        <is>
          <t>GÄVLEBORGS LÄN</t>
        </is>
      </c>
      <c r="E3993" t="inlineStr">
        <is>
          <t>LJUSDAL</t>
        </is>
      </c>
      <c r="F3993" t="inlineStr">
        <is>
          <t>Holmen skog AB</t>
        </is>
      </c>
      <c r="G3993" t="n">
        <v>5.9</v>
      </c>
      <c r="H3993" t="n">
        <v>0</v>
      </c>
      <c r="I3993" t="n">
        <v>0</v>
      </c>
      <c r="J3993" t="n">
        <v>0</v>
      </c>
      <c r="K3993" t="n">
        <v>0</v>
      </c>
      <c r="L3993" t="n">
        <v>0</v>
      </c>
      <c r="M3993" t="n">
        <v>0</v>
      </c>
      <c r="N3993" t="n">
        <v>0</v>
      </c>
      <c r="O3993" t="n">
        <v>0</v>
      </c>
      <c r="P3993" t="n">
        <v>0</v>
      </c>
      <c r="Q3993" t="n">
        <v>0</v>
      </c>
      <c r="R3993" s="2" t="inlineStr"/>
    </row>
    <row r="3994" ht="15" customHeight="1">
      <c r="A3994" t="inlineStr">
        <is>
          <t>A 22547-2022</t>
        </is>
      </c>
      <c r="B3994" s="1" t="n">
        <v>44713</v>
      </c>
      <c r="C3994" s="1" t="n">
        <v>45883</v>
      </c>
      <c r="D3994" t="inlineStr">
        <is>
          <t>GÄVLEBORGS LÄN</t>
        </is>
      </c>
      <c r="E3994" t="inlineStr">
        <is>
          <t>NORDANSTIG</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10352-2025</t>
        </is>
      </c>
      <c r="B3995" s="1" t="n">
        <v>45720.51222222222</v>
      </c>
      <c r="C3995" s="1" t="n">
        <v>45883</v>
      </c>
      <c r="D3995" t="inlineStr">
        <is>
          <t>GÄVLEBORGS LÄN</t>
        </is>
      </c>
      <c r="E3995" t="inlineStr">
        <is>
          <t>GÄVLE</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68228-2020</t>
        </is>
      </c>
      <c r="B3996" s="1" t="n">
        <v>44183</v>
      </c>
      <c r="C3996" s="1" t="n">
        <v>45883</v>
      </c>
      <c r="D3996" t="inlineStr">
        <is>
          <t>GÄVLEBORGS LÄN</t>
        </is>
      </c>
      <c r="E3996" t="inlineStr">
        <is>
          <t>OVANÅKER</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10593-2025</t>
        </is>
      </c>
      <c r="B3997" s="1" t="n">
        <v>45721.56726851852</v>
      </c>
      <c r="C3997" s="1" t="n">
        <v>45883</v>
      </c>
      <c r="D3997" t="inlineStr">
        <is>
          <t>GÄVLEBORGS LÄN</t>
        </is>
      </c>
      <c r="E3997" t="inlineStr">
        <is>
          <t>OVANÅKER</t>
        </is>
      </c>
      <c r="F3997" t="inlineStr">
        <is>
          <t>Bergvik skog öst AB</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58339-2024</t>
        </is>
      </c>
      <c r="B3998" s="1" t="n">
        <v>45632.63729166667</v>
      </c>
      <c r="C3998" s="1" t="n">
        <v>45883</v>
      </c>
      <c r="D3998" t="inlineStr">
        <is>
          <t>GÄVLEBORGS LÄN</t>
        </is>
      </c>
      <c r="E3998" t="inlineStr">
        <is>
          <t>HUDIKSVALL</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29439-2023</t>
        </is>
      </c>
      <c r="B3999" s="1" t="n">
        <v>45106</v>
      </c>
      <c r="C3999" s="1" t="n">
        <v>45883</v>
      </c>
      <c r="D3999" t="inlineStr">
        <is>
          <t>GÄVLEBORGS LÄN</t>
        </is>
      </c>
      <c r="E3999" t="inlineStr">
        <is>
          <t>LJUSDAL</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30011-2023</t>
        </is>
      </c>
      <c r="B4000" s="1" t="n">
        <v>45109.84071759259</v>
      </c>
      <c r="C4000" s="1" t="n">
        <v>45883</v>
      </c>
      <c r="D4000" t="inlineStr">
        <is>
          <t>GÄVLEBORGS LÄN</t>
        </is>
      </c>
      <c r="E4000" t="inlineStr">
        <is>
          <t>OCKELBO</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60698-2023</t>
        </is>
      </c>
      <c r="B4001" s="1" t="n">
        <v>45260.5078587963</v>
      </c>
      <c r="C4001" s="1" t="n">
        <v>45883</v>
      </c>
      <c r="D4001" t="inlineStr">
        <is>
          <t>GÄVLEBORGS LÄN</t>
        </is>
      </c>
      <c r="E4001" t="inlineStr">
        <is>
          <t>SÖDERHAMN</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38451-2024</t>
        </is>
      </c>
      <c r="B4002" s="1" t="n">
        <v>45546</v>
      </c>
      <c r="C4002" s="1" t="n">
        <v>45883</v>
      </c>
      <c r="D4002" t="inlineStr">
        <is>
          <t>GÄVLEBORGS LÄN</t>
        </is>
      </c>
      <c r="E4002" t="inlineStr">
        <is>
          <t>NORDANSTIG</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12166-2024</t>
        </is>
      </c>
      <c r="B4003" s="1" t="n">
        <v>45377.8671412037</v>
      </c>
      <c r="C4003" s="1" t="n">
        <v>45883</v>
      </c>
      <c r="D4003" t="inlineStr">
        <is>
          <t>GÄVLEBORGS LÄN</t>
        </is>
      </c>
      <c r="E4003" t="inlineStr">
        <is>
          <t>BOLLNÄS</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13084-2021</t>
        </is>
      </c>
      <c r="B4004" s="1" t="n">
        <v>44272.37886574074</v>
      </c>
      <c r="C4004" s="1" t="n">
        <v>45883</v>
      </c>
      <c r="D4004" t="inlineStr">
        <is>
          <t>GÄVLEBORGS LÄN</t>
        </is>
      </c>
      <c r="E4004" t="inlineStr">
        <is>
          <t>SANDVIKEN</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49380-2024</t>
        </is>
      </c>
      <c r="B4005" s="1" t="n">
        <v>45595.64767361111</v>
      </c>
      <c r="C4005" s="1" t="n">
        <v>45883</v>
      </c>
      <c r="D4005" t="inlineStr">
        <is>
          <t>GÄVLEBORGS LÄN</t>
        </is>
      </c>
      <c r="E4005" t="inlineStr">
        <is>
          <t>GÄVLE</t>
        </is>
      </c>
      <c r="G4005" t="n">
        <v>3.3</v>
      </c>
      <c r="H4005" t="n">
        <v>0</v>
      </c>
      <c r="I4005" t="n">
        <v>0</v>
      </c>
      <c r="J4005" t="n">
        <v>0</v>
      </c>
      <c r="K4005" t="n">
        <v>0</v>
      </c>
      <c r="L4005" t="n">
        <v>0</v>
      </c>
      <c r="M4005" t="n">
        <v>0</v>
      </c>
      <c r="N4005" t="n">
        <v>0</v>
      </c>
      <c r="O4005" t="n">
        <v>0</v>
      </c>
      <c r="P4005" t="n">
        <v>0</v>
      </c>
      <c r="Q4005" t="n">
        <v>0</v>
      </c>
      <c r="R4005" s="2" t="inlineStr"/>
    </row>
    <row r="4006" ht="15" customHeight="1">
      <c r="A4006" t="inlineStr">
        <is>
          <t>A 64018-2023</t>
        </is>
      </c>
      <c r="B4006" s="1" t="n">
        <v>45278.9264699074</v>
      </c>
      <c r="C4006" s="1" t="n">
        <v>45883</v>
      </c>
      <c r="D4006" t="inlineStr">
        <is>
          <t>GÄVLEBORGS LÄN</t>
        </is>
      </c>
      <c r="E4006" t="inlineStr">
        <is>
          <t>LJUSDAL</t>
        </is>
      </c>
      <c r="G4006" t="n">
        <v>5.4</v>
      </c>
      <c r="H4006" t="n">
        <v>0</v>
      </c>
      <c r="I4006" t="n">
        <v>0</v>
      </c>
      <c r="J4006" t="n">
        <v>0</v>
      </c>
      <c r="K4006" t="n">
        <v>0</v>
      </c>
      <c r="L4006" t="n">
        <v>0</v>
      </c>
      <c r="M4006" t="n">
        <v>0</v>
      </c>
      <c r="N4006" t="n">
        <v>0</v>
      </c>
      <c r="O4006" t="n">
        <v>0</v>
      </c>
      <c r="P4006" t="n">
        <v>0</v>
      </c>
      <c r="Q4006" t="n">
        <v>0</v>
      </c>
      <c r="R4006" s="2" t="inlineStr"/>
    </row>
    <row r="4007" ht="15" customHeight="1">
      <c r="A4007" t="inlineStr">
        <is>
          <t>A 47376-2024</t>
        </is>
      </c>
      <c r="B4007" s="1" t="n">
        <v>45587.45378472222</v>
      </c>
      <c r="C4007" s="1" t="n">
        <v>45883</v>
      </c>
      <c r="D4007" t="inlineStr">
        <is>
          <t>GÄVLEBORGS LÄN</t>
        </is>
      </c>
      <c r="E4007" t="inlineStr">
        <is>
          <t>OVANÅKER</t>
        </is>
      </c>
      <c r="G4007" t="n">
        <v>5.3</v>
      </c>
      <c r="H4007" t="n">
        <v>0</v>
      </c>
      <c r="I4007" t="n">
        <v>0</v>
      </c>
      <c r="J4007" t="n">
        <v>0</v>
      </c>
      <c r="K4007" t="n">
        <v>0</v>
      </c>
      <c r="L4007" t="n">
        <v>0</v>
      </c>
      <c r="M4007" t="n">
        <v>0</v>
      </c>
      <c r="N4007" t="n">
        <v>0</v>
      </c>
      <c r="O4007" t="n">
        <v>0</v>
      </c>
      <c r="P4007" t="n">
        <v>0</v>
      </c>
      <c r="Q4007" t="n">
        <v>0</v>
      </c>
      <c r="R4007" s="2" t="inlineStr"/>
    </row>
    <row r="4008" ht="15" customHeight="1">
      <c r="A4008" t="inlineStr">
        <is>
          <t>A 47100-2024</t>
        </is>
      </c>
      <c r="B4008" s="1" t="n">
        <v>45586.54471064815</v>
      </c>
      <c r="C4008" s="1" t="n">
        <v>45883</v>
      </c>
      <c r="D4008" t="inlineStr">
        <is>
          <t>GÄVLEBORGS LÄN</t>
        </is>
      </c>
      <c r="E4008" t="inlineStr">
        <is>
          <t>OCKELBO</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40191-2023</t>
        </is>
      </c>
      <c r="B4009" s="1" t="n">
        <v>45169</v>
      </c>
      <c r="C4009" s="1" t="n">
        <v>45883</v>
      </c>
      <c r="D4009" t="inlineStr">
        <is>
          <t>GÄVLEBORGS LÄN</t>
        </is>
      </c>
      <c r="E4009" t="inlineStr">
        <is>
          <t>LJUSDAL</t>
        </is>
      </c>
      <c r="F4009" t="inlineStr">
        <is>
          <t>Sveaskog</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10689-2025</t>
        </is>
      </c>
      <c r="B4010" s="1" t="n">
        <v>45722.29954861111</v>
      </c>
      <c r="C4010" s="1" t="n">
        <v>45883</v>
      </c>
      <c r="D4010" t="inlineStr">
        <is>
          <t>GÄVLEBORGS LÄN</t>
        </is>
      </c>
      <c r="E4010" t="inlineStr">
        <is>
          <t>OVANÅKER</t>
        </is>
      </c>
      <c r="F4010" t="inlineStr">
        <is>
          <t>Bergvik skog öst AB</t>
        </is>
      </c>
      <c r="G4010" t="n">
        <v>4.2</v>
      </c>
      <c r="H4010" t="n">
        <v>0</v>
      </c>
      <c r="I4010" t="n">
        <v>0</v>
      </c>
      <c r="J4010" t="n">
        <v>0</v>
      </c>
      <c r="K4010" t="n">
        <v>0</v>
      </c>
      <c r="L4010" t="n">
        <v>0</v>
      </c>
      <c r="M4010" t="n">
        <v>0</v>
      </c>
      <c r="N4010" t="n">
        <v>0</v>
      </c>
      <c r="O4010" t="n">
        <v>0</v>
      </c>
      <c r="P4010" t="n">
        <v>0</v>
      </c>
      <c r="Q4010" t="n">
        <v>0</v>
      </c>
      <c r="R4010" s="2" t="inlineStr"/>
    </row>
    <row r="4011" ht="15" customHeight="1">
      <c r="A4011" t="inlineStr">
        <is>
          <t>A 7013-2023</t>
        </is>
      </c>
      <c r="B4011" s="1" t="n">
        <v>44967.96155092592</v>
      </c>
      <c r="C4011" s="1" t="n">
        <v>45883</v>
      </c>
      <c r="D4011" t="inlineStr">
        <is>
          <t>GÄVLEBORGS LÄN</t>
        </is>
      </c>
      <c r="E4011" t="inlineStr">
        <is>
          <t>NORDANSTIG</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7014-2023</t>
        </is>
      </c>
      <c r="B4012" s="1" t="n">
        <v>44967.968125</v>
      </c>
      <c r="C4012" s="1" t="n">
        <v>45883</v>
      </c>
      <c r="D4012" t="inlineStr">
        <is>
          <t>GÄVLEBORGS LÄN</t>
        </is>
      </c>
      <c r="E4012" t="inlineStr">
        <is>
          <t>NORDANSTIG</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24933-2024</t>
        </is>
      </c>
      <c r="B4013" s="1" t="n">
        <v>45461</v>
      </c>
      <c r="C4013" s="1" t="n">
        <v>45883</v>
      </c>
      <c r="D4013" t="inlineStr">
        <is>
          <t>GÄVLEBORGS LÄN</t>
        </is>
      </c>
      <c r="E4013" t="inlineStr">
        <is>
          <t>SÖDERHAMN</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50657-2024</t>
        </is>
      </c>
      <c r="B4014" s="1" t="n">
        <v>45601.718125</v>
      </c>
      <c r="C4014" s="1" t="n">
        <v>45883</v>
      </c>
      <c r="D4014" t="inlineStr">
        <is>
          <t>GÄVLEBORGS LÄN</t>
        </is>
      </c>
      <c r="E4014" t="inlineStr">
        <is>
          <t>NORDANSTIG</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58885-2023</t>
        </is>
      </c>
      <c r="B4015" s="1" t="n">
        <v>45252.47675925926</v>
      </c>
      <c r="C4015" s="1" t="n">
        <v>45883</v>
      </c>
      <c r="D4015" t="inlineStr">
        <is>
          <t>GÄVLEBORGS LÄN</t>
        </is>
      </c>
      <c r="E4015" t="inlineStr">
        <is>
          <t>SANDVIKEN</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62215-2023</t>
        </is>
      </c>
      <c r="B4016" s="1" t="n">
        <v>45267</v>
      </c>
      <c r="C4016" s="1" t="n">
        <v>45883</v>
      </c>
      <c r="D4016" t="inlineStr">
        <is>
          <t>GÄVLEBORGS LÄN</t>
        </is>
      </c>
      <c r="E4016" t="inlineStr">
        <is>
          <t>GÄVLE</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25570-2024</t>
        </is>
      </c>
      <c r="B4017" s="1" t="n">
        <v>45463.58728009259</v>
      </c>
      <c r="C4017" s="1" t="n">
        <v>45883</v>
      </c>
      <c r="D4017" t="inlineStr">
        <is>
          <t>GÄVLEBORGS LÄN</t>
        </is>
      </c>
      <c r="E4017" t="inlineStr">
        <is>
          <t>LJUSDAL</t>
        </is>
      </c>
      <c r="F4017" t="inlineStr">
        <is>
          <t>Sveaskog</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30946-2024</t>
        </is>
      </c>
      <c r="B4018" s="1" t="n">
        <v>45499.37065972222</v>
      </c>
      <c r="C4018" s="1" t="n">
        <v>45883</v>
      </c>
      <c r="D4018" t="inlineStr">
        <is>
          <t>GÄVLEBORGS LÄN</t>
        </is>
      </c>
      <c r="E4018" t="inlineStr">
        <is>
          <t>OVANÅKER</t>
        </is>
      </c>
      <c r="F4018" t="inlineStr">
        <is>
          <t>Bergvik skog öst AB</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60417-2023</t>
        </is>
      </c>
      <c r="B4019" s="1" t="n">
        <v>45259.49364583333</v>
      </c>
      <c r="C4019" s="1" t="n">
        <v>45883</v>
      </c>
      <c r="D4019" t="inlineStr">
        <is>
          <t>GÄVLEBORGS LÄN</t>
        </is>
      </c>
      <c r="E4019" t="inlineStr">
        <is>
          <t>OVANÅKER</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20264-2024</t>
        </is>
      </c>
      <c r="B4020" s="1" t="n">
        <v>45434.94854166666</v>
      </c>
      <c r="C4020" s="1" t="n">
        <v>45883</v>
      </c>
      <c r="D4020" t="inlineStr">
        <is>
          <t>GÄVLEBORGS LÄN</t>
        </is>
      </c>
      <c r="E4020" t="inlineStr">
        <is>
          <t>OVANÅKER</t>
        </is>
      </c>
      <c r="G4020" t="n">
        <v>5.3</v>
      </c>
      <c r="H4020" t="n">
        <v>0</v>
      </c>
      <c r="I4020" t="n">
        <v>0</v>
      </c>
      <c r="J4020" t="n">
        <v>0</v>
      </c>
      <c r="K4020" t="n">
        <v>0</v>
      </c>
      <c r="L4020" t="n">
        <v>0</v>
      </c>
      <c r="M4020" t="n">
        <v>0</v>
      </c>
      <c r="N4020" t="n">
        <v>0</v>
      </c>
      <c r="O4020" t="n">
        <v>0</v>
      </c>
      <c r="P4020" t="n">
        <v>0</v>
      </c>
      <c r="Q4020" t="n">
        <v>0</v>
      </c>
      <c r="R4020" s="2" t="inlineStr"/>
    </row>
    <row r="4021" ht="15" customHeight="1">
      <c r="A4021" t="inlineStr">
        <is>
          <t>A 5579-2022</t>
        </is>
      </c>
      <c r="B4021" s="1" t="n">
        <v>44595</v>
      </c>
      <c r="C4021" s="1" t="n">
        <v>45883</v>
      </c>
      <c r="D4021" t="inlineStr">
        <is>
          <t>GÄVLEBORGS LÄN</t>
        </is>
      </c>
      <c r="E4021" t="inlineStr">
        <is>
          <t>BOLLNÄS</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29297-2024</t>
        </is>
      </c>
      <c r="B4022" s="1" t="n">
        <v>45483.33927083333</v>
      </c>
      <c r="C4022" s="1" t="n">
        <v>45883</v>
      </c>
      <c r="D4022" t="inlineStr">
        <is>
          <t>GÄVLEBORGS LÄN</t>
        </is>
      </c>
      <c r="E4022" t="inlineStr">
        <is>
          <t>SANDVIKEN</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35326-2024</t>
        </is>
      </c>
      <c r="B4023" s="1" t="n">
        <v>45530</v>
      </c>
      <c r="C4023" s="1" t="n">
        <v>45883</v>
      </c>
      <c r="D4023" t="inlineStr">
        <is>
          <t>GÄVLEBORGS LÄN</t>
        </is>
      </c>
      <c r="E4023" t="inlineStr">
        <is>
          <t>SANDVIKEN</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27956-2024</t>
        </is>
      </c>
      <c r="B4024" s="1" t="n">
        <v>45476.34413194445</v>
      </c>
      <c r="C4024" s="1" t="n">
        <v>45883</v>
      </c>
      <c r="D4024" t="inlineStr">
        <is>
          <t>GÄVLEBORGS LÄN</t>
        </is>
      </c>
      <c r="E4024" t="inlineStr">
        <is>
          <t>HUDIKSVALL</t>
        </is>
      </c>
      <c r="F4024" t="inlineStr">
        <is>
          <t>Holmen skog AB</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36283-2024</t>
        </is>
      </c>
      <c r="B4025" s="1" t="n">
        <v>45534.58899305556</v>
      </c>
      <c r="C4025" s="1" t="n">
        <v>45883</v>
      </c>
      <c r="D4025" t="inlineStr">
        <is>
          <t>GÄVLEBORGS LÄN</t>
        </is>
      </c>
      <c r="E4025" t="inlineStr">
        <is>
          <t>HOFORS</t>
        </is>
      </c>
      <c r="F4025" t="inlineStr">
        <is>
          <t>Sveaskog</t>
        </is>
      </c>
      <c r="G4025" t="n">
        <v>6.9</v>
      </c>
      <c r="H4025" t="n">
        <v>0</v>
      </c>
      <c r="I4025" t="n">
        <v>0</v>
      </c>
      <c r="J4025" t="n">
        <v>0</v>
      </c>
      <c r="K4025" t="n">
        <v>0</v>
      </c>
      <c r="L4025" t="n">
        <v>0</v>
      </c>
      <c r="M4025" t="n">
        <v>0</v>
      </c>
      <c r="N4025" t="n">
        <v>0</v>
      </c>
      <c r="O4025" t="n">
        <v>0</v>
      </c>
      <c r="P4025" t="n">
        <v>0</v>
      </c>
      <c r="Q4025" t="n">
        <v>0</v>
      </c>
      <c r="R4025" s="2" t="inlineStr"/>
    </row>
    <row r="4026" ht="15" customHeight="1">
      <c r="A4026" t="inlineStr">
        <is>
          <t>A 45551-2024</t>
        </is>
      </c>
      <c r="B4026" s="1" t="n">
        <v>45579</v>
      </c>
      <c r="C4026" s="1" t="n">
        <v>45883</v>
      </c>
      <c r="D4026" t="inlineStr">
        <is>
          <t>GÄVLEBORGS LÄN</t>
        </is>
      </c>
      <c r="E4026" t="inlineStr">
        <is>
          <t>NORDANSTIG</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38578-2024</t>
        </is>
      </c>
      <c r="B4027" s="1" t="n">
        <v>45546.64511574074</v>
      </c>
      <c r="C4027" s="1" t="n">
        <v>45883</v>
      </c>
      <c r="D4027" t="inlineStr">
        <is>
          <t>GÄVLEBORGS LÄN</t>
        </is>
      </c>
      <c r="E4027" t="inlineStr">
        <is>
          <t>HUDIKSVALL</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54595-2023</t>
        </is>
      </c>
      <c r="B4028" s="1" t="n">
        <v>45233</v>
      </c>
      <c r="C4028" s="1" t="n">
        <v>45883</v>
      </c>
      <c r="D4028" t="inlineStr">
        <is>
          <t>GÄVLEBORGS LÄN</t>
        </is>
      </c>
      <c r="E4028" t="inlineStr">
        <is>
          <t>LJUSDAL</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1532-2024</t>
        </is>
      </c>
      <c r="B4029" s="1" t="n">
        <v>45306</v>
      </c>
      <c r="C4029" s="1" t="n">
        <v>45883</v>
      </c>
      <c r="D4029" t="inlineStr">
        <is>
          <t>GÄVLEBORGS LÄN</t>
        </is>
      </c>
      <c r="E4029" t="inlineStr">
        <is>
          <t>NORDANSTIG</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12004-2023</t>
        </is>
      </c>
      <c r="B4030" s="1" t="n">
        <v>44995.61207175926</v>
      </c>
      <c r="C4030" s="1" t="n">
        <v>45883</v>
      </c>
      <c r="D4030" t="inlineStr">
        <is>
          <t>GÄVLEBORGS LÄN</t>
        </is>
      </c>
      <c r="E4030" t="inlineStr">
        <is>
          <t>LJUSDAL</t>
        </is>
      </c>
      <c r="F4030" t="inlineStr">
        <is>
          <t>Holmen skog AB</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13997-2024</t>
        </is>
      </c>
      <c r="B4031" s="1" t="n">
        <v>45392</v>
      </c>
      <c r="C4031" s="1" t="n">
        <v>45883</v>
      </c>
      <c r="D4031" t="inlineStr">
        <is>
          <t>GÄVLEBORGS LÄN</t>
        </is>
      </c>
      <c r="E4031" t="inlineStr">
        <is>
          <t>HUDIKSVALL</t>
        </is>
      </c>
      <c r="F4031" t="inlineStr">
        <is>
          <t>Holmen skog AB</t>
        </is>
      </c>
      <c r="G4031" t="n">
        <v>6.8</v>
      </c>
      <c r="H4031" t="n">
        <v>0</v>
      </c>
      <c r="I4031" t="n">
        <v>0</v>
      </c>
      <c r="J4031" t="n">
        <v>0</v>
      </c>
      <c r="K4031" t="n">
        <v>0</v>
      </c>
      <c r="L4031" t="n">
        <v>0</v>
      </c>
      <c r="M4031" t="n">
        <v>0</v>
      </c>
      <c r="N4031" t="n">
        <v>0</v>
      </c>
      <c r="O4031" t="n">
        <v>0</v>
      </c>
      <c r="P4031" t="n">
        <v>0</v>
      </c>
      <c r="Q4031" t="n">
        <v>0</v>
      </c>
      <c r="R4031" s="2" t="inlineStr"/>
    </row>
    <row r="4032" ht="15" customHeight="1">
      <c r="A4032" t="inlineStr">
        <is>
          <t>A 31572-2024</t>
        </is>
      </c>
      <c r="B4032" s="1" t="n">
        <v>45506.33875</v>
      </c>
      <c r="C4032" s="1" t="n">
        <v>45883</v>
      </c>
      <c r="D4032" t="inlineStr">
        <is>
          <t>GÄVLEBORGS LÄN</t>
        </is>
      </c>
      <c r="E4032" t="inlineStr">
        <is>
          <t>BOLLNÄS</t>
        </is>
      </c>
      <c r="F4032" t="inlineStr">
        <is>
          <t>Sveaskog</t>
        </is>
      </c>
      <c r="G4032" t="n">
        <v>8.800000000000001</v>
      </c>
      <c r="H4032" t="n">
        <v>0</v>
      </c>
      <c r="I4032" t="n">
        <v>0</v>
      </c>
      <c r="J4032" t="n">
        <v>0</v>
      </c>
      <c r="K4032" t="n">
        <v>0</v>
      </c>
      <c r="L4032" t="n">
        <v>0</v>
      </c>
      <c r="M4032" t="n">
        <v>0</v>
      </c>
      <c r="N4032" t="n">
        <v>0</v>
      </c>
      <c r="O4032" t="n">
        <v>0</v>
      </c>
      <c r="P4032" t="n">
        <v>0</v>
      </c>
      <c r="Q4032" t="n">
        <v>0</v>
      </c>
      <c r="R4032" s="2" t="inlineStr"/>
    </row>
    <row r="4033" ht="15" customHeight="1">
      <c r="A4033" t="inlineStr">
        <is>
          <t>A 31574-2024</t>
        </is>
      </c>
      <c r="B4033" s="1" t="n">
        <v>45506.34412037037</v>
      </c>
      <c r="C4033" s="1" t="n">
        <v>45883</v>
      </c>
      <c r="D4033" t="inlineStr">
        <is>
          <t>GÄVLEBORGS LÄN</t>
        </is>
      </c>
      <c r="E4033" t="inlineStr">
        <is>
          <t>BOLLNÄS</t>
        </is>
      </c>
      <c r="F4033" t="inlineStr">
        <is>
          <t>Sveaskog</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34842-2023</t>
        </is>
      </c>
      <c r="B4034" s="1" t="n">
        <v>45141.92449074074</v>
      </c>
      <c r="C4034" s="1" t="n">
        <v>45883</v>
      </c>
      <c r="D4034" t="inlineStr">
        <is>
          <t>GÄVLEBORGS LÄN</t>
        </is>
      </c>
      <c r="E4034" t="inlineStr">
        <is>
          <t>NORDANSTIG</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15671-2024</t>
        </is>
      </c>
      <c r="B4035" s="1" t="n">
        <v>45404</v>
      </c>
      <c r="C4035" s="1" t="n">
        <v>45883</v>
      </c>
      <c r="D4035" t="inlineStr">
        <is>
          <t>GÄVLEBORGS LÄN</t>
        </is>
      </c>
      <c r="E4035" t="inlineStr">
        <is>
          <t>SANDVIKEN</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1594-2024</t>
        </is>
      </c>
      <c r="B4036" s="1" t="n">
        <v>45306.58793981482</v>
      </c>
      <c r="C4036" s="1" t="n">
        <v>45883</v>
      </c>
      <c r="D4036" t="inlineStr">
        <is>
          <t>GÄVLEBORGS LÄN</t>
        </is>
      </c>
      <c r="E4036" t="inlineStr">
        <is>
          <t>GÄVLE</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1782-2023</t>
        </is>
      </c>
      <c r="B4037" s="1" t="n">
        <v>44938.60140046296</v>
      </c>
      <c r="C4037" s="1" t="n">
        <v>45883</v>
      </c>
      <c r="D4037" t="inlineStr">
        <is>
          <t>GÄVLEBORGS LÄN</t>
        </is>
      </c>
      <c r="E4037" t="inlineStr">
        <is>
          <t>SÖDERHAMN</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64623-2023</t>
        </is>
      </c>
      <c r="B4038" s="1" t="n">
        <v>45281.53447916666</v>
      </c>
      <c r="C4038" s="1" t="n">
        <v>45883</v>
      </c>
      <c r="D4038" t="inlineStr">
        <is>
          <t>GÄVLEBORGS LÄN</t>
        </is>
      </c>
      <c r="E4038" t="inlineStr">
        <is>
          <t>SANDVIKEN</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6923-2024</t>
        </is>
      </c>
      <c r="B4039" s="1" t="n">
        <v>45343.34635416666</v>
      </c>
      <c r="C4039" s="1" t="n">
        <v>45883</v>
      </c>
      <c r="D4039" t="inlineStr">
        <is>
          <t>GÄVLEBORGS LÄN</t>
        </is>
      </c>
      <c r="E4039" t="inlineStr">
        <is>
          <t>NORDANSTIG</t>
        </is>
      </c>
      <c r="F4039" t="inlineStr">
        <is>
          <t>Holmen skog AB</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6951-2024</t>
        </is>
      </c>
      <c r="B4040" s="1" t="n">
        <v>45343.43699074074</v>
      </c>
      <c r="C4040" s="1" t="n">
        <v>45883</v>
      </c>
      <c r="D4040" t="inlineStr">
        <is>
          <t>GÄVLEBORGS LÄN</t>
        </is>
      </c>
      <c r="E4040" t="inlineStr">
        <is>
          <t>SANDVIKEN</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8510-2023</t>
        </is>
      </c>
      <c r="B4041" s="1" t="n">
        <v>44977.56144675926</v>
      </c>
      <c r="C4041" s="1" t="n">
        <v>45883</v>
      </c>
      <c r="D4041" t="inlineStr">
        <is>
          <t>GÄVLEBORGS LÄN</t>
        </is>
      </c>
      <c r="E4041" t="inlineStr">
        <is>
          <t>HOFORS</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27867-2024</t>
        </is>
      </c>
      <c r="B4042" s="1" t="n">
        <v>45475</v>
      </c>
      <c r="C4042" s="1" t="n">
        <v>45883</v>
      </c>
      <c r="D4042" t="inlineStr">
        <is>
          <t>GÄVLEBORGS LÄN</t>
        </is>
      </c>
      <c r="E4042" t="inlineStr">
        <is>
          <t>LJUSDAL</t>
        </is>
      </c>
      <c r="F4042" t="inlineStr">
        <is>
          <t>Allmännings- och besparingsskogar</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10026-2023</t>
        </is>
      </c>
      <c r="B4043" s="1" t="n">
        <v>44985</v>
      </c>
      <c r="C4043" s="1" t="n">
        <v>45883</v>
      </c>
      <c r="D4043" t="inlineStr">
        <is>
          <t>GÄVLEBORGS LÄN</t>
        </is>
      </c>
      <c r="E4043" t="inlineStr">
        <is>
          <t>LJUSDAL</t>
        </is>
      </c>
      <c r="F4043" t="inlineStr">
        <is>
          <t>Holmen skog AB</t>
        </is>
      </c>
      <c r="G4043" t="n">
        <v>6.8</v>
      </c>
      <c r="H4043" t="n">
        <v>0</v>
      </c>
      <c r="I4043" t="n">
        <v>0</v>
      </c>
      <c r="J4043" t="n">
        <v>0</v>
      </c>
      <c r="K4043" t="n">
        <v>0</v>
      </c>
      <c r="L4043" t="n">
        <v>0</v>
      </c>
      <c r="M4043" t="n">
        <v>0</v>
      </c>
      <c r="N4043" t="n">
        <v>0</v>
      </c>
      <c r="O4043" t="n">
        <v>0</v>
      </c>
      <c r="P4043" t="n">
        <v>0</v>
      </c>
      <c r="Q4043" t="n">
        <v>0</v>
      </c>
      <c r="R4043" s="2" t="inlineStr"/>
    </row>
    <row r="4044" ht="15" customHeight="1">
      <c r="A4044" t="inlineStr">
        <is>
          <t>A 33928-2023</t>
        </is>
      </c>
      <c r="B4044" s="1" t="n">
        <v>45134</v>
      </c>
      <c r="C4044" s="1" t="n">
        <v>45883</v>
      </c>
      <c r="D4044" t="inlineStr">
        <is>
          <t>GÄVLEBORGS LÄN</t>
        </is>
      </c>
      <c r="E4044" t="inlineStr">
        <is>
          <t>SÖDERHAMN</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30556-2024</t>
        </is>
      </c>
      <c r="B4045" s="1" t="n">
        <v>45492</v>
      </c>
      <c r="C4045" s="1" t="n">
        <v>45883</v>
      </c>
      <c r="D4045" t="inlineStr">
        <is>
          <t>GÄVLEBORGS LÄN</t>
        </is>
      </c>
      <c r="E4045" t="inlineStr">
        <is>
          <t>SÖDERHAMN</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6583-2022</t>
        </is>
      </c>
      <c r="B4046" s="1" t="n">
        <v>44601</v>
      </c>
      <c r="C4046" s="1" t="n">
        <v>45883</v>
      </c>
      <c r="D4046" t="inlineStr">
        <is>
          <t>GÄVLEBORGS LÄN</t>
        </is>
      </c>
      <c r="E4046" t="inlineStr">
        <is>
          <t>NORDANSTIG</t>
        </is>
      </c>
      <c r="G4046" t="n">
        <v>8.800000000000001</v>
      </c>
      <c r="H4046" t="n">
        <v>0</v>
      </c>
      <c r="I4046" t="n">
        <v>0</v>
      </c>
      <c r="J4046" t="n">
        <v>0</v>
      </c>
      <c r="K4046" t="n">
        <v>0</v>
      </c>
      <c r="L4046" t="n">
        <v>0</v>
      </c>
      <c r="M4046" t="n">
        <v>0</v>
      </c>
      <c r="N4046" t="n">
        <v>0</v>
      </c>
      <c r="O4046" t="n">
        <v>0</v>
      </c>
      <c r="P4046" t="n">
        <v>0</v>
      </c>
      <c r="Q4046" t="n">
        <v>0</v>
      </c>
      <c r="R4046" s="2" t="inlineStr"/>
    </row>
    <row r="4047" ht="15" customHeight="1">
      <c r="A4047" t="inlineStr">
        <is>
          <t>A 12855-2024</t>
        </is>
      </c>
      <c r="B4047" s="1" t="n">
        <v>45384.92469907407</v>
      </c>
      <c r="C4047" s="1" t="n">
        <v>45883</v>
      </c>
      <c r="D4047" t="inlineStr">
        <is>
          <t>GÄVLEBORGS LÄN</t>
        </is>
      </c>
      <c r="E4047" t="inlineStr">
        <is>
          <t>LJUSDAL</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46590-2024</t>
        </is>
      </c>
      <c r="B4048" s="1" t="n">
        <v>45582.79400462963</v>
      </c>
      <c r="C4048" s="1" t="n">
        <v>45883</v>
      </c>
      <c r="D4048" t="inlineStr">
        <is>
          <t>GÄVLEBORGS LÄN</t>
        </is>
      </c>
      <c r="E4048" t="inlineStr">
        <is>
          <t>HUDIKSVALL</t>
        </is>
      </c>
      <c r="F4048" t="inlineStr">
        <is>
          <t>Holmen skog AB</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46593-2024</t>
        </is>
      </c>
      <c r="B4049" s="1" t="n">
        <v>45582.816875</v>
      </c>
      <c r="C4049" s="1" t="n">
        <v>45883</v>
      </c>
      <c r="D4049" t="inlineStr">
        <is>
          <t>GÄVLEBORGS LÄN</t>
        </is>
      </c>
      <c r="E4049" t="inlineStr">
        <is>
          <t>HUDIKSVALL</t>
        </is>
      </c>
      <c r="F4049" t="inlineStr">
        <is>
          <t>Holmen skog AB</t>
        </is>
      </c>
      <c r="G4049" t="n">
        <v>5.3</v>
      </c>
      <c r="H4049" t="n">
        <v>0</v>
      </c>
      <c r="I4049" t="n">
        <v>0</v>
      </c>
      <c r="J4049" t="n">
        <v>0</v>
      </c>
      <c r="K4049" t="n">
        <v>0</v>
      </c>
      <c r="L4049" t="n">
        <v>0</v>
      </c>
      <c r="M4049" t="n">
        <v>0</v>
      </c>
      <c r="N4049" t="n">
        <v>0</v>
      </c>
      <c r="O4049" t="n">
        <v>0</v>
      </c>
      <c r="P4049" t="n">
        <v>0</v>
      </c>
      <c r="Q4049" t="n">
        <v>0</v>
      </c>
      <c r="R4049" s="2" t="inlineStr"/>
    </row>
    <row r="4050" ht="15" customHeight="1">
      <c r="A4050" t="inlineStr">
        <is>
          <t>A 13849-2025</t>
        </is>
      </c>
      <c r="B4050" s="1" t="n">
        <v>45737.56753472222</v>
      </c>
      <c r="C4050" s="1" t="n">
        <v>45883</v>
      </c>
      <c r="D4050" t="inlineStr">
        <is>
          <t>GÄVLEBORGS LÄN</t>
        </is>
      </c>
      <c r="E4050" t="inlineStr">
        <is>
          <t>LJUSDAL</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27732-2024</t>
        </is>
      </c>
      <c r="B4051" s="1" t="n">
        <v>45475.43817129629</v>
      </c>
      <c r="C4051" s="1" t="n">
        <v>45883</v>
      </c>
      <c r="D4051" t="inlineStr">
        <is>
          <t>GÄVLEBORGS LÄN</t>
        </is>
      </c>
      <c r="E4051" t="inlineStr">
        <is>
          <t>BOLLNÄS</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27738-2024</t>
        </is>
      </c>
      <c r="B4052" s="1" t="n">
        <v>45475.45108796296</v>
      </c>
      <c r="C4052" s="1" t="n">
        <v>45883</v>
      </c>
      <c r="D4052" t="inlineStr">
        <is>
          <t>GÄVLEBORGS LÄN</t>
        </is>
      </c>
      <c r="E4052" t="inlineStr">
        <is>
          <t>HOFORS</t>
        </is>
      </c>
      <c r="F4052" t="inlineStr">
        <is>
          <t>Bergvik skog öst AB</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46598-2024</t>
        </is>
      </c>
      <c r="B4053" s="1" t="n">
        <v>45582</v>
      </c>
      <c r="C4053" s="1" t="n">
        <v>45883</v>
      </c>
      <c r="D4053" t="inlineStr">
        <is>
          <t>GÄVLEBORGS LÄN</t>
        </is>
      </c>
      <c r="E4053" t="inlineStr">
        <is>
          <t>HUDIKSVALL</t>
        </is>
      </c>
      <c r="F4053" t="inlineStr">
        <is>
          <t>Holmen skog AB</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43673-2023</t>
        </is>
      </c>
      <c r="B4054" s="1" t="n">
        <v>45187.37011574074</v>
      </c>
      <c r="C4054" s="1" t="n">
        <v>45883</v>
      </c>
      <c r="D4054" t="inlineStr">
        <is>
          <t>GÄVLEBORGS LÄN</t>
        </is>
      </c>
      <c r="E4054" t="inlineStr">
        <is>
          <t>LJUSDAL</t>
        </is>
      </c>
      <c r="F4054" t="inlineStr">
        <is>
          <t>Bergvik skog väst AB</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31415-2024</t>
        </is>
      </c>
      <c r="B4055" s="1" t="n">
        <v>45505.61702546296</v>
      </c>
      <c r="C4055" s="1" t="n">
        <v>45883</v>
      </c>
      <c r="D4055" t="inlineStr">
        <is>
          <t>GÄVLEBORGS LÄN</t>
        </is>
      </c>
      <c r="E4055" t="inlineStr">
        <is>
          <t>LJUSDAL</t>
        </is>
      </c>
      <c r="F4055" t="inlineStr">
        <is>
          <t>Sveaskog</t>
        </is>
      </c>
      <c r="G4055" t="n">
        <v>4.7</v>
      </c>
      <c r="H4055" t="n">
        <v>0</v>
      </c>
      <c r="I4055" t="n">
        <v>0</v>
      </c>
      <c r="J4055" t="n">
        <v>0</v>
      </c>
      <c r="K4055" t="n">
        <v>0</v>
      </c>
      <c r="L4055" t="n">
        <v>0</v>
      </c>
      <c r="M4055" t="n">
        <v>0</v>
      </c>
      <c r="N4055" t="n">
        <v>0</v>
      </c>
      <c r="O4055" t="n">
        <v>0</v>
      </c>
      <c r="P4055" t="n">
        <v>0</v>
      </c>
      <c r="Q4055" t="n">
        <v>0</v>
      </c>
      <c r="R4055" s="2" t="inlineStr"/>
    </row>
    <row r="4056" ht="15" customHeight="1">
      <c r="A4056" t="inlineStr">
        <is>
          <t>A 36058-2023</t>
        </is>
      </c>
      <c r="B4056" s="1" t="n">
        <v>45149</v>
      </c>
      <c r="C4056" s="1" t="n">
        <v>45883</v>
      </c>
      <c r="D4056" t="inlineStr">
        <is>
          <t>GÄVLEBORGS LÄN</t>
        </is>
      </c>
      <c r="E4056" t="inlineStr">
        <is>
          <t>BOLLNÄS</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31922-2024</t>
        </is>
      </c>
      <c r="B4057" s="1" t="n">
        <v>45510.39796296296</v>
      </c>
      <c r="C4057" s="1" t="n">
        <v>45883</v>
      </c>
      <c r="D4057" t="inlineStr">
        <is>
          <t>GÄVLEBORGS LÄN</t>
        </is>
      </c>
      <c r="E4057" t="inlineStr">
        <is>
          <t>BOLLNÄS</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31938-2024</t>
        </is>
      </c>
      <c r="B4058" s="1" t="n">
        <v>45510.42049768518</v>
      </c>
      <c r="C4058" s="1" t="n">
        <v>45883</v>
      </c>
      <c r="D4058" t="inlineStr">
        <is>
          <t>GÄVLEBORGS LÄN</t>
        </is>
      </c>
      <c r="E4058" t="inlineStr">
        <is>
          <t>SÖDERHAMN</t>
        </is>
      </c>
      <c r="F4058" t="inlineStr">
        <is>
          <t>Bergvik skog väst AB</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13201-2024</t>
        </is>
      </c>
      <c r="B4059" s="1" t="n">
        <v>45386.48677083333</v>
      </c>
      <c r="C4059" s="1" t="n">
        <v>45883</v>
      </c>
      <c r="D4059" t="inlineStr">
        <is>
          <t>GÄVLEBORGS LÄN</t>
        </is>
      </c>
      <c r="E4059" t="inlineStr">
        <is>
          <t>HUDIKSVALL</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4497-2024</t>
        </is>
      </c>
      <c r="B4060" s="1" t="n">
        <v>45327</v>
      </c>
      <c r="C4060" s="1" t="n">
        <v>45883</v>
      </c>
      <c r="D4060" t="inlineStr">
        <is>
          <t>GÄVLEBORGS LÄN</t>
        </is>
      </c>
      <c r="E4060" t="inlineStr">
        <is>
          <t>SÖDERHAMN</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24134-2024</t>
        </is>
      </c>
      <c r="B4061" s="1" t="n">
        <v>45456.63509259259</v>
      </c>
      <c r="C4061" s="1" t="n">
        <v>45883</v>
      </c>
      <c r="D4061" t="inlineStr">
        <is>
          <t>GÄVLEBORGS LÄN</t>
        </is>
      </c>
      <c r="E4061" t="inlineStr">
        <is>
          <t>OVANÅKER</t>
        </is>
      </c>
      <c r="F4061" t="inlineStr">
        <is>
          <t>Bergvik skog väst AB</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24137-2024</t>
        </is>
      </c>
      <c r="B4062" s="1" t="n">
        <v>45456.63956018518</v>
      </c>
      <c r="C4062" s="1" t="n">
        <v>45883</v>
      </c>
      <c r="D4062" t="inlineStr">
        <is>
          <t>GÄVLEBORGS LÄN</t>
        </is>
      </c>
      <c r="E4062" t="inlineStr">
        <is>
          <t>OVANÅKER</t>
        </is>
      </c>
      <c r="F4062" t="inlineStr">
        <is>
          <t>Bergvik skog väst AB</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28793-2024</t>
        </is>
      </c>
      <c r="B4063" s="1" t="n">
        <v>45478.61469907407</v>
      </c>
      <c r="C4063" s="1" t="n">
        <v>45883</v>
      </c>
      <c r="D4063" t="inlineStr">
        <is>
          <t>GÄVLEBORGS LÄN</t>
        </is>
      </c>
      <c r="E4063" t="inlineStr">
        <is>
          <t>BOLLNÄS</t>
        </is>
      </c>
      <c r="F4063" t="inlineStr">
        <is>
          <t>Bergvik skog väst AB</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10893-2025</t>
        </is>
      </c>
      <c r="B4064" s="1" t="n">
        <v>45722.67835648148</v>
      </c>
      <c r="C4064" s="1" t="n">
        <v>45883</v>
      </c>
      <c r="D4064" t="inlineStr">
        <is>
          <t>GÄVLEBORGS LÄN</t>
        </is>
      </c>
      <c r="E4064" t="inlineStr">
        <is>
          <t>SANDVIKEN</t>
        </is>
      </c>
      <c r="G4064" t="n">
        <v>4.3</v>
      </c>
      <c r="H4064" t="n">
        <v>0</v>
      </c>
      <c r="I4064" t="n">
        <v>0</v>
      </c>
      <c r="J4064" t="n">
        <v>0</v>
      </c>
      <c r="K4064" t="n">
        <v>0</v>
      </c>
      <c r="L4064" t="n">
        <v>0</v>
      </c>
      <c r="M4064" t="n">
        <v>0</v>
      </c>
      <c r="N4064" t="n">
        <v>0</v>
      </c>
      <c r="O4064" t="n">
        <v>0</v>
      </c>
      <c r="P4064" t="n">
        <v>0</v>
      </c>
      <c r="Q4064" t="n">
        <v>0</v>
      </c>
      <c r="R4064" s="2" t="inlineStr"/>
    </row>
    <row r="4065" ht="15" customHeight="1">
      <c r="A4065" t="inlineStr">
        <is>
          <t>A 10895-2025</t>
        </is>
      </c>
      <c r="B4065" s="1" t="n">
        <v>45722.68167824074</v>
      </c>
      <c r="C4065" s="1" t="n">
        <v>45883</v>
      </c>
      <c r="D4065" t="inlineStr">
        <is>
          <t>GÄVLEBORGS LÄN</t>
        </is>
      </c>
      <c r="E4065" t="inlineStr">
        <is>
          <t>SANDVIKEN</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71678-2021</t>
        </is>
      </c>
      <c r="B4066" s="1" t="n">
        <v>44543.40311342593</v>
      </c>
      <c r="C4066" s="1" t="n">
        <v>45883</v>
      </c>
      <c r="D4066" t="inlineStr">
        <is>
          <t>GÄVLEBORGS LÄN</t>
        </is>
      </c>
      <c r="E4066" t="inlineStr">
        <is>
          <t>BOLLNÄS</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35000-2024</t>
        </is>
      </c>
      <c r="B4067" s="1" t="n">
        <v>45527</v>
      </c>
      <c r="C4067" s="1" t="n">
        <v>45883</v>
      </c>
      <c r="D4067" t="inlineStr">
        <is>
          <t>GÄVLEBORGS LÄN</t>
        </is>
      </c>
      <c r="E4067" t="inlineStr">
        <is>
          <t>HUDIKSVALL</t>
        </is>
      </c>
      <c r="F4067" t="inlineStr">
        <is>
          <t>Holmen skog AB</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35024-2024</t>
        </is>
      </c>
      <c r="B4068" s="1" t="n">
        <v>45527.60289351852</v>
      </c>
      <c r="C4068" s="1" t="n">
        <v>45883</v>
      </c>
      <c r="D4068" t="inlineStr">
        <is>
          <t>GÄVLEBORGS LÄN</t>
        </is>
      </c>
      <c r="E4068" t="inlineStr">
        <is>
          <t>LJUSDAL</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9985-2025</t>
        </is>
      </c>
      <c r="B4069" s="1" t="n">
        <v>45719.42300925926</v>
      </c>
      <c r="C4069" s="1" t="n">
        <v>45883</v>
      </c>
      <c r="D4069" t="inlineStr">
        <is>
          <t>GÄVLEBORGS LÄN</t>
        </is>
      </c>
      <c r="E4069" t="inlineStr">
        <is>
          <t>OCKELBO</t>
        </is>
      </c>
      <c r="F4069" t="inlineStr">
        <is>
          <t>Bergvik skog öst AB</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11397-2023</t>
        </is>
      </c>
      <c r="B4070" s="1" t="n">
        <v>44988</v>
      </c>
      <c r="C4070" s="1" t="n">
        <v>45883</v>
      </c>
      <c r="D4070" t="inlineStr">
        <is>
          <t>GÄVLEBORGS LÄN</t>
        </is>
      </c>
      <c r="E4070" t="inlineStr">
        <is>
          <t>SANDVIKEN</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19172-2024</t>
        </is>
      </c>
      <c r="B4071" s="1" t="n">
        <v>45428.46696759259</v>
      </c>
      <c r="C4071" s="1" t="n">
        <v>45883</v>
      </c>
      <c r="D4071" t="inlineStr">
        <is>
          <t>GÄVLEBORGS LÄN</t>
        </is>
      </c>
      <c r="E4071" t="inlineStr">
        <is>
          <t>OVANÅKER</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15351-2025</t>
        </is>
      </c>
      <c r="B4072" s="1" t="n">
        <v>45747.38331018519</v>
      </c>
      <c r="C4072" s="1" t="n">
        <v>45883</v>
      </c>
      <c r="D4072" t="inlineStr">
        <is>
          <t>GÄVLEBORGS LÄN</t>
        </is>
      </c>
      <c r="E4072" t="inlineStr">
        <is>
          <t>SANDVIKEN</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9140-2023</t>
        </is>
      </c>
      <c r="B4073" s="1" t="n">
        <v>44980.36575231481</v>
      </c>
      <c r="C4073" s="1" t="n">
        <v>45883</v>
      </c>
      <c r="D4073" t="inlineStr">
        <is>
          <t>GÄVLEBORGS LÄN</t>
        </is>
      </c>
      <c r="E4073" t="inlineStr">
        <is>
          <t>HUDIKSVALL</t>
        </is>
      </c>
      <c r="F4073" t="inlineStr">
        <is>
          <t>Holmen skog AB</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9163-2023</t>
        </is>
      </c>
      <c r="B4074" s="1" t="n">
        <v>44980.4041087963</v>
      </c>
      <c r="C4074" s="1" t="n">
        <v>45883</v>
      </c>
      <c r="D4074" t="inlineStr">
        <is>
          <t>GÄVLEBORGS LÄN</t>
        </is>
      </c>
      <c r="E4074" t="inlineStr">
        <is>
          <t>HUDIKSVALL</t>
        </is>
      </c>
      <c r="F4074" t="inlineStr">
        <is>
          <t>Holmen skog AB</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18140-2023</t>
        </is>
      </c>
      <c r="B4075" s="1" t="n">
        <v>45040.9262037037</v>
      </c>
      <c r="C4075" s="1" t="n">
        <v>45883</v>
      </c>
      <c r="D4075" t="inlineStr">
        <is>
          <t>GÄVLEBORGS LÄN</t>
        </is>
      </c>
      <c r="E4075" t="inlineStr">
        <is>
          <t>SÖDERHAMN</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58162-2024</t>
        </is>
      </c>
      <c r="B4076" s="1" t="n">
        <v>45632</v>
      </c>
      <c r="C4076" s="1" t="n">
        <v>45883</v>
      </c>
      <c r="D4076" t="inlineStr">
        <is>
          <t>GÄVLEBORGS LÄN</t>
        </is>
      </c>
      <c r="E4076" t="inlineStr">
        <is>
          <t>NORDANSTIG</t>
        </is>
      </c>
      <c r="F4076" t="inlineStr">
        <is>
          <t>Kyrkan</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2592-2023</t>
        </is>
      </c>
      <c r="B4077" s="1" t="n">
        <v>44943.92533564815</v>
      </c>
      <c r="C4077" s="1" t="n">
        <v>45883</v>
      </c>
      <c r="D4077" t="inlineStr">
        <is>
          <t>GÄVLEBORGS LÄN</t>
        </is>
      </c>
      <c r="E4077" t="inlineStr">
        <is>
          <t>NORDANSTIG</t>
        </is>
      </c>
      <c r="G4077" t="n">
        <v>4.1</v>
      </c>
      <c r="H4077" t="n">
        <v>0</v>
      </c>
      <c r="I4077" t="n">
        <v>0</v>
      </c>
      <c r="J4077" t="n">
        <v>0</v>
      </c>
      <c r="K4077" t="n">
        <v>0</v>
      </c>
      <c r="L4077" t="n">
        <v>0</v>
      </c>
      <c r="M4077" t="n">
        <v>0</v>
      </c>
      <c r="N4077" t="n">
        <v>0</v>
      </c>
      <c r="O4077" t="n">
        <v>0</v>
      </c>
      <c r="P4077" t="n">
        <v>0</v>
      </c>
      <c r="Q4077" t="n">
        <v>0</v>
      </c>
      <c r="R4077" s="2" t="inlineStr"/>
    </row>
    <row r="4078" ht="15" customHeight="1">
      <c r="A4078" t="inlineStr">
        <is>
          <t>A 52787-2024</t>
        </is>
      </c>
      <c r="B4078" s="1" t="n">
        <v>45610.55293981481</v>
      </c>
      <c r="C4078" s="1" t="n">
        <v>45883</v>
      </c>
      <c r="D4078" t="inlineStr">
        <is>
          <t>GÄVLEBORGS LÄN</t>
        </is>
      </c>
      <c r="E4078" t="inlineStr">
        <is>
          <t>LJUSDAL</t>
        </is>
      </c>
      <c r="F4078" t="inlineStr">
        <is>
          <t>SCA</t>
        </is>
      </c>
      <c r="G4078" t="n">
        <v>4.7</v>
      </c>
      <c r="H4078" t="n">
        <v>0</v>
      </c>
      <c r="I4078" t="n">
        <v>0</v>
      </c>
      <c r="J4078" t="n">
        <v>0</v>
      </c>
      <c r="K4078" t="n">
        <v>0</v>
      </c>
      <c r="L4078" t="n">
        <v>0</v>
      </c>
      <c r="M4078" t="n">
        <v>0</v>
      </c>
      <c r="N4078" t="n">
        <v>0</v>
      </c>
      <c r="O4078" t="n">
        <v>0</v>
      </c>
      <c r="P4078" t="n">
        <v>0</v>
      </c>
      <c r="Q4078" t="n">
        <v>0</v>
      </c>
      <c r="R4078" s="2" t="inlineStr"/>
    </row>
    <row r="4079" ht="15" customHeight="1">
      <c r="A4079" t="inlineStr">
        <is>
          <t>A 3714-2023</t>
        </is>
      </c>
      <c r="B4079" s="1" t="n">
        <v>44951.34615740741</v>
      </c>
      <c r="C4079" s="1" t="n">
        <v>45883</v>
      </c>
      <c r="D4079" t="inlineStr">
        <is>
          <t>GÄVLEBORGS LÄN</t>
        </is>
      </c>
      <c r="E4079" t="inlineStr">
        <is>
          <t>GÄVLE</t>
        </is>
      </c>
      <c r="F4079" t="inlineStr">
        <is>
          <t>Bergvik skog väst AB</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3715-2023</t>
        </is>
      </c>
      <c r="B4080" s="1" t="n">
        <v>44951</v>
      </c>
      <c r="C4080" s="1" t="n">
        <v>45883</v>
      </c>
      <c r="D4080" t="inlineStr">
        <is>
          <t>GÄVLEBORGS LÄN</t>
        </is>
      </c>
      <c r="E4080" t="inlineStr">
        <is>
          <t>GÄVLE</t>
        </is>
      </c>
      <c r="F4080" t="inlineStr">
        <is>
          <t>Bergvik skog väst AB</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26126-2023</t>
        </is>
      </c>
      <c r="B4081" s="1" t="n">
        <v>45091</v>
      </c>
      <c r="C4081" s="1" t="n">
        <v>45883</v>
      </c>
      <c r="D4081" t="inlineStr">
        <is>
          <t>GÄVLEBORGS LÄN</t>
        </is>
      </c>
      <c r="E4081" t="inlineStr">
        <is>
          <t>BOLLNÄS</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7976-2025</t>
        </is>
      </c>
      <c r="B4082" s="1" t="n">
        <v>45707.46247685186</v>
      </c>
      <c r="C4082" s="1" t="n">
        <v>45883</v>
      </c>
      <c r="D4082" t="inlineStr">
        <is>
          <t>GÄVLEBORGS LÄN</t>
        </is>
      </c>
      <c r="E4082" t="inlineStr">
        <is>
          <t>HUDIKSVALL</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38670-2023</t>
        </is>
      </c>
      <c r="B4083" s="1" t="n">
        <v>45162</v>
      </c>
      <c r="C4083" s="1" t="n">
        <v>45883</v>
      </c>
      <c r="D4083" t="inlineStr">
        <is>
          <t>GÄVLEBORGS LÄN</t>
        </is>
      </c>
      <c r="E4083" t="inlineStr">
        <is>
          <t>HUDIKSVALL</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20380-2025</t>
        </is>
      </c>
      <c r="B4084" s="1" t="n">
        <v>45775.42958333333</v>
      </c>
      <c r="C4084" s="1" t="n">
        <v>45883</v>
      </c>
      <c r="D4084" t="inlineStr">
        <is>
          <t>GÄVLEBORGS LÄN</t>
        </is>
      </c>
      <c r="E4084" t="inlineStr">
        <is>
          <t>GÄVLE</t>
        </is>
      </c>
      <c r="G4084" t="n">
        <v>13.5</v>
      </c>
      <c r="H4084" t="n">
        <v>0</v>
      </c>
      <c r="I4084" t="n">
        <v>0</v>
      </c>
      <c r="J4084" t="n">
        <v>0</v>
      </c>
      <c r="K4084" t="n">
        <v>0</v>
      </c>
      <c r="L4084" t="n">
        <v>0</v>
      </c>
      <c r="M4084" t="n">
        <v>0</v>
      </c>
      <c r="N4084" t="n">
        <v>0</v>
      </c>
      <c r="O4084" t="n">
        <v>0</v>
      </c>
      <c r="P4084" t="n">
        <v>0</v>
      </c>
      <c r="Q4084" t="n">
        <v>0</v>
      </c>
      <c r="R4084" s="2" t="inlineStr"/>
    </row>
    <row r="4085" ht="15" customHeight="1">
      <c r="A4085" t="inlineStr">
        <is>
          <t>A 11810-2023</t>
        </is>
      </c>
      <c r="B4085" s="1" t="n">
        <v>44994.71511574074</v>
      </c>
      <c r="C4085" s="1" t="n">
        <v>45883</v>
      </c>
      <c r="D4085" t="inlineStr">
        <is>
          <t>GÄVLEBORGS LÄN</t>
        </is>
      </c>
      <c r="E4085" t="inlineStr">
        <is>
          <t>SANDVIKEN</t>
        </is>
      </c>
      <c r="G4085" t="n">
        <v>4.9</v>
      </c>
      <c r="H4085" t="n">
        <v>0</v>
      </c>
      <c r="I4085" t="n">
        <v>0</v>
      </c>
      <c r="J4085" t="n">
        <v>0</v>
      </c>
      <c r="K4085" t="n">
        <v>0</v>
      </c>
      <c r="L4085" t="n">
        <v>0</v>
      </c>
      <c r="M4085" t="n">
        <v>0</v>
      </c>
      <c r="N4085" t="n">
        <v>0</v>
      </c>
      <c r="O4085" t="n">
        <v>0</v>
      </c>
      <c r="P4085" t="n">
        <v>0</v>
      </c>
      <c r="Q4085" t="n">
        <v>0</v>
      </c>
      <c r="R4085" s="2" t="inlineStr"/>
    </row>
    <row r="4086" ht="15" customHeight="1">
      <c r="A4086" t="inlineStr">
        <is>
          <t>A 60743-2024</t>
        </is>
      </c>
      <c r="B4086" s="1" t="n">
        <v>45644.55494212963</v>
      </c>
      <c r="C4086" s="1" t="n">
        <v>45883</v>
      </c>
      <c r="D4086" t="inlineStr">
        <is>
          <t>GÄVLEBORGS LÄN</t>
        </is>
      </c>
      <c r="E4086" t="inlineStr">
        <is>
          <t>BOLLNÄS</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205-2025</t>
        </is>
      </c>
      <c r="B4087" s="1" t="n">
        <v>45660.31962962963</v>
      </c>
      <c r="C4087" s="1" t="n">
        <v>45883</v>
      </c>
      <c r="D4087" t="inlineStr">
        <is>
          <t>GÄVLEBORGS LÄN</t>
        </is>
      </c>
      <c r="E4087" t="inlineStr">
        <is>
          <t>LJUSDAL</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210-2025</t>
        </is>
      </c>
      <c r="B4088" s="1" t="n">
        <v>45660.33320601852</v>
      </c>
      <c r="C4088" s="1" t="n">
        <v>45883</v>
      </c>
      <c r="D4088" t="inlineStr">
        <is>
          <t>GÄVLEBORGS LÄN</t>
        </is>
      </c>
      <c r="E4088" t="inlineStr">
        <is>
          <t>HUDIKSVALL</t>
        </is>
      </c>
      <c r="F4088" t="inlineStr">
        <is>
          <t>Holmen skog AB</t>
        </is>
      </c>
      <c r="G4088" t="n">
        <v>6.2</v>
      </c>
      <c r="H4088" t="n">
        <v>0</v>
      </c>
      <c r="I4088" t="n">
        <v>0</v>
      </c>
      <c r="J4088" t="n">
        <v>0</v>
      </c>
      <c r="K4088" t="n">
        <v>0</v>
      </c>
      <c r="L4088" t="n">
        <v>0</v>
      </c>
      <c r="M4088" t="n">
        <v>0</v>
      </c>
      <c r="N4088" t="n">
        <v>0</v>
      </c>
      <c r="O4088" t="n">
        <v>0</v>
      </c>
      <c r="P4088" t="n">
        <v>0</v>
      </c>
      <c r="Q4088" t="n">
        <v>0</v>
      </c>
      <c r="R4088" s="2" t="inlineStr"/>
    </row>
    <row r="4089" ht="15" customHeight="1">
      <c r="A4089" t="inlineStr">
        <is>
          <t>A 34934-2024</t>
        </is>
      </c>
      <c r="B4089" s="1" t="n">
        <v>45527.45688657407</v>
      </c>
      <c r="C4089" s="1" t="n">
        <v>45883</v>
      </c>
      <c r="D4089" t="inlineStr">
        <is>
          <t>GÄVLEBORGS LÄN</t>
        </is>
      </c>
      <c r="E4089" t="inlineStr">
        <is>
          <t>BOLLNÄS</t>
        </is>
      </c>
      <c r="F4089" t="inlineStr">
        <is>
          <t>Bergvik skog väst AB</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45629-2023</t>
        </is>
      </c>
      <c r="B4090" s="1" t="n">
        <v>45194</v>
      </c>
      <c r="C4090" s="1" t="n">
        <v>45883</v>
      </c>
      <c r="D4090" t="inlineStr">
        <is>
          <t>GÄVLEBORGS LÄN</t>
        </is>
      </c>
      <c r="E4090" t="inlineStr">
        <is>
          <t>BOLLNÄS</t>
        </is>
      </c>
      <c r="G4090" t="n">
        <v>11.5</v>
      </c>
      <c r="H4090" t="n">
        <v>0</v>
      </c>
      <c r="I4090" t="n">
        <v>0</v>
      </c>
      <c r="J4090" t="n">
        <v>0</v>
      </c>
      <c r="K4090" t="n">
        <v>0</v>
      </c>
      <c r="L4090" t="n">
        <v>0</v>
      </c>
      <c r="M4090" t="n">
        <v>0</v>
      </c>
      <c r="N4090" t="n">
        <v>0</v>
      </c>
      <c r="O4090" t="n">
        <v>0</v>
      </c>
      <c r="P4090" t="n">
        <v>0</v>
      </c>
      <c r="Q4090" t="n">
        <v>0</v>
      </c>
      <c r="R4090" s="2" t="inlineStr"/>
    </row>
    <row r="4091" ht="15" customHeight="1">
      <c r="A4091" t="inlineStr">
        <is>
          <t>A 61141-2022</t>
        </is>
      </c>
      <c r="B4091" s="1" t="n">
        <v>44915.45592592593</v>
      </c>
      <c r="C4091" s="1" t="n">
        <v>45883</v>
      </c>
      <c r="D4091" t="inlineStr">
        <is>
          <t>GÄVLEBORGS LÄN</t>
        </is>
      </c>
      <c r="E4091" t="inlineStr">
        <is>
          <t>NORDANSTIG</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12850-2025</t>
        </is>
      </c>
      <c r="B4092" s="1" t="n">
        <v>45733.65700231482</v>
      </c>
      <c r="C4092" s="1" t="n">
        <v>45883</v>
      </c>
      <c r="D4092" t="inlineStr">
        <is>
          <t>GÄVLEBORGS LÄN</t>
        </is>
      </c>
      <c r="E4092" t="inlineStr">
        <is>
          <t>HUDIKSVALL</t>
        </is>
      </c>
      <c r="G4092" t="n">
        <v>7.4</v>
      </c>
      <c r="H4092" t="n">
        <v>0</v>
      </c>
      <c r="I4092" t="n">
        <v>0</v>
      </c>
      <c r="J4092" t="n">
        <v>0</v>
      </c>
      <c r="K4092" t="n">
        <v>0</v>
      </c>
      <c r="L4092" t="n">
        <v>0</v>
      </c>
      <c r="M4092" t="n">
        <v>0</v>
      </c>
      <c r="N4092" t="n">
        <v>0</v>
      </c>
      <c r="O4092" t="n">
        <v>0</v>
      </c>
      <c r="P4092" t="n">
        <v>0</v>
      </c>
      <c r="Q4092" t="n">
        <v>0</v>
      </c>
      <c r="R4092" s="2" t="inlineStr"/>
    </row>
    <row r="4093" ht="15" customHeight="1">
      <c r="A4093" t="inlineStr">
        <is>
          <t>A 12853-2025</t>
        </is>
      </c>
      <c r="B4093" s="1" t="n">
        <v>45733.65908564815</v>
      </c>
      <c r="C4093" s="1" t="n">
        <v>45883</v>
      </c>
      <c r="D4093" t="inlineStr">
        <is>
          <t>GÄVLEBORGS LÄN</t>
        </is>
      </c>
      <c r="E4093" t="inlineStr">
        <is>
          <t>BOLLNÄS</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56882-2023</t>
        </is>
      </c>
      <c r="B4094" s="1" t="n">
        <v>45244</v>
      </c>
      <c r="C4094" s="1" t="n">
        <v>45883</v>
      </c>
      <c r="D4094" t="inlineStr">
        <is>
          <t>GÄVLEBORGS LÄN</t>
        </is>
      </c>
      <c r="E4094" t="inlineStr">
        <is>
          <t>HUDIKSVALL</t>
        </is>
      </c>
      <c r="G4094" t="n">
        <v>7.7</v>
      </c>
      <c r="H4094" t="n">
        <v>0</v>
      </c>
      <c r="I4094" t="n">
        <v>0</v>
      </c>
      <c r="J4094" t="n">
        <v>0</v>
      </c>
      <c r="K4094" t="n">
        <v>0</v>
      </c>
      <c r="L4094" t="n">
        <v>0</v>
      </c>
      <c r="M4094" t="n">
        <v>0</v>
      </c>
      <c r="N4094" t="n">
        <v>0</v>
      </c>
      <c r="O4094" t="n">
        <v>0</v>
      </c>
      <c r="P4094" t="n">
        <v>0</v>
      </c>
      <c r="Q4094" t="n">
        <v>0</v>
      </c>
      <c r="R4094" s="2" t="inlineStr"/>
    </row>
    <row r="4095" ht="15" customHeight="1">
      <c r="A4095" t="inlineStr">
        <is>
          <t>A 14555-2025</t>
        </is>
      </c>
      <c r="B4095" s="1" t="n">
        <v>45741.72243055556</v>
      </c>
      <c r="C4095" s="1" t="n">
        <v>45883</v>
      </c>
      <c r="D4095" t="inlineStr">
        <is>
          <t>GÄVLEBORGS LÄN</t>
        </is>
      </c>
      <c r="E4095" t="inlineStr">
        <is>
          <t>OVANÅKER</t>
        </is>
      </c>
      <c r="G4095" t="n">
        <v>3.7</v>
      </c>
      <c r="H4095" t="n">
        <v>0</v>
      </c>
      <c r="I4095" t="n">
        <v>0</v>
      </c>
      <c r="J4095" t="n">
        <v>0</v>
      </c>
      <c r="K4095" t="n">
        <v>0</v>
      </c>
      <c r="L4095" t="n">
        <v>0</v>
      </c>
      <c r="M4095" t="n">
        <v>0</v>
      </c>
      <c r="N4095" t="n">
        <v>0</v>
      </c>
      <c r="O4095" t="n">
        <v>0</v>
      </c>
      <c r="P4095" t="n">
        <v>0</v>
      </c>
      <c r="Q4095" t="n">
        <v>0</v>
      </c>
      <c r="R4095" s="2" t="inlineStr"/>
    </row>
    <row r="4096" ht="15" customHeight="1">
      <c r="A4096" t="inlineStr">
        <is>
          <t>A 15985-2025</t>
        </is>
      </c>
      <c r="B4096" s="1" t="n">
        <v>45749.57207175926</v>
      </c>
      <c r="C4096" s="1" t="n">
        <v>45883</v>
      </c>
      <c r="D4096" t="inlineStr">
        <is>
          <t>GÄVLEBORGS LÄN</t>
        </is>
      </c>
      <c r="E4096" t="inlineStr">
        <is>
          <t>HUDIKSVALL</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57184-2023</t>
        </is>
      </c>
      <c r="B4097" s="1" t="n">
        <v>45245.46905092592</v>
      </c>
      <c r="C4097" s="1" t="n">
        <v>45883</v>
      </c>
      <c r="D4097" t="inlineStr">
        <is>
          <t>GÄVLEBORGS LÄN</t>
        </is>
      </c>
      <c r="E4097" t="inlineStr">
        <is>
          <t>GÄVLE</t>
        </is>
      </c>
      <c r="F4097" t="inlineStr">
        <is>
          <t>Kyrkan</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28604-2023</t>
        </is>
      </c>
      <c r="B4098" s="1" t="n">
        <v>45103</v>
      </c>
      <c r="C4098" s="1" t="n">
        <v>45883</v>
      </c>
      <c r="D4098" t="inlineStr">
        <is>
          <t>GÄVLEBORGS LÄN</t>
        </is>
      </c>
      <c r="E4098" t="inlineStr">
        <is>
          <t>OVANÅKER</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54187-2024</t>
        </is>
      </c>
      <c r="B4099" s="1" t="n">
        <v>45616.64136574074</v>
      </c>
      <c r="C4099" s="1" t="n">
        <v>45883</v>
      </c>
      <c r="D4099" t="inlineStr">
        <is>
          <t>GÄVLEBORGS LÄN</t>
        </is>
      </c>
      <c r="E4099" t="inlineStr">
        <is>
          <t>OVANÅKER</t>
        </is>
      </c>
      <c r="F4099" t="inlineStr">
        <is>
          <t>Holmen skog AB</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54209-2024</t>
        </is>
      </c>
      <c r="B4100" s="1" t="n">
        <v>45616.6565162037</v>
      </c>
      <c r="C4100" s="1" t="n">
        <v>45883</v>
      </c>
      <c r="D4100" t="inlineStr">
        <is>
          <t>GÄVLEBORGS LÄN</t>
        </is>
      </c>
      <c r="E4100" t="inlineStr">
        <is>
          <t>HUDIKSVALL</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37693-2024</t>
        </is>
      </c>
      <c r="B4101" s="1" t="n">
        <v>45541</v>
      </c>
      <c r="C4101" s="1" t="n">
        <v>45883</v>
      </c>
      <c r="D4101" t="inlineStr">
        <is>
          <t>GÄVLEBORGS LÄN</t>
        </is>
      </c>
      <c r="E4101" t="inlineStr">
        <is>
          <t>HUDIKSVALL</t>
        </is>
      </c>
      <c r="F4101" t="inlineStr">
        <is>
          <t>Kommuner</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37697-2024</t>
        </is>
      </c>
      <c r="B4102" s="1" t="n">
        <v>45541</v>
      </c>
      <c r="C4102" s="1" t="n">
        <v>45883</v>
      </c>
      <c r="D4102" t="inlineStr">
        <is>
          <t>GÄVLEBORGS LÄN</t>
        </is>
      </c>
      <c r="E4102" t="inlineStr">
        <is>
          <t>HUDIKSVALL</t>
        </is>
      </c>
      <c r="F4102" t="inlineStr">
        <is>
          <t>Kommuner</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31607-2023</t>
        </is>
      </c>
      <c r="B4103" s="1" t="n">
        <v>45117</v>
      </c>
      <c r="C4103" s="1" t="n">
        <v>45883</v>
      </c>
      <c r="D4103" t="inlineStr">
        <is>
          <t>GÄVLEBORGS LÄN</t>
        </is>
      </c>
      <c r="E4103" t="inlineStr">
        <is>
          <t>HOFORS</t>
        </is>
      </c>
      <c r="G4103" t="n">
        <v>3.8</v>
      </c>
      <c r="H4103" t="n">
        <v>0</v>
      </c>
      <c r="I4103" t="n">
        <v>0</v>
      </c>
      <c r="J4103" t="n">
        <v>0</v>
      </c>
      <c r="K4103" t="n">
        <v>0</v>
      </c>
      <c r="L4103" t="n">
        <v>0</v>
      </c>
      <c r="M4103" t="n">
        <v>0</v>
      </c>
      <c r="N4103" t="n">
        <v>0</v>
      </c>
      <c r="O4103" t="n">
        <v>0</v>
      </c>
      <c r="P4103" t="n">
        <v>0</v>
      </c>
      <c r="Q4103" t="n">
        <v>0</v>
      </c>
      <c r="R4103" s="2" t="inlineStr"/>
    </row>
    <row r="4104" ht="15" customHeight="1">
      <c r="A4104" t="inlineStr">
        <is>
          <t>A 11101-2024</t>
        </is>
      </c>
      <c r="B4104" s="1" t="n">
        <v>45371.32391203703</v>
      </c>
      <c r="C4104" s="1" t="n">
        <v>45883</v>
      </c>
      <c r="D4104" t="inlineStr">
        <is>
          <t>GÄVLEBORGS LÄN</t>
        </is>
      </c>
      <c r="E4104" t="inlineStr">
        <is>
          <t>HUDIKSVALL</t>
        </is>
      </c>
      <c r="F4104" t="inlineStr">
        <is>
          <t>Holmen skog AB</t>
        </is>
      </c>
      <c r="G4104" t="n">
        <v>9.800000000000001</v>
      </c>
      <c r="H4104" t="n">
        <v>0</v>
      </c>
      <c r="I4104" t="n">
        <v>0</v>
      </c>
      <c r="J4104" t="n">
        <v>0</v>
      </c>
      <c r="K4104" t="n">
        <v>0</v>
      </c>
      <c r="L4104" t="n">
        <v>0</v>
      </c>
      <c r="M4104" t="n">
        <v>0</v>
      </c>
      <c r="N4104" t="n">
        <v>0</v>
      </c>
      <c r="O4104" t="n">
        <v>0</v>
      </c>
      <c r="P4104" t="n">
        <v>0</v>
      </c>
      <c r="Q4104" t="n">
        <v>0</v>
      </c>
      <c r="R4104" s="2" t="inlineStr"/>
    </row>
    <row r="4105" ht="15" customHeight="1">
      <c r="A4105" t="inlineStr">
        <is>
          <t>A 4294-2024</t>
        </is>
      </c>
      <c r="B4105" s="1" t="n">
        <v>45324</v>
      </c>
      <c r="C4105" s="1" t="n">
        <v>45883</v>
      </c>
      <c r="D4105" t="inlineStr">
        <is>
          <t>GÄVLEBORGS LÄN</t>
        </is>
      </c>
      <c r="E4105" t="inlineStr">
        <is>
          <t>GÄVLE</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4298-2024</t>
        </is>
      </c>
      <c r="B4106" s="1" t="n">
        <v>45324.62356481481</v>
      </c>
      <c r="C4106" s="1" t="n">
        <v>45883</v>
      </c>
      <c r="D4106" t="inlineStr">
        <is>
          <t>GÄVLEBORGS LÄN</t>
        </is>
      </c>
      <c r="E4106" t="inlineStr">
        <is>
          <t>SÖDERHAMN</t>
        </is>
      </c>
      <c r="G4106" t="n">
        <v>5.1</v>
      </c>
      <c r="H4106" t="n">
        <v>0</v>
      </c>
      <c r="I4106" t="n">
        <v>0</v>
      </c>
      <c r="J4106" t="n">
        <v>0</v>
      </c>
      <c r="K4106" t="n">
        <v>0</v>
      </c>
      <c r="L4106" t="n">
        <v>0</v>
      </c>
      <c r="M4106" t="n">
        <v>0</v>
      </c>
      <c r="N4106" t="n">
        <v>0</v>
      </c>
      <c r="O4106" t="n">
        <v>0</v>
      </c>
      <c r="P4106" t="n">
        <v>0</v>
      </c>
      <c r="Q4106" t="n">
        <v>0</v>
      </c>
      <c r="R4106" s="2" t="inlineStr"/>
    </row>
    <row r="4107" ht="15" customHeight="1">
      <c r="A4107" t="inlineStr">
        <is>
          <t>A 1445-2023</t>
        </is>
      </c>
      <c r="B4107" s="1" t="n">
        <v>44937.38020833334</v>
      </c>
      <c r="C4107" s="1" t="n">
        <v>45883</v>
      </c>
      <c r="D4107" t="inlineStr">
        <is>
          <t>GÄVLEBORGS LÄN</t>
        </is>
      </c>
      <c r="E4107" t="inlineStr">
        <is>
          <t>LJUSDAL</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64871-2023</t>
        </is>
      </c>
      <c r="B4108" s="1" t="n">
        <v>45282</v>
      </c>
      <c r="C4108" s="1" t="n">
        <v>45883</v>
      </c>
      <c r="D4108" t="inlineStr">
        <is>
          <t>GÄVLEBORGS LÄN</t>
        </is>
      </c>
      <c r="E4108" t="inlineStr">
        <is>
          <t>GÄVLE</t>
        </is>
      </c>
      <c r="G4108" t="n">
        <v>0.3</v>
      </c>
      <c r="H4108" t="n">
        <v>0</v>
      </c>
      <c r="I4108" t="n">
        <v>0</v>
      </c>
      <c r="J4108" t="n">
        <v>0</v>
      </c>
      <c r="K4108" t="n">
        <v>0</v>
      </c>
      <c r="L4108" t="n">
        <v>0</v>
      </c>
      <c r="M4108" t="n">
        <v>0</v>
      </c>
      <c r="N4108" t="n">
        <v>0</v>
      </c>
      <c r="O4108" t="n">
        <v>0</v>
      </c>
      <c r="P4108" t="n">
        <v>0</v>
      </c>
      <c r="Q4108" t="n">
        <v>0</v>
      </c>
      <c r="R4108" s="2" t="inlineStr"/>
    </row>
    <row r="4109" ht="15" customHeight="1">
      <c r="A4109" t="inlineStr">
        <is>
          <t>A 64875-2023</t>
        </is>
      </c>
      <c r="B4109" s="1" t="n">
        <v>45282</v>
      </c>
      <c r="C4109" s="1" t="n">
        <v>45883</v>
      </c>
      <c r="D4109" t="inlineStr">
        <is>
          <t>GÄVLEBORGS LÄN</t>
        </is>
      </c>
      <c r="E4109" t="inlineStr">
        <is>
          <t>GÄVLE</t>
        </is>
      </c>
      <c r="G4109" t="n">
        <v>0.1</v>
      </c>
      <c r="H4109" t="n">
        <v>0</v>
      </c>
      <c r="I4109" t="n">
        <v>0</v>
      </c>
      <c r="J4109" t="n">
        <v>0</v>
      </c>
      <c r="K4109" t="n">
        <v>0</v>
      </c>
      <c r="L4109" t="n">
        <v>0</v>
      </c>
      <c r="M4109" t="n">
        <v>0</v>
      </c>
      <c r="N4109" t="n">
        <v>0</v>
      </c>
      <c r="O4109" t="n">
        <v>0</v>
      </c>
      <c r="P4109" t="n">
        <v>0</v>
      </c>
      <c r="Q4109" t="n">
        <v>0</v>
      </c>
      <c r="R4109" s="2" t="inlineStr"/>
    </row>
    <row r="4110" ht="15" customHeight="1">
      <c r="A4110" t="inlineStr">
        <is>
          <t>A 14623-2023</t>
        </is>
      </c>
      <c r="B4110" s="1" t="n">
        <v>45013.65927083333</v>
      </c>
      <c r="C4110" s="1" t="n">
        <v>45883</v>
      </c>
      <c r="D4110" t="inlineStr">
        <is>
          <t>GÄVLEBORGS LÄN</t>
        </is>
      </c>
      <c r="E4110" t="inlineStr">
        <is>
          <t>BOLLNÄS</t>
        </is>
      </c>
      <c r="G4110" t="n">
        <v>5.3</v>
      </c>
      <c r="H4110" t="n">
        <v>0</v>
      </c>
      <c r="I4110" t="n">
        <v>0</v>
      </c>
      <c r="J4110" t="n">
        <v>0</v>
      </c>
      <c r="K4110" t="n">
        <v>0</v>
      </c>
      <c r="L4110" t="n">
        <v>0</v>
      </c>
      <c r="M4110" t="n">
        <v>0</v>
      </c>
      <c r="N4110" t="n">
        <v>0</v>
      </c>
      <c r="O4110" t="n">
        <v>0</v>
      </c>
      <c r="P4110" t="n">
        <v>0</v>
      </c>
      <c r="Q4110" t="n">
        <v>0</v>
      </c>
      <c r="R4110" s="2" t="inlineStr"/>
    </row>
    <row r="4111" ht="15" customHeight="1">
      <c r="A4111" t="inlineStr">
        <is>
          <t>A 47991-2024</t>
        </is>
      </c>
      <c r="B4111" s="1" t="n">
        <v>45589.43064814815</v>
      </c>
      <c r="C4111" s="1" t="n">
        <v>45883</v>
      </c>
      <c r="D4111" t="inlineStr">
        <is>
          <t>GÄVLEBORGS LÄN</t>
        </is>
      </c>
      <c r="E4111" t="inlineStr">
        <is>
          <t>GÄVLE</t>
        </is>
      </c>
      <c r="G4111" t="n">
        <v>3.7</v>
      </c>
      <c r="H4111" t="n">
        <v>0</v>
      </c>
      <c r="I4111" t="n">
        <v>0</v>
      </c>
      <c r="J4111" t="n">
        <v>0</v>
      </c>
      <c r="K4111" t="n">
        <v>0</v>
      </c>
      <c r="L4111" t="n">
        <v>0</v>
      </c>
      <c r="M4111" t="n">
        <v>0</v>
      </c>
      <c r="N4111" t="n">
        <v>0</v>
      </c>
      <c r="O4111" t="n">
        <v>0</v>
      </c>
      <c r="P4111" t="n">
        <v>0</v>
      </c>
      <c r="Q4111" t="n">
        <v>0</v>
      </c>
      <c r="R4111" s="2" t="inlineStr"/>
    </row>
    <row r="4112" ht="15" customHeight="1">
      <c r="A4112" t="inlineStr">
        <is>
          <t>A 48063-2024</t>
        </is>
      </c>
      <c r="B4112" s="1" t="n">
        <v>45589.55237268518</v>
      </c>
      <c r="C4112" s="1" t="n">
        <v>45883</v>
      </c>
      <c r="D4112" t="inlineStr">
        <is>
          <t>GÄVLEBORGS LÄN</t>
        </is>
      </c>
      <c r="E4112" t="inlineStr">
        <is>
          <t>HOFORS</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33979-2024</t>
        </is>
      </c>
      <c r="B4113" s="1" t="n">
        <v>45523.51896990741</v>
      </c>
      <c r="C4113" s="1" t="n">
        <v>45883</v>
      </c>
      <c r="D4113" t="inlineStr">
        <is>
          <t>GÄVLEBORGS LÄN</t>
        </is>
      </c>
      <c r="E4113" t="inlineStr">
        <is>
          <t>HOFORS</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6922-2023</t>
        </is>
      </c>
      <c r="B4114" s="1" t="n">
        <v>44967</v>
      </c>
      <c r="C4114" s="1" t="n">
        <v>45883</v>
      </c>
      <c r="D4114" t="inlineStr">
        <is>
          <t>GÄVLEBORGS LÄN</t>
        </is>
      </c>
      <c r="E4114" t="inlineStr">
        <is>
          <t>BOLLNÄS</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35122-2024</t>
        </is>
      </c>
      <c r="B4115" s="1" t="n">
        <v>45530</v>
      </c>
      <c r="C4115" s="1" t="n">
        <v>45883</v>
      </c>
      <c r="D4115" t="inlineStr">
        <is>
          <t>GÄVLEBORGS LÄN</t>
        </is>
      </c>
      <c r="E4115" t="inlineStr">
        <is>
          <t>LJUSDAL</t>
        </is>
      </c>
      <c r="F4115" t="inlineStr">
        <is>
          <t>Sveaskog</t>
        </is>
      </c>
      <c r="G4115" t="n">
        <v>0.1</v>
      </c>
      <c r="H4115" t="n">
        <v>0</v>
      </c>
      <c r="I4115" t="n">
        <v>0</v>
      </c>
      <c r="J4115" t="n">
        <v>0</v>
      </c>
      <c r="K4115" t="n">
        <v>0</v>
      </c>
      <c r="L4115" t="n">
        <v>0</v>
      </c>
      <c r="M4115" t="n">
        <v>0</v>
      </c>
      <c r="N4115" t="n">
        <v>0</v>
      </c>
      <c r="O4115" t="n">
        <v>0</v>
      </c>
      <c r="P4115" t="n">
        <v>0</v>
      </c>
      <c r="Q4115" t="n">
        <v>0</v>
      </c>
      <c r="R4115" s="2" t="inlineStr"/>
    </row>
    <row r="4116" ht="15" customHeight="1">
      <c r="A4116" t="inlineStr">
        <is>
          <t>A 34867-2024</t>
        </is>
      </c>
      <c r="B4116" s="1" t="n">
        <v>45527.34408564815</v>
      </c>
      <c r="C4116" s="1" t="n">
        <v>45883</v>
      </c>
      <c r="D4116" t="inlineStr">
        <is>
          <t>GÄVLEBORGS LÄN</t>
        </is>
      </c>
      <c r="E4116" t="inlineStr">
        <is>
          <t>BOLLNÄS</t>
        </is>
      </c>
      <c r="F4116" t="inlineStr">
        <is>
          <t>Bergvik skog väst AB</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34869-2024</t>
        </is>
      </c>
      <c r="B4117" s="1" t="n">
        <v>45527.34570601852</v>
      </c>
      <c r="C4117" s="1" t="n">
        <v>45883</v>
      </c>
      <c r="D4117" t="inlineStr">
        <is>
          <t>GÄVLEBORGS LÄN</t>
        </is>
      </c>
      <c r="E4117" t="inlineStr">
        <is>
          <t>NORDANSTIG</t>
        </is>
      </c>
      <c r="F4117" t="inlineStr">
        <is>
          <t>Holmen skog AB</t>
        </is>
      </c>
      <c r="G4117" t="n">
        <v>4.6</v>
      </c>
      <c r="H4117" t="n">
        <v>0</v>
      </c>
      <c r="I4117" t="n">
        <v>0</v>
      </c>
      <c r="J4117" t="n">
        <v>0</v>
      </c>
      <c r="K4117" t="n">
        <v>0</v>
      </c>
      <c r="L4117" t="n">
        <v>0</v>
      </c>
      <c r="M4117" t="n">
        <v>0</v>
      </c>
      <c r="N4117" t="n">
        <v>0</v>
      </c>
      <c r="O4117" t="n">
        <v>0</v>
      </c>
      <c r="P4117" t="n">
        <v>0</v>
      </c>
      <c r="Q4117" t="n">
        <v>0</v>
      </c>
      <c r="R4117" s="2" t="inlineStr"/>
    </row>
    <row r="4118" ht="15" customHeight="1">
      <c r="A4118" t="inlineStr">
        <is>
          <t>A 68781-2020</t>
        </is>
      </c>
      <c r="B4118" s="1" t="n">
        <v>44187</v>
      </c>
      <c r="C4118" s="1" t="n">
        <v>45883</v>
      </c>
      <c r="D4118" t="inlineStr">
        <is>
          <t>GÄVLEBORGS LÄN</t>
        </is>
      </c>
      <c r="E4118" t="inlineStr">
        <is>
          <t>SÖDERHAMN</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545-2021</t>
        </is>
      </c>
      <c r="B4119" s="1" t="n">
        <v>44203</v>
      </c>
      <c r="C4119" s="1" t="n">
        <v>45883</v>
      </c>
      <c r="D4119" t="inlineStr">
        <is>
          <t>GÄVLEBORGS LÄN</t>
        </is>
      </c>
      <c r="E4119" t="inlineStr">
        <is>
          <t>BOLLNÄS</t>
        </is>
      </c>
      <c r="F4119" t="inlineStr">
        <is>
          <t>Bergvik skog väst AB</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44859-2024</t>
        </is>
      </c>
      <c r="B4120" s="1" t="n">
        <v>45575.29123842593</v>
      </c>
      <c r="C4120" s="1" t="n">
        <v>45883</v>
      </c>
      <c r="D4120" t="inlineStr">
        <is>
          <t>GÄVLEBORGS LÄN</t>
        </is>
      </c>
      <c r="E4120" t="inlineStr">
        <is>
          <t>OVANÅKER</t>
        </is>
      </c>
      <c r="G4120" t="n">
        <v>0.2</v>
      </c>
      <c r="H4120" t="n">
        <v>0</v>
      </c>
      <c r="I4120" t="n">
        <v>0</v>
      </c>
      <c r="J4120" t="n">
        <v>0</v>
      </c>
      <c r="K4120" t="n">
        <v>0</v>
      </c>
      <c r="L4120" t="n">
        <v>0</v>
      </c>
      <c r="M4120" t="n">
        <v>0</v>
      </c>
      <c r="N4120" t="n">
        <v>0</v>
      </c>
      <c r="O4120" t="n">
        <v>0</v>
      </c>
      <c r="P4120" t="n">
        <v>0</v>
      </c>
      <c r="Q4120" t="n">
        <v>0</v>
      </c>
      <c r="R4120" s="2" t="inlineStr"/>
    </row>
    <row r="4121" ht="15" customHeight="1">
      <c r="A4121" t="inlineStr">
        <is>
          <t>A 67547-2021</t>
        </is>
      </c>
      <c r="B4121" s="1" t="n">
        <v>44524.56090277778</v>
      </c>
      <c r="C4121" s="1" t="n">
        <v>45883</v>
      </c>
      <c r="D4121" t="inlineStr">
        <is>
          <t>GÄVLEBORGS LÄN</t>
        </is>
      </c>
      <c r="E4121" t="inlineStr">
        <is>
          <t>BOLLNÄS</t>
        </is>
      </c>
      <c r="F4121" t="inlineStr">
        <is>
          <t>Övriga statliga verk och myndigheter</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11434-2024</t>
        </is>
      </c>
      <c r="B4122" s="1" t="n">
        <v>45372.51966435185</v>
      </c>
      <c r="C4122" s="1" t="n">
        <v>45883</v>
      </c>
      <c r="D4122" t="inlineStr">
        <is>
          <t>GÄVLEBORGS LÄN</t>
        </is>
      </c>
      <c r="E4122" t="inlineStr">
        <is>
          <t>NORDANSTIG</t>
        </is>
      </c>
      <c r="F4122" t="inlineStr">
        <is>
          <t>Holmen skog AB</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30714-2023</t>
        </is>
      </c>
      <c r="B4123" s="1" t="n">
        <v>45112</v>
      </c>
      <c r="C4123" s="1" t="n">
        <v>45883</v>
      </c>
      <c r="D4123" t="inlineStr">
        <is>
          <t>GÄVLEBORGS LÄN</t>
        </is>
      </c>
      <c r="E4123" t="inlineStr">
        <is>
          <t>SANDVIKEN</t>
        </is>
      </c>
      <c r="G4123" t="n">
        <v>4.9</v>
      </c>
      <c r="H4123" t="n">
        <v>0</v>
      </c>
      <c r="I4123" t="n">
        <v>0</v>
      </c>
      <c r="J4123" t="n">
        <v>0</v>
      </c>
      <c r="K4123" t="n">
        <v>0</v>
      </c>
      <c r="L4123" t="n">
        <v>0</v>
      </c>
      <c r="M4123" t="n">
        <v>0</v>
      </c>
      <c r="N4123" t="n">
        <v>0</v>
      </c>
      <c r="O4123" t="n">
        <v>0</v>
      </c>
      <c r="P4123" t="n">
        <v>0</v>
      </c>
      <c r="Q4123" t="n">
        <v>0</v>
      </c>
      <c r="R4123" s="2" t="inlineStr"/>
    </row>
    <row r="4124" ht="15" customHeight="1">
      <c r="A4124" t="inlineStr">
        <is>
          <t>A 55110-2024</t>
        </is>
      </c>
      <c r="B4124" s="1" t="n">
        <v>45621.44861111111</v>
      </c>
      <c r="C4124" s="1" t="n">
        <v>45883</v>
      </c>
      <c r="D4124" t="inlineStr">
        <is>
          <t>GÄVLEBORGS LÄN</t>
        </is>
      </c>
      <c r="E4124" t="inlineStr">
        <is>
          <t>GÄVLE</t>
        </is>
      </c>
      <c r="G4124" t="n">
        <v>4.8</v>
      </c>
      <c r="H4124" t="n">
        <v>0</v>
      </c>
      <c r="I4124" t="n">
        <v>0</v>
      </c>
      <c r="J4124" t="n">
        <v>0</v>
      </c>
      <c r="K4124" t="n">
        <v>0</v>
      </c>
      <c r="L4124" t="n">
        <v>0</v>
      </c>
      <c r="M4124" t="n">
        <v>0</v>
      </c>
      <c r="N4124" t="n">
        <v>0</v>
      </c>
      <c r="O4124" t="n">
        <v>0</v>
      </c>
      <c r="P4124" t="n">
        <v>0</v>
      </c>
      <c r="Q4124" t="n">
        <v>0</v>
      </c>
      <c r="R4124" s="2" t="inlineStr"/>
    </row>
    <row r="4125" ht="15" customHeight="1">
      <c r="A4125" t="inlineStr">
        <is>
          <t>A 12474-2025</t>
        </is>
      </c>
      <c r="B4125" s="1" t="n">
        <v>45730.56334490741</v>
      </c>
      <c r="C4125" s="1" t="n">
        <v>45883</v>
      </c>
      <c r="D4125" t="inlineStr">
        <is>
          <t>GÄVLEBORGS LÄN</t>
        </is>
      </c>
      <c r="E4125" t="inlineStr">
        <is>
          <t>SANDVIKEN</t>
        </is>
      </c>
      <c r="F4125" t="inlineStr">
        <is>
          <t>Bergvik skog öst AB</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38215-2023</t>
        </is>
      </c>
      <c r="B4126" s="1" t="n">
        <v>45161.53357638889</v>
      </c>
      <c r="C4126" s="1" t="n">
        <v>45883</v>
      </c>
      <c r="D4126" t="inlineStr">
        <is>
          <t>GÄVLEBORGS LÄN</t>
        </is>
      </c>
      <c r="E4126" t="inlineStr">
        <is>
          <t>SANDVIKEN</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7785-2022</t>
        </is>
      </c>
      <c r="B4127" s="1" t="n">
        <v>44608.47659722222</v>
      </c>
      <c r="C4127" s="1" t="n">
        <v>45883</v>
      </c>
      <c r="D4127" t="inlineStr">
        <is>
          <t>GÄVLEBORGS LÄN</t>
        </is>
      </c>
      <c r="E4127" t="inlineStr">
        <is>
          <t>OVANÅKER</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38255-2023</t>
        </is>
      </c>
      <c r="B4128" s="1" t="n">
        <v>45161.58774305556</v>
      </c>
      <c r="C4128" s="1" t="n">
        <v>45883</v>
      </c>
      <c r="D4128" t="inlineStr">
        <is>
          <t>GÄVLEBORGS LÄN</t>
        </is>
      </c>
      <c r="E4128" t="inlineStr">
        <is>
          <t>GÄVLE</t>
        </is>
      </c>
      <c r="F4128" t="inlineStr">
        <is>
          <t>Bergvik skog väst AB</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53718-2024</t>
        </is>
      </c>
      <c r="B4129" s="1" t="n">
        <v>45615.43480324074</v>
      </c>
      <c r="C4129" s="1" t="n">
        <v>45883</v>
      </c>
      <c r="D4129" t="inlineStr">
        <is>
          <t>GÄVLEBORGS LÄN</t>
        </is>
      </c>
      <c r="E4129" t="inlineStr">
        <is>
          <t>SANDVIKEN</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53721-2024</t>
        </is>
      </c>
      <c r="B4130" s="1" t="n">
        <v>45615.43945601852</v>
      </c>
      <c r="C4130" s="1" t="n">
        <v>45883</v>
      </c>
      <c r="D4130" t="inlineStr">
        <is>
          <t>GÄVLEBORGS LÄN</t>
        </is>
      </c>
      <c r="E4130" t="inlineStr">
        <is>
          <t>HUDIKSVALL</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5912-2023</t>
        </is>
      </c>
      <c r="B4131" s="1" t="n">
        <v>44963.67834490741</v>
      </c>
      <c r="C4131" s="1" t="n">
        <v>45883</v>
      </c>
      <c r="D4131" t="inlineStr">
        <is>
          <t>GÄVLEBORGS LÄN</t>
        </is>
      </c>
      <c r="E4131" t="inlineStr">
        <is>
          <t>LJUSDAL</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4032-2025</t>
        </is>
      </c>
      <c r="B4132" s="1" t="n">
        <v>45684</v>
      </c>
      <c r="C4132" s="1" t="n">
        <v>45883</v>
      </c>
      <c r="D4132" t="inlineStr">
        <is>
          <t>GÄVLEBORGS LÄN</t>
        </is>
      </c>
      <c r="E4132" t="inlineStr">
        <is>
          <t>HOFORS</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4091-2025</t>
        </is>
      </c>
      <c r="B4133" s="1" t="n">
        <v>45684.67659722222</v>
      </c>
      <c r="C4133" s="1" t="n">
        <v>45883</v>
      </c>
      <c r="D4133" t="inlineStr">
        <is>
          <t>GÄVLEBORGS LÄN</t>
        </is>
      </c>
      <c r="E4133" t="inlineStr">
        <is>
          <t>GÄVLE</t>
        </is>
      </c>
      <c r="G4133" t="n">
        <v>3.6</v>
      </c>
      <c r="H4133" t="n">
        <v>0</v>
      </c>
      <c r="I4133" t="n">
        <v>0</v>
      </c>
      <c r="J4133" t="n">
        <v>0</v>
      </c>
      <c r="K4133" t="n">
        <v>0</v>
      </c>
      <c r="L4133" t="n">
        <v>0</v>
      </c>
      <c r="M4133" t="n">
        <v>0</v>
      </c>
      <c r="N4133" t="n">
        <v>0</v>
      </c>
      <c r="O4133" t="n">
        <v>0</v>
      </c>
      <c r="P4133" t="n">
        <v>0</v>
      </c>
      <c r="Q4133" t="n">
        <v>0</v>
      </c>
      <c r="R4133" s="2" t="inlineStr"/>
    </row>
    <row r="4134" ht="15" customHeight="1">
      <c r="A4134" t="inlineStr">
        <is>
          <t>A 29500-2024</t>
        </is>
      </c>
      <c r="B4134" s="1" t="n">
        <v>45484.39853009259</v>
      </c>
      <c r="C4134" s="1" t="n">
        <v>45883</v>
      </c>
      <c r="D4134" t="inlineStr">
        <is>
          <t>GÄVLEBORGS LÄN</t>
        </is>
      </c>
      <c r="E4134" t="inlineStr">
        <is>
          <t>NORDANSTIG</t>
        </is>
      </c>
      <c r="F4134" t="inlineStr">
        <is>
          <t>Holmen skog AB</t>
        </is>
      </c>
      <c r="G4134" t="n">
        <v>7.6</v>
      </c>
      <c r="H4134" t="n">
        <v>0</v>
      </c>
      <c r="I4134" t="n">
        <v>0</v>
      </c>
      <c r="J4134" t="n">
        <v>0</v>
      </c>
      <c r="K4134" t="n">
        <v>0</v>
      </c>
      <c r="L4134" t="n">
        <v>0</v>
      </c>
      <c r="M4134" t="n">
        <v>0</v>
      </c>
      <c r="N4134" t="n">
        <v>0</v>
      </c>
      <c r="O4134" t="n">
        <v>0</v>
      </c>
      <c r="P4134" t="n">
        <v>0</v>
      </c>
      <c r="Q4134" t="n">
        <v>0</v>
      </c>
      <c r="R4134" s="2" t="inlineStr"/>
    </row>
    <row r="4135" ht="15" customHeight="1">
      <c r="A4135" t="inlineStr">
        <is>
          <t>A 13744-2023</t>
        </is>
      </c>
      <c r="B4135" s="1" t="n">
        <v>45007</v>
      </c>
      <c r="C4135" s="1" t="n">
        <v>45883</v>
      </c>
      <c r="D4135" t="inlineStr">
        <is>
          <t>GÄVLEBORGS LÄN</t>
        </is>
      </c>
      <c r="E4135" t="inlineStr">
        <is>
          <t>HOFORS</t>
        </is>
      </c>
      <c r="F4135" t="inlineStr">
        <is>
          <t>Övriga statliga verk och myndigheter</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18757-2025</t>
        </is>
      </c>
      <c r="B4136" s="1" t="n">
        <v>45763.83667824074</v>
      </c>
      <c r="C4136" s="1" t="n">
        <v>45883</v>
      </c>
      <c r="D4136" t="inlineStr">
        <is>
          <t>GÄVLEBORGS LÄN</t>
        </is>
      </c>
      <c r="E4136" t="inlineStr">
        <is>
          <t>LJUSDAL</t>
        </is>
      </c>
      <c r="F4136" t="inlineStr">
        <is>
          <t>Holmen skog AB</t>
        </is>
      </c>
      <c r="G4136" t="n">
        <v>4.3</v>
      </c>
      <c r="H4136" t="n">
        <v>0</v>
      </c>
      <c r="I4136" t="n">
        <v>0</v>
      </c>
      <c r="J4136" t="n">
        <v>0</v>
      </c>
      <c r="K4136" t="n">
        <v>0</v>
      </c>
      <c r="L4136" t="n">
        <v>0</v>
      </c>
      <c r="M4136" t="n">
        <v>0</v>
      </c>
      <c r="N4136" t="n">
        <v>0</v>
      </c>
      <c r="O4136" t="n">
        <v>0</v>
      </c>
      <c r="P4136" t="n">
        <v>0</v>
      </c>
      <c r="Q4136" t="n">
        <v>0</v>
      </c>
      <c r="R4136" s="2" t="inlineStr"/>
    </row>
    <row r="4137" ht="15" customHeight="1">
      <c r="A4137" t="inlineStr">
        <is>
          <t>A 17814-2025</t>
        </is>
      </c>
      <c r="B4137" s="1" t="n">
        <v>45758.56106481481</v>
      </c>
      <c r="C4137" s="1" t="n">
        <v>45883</v>
      </c>
      <c r="D4137" t="inlineStr">
        <is>
          <t>GÄVLEBORGS LÄN</t>
        </is>
      </c>
      <c r="E4137" t="inlineStr">
        <is>
          <t>SANDVIKEN</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2652-2024</t>
        </is>
      </c>
      <c r="B4138" s="1" t="n">
        <v>45314.37128472222</v>
      </c>
      <c r="C4138" s="1" t="n">
        <v>45883</v>
      </c>
      <c r="D4138" t="inlineStr">
        <is>
          <t>GÄVLEBORGS LÄN</t>
        </is>
      </c>
      <c r="E4138" t="inlineStr">
        <is>
          <t>HUDIKSVALL</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17792-2023</t>
        </is>
      </c>
      <c r="B4139" s="1" t="n">
        <v>45037</v>
      </c>
      <c r="C4139" s="1" t="n">
        <v>45883</v>
      </c>
      <c r="D4139" t="inlineStr">
        <is>
          <t>GÄVLEBORGS LÄN</t>
        </is>
      </c>
      <c r="E4139" t="inlineStr">
        <is>
          <t>BOLLNÄS</t>
        </is>
      </c>
      <c r="F4139" t="inlineStr">
        <is>
          <t>Kyrkan</t>
        </is>
      </c>
      <c r="G4139" t="n">
        <v>4.1</v>
      </c>
      <c r="H4139" t="n">
        <v>0</v>
      </c>
      <c r="I4139" t="n">
        <v>0</v>
      </c>
      <c r="J4139" t="n">
        <v>0</v>
      </c>
      <c r="K4139" t="n">
        <v>0</v>
      </c>
      <c r="L4139" t="n">
        <v>0</v>
      </c>
      <c r="M4139" t="n">
        <v>0</v>
      </c>
      <c r="N4139" t="n">
        <v>0</v>
      </c>
      <c r="O4139" t="n">
        <v>0</v>
      </c>
      <c r="P4139" t="n">
        <v>0</v>
      </c>
      <c r="Q4139" t="n">
        <v>0</v>
      </c>
      <c r="R4139" s="2" t="inlineStr"/>
    </row>
    <row r="4140" ht="15" customHeight="1">
      <c r="A4140" t="inlineStr">
        <is>
          <t>A 18078-2024</t>
        </is>
      </c>
      <c r="B4140" s="1" t="n">
        <v>45420.43887731482</v>
      </c>
      <c r="C4140" s="1" t="n">
        <v>45883</v>
      </c>
      <c r="D4140" t="inlineStr">
        <is>
          <t>GÄVLEBORGS LÄN</t>
        </is>
      </c>
      <c r="E4140" t="inlineStr">
        <is>
          <t>LJUSDAL</t>
        </is>
      </c>
      <c r="F4140" t="inlineStr">
        <is>
          <t>Holmen skog AB</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2685-2024</t>
        </is>
      </c>
      <c r="B4141" s="1" t="n">
        <v>45314</v>
      </c>
      <c r="C4141" s="1" t="n">
        <v>45883</v>
      </c>
      <c r="D4141" t="inlineStr">
        <is>
          <t>GÄVLEBORGS LÄN</t>
        </is>
      </c>
      <c r="E4141" t="inlineStr">
        <is>
          <t>HUDIKSVALL</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72734-2021</t>
        </is>
      </c>
      <c r="B4142" s="1" t="n">
        <v>44546</v>
      </c>
      <c r="C4142" s="1" t="n">
        <v>45883</v>
      </c>
      <c r="D4142" t="inlineStr">
        <is>
          <t>GÄVLEBORGS LÄN</t>
        </is>
      </c>
      <c r="E4142" t="inlineStr">
        <is>
          <t>GÄVLE</t>
        </is>
      </c>
      <c r="F4142" t="inlineStr">
        <is>
          <t>Kommuner</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40592-2020</t>
        </is>
      </c>
      <c r="B4143" s="1" t="n">
        <v>44069</v>
      </c>
      <c r="C4143" s="1" t="n">
        <v>45883</v>
      </c>
      <c r="D4143" t="inlineStr">
        <is>
          <t>GÄVLEBORGS LÄN</t>
        </is>
      </c>
      <c r="E4143" t="inlineStr">
        <is>
          <t>LJUSDAL</t>
        </is>
      </c>
      <c r="F4143" t="inlineStr">
        <is>
          <t>Sveaskog</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48188-2023</t>
        </is>
      </c>
      <c r="B4144" s="1" t="n">
        <v>45205.45511574074</v>
      </c>
      <c r="C4144" s="1" t="n">
        <v>45883</v>
      </c>
      <c r="D4144" t="inlineStr">
        <is>
          <t>GÄVLEBORGS LÄN</t>
        </is>
      </c>
      <c r="E4144" t="inlineStr">
        <is>
          <t>LJUSDAL</t>
        </is>
      </c>
      <c r="G4144" t="n">
        <v>4.2</v>
      </c>
      <c r="H4144" t="n">
        <v>0</v>
      </c>
      <c r="I4144" t="n">
        <v>0</v>
      </c>
      <c r="J4144" t="n">
        <v>0</v>
      </c>
      <c r="K4144" t="n">
        <v>0</v>
      </c>
      <c r="L4144" t="n">
        <v>0</v>
      </c>
      <c r="M4144" t="n">
        <v>0</v>
      </c>
      <c r="N4144" t="n">
        <v>0</v>
      </c>
      <c r="O4144" t="n">
        <v>0</v>
      </c>
      <c r="P4144" t="n">
        <v>0</v>
      </c>
      <c r="Q4144" t="n">
        <v>0</v>
      </c>
      <c r="R4144" s="2" t="inlineStr"/>
    </row>
    <row r="4145" ht="15" customHeight="1">
      <c r="A4145" t="inlineStr">
        <is>
          <t>A 53234-2024</t>
        </is>
      </c>
      <c r="B4145" s="1" t="n">
        <v>45613.775625</v>
      </c>
      <c r="C4145" s="1" t="n">
        <v>45883</v>
      </c>
      <c r="D4145" t="inlineStr">
        <is>
          <t>GÄVLEBORGS LÄN</t>
        </is>
      </c>
      <c r="E4145" t="inlineStr">
        <is>
          <t>BOLLNÄS</t>
        </is>
      </c>
      <c r="G4145" t="n">
        <v>5</v>
      </c>
      <c r="H4145" t="n">
        <v>0</v>
      </c>
      <c r="I4145" t="n">
        <v>0</v>
      </c>
      <c r="J4145" t="n">
        <v>0</v>
      </c>
      <c r="K4145" t="n">
        <v>0</v>
      </c>
      <c r="L4145" t="n">
        <v>0</v>
      </c>
      <c r="M4145" t="n">
        <v>0</v>
      </c>
      <c r="N4145" t="n">
        <v>0</v>
      </c>
      <c r="O4145" t="n">
        <v>0</v>
      </c>
      <c r="P4145" t="n">
        <v>0</v>
      </c>
      <c r="Q4145" t="n">
        <v>0</v>
      </c>
      <c r="R4145" s="2" t="inlineStr"/>
    </row>
    <row r="4146" ht="15" customHeight="1">
      <c r="A4146" t="inlineStr">
        <is>
          <t>A 2539-2023</t>
        </is>
      </c>
      <c r="B4146" s="1" t="n">
        <v>44943.64569444444</v>
      </c>
      <c r="C4146" s="1" t="n">
        <v>45883</v>
      </c>
      <c r="D4146" t="inlineStr">
        <is>
          <t>GÄVLEBORGS LÄN</t>
        </is>
      </c>
      <c r="E4146" t="inlineStr">
        <is>
          <t>BOLLNÄS</t>
        </is>
      </c>
      <c r="G4146" t="n">
        <v>14.6</v>
      </c>
      <c r="H4146" t="n">
        <v>0</v>
      </c>
      <c r="I4146" t="n">
        <v>0</v>
      </c>
      <c r="J4146" t="n">
        <v>0</v>
      </c>
      <c r="K4146" t="n">
        <v>0</v>
      </c>
      <c r="L4146" t="n">
        <v>0</v>
      </c>
      <c r="M4146" t="n">
        <v>0</v>
      </c>
      <c r="N4146" t="n">
        <v>0</v>
      </c>
      <c r="O4146" t="n">
        <v>0</v>
      </c>
      <c r="P4146" t="n">
        <v>0</v>
      </c>
      <c r="Q4146" t="n">
        <v>0</v>
      </c>
      <c r="R4146" s="2" t="inlineStr"/>
    </row>
    <row r="4147" ht="15" customHeight="1">
      <c r="A4147" t="inlineStr">
        <is>
          <t>A 27987-2024</t>
        </is>
      </c>
      <c r="B4147" s="1" t="n">
        <v>45476.4246875</v>
      </c>
      <c r="C4147" s="1" t="n">
        <v>45883</v>
      </c>
      <c r="D4147" t="inlineStr">
        <is>
          <t>GÄVLEBORGS LÄN</t>
        </is>
      </c>
      <c r="E4147" t="inlineStr">
        <is>
          <t>SANDVIKEN</t>
        </is>
      </c>
      <c r="F4147" t="inlineStr">
        <is>
          <t>Kommuner</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7972-2025</t>
        </is>
      </c>
      <c r="B4148" s="1" t="n">
        <v>45707</v>
      </c>
      <c r="C4148" s="1" t="n">
        <v>45883</v>
      </c>
      <c r="D4148" t="inlineStr">
        <is>
          <t>GÄVLEBORGS LÄN</t>
        </is>
      </c>
      <c r="E4148" t="inlineStr">
        <is>
          <t>SÖDERHAMN</t>
        </is>
      </c>
      <c r="G4148" t="n">
        <v>6.2</v>
      </c>
      <c r="H4148" t="n">
        <v>0</v>
      </c>
      <c r="I4148" t="n">
        <v>0</v>
      </c>
      <c r="J4148" t="n">
        <v>0</v>
      </c>
      <c r="K4148" t="n">
        <v>0</v>
      </c>
      <c r="L4148" t="n">
        <v>0</v>
      </c>
      <c r="M4148" t="n">
        <v>0</v>
      </c>
      <c r="N4148" t="n">
        <v>0</v>
      </c>
      <c r="O4148" t="n">
        <v>0</v>
      </c>
      <c r="P4148" t="n">
        <v>0</v>
      </c>
      <c r="Q4148" t="n">
        <v>0</v>
      </c>
      <c r="R4148" s="2" t="inlineStr"/>
    </row>
    <row r="4149" ht="15" customHeight="1">
      <c r="A4149" t="inlineStr">
        <is>
          <t>A 3162-2023</t>
        </is>
      </c>
      <c r="B4149" s="1" t="n">
        <v>44946</v>
      </c>
      <c r="C4149" s="1" t="n">
        <v>45883</v>
      </c>
      <c r="D4149" t="inlineStr">
        <is>
          <t>GÄVLEBORGS LÄN</t>
        </is>
      </c>
      <c r="E4149" t="inlineStr">
        <is>
          <t>HUDIKSVALL</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32471-2023</t>
        </is>
      </c>
      <c r="B4150" s="1" t="n">
        <v>45120.92688657407</v>
      </c>
      <c r="C4150" s="1" t="n">
        <v>45883</v>
      </c>
      <c r="D4150" t="inlineStr">
        <is>
          <t>GÄVLEBORGS LÄN</t>
        </is>
      </c>
      <c r="E4150" t="inlineStr">
        <is>
          <t>NORDANSTIG</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3188-2023</t>
        </is>
      </c>
      <c r="B4151" s="1" t="n">
        <v>44946</v>
      </c>
      <c r="C4151" s="1" t="n">
        <v>45883</v>
      </c>
      <c r="D4151" t="inlineStr">
        <is>
          <t>GÄVLEBORGS LÄN</t>
        </is>
      </c>
      <c r="E4151" t="inlineStr">
        <is>
          <t>LJUSDAL</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11817-2024</t>
        </is>
      </c>
      <c r="B4152" s="1" t="n">
        <v>45376.33392361111</v>
      </c>
      <c r="C4152" s="1" t="n">
        <v>45883</v>
      </c>
      <c r="D4152" t="inlineStr">
        <is>
          <t>GÄVLEBORGS LÄN</t>
        </is>
      </c>
      <c r="E4152" t="inlineStr">
        <is>
          <t>HUDIKSVALL</t>
        </is>
      </c>
      <c r="F4152" t="inlineStr">
        <is>
          <t>Holmen skog AB</t>
        </is>
      </c>
      <c r="G4152" t="n">
        <v>6.2</v>
      </c>
      <c r="H4152" t="n">
        <v>0</v>
      </c>
      <c r="I4152" t="n">
        <v>0</v>
      </c>
      <c r="J4152" t="n">
        <v>0</v>
      </c>
      <c r="K4152" t="n">
        <v>0</v>
      </c>
      <c r="L4152" t="n">
        <v>0</v>
      </c>
      <c r="M4152" t="n">
        <v>0</v>
      </c>
      <c r="N4152" t="n">
        <v>0</v>
      </c>
      <c r="O4152" t="n">
        <v>0</v>
      </c>
      <c r="P4152" t="n">
        <v>0</v>
      </c>
      <c r="Q4152" t="n">
        <v>0</v>
      </c>
      <c r="R4152" s="2" t="inlineStr"/>
    </row>
    <row r="4153" ht="15" customHeight="1">
      <c r="A4153" t="inlineStr">
        <is>
          <t>A 21756-2024</t>
        </is>
      </c>
      <c r="B4153" s="1" t="n">
        <v>45442</v>
      </c>
      <c r="C4153" s="1" t="n">
        <v>45883</v>
      </c>
      <c r="D4153" t="inlineStr">
        <is>
          <t>GÄVLEBORGS LÄN</t>
        </is>
      </c>
      <c r="E4153" t="inlineStr">
        <is>
          <t>LJUSDAL</t>
        </is>
      </c>
      <c r="G4153" t="n">
        <v>0.3</v>
      </c>
      <c r="H4153" t="n">
        <v>0</v>
      </c>
      <c r="I4153" t="n">
        <v>0</v>
      </c>
      <c r="J4153" t="n">
        <v>0</v>
      </c>
      <c r="K4153" t="n">
        <v>0</v>
      </c>
      <c r="L4153" t="n">
        <v>0</v>
      </c>
      <c r="M4153" t="n">
        <v>0</v>
      </c>
      <c r="N4153" t="n">
        <v>0</v>
      </c>
      <c r="O4153" t="n">
        <v>0</v>
      </c>
      <c r="P4153" t="n">
        <v>0</v>
      </c>
      <c r="Q4153" t="n">
        <v>0</v>
      </c>
      <c r="R4153" s="2" t="inlineStr"/>
    </row>
    <row r="4154" ht="15" customHeight="1">
      <c r="A4154" t="inlineStr">
        <is>
          <t>A 48797-2024</t>
        </is>
      </c>
      <c r="B4154" s="1" t="n">
        <v>45593.65616898148</v>
      </c>
      <c r="C4154" s="1" t="n">
        <v>45883</v>
      </c>
      <c r="D4154" t="inlineStr">
        <is>
          <t>GÄVLEBORGS LÄN</t>
        </is>
      </c>
      <c r="E4154" t="inlineStr">
        <is>
          <t>SÖDERHAMN</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16385-2023</t>
        </is>
      </c>
      <c r="B4155" s="1" t="n">
        <v>45022</v>
      </c>
      <c r="C4155" s="1" t="n">
        <v>45883</v>
      </c>
      <c r="D4155" t="inlineStr">
        <is>
          <t>GÄVLEBORGS LÄN</t>
        </is>
      </c>
      <c r="E4155" t="inlineStr">
        <is>
          <t>SANDVIKEN</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30294-2024</t>
        </is>
      </c>
      <c r="B4156" s="1" t="n">
        <v>45490</v>
      </c>
      <c r="C4156" s="1" t="n">
        <v>45883</v>
      </c>
      <c r="D4156" t="inlineStr">
        <is>
          <t>GÄVLEBORGS LÄN</t>
        </is>
      </c>
      <c r="E4156" t="inlineStr">
        <is>
          <t>LJUSDAL</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22977-2024</t>
        </is>
      </c>
      <c r="B4157" s="1" t="n">
        <v>45449.86233796296</v>
      </c>
      <c r="C4157" s="1" t="n">
        <v>45883</v>
      </c>
      <c r="D4157" t="inlineStr">
        <is>
          <t>GÄVLEBORGS LÄN</t>
        </is>
      </c>
      <c r="E4157" t="inlineStr">
        <is>
          <t>HUDIKSVALL</t>
        </is>
      </c>
      <c r="F4157" t="inlineStr">
        <is>
          <t>Holmen skog AB</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4230-2024</t>
        </is>
      </c>
      <c r="B4158" s="1" t="n">
        <v>45324</v>
      </c>
      <c r="C4158" s="1" t="n">
        <v>45883</v>
      </c>
      <c r="D4158" t="inlineStr">
        <is>
          <t>GÄVLEBORGS LÄN</t>
        </is>
      </c>
      <c r="E4158" t="inlineStr">
        <is>
          <t>LJUSDAL</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48804-2024</t>
        </is>
      </c>
      <c r="B4159" s="1" t="n">
        <v>45593.66212962963</v>
      </c>
      <c r="C4159" s="1" t="n">
        <v>45883</v>
      </c>
      <c r="D4159" t="inlineStr">
        <is>
          <t>GÄVLEBORGS LÄN</t>
        </is>
      </c>
      <c r="E4159" t="inlineStr">
        <is>
          <t>OCKELBO</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59571-2022</t>
        </is>
      </c>
      <c r="B4160" s="1" t="n">
        <v>44907.6153125</v>
      </c>
      <c r="C4160" s="1" t="n">
        <v>45883</v>
      </c>
      <c r="D4160" t="inlineStr">
        <is>
          <t>GÄVLEBORGS LÄN</t>
        </is>
      </c>
      <c r="E4160" t="inlineStr">
        <is>
          <t>HUDIKSVALL</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5870-2025</t>
        </is>
      </c>
      <c r="B4161" s="1" t="n">
        <v>45695.36047453704</v>
      </c>
      <c r="C4161" s="1" t="n">
        <v>45883</v>
      </c>
      <c r="D4161" t="inlineStr">
        <is>
          <t>GÄVLEBORGS LÄN</t>
        </is>
      </c>
      <c r="E4161" t="inlineStr">
        <is>
          <t>HUDIKSVALL</t>
        </is>
      </c>
      <c r="F4161" t="inlineStr">
        <is>
          <t>Holmen skog AB</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59636-2024</t>
        </is>
      </c>
      <c r="B4162" s="1" t="n">
        <v>45639.25746527778</v>
      </c>
      <c r="C4162" s="1" t="n">
        <v>45883</v>
      </c>
      <c r="D4162" t="inlineStr">
        <is>
          <t>GÄVLEBORGS LÄN</t>
        </is>
      </c>
      <c r="E4162" t="inlineStr">
        <is>
          <t>BOLLNÄS</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15938-2025</t>
        </is>
      </c>
      <c r="B4163" s="1" t="n">
        <v>45749.47486111111</v>
      </c>
      <c r="C4163" s="1" t="n">
        <v>45883</v>
      </c>
      <c r="D4163" t="inlineStr">
        <is>
          <t>GÄVLEBORGS LÄN</t>
        </is>
      </c>
      <c r="E4163" t="inlineStr">
        <is>
          <t>GÄVLE</t>
        </is>
      </c>
      <c r="F4163" t="inlineStr">
        <is>
          <t>Bergvik skog öst AB</t>
        </is>
      </c>
      <c r="G4163" t="n">
        <v>4.5</v>
      </c>
      <c r="H4163" t="n">
        <v>0</v>
      </c>
      <c r="I4163" t="n">
        <v>0</v>
      </c>
      <c r="J4163" t="n">
        <v>0</v>
      </c>
      <c r="K4163" t="n">
        <v>0</v>
      </c>
      <c r="L4163" t="n">
        <v>0</v>
      </c>
      <c r="M4163" t="n">
        <v>0</v>
      </c>
      <c r="N4163" t="n">
        <v>0</v>
      </c>
      <c r="O4163" t="n">
        <v>0</v>
      </c>
      <c r="P4163" t="n">
        <v>0</v>
      </c>
      <c r="Q4163" t="n">
        <v>0</v>
      </c>
      <c r="R4163" s="2" t="inlineStr"/>
    </row>
    <row r="4164" ht="15" customHeight="1">
      <c r="A4164" t="inlineStr">
        <is>
          <t>A 15964-2025</t>
        </is>
      </c>
      <c r="B4164" s="1" t="n">
        <v>45749</v>
      </c>
      <c r="C4164" s="1" t="n">
        <v>45883</v>
      </c>
      <c r="D4164" t="inlineStr">
        <is>
          <t>GÄVLEBORGS LÄN</t>
        </is>
      </c>
      <c r="E4164" t="inlineStr">
        <is>
          <t>HUDIKSVALL</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25402-2024</t>
        </is>
      </c>
      <c r="B4165" s="1" t="n">
        <v>45463.33690972222</v>
      </c>
      <c r="C4165" s="1" t="n">
        <v>45883</v>
      </c>
      <c r="D4165" t="inlineStr">
        <is>
          <t>GÄVLEBORGS LÄN</t>
        </is>
      </c>
      <c r="E4165" t="inlineStr">
        <is>
          <t>NORDANSTIG</t>
        </is>
      </c>
      <c r="F4165" t="inlineStr">
        <is>
          <t>Holmen skog AB</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26106-2024</t>
        </is>
      </c>
      <c r="B4166" s="1" t="n">
        <v>45468.4416550926</v>
      </c>
      <c r="C4166" s="1" t="n">
        <v>45883</v>
      </c>
      <c r="D4166" t="inlineStr">
        <is>
          <t>GÄVLEBORGS LÄN</t>
        </is>
      </c>
      <c r="E4166" t="inlineStr">
        <is>
          <t>LJUSDAL</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2993-2021</t>
        </is>
      </c>
      <c r="B4167" s="1" t="n">
        <v>44216</v>
      </c>
      <c r="C4167" s="1" t="n">
        <v>45883</v>
      </c>
      <c r="D4167" t="inlineStr">
        <is>
          <t>GÄVLEBORGS LÄN</t>
        </is>
      </c>
      <c r="E4167" t="inlineStr">
        <is>
          <t>HUDIKSVALL</t>
        </is>
      </c>
      <c r="F4167" t="inlineStr">
        <is>
          <t>Naturvårdsverket</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15295-2025</t>
        </is>
      </c>
      <c r="B4168" s="1" t="n">
        <v>45745.77329861111</v>
      </c>
      <c r="C4168" s="1" t="n">
        <v>45883</v>
      </c>
      <c r="D4168" t="inlineStr">
        <is>
          <t>GÄVLEBORGS LÄN</t>
        </is>
      </c>
      <c r="E4168" t="inlineStr">
        <is>
          <t>LJUSDAL</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52613-2024</t>
        </is>
      </c>
      <c r="B4169" s="1" t="n">
        <v>45609.84217592593</v>
      </c>
      <c r="C4169" s="1" t="n">
        <v>45883</v>
      </c>
      <c r="D4169" t="inlineStr">
        <is>
          <t>GÄVLEBORGS LÄN</t>
        </is>
      </c>
      <c r="E4169" t="inlineStr">
        <is>
          <t>BOLLNÄS</t>
        </is>
      </c>
      <c r="G4169" t="n">
        <v>3.6</v>
      </c>
      <c r="H4169" t="n">
        <v>0</v>
      </c>
      <c r="I4169" t="n">
        <v>0</v>
      </c>
      <c r="J4169" t="n">
        <v>0</v>
      </c>
      <c r="K4169" t="n">
        <v>0</v>
      </c>
      <c r="L4169" t="n">
        <v>0</v>
      </c>
      <c r="M4169" t="n">
        <v>0</v>
      </c>
      <c r="N4169" t="n">
        <v>0</v>
      </c>
      <c r="O4169" t="n">
        <v>0</v>
      </c>
      <c r="P4169" t="n">
        <v>0</v>
      </c>
      <c r="Q4169" t="n">
        <v>0</v>
      </c>
      <c r="R4169" s="2" t="inlineStr"/>
    </row>
    <row r="4170" ht="15" customHeight="1">
      <c r="A4170" t="inlineStr">
        <is>
          <t>A 48148-2024</t>
        </is>
      </c>
      <c r="B4170" s="1" t="n">
        <v>45589.67875</v>
      </c>
      <c r="C4170" s="1" t="n">
        <v>45883</v>
      </c>
      <c r="D4170" t="inlineStr">
        <is>
          <t>GÄVLEBORGS LÄN</t>
        </is>
      </c>
      <c r="E4170" t="inlineStr">
        <is>
          <t>LJUSDAL</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50790-2024</t>
        </is>
      </c>
      <c r="B4171" s="1" t="n">
        <v>45602.47313657407</v>
      </c>
      <c r="C4171" s="1" t="n">
        <v>45883</v>
      </c>
      <c r="D4171" t="inlineStr">
        <is>
          <t>GÄVLEBORGS LÄN</t>
        </is>
      </c>
      <c r="E4171" t="inlineStr">
        <is>
          <t>HUDIKSVALL</t>
        </is>
      </c>
      <c r="F4171" t="inlineStr">
        <is>
          <t>Holmen skog AB</t>
        </is>
      </c>
      <c r="G4171" t="n">
        <v>13.9</v>
      </c>
      <c r="H4171" t="n">
        <v>0</v>
      </c>
      <c r="I4171" t="n">
        <v>0</v>
      </c>
      <c r="J4171" t="n">
        <v>0</v>
      </c>
      <c r="K4171" t="n">
        <v>0</v>
      </c>
      <c r="L4171" t="n">
        <v>0</v>
      </c>
      <c r="M4171" t="n">
        <v>0</v>
      </c>
      <c r="N4171" t="n">
        <v>0</v>
      </c>
      <c r="O4171" t="n">
        <v>0</v>
      </c>
      <c r="P4171" t="n">
        <v>0</v>
      </c>
      <c r="Q4171" t="n">
        <v>0</v>
      </c>
      <c r="R4171" s="2" t="inlineStr"/>
    </row>
    <row r="4172" ht="15" customHeight="1">
      <c r="A4172" t="inlineStr">
        <is>
          <t>A 58445-2021</t>
        </is>
      </c>
      <c r="B4172" s="1" t="n">
        <v>44488.57009259259</v>
      </c>
      <c r="C4172" s="1" t="n">
        <v>45883</v>
      </c>
      <c r="D4172" t="inlineStr">
        <is>
          <t>GÄVLEBORGS LÄN</t>
        </is>
      </c>
      <c r="E4172" t="inlineStr">
        <is>
          <t>GÄVLE</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49207-2023</t>
        </is>
      </c>
      <c r="B4173" s="1" t="n">
        <v>45210</v>
      </c>
      <c r="C4173" s="1" t="n">
        <v>45883</v>
      </c>
      <c r="D4173" t="inlineStr">
        <is>
          <t>GÄVLEBORGS LÄN</t>
        </is>
      </c>
      <c r="E4173" t="inlineStr">
        <is>
          <t>OCKELBO</t>
        </is>
      </c>
      <c r="G4173" t="n">
        <v>0.1</v>
      </c>
      <c r="H4173" t="n">
        <v>0</v>
      </c>
      <c r="I4173" t="n">
        <v>0</v>
      </c>
      <c r="J4173" t="n">
        <v>0</v>
      </c>
      <c r="K4173" t="n">
        <v>0</v>
      </c>
      <c r="L4173" t="n">
        <v>0</v>
      </c>
      <c r="M4173" t="n">
        <v>0</v>
      </c>
      <c r="N4173" t="n">
        <v>0</v>
      </c>
      <c r="O4173" t="n">
        <v>0</v>
      </c>
      <c r="P4173" t="n">
        <v>0</v>
      </c>
      <c r="Q4173" t="n">
        <v>0</v>
      </c>
      <c r="R4173" s="2" t="inlineStr"/>
    </row>
    <row r="4174" ht="15" customHeight="1">
      <c r="A4174" t="inlineStr">
        <is>
          <t>A 20024-2024</t>
        </is>
      </c>
      <c r="B4174" s="1" t="n">
        <v>45434.3034837963</v>
      </c>
      <c r="C4174" s="1" t="n">
        <v>45883</v>
      </c>
      <c r="D4174" t="inlineStr">
        <is>
          <t>GÄVLEBORGS LÄN</t>
        </is>
      </c>
      <c r="E4174" t="inlineStr">
        <is>
          <t>HUDIKSVALL</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20032-2024</t>
        </is>
      </c>
      <c r="B4175" s="1" t="n">
        <v>45434.33524305555</v>
      </c>
      <c r="C4175" s="1" t="n">
        <v>45883</v>
      </c>
      <c r="D4175" t="inlineStr">
        <is>
          <t>GÄVLEBORGS LÄN</t>
        </is>
      </c>
      <c r="E4175" t="inlineStr">
        <is>
          <t>LJUSDAL</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21316-2024</t>
        </is>
      </c>
      <c r="B4176" s="1" t="n">
        <v>45440.70765046297</v>
      </c>
      <c r="C4176" s="1" t="n">
        <v>45883</v>
      </c>
      <c r="D4176" t="inlineStr">
        <is>
          <t>GÄVLEBORGS LÄN</t>
        </is>
      </c>
      <c r="E4176" t="inlineStr">
        <is>
          <t>SÖDERHAMN</t>
        </is>
      </c>
      <c r="F4176" t="inlineStr">
        <is>
          <t>Kommuner</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58281-2024</t>
        </is>
      </c>
      <c r="B4177" s="1" t="n">
        <v>45632.57706018518</v>
      </c>
      <c r="C4177" s="1" t="n">
        <v>45883</v>
      </c>
      <c r="D4177" t="inlineStr">
        <is>
          <t>GÄVLEBORGS LÄN</t>
        </is>
      </c>
      <c r="E4177" t="inlineStr">
        <is>
          <t>SÖDERHAMN</t>
        </is>
      </c>
      <c r="F4177" t="inlineStr">
        <is>
          <t>Bergvik skog väst AB</t>
        </is>
      </c>
      <c r="G4177" t="n">
        <v>3.4</v>
      </c>
      <c r="H4177" t="n">
        <v>0</v>
      </c>
      <c r="I4177" t="n">
        <v>0</v>
      </c>
      <c r="J4177" t="n">
        <v>0</v>
      </c>
      <c r="K4177" t="n">
        <v>0</v>
      </c>
      <c r="L4177" t="n">
        <v>0</v>
      </c>
      <c r="M4177" t="n">
        <v>0</v>
      </c>
      <c r="N4177" t="n">
        <v>0</v>
      </c>
      <c r="O4177" t="n">
        <v>0</v>
      </c>
      <c r="P4177" t="n">
        <v>0</v>
      </c>
      <c r="Q4177" t="n">
        <v>0</v>
      </c>
      <c r="R4177" s="2" t="inlineStr"/>
    </row>
    <row r="4178" ht="15" customHeight="1">
      <c r="A4178" t="inlineStr">
        <is>
          <t>A 18291-2023</t>
        </is>
      </c>
      <c r="B4178" s="1" t="n">
        <v>45041.56773148148</v>
      </c>
      <c r="C4178" s="1" t="n">
        <v>45883</v>
      </c>
      <c r="D4178" t="inlineStr">
        <is>
          <t>GÄVLEBORGS LÄN</t>
        </is>
      </c>
      <c r="E4178" t="inlineStr">
        <is>
          <t>OCKELBO</t>
        </is>
      </c>
      <c r="F4178" t="inlineStr">
        <is>
          <t>Bergvik skog väst AB</t>
        </is>
      </c>
      <c r="G4178" t="n">
        <v>4</v>
      </c>
      <c r="H4178" t="n">
        <v>0</v>
      </c>
      <c r="I4178" t="n">
        <v>0</v>
      </c>
      <c r="J4178" t="n">
        <v>0</v>
      </c>
      <c r="K4178" t="n">
        <v>0</v>
      </c>
      <c r="L4178" t="n">
        <v>0</v>
      </c>
      <c r="M4178" t="n">
        <v>0</v>
      </c>
      <c r="N4178" t="n">
        <v>0</v>
      </c>
      <c r="O4178" t="n">
        <v>0</v>
      </c>
      <c r="P4178" t="n">
        <v>0</v>
      </c>
      <c r="Q4178" t="n">
        <v>0</v>
      </c>
      <c r="R4178" s="2" t="inlineStr"/>
    </row>
    <row r="4179" ht="15" customHeight="1">
      <c r="A4179" t="inlineStr">
        <is>
          <t>A 54135-2024</t>
        </is>
      </c>
      <c r="B4179" s="1" t="n">
        <v>45616.5928125</v>
      </c>
      <c r="C4179" s="1" t="n">
        <v>45883</v>
      </c>
      <c r="D4179" t="inlineStr">
        <is>
          <t>GÄVLEBORGS LÄN</t>
        </is>
      </c>
      <c r="E4179" t="inlineStr">
        <is>
          <t>SÖDERHAMN</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54146-2024</t>
        </is>
      </c>
      <c r="B4180" s="1" t="n">
        <v>45616.59899305556</v>
      </c>
      <c r="C4180" s="1" t="n">
        <v>45883</v>
      </c>
      <c r="D4180" t="inlineStr">
        <is>
          <t>GÄVLEBORGS LÄN</t>
        </is>
      </c>
      <c r="E4180" t="inlineStr">
        <is>
          <t>OVANÅKER</t>
        </is>
      </c>
      <c r="G4180" t="n">
        <v>6.9</v>
      </c>
      <c r="H4180" t="n">
        <v>0</v>
      </c>
      <c r="I4180" t="n">
        <v>0</v>
      </c>
      <c r="J4180" t="n">
        <v>0</v>
      </c>
      <c r="K4180" t="n">
        <v>0</v>
      </c>
      <c r="L4180" t="n">
        <v>0</v>
      </c>
      <c r="M4180" t="n">
        <v>0</v>
      </c>
      <c r="N4180" t="n">
        <v>0</v>
      </c>
      <c r="O4180" t="n">
        <v>0</v>
      </c>
      <c r="P4180" t="n">
        <v>0</v>
      </c>
      <c r="Q4180" t="n">
        <v>0</v>
      </c>
      <c r="R4180" s="2" t="inlineStr"/>
    </row>
    <row r="4181" ht="15" customHeight="1">
      <c r="A4181" t="inlineStr">
        <is>
          <t>A 14088-2025</t>
        </is>
      </c>
      <c r="B4181" s="1" t="n">
        <v>45740.44287037037</v>
      </c>
      <c r="C4181" s="1" t="n">
        <v>45883</v>
      </c>
      <c r="D4181" t="inlineStr">
        <is>
          <t>GÄVLEBORGS LÄN</t>
        </is>
      </c>
      <c r="E4181" t="inlineStr">
        <is>
          <t>HUDIKSVALL</t>
        </is>
      </c>
      <c r="G4181" t="n">
        <v>12.8</v>
      </c>
      <c r="H4181" t="n">
        <v>0</v>
      </c>
      <c r="I4181" t="n">
        <v>0</v>
      </c>
      <c r="J4181" t="n">
        <v>0</v>
      </c>
      <c r="K4181" t="n">
        <v>0</v>
      </c>
      <c r="L4181" t="n">
        <v>0</v>
      </c>
      <c r="M4181" t="n">
        <v>0</v>
      </c>
      <c r="N4181" t="n">
        <v>0</v>
      </c>
      <c r="O4181" t="n">
        <v>0</v>
      </c>
      <c r="P4181" t="n">
        <v>0</v>
      </c>
      <c r="Q4181" t="n">
        <v>0</v>
      </c>
      <c r="R4181" s="2" t="inlineStr"/>
    </row>
    <row r="4182" ht="15" customHeight="1">
      <c r="A4182" t="inlineStr">
        <is>
          <t>A 23191-2022</t>
        </is>
      </c>
      <c r="B4182" s="1" t="n">
        <v>44719.92519675926</v>
      </c>
      <c r="C4182" s="1" t="n">
        <v>45883</v>
      </c>
      <c r="D4182" t="inlineStr">
        <is>
          <t>GÄVLEBORGS LÄN</t>
        </is>
      </c>
      <c r="E4182" t="inlineStr">
        <is>
          <t>LJUSDAL</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23192-2022</t>
        </is>
      </c>
      <c r="B4183" s="1" t="n">
        <v>44719.92523148148</v>
      </c>
      <c r="C4183" s="1" t="n">
        <v>45883</v>
      </c>
      <c r="D4183" t="inlineStr">
        <is>
          <t>GÄVLEBORGS LÄN</t>
        </is>
      </c>
      <c r="E4183" t="inlineStr">
        <is>
          <t>LJUSDAL</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64620-2023</t>
        </is>
      </c>
      <c r="B4184" s="1" t="n">
        <v>45281.53298611111</v>
      </c>
      <c r="C4184" s="1" t="n">
        <v>45883</v>
      </c>
      <c r="D4184" t="inlineStr">
        <is>
          <t>GÄVLEBORGS LÄN</t>
        </is>
      </c>
      <c r="E4184" t="inlineStr">
        <is>
          <t>SANDVIKEN</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19910-2025</t>
        </is>
      </c>
      <c r="B4185" s="1" t="n">
        <v>45771.60747685185</v>
      </c>
      <c r="C4185" s="1" t="n">
        <v>45883</v>
      </c>
      <c r="D4185" t="inlineStr">
        <is>
          <t>GÄVLEBORGS LÄN</t>
        </is>
      </c>
      <c r="E4185" t="inlineStr">
        <is>
          <t>OVANÅKER</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19921-2025</t>
        </is>
      </c>
      <c r="B4186" s="1" t="n">
        <v>45771.62862268519</v>
      </c>
      <c r="C4186" s="1" t="n">
        <v>45883</v>
      </c>
      <c r="D4186" t="inlineStr">
        <is>
          <t>GÄVLEBORGS LÄN</t>
        </is>
      </c>
      <c r="E4186" t="inlineStr">
        <is>
          <t>SÖDERHAMN</t>
        </is>
      </c>
      <c r="G4186" t="n">
        <v>5.2</v>
      </c>
      <c r="H4186" t="n">
        <v>0</v>
      </c>
      <c r="I4186" t="n">
        <v>0</v>
      </c>
      <c r="J4186" t="n">
        <v>0</v>
      </c>
      <c r="K4186" t="n">
        <v>0</v>
      </c>
      <c r="L4186" t="n">
        <v>0</v>
      </c>
      <c r="M4186" t="n">
        <v>0</v>
      </c>
      <c r="N4186" t="n">
        <v>0</v>
      </c>
      <c r="O4186" t="n">
        <v>0</v>
      </c>
      <c r="P4186" t="n">
        <v>0</v>
      </c>
      <c r="Q4186" t="n">
        <v>0</v>
      </c>
      <c r="R4186" s="2" t="inlineStr"/>
    </row>
    <row r="4187" ht="15" customHeight="1">
      <c r="A4187" t="inlineStr">
        <is>
          <t>A 34370-2024</t>
        </is>
      </c>
      <c r="B4187" s="1" t="n">
        <v>45525.38375</v>
      </c>
      <c r="C4187" s="1" t="n">
        <v>45883</v>
      </c>
      <c r="D4187" t="inlineStr">
        <is>
          <t>GÄVLEBORGS LÄN</t>
        </is>
      </c>
      <c r="E4187" t="inlineStr">
        <is>
          <t>NORDANSTIG</t>
        </is>
      </c>
      <c r="F4187" t="inlineStr">
        <is>
          <t>Holmen skog AB</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16371-2022</t>
        </is>
      </c>
      <c r="B4188" s="1" t="n">
        <v>44671</v>
      </c>
      <c r="C4188" s="1" t="n">
        <v>45883</v>
      </c>
      <c r="D4188" t="inlineStr">
        <is>
          <t>GÄVLEBORGS LÄN</t>
        </is>
      </c>
      <c r="E4188" t="inlineStr">
        <is>
          <t>HOFORS</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59409-2023</t>
        </is>
      </c>
      <c r="B4189" s="1" t="n">
        <v>45253</v>
      </c>
      <c r="C4189" s="1" t="n">
        <v>45883</v>
      </c>
      <c r="D4189" t="inlineStr">
        <is>
          <t>GÄVLEBORGS LÄN</t>
        </is>
      </c>
      <c r="E4189" t="inlineStr">
        <is>
          <t>NORDANSTIG</t>
        </is>
      </c>
      <c r="G4189" t="n">
        <v>12.5</v>
      </c>
      <c r="H4189" t="n">
        <v>0</v>
      </c>
      <c r="I4189" t="n">
        <v>0</v>
      </c>
      <c r="J4189" t="n">
        <v>0</v>
      </c>
      <c r="K4189" t="n">
        <v>0</v>
      </c>
      <c r="L4189" t="n">
        <v>0</v>
      </c>
      <c r="M4189" t="n">
        <v>0</v>
      </c>
      <c r="N4189" t="n">
        <v>0</v>
      </c>
      <c r="O4189" t="n">
        <v>0</v>
      </c>
      <c r="P4189" t="n">
        <v>0</v>
      </c>
      <c r="Q4189" t="n">
        <v>0</v>
      </c>
      <c r="R4189" s="2" t="inlineStr"/>
    </row>
    <row r="4190" ht="15" customHeight="1">
      <c r="A4190" t="inlineStr">
        <is>
          <t>A 35061-2024</t>
        </is>
      </c>
      <c r="B4190" s="1" t="n">
        <v>45527.65628472222</v>
      </c>
      <c r="C4190" s="1" t="n">
        <v>45883</v>
      </c>
      <c r="D4190" t="inlineStr">
        <is>
          <t>GÄVLEBORGS LÄN</t>
        </is>
      </c>
      <c r="E4190" t="inlineStr">
        <is>
          <t>HUDIKSVALL</t>
        </is>
      </c>
      <c r="F4190" t="inlineStr">
        <is>
          <t>Holmen skog AB</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4227-2025</t>
        </is>
      </c>
      <c r="B4191" s="1" t="n">
        <v>45685.54583333333</v>
      </c>
      <c r="C4191" s="1" t="n">
        <v>45883</v>
      </c>
      <c r="D4191" t="inlineStr">
        <is>
          <t>GÄVLEBORGS LÄN</t>
        </is>
      </c>
      <c r="E4191" t="inlineStr">
        <is>
          <t>NORDANSTIG</t>
        </is>
      </c>
      <c r="G4191" t="n">
        <v>4.7</v>
      </c>
      <c r="H4191" t="n">
        <v>0</v>
      </c>
      <c r="I4191" t="n">
        <v>0</v>
      </c>
      <c r="J4191" t="n">
        <v>0</v>
      </c>
      <c r="K4191" t="n">
        <v>0</v>
      </c>
      <c r="L4191" t="n">
        <v>0</v>
      </c>
      <c r="M4191" t="n">
        <v>0</v>
      </c>
      <c r="N4191" t="n">
        <v>0</v>
      </c>
      <c r="O4191" t="n">
        <v>0</v>
      </c>
      <c r="P4191" t="n">
        <v>0</v>
      </c>
      <c r="Q4191" t="n">
        <v>0</v>
      </c>
      <c r="R4191" s="2" t="inlineStr"/>
    </row>
    <row r="4192" ht="15" customHeight="1">
      <c r="A4192" t="inlineStr">
        <is>
          <t>A 9692-2025</t>
        </is>
      </c>
      <c r="B4192" s="1" t="n">
        <v>45716.36666666667</v>
      </c>
      <c r="C4192" s="1" t="n">
        <v>45883</v>
      </c>
      <c r="D4192" t="inlineStr">
        <is>
          <t>GÄVLEBORGS LÄN</t>
        </is>
      </c>
      <c r="E4192" t="inlineStr">
        <is>
          <t>BOLLNÄS</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10740-2025</t>
        </is>
      </c>
      <c r="B4193" s="1" t="n">
        <v>45722.41008101852</v>
      </c>
      <c r="C4193" s="1" t="n">
        <v>45883</v>
      </c>
      <c r="D4193" t="inlineStr">
        <is>
          <t>GÄVLEBORGS LÄN</t>
        </is>
      </c>
      <c r="E4193" t="inlineStr">
        <is>
          <t>HOFORS</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57378-2024</t>
        </is>
      </c>
      <c r="B4194" s="1" t="n">
        <v>45629.67824074074</v>
      </c>
      <c r="C4194" s="1" t="n">
        <v>45883</v>
      </c>
      <c r="D4194" t="inlineStr">
        <is>
          <t>GÄVLEBORGS LÄN</t>
        </is>
      </c>
      <c r="E4194" t="inlineStr">
        <is>
          <t>BOLLNÄS</t>
        </is>
      </c>
      <c r="G4194" t="n">
        <v>0.4</v>
      </c>
      <c r="H4194" t="n">
        <v>0</v>
      </c>
      <c r="I4194" t="n">
        <v>0</v>
      </c>
      <c r="J4194" t="n">
        <v>0</v>
      </c>
      <c r="K4194" t="n">
        <v>0</v>
      </c>
      <c r="L4194" t="n">
        <v>0</v>
      </c>
      <c r="M4194" t="n">
        <v>0</v>
      </c>
      <c r="N4194" t="n">
        <v>0</v>
      </c>
      <c r="O4194" t="n">
        <v>0</v>
      </c>
      <c r="P4194" t="n">
        <v>0</v>
      </c>
      <c r="Q4194" t="n">
        <v>0</v>
      </c>
      <c r="R4194" s="2" t="inlineStr"/>
    </row>
    <row r="4195" ht="15" customHeight="1">
      <c r="A4195" t="inlineStr">
        <is>
          <t>A 37996-2024</t>
        </is>
      </c>
      <c r="B4195" s="1" t="n">
        <v>45544.60001157408</v>
      </c>
      <c r="C4195" s="1" t="n">
        <v>45883</v>
      </c>
      <c r="D4195" t="inlineStr">
        <is>
          <t>GÄVLEBORGS LÄN</t>
        </is>
      </c>
      <c r="E4195" t="inlineStr">
        <is>
          <t>SANDVIKEN</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11920-2025</t>
        </is>
      </c>
      <c r="B4196" s="1" t="n">
        <v>45728.49407407407</v>
      </c>
      <c r="C4196" s="1" t="n">
        <v>45883</v>
      </c>
      <c r="D4196" t="inlineStr">
        <is>
          <t>GÄVLEBORGS LÄN</t>
        </is>
      </c>
      <c r="E4196" t="inlineStr">
        <is>
          <t>LJUSDAL</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25177-2023</t>
        </is>
      </c>
      <c r="B4197" s="1" t="n">
        <v>45086.51684027778</v>
      </c>
      <c r="C4197" s="1" t="n">
        <v>45883</v>
      </c>
      <c r="D4197" t="inlineStr">
        <is>
          <t>GÄVLEBORGS LÄN</t>
        </is>
      </c>
      <c r="E4197" t="inlineStr">
        <is>
          <t>BOLLNÄS</t>
        </is>
      </c>
      <c r="F4197" t="inlineStr">
        <is>
          <t>Sveaskog</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17962-2025</t>
        </is>
      </c>
      <c r="B4198" s="1" t="n">
        <v>45761.33565972222</v>
      </c>
      <c r="C4198" s="1" t="n">
        <v>45883</v>
      </c>
      <c r="D4198" t="inlineStr">
        <is>
          <t>GÄVLEBORGS LÄN</t>
        </is>
      </c>
      <c r="E4198" t="inlineStr">
        <is>
          <t>OVANÅKER</t>
        </is>
      </c>
      <c r="F4198" t="inlineStr">
        <is>
          <t>Holmen skog AB</t>
        </is>
      </c>
      <c r="G4198" t="n">
        <v>12.6</v>
      </c>
      <c r="H4198" t="n">
        <v>0</v>
      </c>
      <c r="I4198" t="n">
        <v>0</v>
      </c>
      <c r="J4198" t="n">
        <v>0</v>
      </c>
      <c r="K4198" t="n">
        <v>0</v>
      </c>
      <c r="L4198" t="n">
        <v>0</v>
      </c>
      <c r="M4198" t="n">
        <v>0</v>
      </c>
      <c r="N4198" t="n">
        <v>0</v>
      </c>
      <c r="O4198" t="n">
        <v>0</v>
      </c>
      <c r="P4198" t="n">
        <v>0</v>
      </c>
      <c r="Q4198" t="n">
        <v>0</v>
      </c>
      <c r="R4198" s="2" t="inlineStr"/>
    </row>
    <row r="4199" ht="15" customHeight="1">
      <c r="A4199" t="inlineStr">
        <is>
          <t>A 18014-2025</t>
        </is>
      </c>
      <c r="B4199" s="1" t="n">
        <v>45761.43936342592</v>
      </c>
      <c r="C4199" s="1" t="n">
        <v>45883</v>
      </c>
      <c r="D4199" t="inlineStr">
        <is>
          <t>GÄVLEBORGS LÄN</t>
        </is>
      </c>
      <c r="E4199" t="inlineStr">
        <is>
          <t>LJUSDAL</t>
        </is>
      </c>
      <c r="F4199" t="inlineStr">
        <is>
          <t>Bergvik skog väst AB</t>
        </is>
      </c>
      <c r="G4199" t="n">
        <v>21.9</v>
      </c>
      <c r="H4199" t="n">
        <v>0</v>
      </c>
      <c r="I4199" t="n">
        <v>0</v>
      </c>
      <c r="J4199" t="n">
        <v>0</v>
      </c>
      <c r="K4199" t="n">
        <v>0</v>
      </c>
      <c r="L4199" t="n">
        <v>0</v>
      </c>
      <c r="M4199" t="n">
        <v>0</v>
      </c>
      <c r="N4199" t="n">
        <v>0</v>
      </c>
      <c r="O4199" t="n">
        <v>0</v>
      </c>
      <c r="P4199" t="n">
        <v>0</v>
      </c>
      <c r="Q4199" t="n">
        <v>0</v>
      </c>
      <c r="R4199" s="2" t="inlineStr"/>
    </row>
    <row r="4200" ht="15" customHeight="1">
      <c r="A4200" t="inlineStr">
        <is>
          <t>A 49703-2023</t>
        </is>
      </c>
      <c r="B4200" s="1" t="n">
        <v>45212</v>
      </c>
      <c r="C4200" s="1" t="n">
        <v>45883</v>
      </c>
      <c r="D4200" t="inlineStr">
        <is>
          <t>GÄVLEBORGS LÄN</t>
        </is>
      </c>
      <c r="E4200" t="inlineStr">
        <is>
          <t>SÖDERHAMN</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35200-2024</t>
        </is>
      </c>
      <c r="B4201" s="1" t="n">
        <v>45530.47582175926</v>
      </c>
      <c r="C4201" s="1" t="n">
        <v>45883</v>
      </c>
      <c r="D4201" t="inlineStr">
        <is>
          <t>GÄVLEBORGS LÄN</t>
        </is>
      </c>
      <c r="E4201" t="inlineStr">
        <is>
          <t>BOLLNÄS</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35206-2024</t>
        </is>
      </c>
      <c r="B4202" s="1" t="n">
        <v>45530</v>
      </c>
      <c r="C4202" s="1" t="n">
        <v>45883</v>
      </c>
      <c r="D4202" t="inlineStr">
        <is>
          <t>GÄVLEBORGS LÄN</t>
        </is>
      </c>
      <c r="E4202" t="inlineStr">
        <is>
          <t>GÄVLE</t>
        </is>
      </c>
      <c r="F4202" t="inlineStr">
        <is>
          <t>Bergvik skog öst AB</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42659-2024</t>
        </is>
      </c>
      <c r="B4203" s="1" t="n">
        <v>45566.33751157407</v>
      </c>
      <c r="C4203" s="1" t="n">
        <v>45883</v>
      </c>
      <c r="D4203" t="inlineStr">
        <is>
          <t>GÄVLEBORGS LÄN</t>
        </is>
      </c>
      <c r="E4203" t="inlineStr">
        <is>
          <t>HUDIKSVALL</t>
        </is>
      </c>
      <c r="F4203" t="inlineStr">
        <is>
          <t>Holmen skog AB</t>
        </is>
      </c>
      <c r="G4203" t="n">
        <v>10</v>
      </c>
      <c r="H4203" t="n">
        <v>0</v>
      </c>
      <c r="I4203" t="n">
        <v>0</v>
      </c>
      <c r="J4203" t="n">
        <v>0</v>
      </c>
      <c r="K4203" t="n">
        <v>0</v>
      </c>
      <c r="L4203" t="n">
        <v>0</v>
      </c>
      <c r="M4203" t="n">
        <v>0</v>
      </c>
      <c r="N4203" t="n">
        <v>0</v>
      </c>
      <c r="O4203" t="n">
        <v>0</v>
      </c>
      <c r="P4203" t="n">
        <v>0</v>
      </c>
      <c r="Q4203" t="n">
        <v>0</v>
      </c>
      <c r="R4203" s="2" t="inlineStr"/>
    </row>
    <row r="4204" ht="15" customHeight="1">
      <c r="A4204" t="inlineStr">
        <is>
          <t>A 37778-2024</t>
        </is>
      </c>
      <c r="B4204" s="1" t="n">
        <v>45542</v>
      </c>
      <c r="C4204" s="1" t="n">
        <v>45883</v>
      </c>
      <c r="D4204" t="inlineStr">
        <is>
          <t>GÄVLEBORGS LÄN</t>
        </is>
      </c>
      <c r="E4204" t="inlineStr">
        <is>
          <t>HUDIKSVALL</t>
        </is>
      </c>
      <c r="F4204" t="inlineStr">
        <is>
          <t>Holmen skog AB</t>
        </is>
      </c>
      <c r="G4204" t="n">
        <v>4</v>
      </c>
      <c r="H4204" t="n">
        <v>0</v>
      </c>
      <c r="I4204" t="n">
        <v>0</v>
      </c>
      <c r="J4204" t="n">
        <v>0</v>
      </c>
      <c r="K4204" t="n">
        <v>0</v>
      </c>
      <c r="L4204" t="n">
        <v>0</v>
      </c>
      <c r="M4204" t="n">
        <v>0</v>
      </c>
      <c r="N4204" t="n">
        <v>0</v>
      </c>
      <c r="O4204" t="n">
        <v>0</v>
      </c>
      <c r="P4204" t="n">
        <v>0</v>
      </c>
      <c r="Q4204" t="n">
        <v>0</v>
      </c>
      <c r="R4204" s="2" t="inlineStr"/>
    </row>
    <row r="4205" ht="15" customHeight="1">
      <c r="A4205" t="inlineStr">
        <is>
          <t>A 18611-2025</t>
        </is>
      </c>
      <c r="B4205" s="1" t="n">
        <v>45763.49574074074</v>
      </c>
      <c r="C4205" s="1" t="n">
        <v>45883</v>
      </c>
      <c r="D4205" t="inlineStr">
        <is>
          <t>GÄVLEBORGS LÄN</t>
        </is>
      </c>
      <c r="E4205" t="inlineStr">
        <is>
          <t>SANDVIKEN</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30134-2024</t>
        </is>
      </c>
      <c r="B4206" s="1" t="n">
        <v>45489</v>
      </c>
      <c r="C4206" s="1" t="n">
        <v>45883</v>
      </c>
      <c r="D4206" t="inlineStr">
        <is>
          <t>GÄVLEBORGS LÄN</t>
        </is>
      </c>
      <c r="E4206" t="inlineStr">
        <is>
          <t>HUDIKSVALL</t>
        </is>
      </c>
      <c r="F4206" t="inlineStr">
        <is>
          <t>Holmen skog AB</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53916-2024</t>
        </is>
      </c>
      <c r="B4207" s="1" t="n">
        <v>45615.75822916667</v>
      </c>
      <c r="C4207" s="1" t="n">
        <v>45883</v>
      </c>
      <c r="D4207" t="inlineStr">
        <is>
          <t>GÄVLEBORGS LÄN</t>
        </is>
      </c>
      <c r="E4207" t="inlineStr">
        <is>
          <t>SÖDERHAMN</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12768-2025</t>
        </is>
      </c>
      <c r="B4208" s="1" t="n">
        <v>45733.57840277778</v>
      </c>
      <c r="C4208" s="1" t="n">
        <v>45883</v>
      </c>
      <c r="D4208" t="inlineStr">
        <is>
          <t>GÄVLEBORGS LÄN</t>
        </is>
      </c>
      <c r="E4208" t="inlineStr">
        <is>
          <t>LJUSDAL</t>
        </is>
      </c>
      <c r="G4208" t="n">
        <v>5.4</v>
      </c>
      <c r="H4208" t="n">
        <v>0</v>
      </c>
      <c r="I4208" t="n">
        <v>0</v>
      </c>
      <c r="J4208" t="n">
        <v>0</v>
      </c>
      <c r="K4208" t="n">
        <v>0</v>
      </c>
      <c r="L4208" t="n">
        <v>0</v>
      </c>
      <c r="M4208" t="n">
        <v>0</v>
      </c>
      <c r="N4208" t="n">
        <v>0</v>
      </c>
      <c r="O4208" t="n">
        <v>0</v>
      </c>
      <c r="P4208" t="n">
        <v>0</v>
      </c>
      <c r="Q4208" t="n">
        <v>0</v>
      </c>
      <c r="R4208" s="2" t="inlineStr"/>
    </row>
    <row r="4209" ht="15" customHeight="1">
      <c r="A4209" t="inlineStr">
        <is>
          <t>A 6903-2025</t>
        </is>
      </c>
      <c r="B4209" s="1" t="n">
        <v>45701</v>
      </c>
      <c r="C4209" s="1" t="n">
        <v>45883</v>
      </c>
      <c r="D4209" t="inlineStr">
        <is>
          <t>GÄVLEBORGS LÄN</t>
        </is>
      </c>
      <c r="E4209" t="inlineStr">
        <is>
          <t>BOLLNÄS</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15645-2025</t>
        </is>
      </c>
      <c r="B4210" s="1" t="n">
        <v>45748.39400462963</v>
      </c>
      <c r="C4210" s="1" t="n">
        <v>45883</v>
      </c>
      <c r="D4210" t="inlineStr">
        <is>
          <t>GÄVLEBORGS LÄN</t>
        </is>
      </c>
      <c r="E4210" t="inlineStr">
        <is>
          <t>LJUSDAL</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5415-2025</t>
        </is>
      </c>
      <c r="B4211" s="1" t="n">
        <v>45692.67747685185</v>
      </c>
      <c r="C4211" s="1" t="n">
        <v>45883</v>
      </c>
      <c r="D4211" t="inlineStr">
        <is>
          <t>GÄVLEBORGS LÄN</t>
        </is>
      </c>
      <c r="E4211" t="inlineStr">
        <is>
          <t>LJUSDAL</t>
        </is>
      </c>
      <c r="F4211" t="inlineStr">
        <is>
          <t>SCA</t>
        </is>
      </c>
      <c r="G4211" t="n">
        <v>3.3</v>
      </c>
      <c r="H4211" t="n">
        <v>0</v>
      </c>
      <c r="I4211" t="n">
        <v>0</v>
      </c>
      <c r="J4211" t="n">
        <v>0</v>
      </c>
      <c r="K4211" t="n">
        <v>0</v>
      </c>
      <c r="L4211" t="n">
        <v>0</v>
      </c>
      <c r="M4211" t="n">
        <v>0</v>
      </c>
      <c r="N4211" t="n">
        <v>0</v>
      </c>
      <c r="O4211" t="n">
        <v>0</v>
      </c>
      <c r="P4211" t="n">
        <v>0</v>
      </c>
      <c r="Q4211" t="n">
        <v>0</v>
      </c>
      <c r="R4211" s="2" t="inlineStr"/>
    </row>
    <row r="4212" ht="15" customHeight="1">
      <c r="A4212" t="inlineStr">
        <is>
          <t>A 5262-2025</t>
        </is>
      </c>
      <c r="B4212" s="1" t="n">
        <v>45692.37174768518</v>
      </c>
      <c r="C4212" s="1" t="n">
        <v>45883</v>
      </c>
      <c r="D4212" t="inlineStr">
        <is>
          <t>GÄVLEBORGS LÄN</t>
        </is>
      </c>
      <c r="E4212" t="inlineStr">
        <is>
          <t>BOLLNÄS</t>
        </is>
      </c>
      <c r="F4212" t="inlineStr">
        <is>
          <t>Bergvik skog öst AB</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4414-2022</t>
        </is>
      </c>
      <c r="B4213" s="1" t="n">
        <v>44589</v>
      </c>
      <c r="C4213" s="1" t="n">
        <v>45883</v>
      </c>
      <c r="D4213" t="inlineStr">
        <is>
          <t>GÄVLEBORGS LÄN</t>
        </is>
      </c>
      <c r="E4213" t="inlineStr">
        <is>
          <t>NORDANSTIG</t>
        </is>
      </c>
      <c r="G4213" t="n">
        <v>12.6</v>
      </c>
      <c r="H4213" t="n">
        <v>0</v>
      </c>
      <c r="I4213" t="n">
        <v>0</v>
      </c>
      <c r="J4213" t="n">
        <v>0</v>
      </c>
      <c r="K4213" t="n">
        <v>0</v>
      </c>
      <c r="L4213" t="n">
        <v>0</v>
      </c>
      <c r="M4213" t="n">
        <v>0</v>
      </c>
      <c r="N4213" t="n">
        <v>0</v>
      </c>
      <c r="O4213" t="n">
        <v>0</v>
      </c>
      <c r="P4213" t="n">
        <v>0</v>
      </c>
      <c r="Q4213" t="n">
        <v>0</v>
      </c>
      <c r="R4213" s="2" t="inlineStr"/>
    </row>
    <row r="4214" ht="15" customHeight="1">
      <c r="A4214" t="inlineStr">
        <is>
          <t>A 24988-2023</t>
        </is>
      </c>
      <c r="B4214" s="1" t="n">
        <v>45085.64087962963</v>
      </c>
      <c r="C4214" s="1" t="n">
        <v>45883</v>
      </c>
      <c r="D4214" t="inlineStr">
        <is>
          <t>GÄVLEBORGS LÄN</t>
        </is>
      </c>
      <c r="E4214" t="inlineStr">
        <is>
          <t>HOFORS</t>
        </is>
      </c>
      <c r="F4214" t="inlineStr">
        <is>
          <t>Sveaskog</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29016-2023</t>
        </is>
      </c>
      <c r="B4215" s="1" t="n">
        <v>45104.67638888889</v>
      </c>
      <c r="C4215" s="1" t="n">
        <v>45883</v>
      </c>
      <c r="D4215" t="inlineStr">
        <is>
          <t>GÄVLEBORGS LÄN</t>
        </is>
      </c>
      <c r="E4215" t="inlineStr">
        <is>
          <t>GÄVLE</t>
        </is>
      </c>
      <c r="F4215" t="inlineStr">
        <is>
          <t>Bergvik skog öst AB</t>
        </is>
      </c>
      <c r="G4215" t="n">
        <v>6.8</v>
      </c>
      <c r="H4215" t="n">
        <v>0</v>
      </c>
      <c r="I4215" t="n">
        <v>0</v>
      </c>
      <c r="J4215" t="n">
        <v>0</v>
      </c>
      <c r="K4215" t="n">
        <v>0</v>
      </c>
      <c r="L4215" t="n">
        <v>0</v>
      </c>
      <c r="M4215" t="n">
        <v>0</v>
      </c>
      <c r="N4215" t="n">
        <v>0</v>
      </c>
      <c r="O4215" t="n">
        <v>0</v>
      </c>
      <c r="P4215" t="n">
        <v>0</v>
      </c>
      <c r="Q4215" t="n">
        <v>0</v>
      </c>
      <c r="R4215" s="2" t="inlineStr"/>
    </row>
    <row r="4216" ht="15" customHeight="1">
      <c r="A4216" t="inlineStr">
        <is>
          <t>A 50306-2024</t>
        </is>
      </c>
      <c r="B4216" s="1" t="n">
        <v>45600.64725694444</v>
      </c>
      <c r="C4216" s="1" t="n">
        <v>45883</v>
      </c>
      <c r="D4216" t="inlineStr">
        <is>
          <t>GÄVLEBORGS LÄN</t>
        </is>
      </c>
      <c r="E4216" t="inlineStr">
        <is>
          <t>HUDIKSVALL</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38936-2024</t>
        </is>
      </c>
      <c r="B4217" s="1" t="n">
        <v>45548</v>
      </c>
      <c r="C4217" s="1" t="n">
        <v>45883</v>
      </c>
      <c r="D4217" t="inlineStr">
        <is>
          <t>GÄVLEBORGS LÄN</t>
        </is>
      </c>
      <c r="E4217" t="inlineStr">
        <is>
          <t>BOLLNÄS</t>
        </is>
      </c>
      <c r="F4217" t="inlineStr">
        <is>
          <t>Sveaskog</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6085-2025</t>
        </is>
      </c>
      <c r="B4218" s="1" t="n">
        <v>45697.62211805556</v>
      </c>
      <c r="C4218" s="1" t="n">
        <v>45883</v>
      </c>
      <c r="D4218" t="inlineStr">
        <is>
          <t>GÄVLEBORGS LÄN</t>
        </is>
      </c>
      <c r="E4218" t="inlineStr">
        <is>
          <t>HUDIKSVALL</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45302-2023</t>
        </is>
      </c>
      <c r="B4219" s="1" t="n">
        <v>45191</v>
      </c>
      <c r="C4219" s="1" t="n">
        <v>45883</v>
      </c>
      <c r="D4219" t="inlineStr">
        <is>
          <t>GÄVLEBORGS LÄN</t>
        </is>
      </c>
      <c r="E4219" t="inlineStr">
        <is>
          <t>SANDVIKEN</t>
        </is>
      </c>
      <c r="F4219" t="inlineStr">
        <is>
          <t>Sveaskog</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50389-2024</t>
        </is>
      </c>
      <c r="B4220" s="1" t="n">
        <v>45601.33396990741</v>
      </c>
      <c r="C4220" s="1" t="n">
        <v>45883</v>
      </c>
      <c r="D4220" t="inlineStr">
        <is>
          <t>GÄVLEBORGS LÄN</t>
        </is>
      </c>
      <c r="E4220" t="inlineStr">
        <is>
          <t>OVANÅKER</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766-2025</t>
        </is>
      </c>
      <c r="B4221" s="1" t="n">
        <v>45665.45438657407</v>
      </c>
      <c r="C4221" s="1" t="n">
        <v>45883</v>
      </c>
      <c r="D4221" t="inlineStr">
        <is>
          <t>GÄVLEBORGS LÄN</t>
        </is>
      </c>
      <c r="E4221" t="inlineStr">
        <is>
          <t>SANDVIKEN</t>
        </is>
      </c>
      <c r="G4221" t="n">
        <v>4.8</v>
      </c>
      <c r="H4221" t="n">
        <v>0</v>
      </c>
      <c r="I4221" t="n">
        <v>0</v>
      </c>
      <c r="J4221" t="n">
        <v>0</v>
      </c>
      <c r="K4221" t="n">
        <v>0</v>
      </c>
      <c r="L4221" t="n">
        <v>0</v>
      </c>
      <c r="M4221" t="n">
        <v>0</v>
      </c>
      <c r="N4221" t="n">
        <v>0</v>
      </c>
      <c r="O4221" t="n">
        <v>0</v>
      </c>
      <c r="P4221" t="n">
        <v>0</v>
      </c>
      <c r="Q4221" t="n">
        <v>0</v>
      </c>
      <c r="R4221" s="2" t="inlineStr"/>
    </row>
    <row r="4222" ht="15" customHeight="1">
      <c r="A4222" t="inlineStr">
        <is>
          <t>A 41525-2024</t>
        </is>
      </c>
      <c r="B4222" s="1" t="n">
        <v>45560</v>
      </c>
      <c r="C4222" s="1" t="n">
        <v>45883</v>
      </c>
      <c r="D4222" t="inlineStr">
        <is>
          <t>GÄVLEBORGS LÄN</t>
        </is>
      </c>
      <c r="E4222" t="inlineStr">
        <is>
          <t>GÄVLE</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22588-2023</t>
        </is>
      </c>
      <c r="B4223" s="1" t="n">
        <v>45071.48023148148</v>
      </c>
      <c r="C4223" s="1" t="n">
        <v>45883</v>
      </c>
      <c r="D4223" t="inlineStr">
        <is>
          <t>GÄVLEBORGS LÄN</t>
        </is>
      </c>
      <c r="E4223" t="inlineStr">
        <is>
          <t>HUDIKSVALL</t>
        </is>
      </c>
      <c r="G4223" t="n">
        <v>8.4</v>
      </c>
      <c r="H4223" t="n">
        <v>0</v>
      </c>
      <c r="I4223" t="n">
        <v>0</v>
      </c>
      <c r="J4223" t="n">
        <v>0</v>
      </c>
      <c r="K4223" t="n">
        <v>0</v>
      </c>
      <c r="L4223" t="n">
        <v>0</v>
      </c>
      <c r="M4223" t="n">
        <v>0</v>
      </c>
      <c r="N4223" t="n">
        <v>0</v>
      </c>
      <c r="O4223" t="n">
        <v>0</v>
      </c>
      <c r="P4223" t="n">
        <v>0</v>
      </c>
      <c r="Q4223" t="n">
        <v>0</v>
      </c>
      <c r="R4223" s="2" t="inlineStr"/>
    </row>
    <row r="4224" ht="15" customHeight="1">
      <c r="A4224" t="inlineStr">
        <is>
          <t>A 56158-2024</t>
        </is>
      </c>
      <c r="B4224" s="1" t="n">
        <v>45624.53408564815</v>
      </c>
      <c r="C4224" s="1" t="n">
        <v>45883</v>
      </c>
      <c r="D4224" t="inlineStr">
        <is>
          <t>GÄVLEBORGS LÄN</t>
        </is>
      </c>
      <c r="E4224" t="inlineStr">
        <is>
          <t>LJUSDAL</t>
        </is>
      </c>
      <c r="G4224" t="n">
        <v>7.5</v>
      </c>
      <c r="H4224" t="n">
        <v>0</v>
      </c>
      <c r="I4224" t="n">
        <v>0</v>
      </c>
      <c r="J4224" t="n">
        <v>0</v>
      </c>
      <c r="K4224" t="n">
        <v>0</v>
      </c>
      <c r="L4224" t="n">
        <v>0</v>
      </c>
      <c r="M4224" t="n">
        <v>0</v>
      </c>
      <c r="N4224" t="n">
        <v>0</v>
      </c>
      <c r="O4224" t="n">
        <v>0</v>
      </c>
      <c r="P4224" t="n">
        <v>0</v>
      </c>
      <c r="Q4224" t="n">
        <v>0</v>
      </c>
      <c r="R4224" s="2" t="inlineStr"/>
    </row>
    <row r="4225" ht="15" customHeight="1">
      <c r="A4225" t="inlineStr">
        <is>
          <t>A 61427-2024</t>
        </is>
      </c>
      <c r="B4225" s="1" t="n">
        <v>45646.45481481482</v>
      </c>
      <c r="C4225" s="1" t="n">
        <v>45883</v>
      </c>
      <c r="D4225" t="inlineStr">
        <is>
          <t>GÄVLEBORGS LÄN</t>
        </is>
      </c>
      <c r="E4225" t="inlineStr">
        <is>
          <t>NORDANSTIG</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24994-2024</t>
        </is>
      </c>
      <c r="B4226" s="1" t="n">
        <v>45461</v>
      </c>
      <c r="C4226" s="1" t="n">
        <v>45883</v>
      </c>
      <c r="D4226" t="inlineStr">
        <is>
          <t>GÄVLEBORGS LÄN</t>
        </is>
      </c>
      <c r="E4226" t="inlineStr">
        <is>
          <t>BOLLNÄS</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12483-2025</t>
        </is>
      </c>
      <c r="B4227" s="1" t="n">
        <v>45730.58206018519</v>
      </c>
      <c r="C4227" s="1" t="n">
        <v>45883</v>
      </c>
      <c r="D4227" t="inlineStr">
        <is>
          <t>GÄVLEBORGS LÄN</t>
        </is>
      </c>
      <c r="E4227" t="inlineStr">
        <is>
          <t>GÄVLE</t>
        </is>
      </c>
      <c r="F4227" t="inlineStr">
        <is>
          <t>Bergvik skog öst AB</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1039-2025</t>
        </is>
      </c>
      <c r="B4228" s="1" t="n">
        <v>45666.54069444445</v>
      </c>
      <c r="C4228" s="1" t="n">
        <v>45883</v>
      </c>
      <c r="D4228" t="inlineStr">
        <is>
          <t>GÄVLEBORGS LÄN</t>
        </is>
      </c>
      <c r="E4228" t="inlineStr">
        <is>
          <t>SANDVIKEN</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11301-2025</t>
        </is>
      </c>
      <c r="B4229" s="1" t="n">
        <v>45726.44162037037</v>
      </c>
      <c r="C4229" s="1" t="n">
        <v>45883</v>
      </c>
      <c r="D4229" t="inlineStr">
        <is>
          <t>GÄVLEBORGS LÄN</t>
        </is>
      </c>
      <c r="E4229" t="inlineStr">
        <is>
          <t>OVANÅKER</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15105-2025</t>
        </is>
      </c>
      <c r="B4230" s="1" t="n">
        <v>45744.34733796296</v>
      </c>
      <c r="C4230" s="1" t="n">
        <v>45883</v>
      </c>
      <c r="D4230" t="inlineStr">
        <is>
          <t>GÄVLEBORGS LÄN</t>
        </is>
      </c>
      <c r="E4230" t="inlineStr">
        <is>
          <t>GÄVLE</t>
        </is>
      </c>
      <c r="F4230" t="inlineStr">
        <is>
          <t>Bergvik skog öst AB</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15197-2025</t>
        </is>
      </c>
      <c r="B4231" s="1" t="n">
        <v>45744.56331018519</v>
      </c>
      <c r="C4231" s="1" t="n">
        <v>45883</v>
      </c>
      <c r="D4231" t="inlineStr">
        <is>
          <t>GÄVLEBORGS LÄN</t>
        </is>
      </c>
      <c r="E4231" t="inlineStr">
        <is>
          <t>LJUSDAL</t>
        </is>
      </c>
      <c r="F4231" t="inlineStr">
        <is>
          <t>Bergvik skog väst AB</t>
        </is>
      </c>
      <c r="G4231" t="n">
        <v>31.3</v>
      </c>
      <c r="H4231" t="n">
        <v>0</v>
      </c>
      <c r="I4231" t="n">
        <v>0</v>
      </c>
      <c r="J4231" t="n">
        <v>0</v>
      </c>
      <c r="K4231" t="n">
        <v>0</v>
      </c>
      <c r="L4231" t="n">
        <v>0</v>
      </c>
      <c r="M4231" t="n">
        <v>0</v>
      </c>
      <c r="N4231" t="n">
        <v>0</v>
      </c>
      <c r="O4231" t="n">
        <v>0</v>
      </c>
      <c r="P4231" t="n">
        <v>0</v>
      </c>
      <c r="Q4231" t="n">
        <v>0</v>
      </c>
      <c r="R4231" s="2" t="inlineStr"/>
    </row>
    <row r="4232" ht="15" customHeight="1">
      <c r="A4232" t="inlineStr">
        <is>
          <t>A 61918-2023</t>
        </is>
      </c>
      <c r="B4232" s="1" t="n">
        <v>45266.48171296297</v>
      </c>
      <c r="C4232" s="1" t="n">
        <v>45883</v>
      </c>
      <c r="D4232" t="inlineStr">
        <is>
          <t>GÄVLEBORGS LÄN</t>
        </is>
      </c>
      <c r="E4232" t="inlineStr">
        <is>
          <t>GÄVLE</t>
        </is>
      </c>
      <c r="G4232" t="n">
        <v>5.3</v>
      </c>
      <c r="H4232" t="n">
        <v>0</v>
      </c>
      <c r="I4232" t="n">
        <v>0</v>
      </c>
      <c r="J4232" t="n">
        <v>0</v>
      </c>
      <c r="K4232" t="n">
        <v>0</v>
      </c>
      <c r="L4232" t="n">
        <v>0</v>
      </c>
      <c r="M4232" t="n">
        <v>0</v>
      </c>
      <c r="N4232" t="n">
        <v>0</v>
      </c>
      <c r="O4232" t="n">
        <v>0</v>
      </c>
      <c r="P4232" t="n">
        <v>0</v>
      </c>
      <c r="Q4232" t="n">
        <v>0</v>
      </c>
      <c r="R4232" s="2" t="inlineStr"/>
    </row>
    <row r="4233" ht="15" customHeight="1">
      <c r="A4233" t="inlineStr">
        <is>
          <t>A 60491-2023</t>
        </is>
      </c>
      <c r="B4233" s="1" t="n">
        <v>45258</v>
      </c>
      <c r="C4233" s="1" t="n">
        <v>45883</v>
      </c>
      <c r="D4233" t="inlineStr">
        <is>
          <t>GÄVLEBORGS LÄN</t>
        </is>
      </c>
      <c r="E4233" t="inlineStr">
        <is>
          <t>BOLLNÄS</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17245-2024</t>
        </is>
      </c>
      <c r="B4234" s="1" t="n">
        <v>45414</v>
      </c>
      <c r="C4234" s="1" t="n">
        <v>45883</v>
      </c>
      <c r="D4234" t="inlineStr">
        <is>
          <t>GÄVLEBORGS LÄN</t>
        </is>
      </c>
      <c r="E4234" t="inlineStr">
        <is>
          <t>GÄVLE</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2458-2024</t>
        </is>
      </c>
      <c r="B4235" s="1" t="n">
        <v>45312.89796296296</v>
      </c>
      <c r="C4235" s="1" t="n">
        <v>45883</v>
      </c>
      <c r="D4235" t="inlineStr">
        <is>
          <t>GÄVLEBORGS LÄN</t>
        </is>
      </c>
      <c r="E4235" t="inlineStr">
        <is>
          <t>GÄVLE</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42657-2024</t>
        </is>
      </c>
      <c r="B4236" s="1" t="n">
        <v>45566.33591435185</v>
      </c>
      <c r="C4236" s="1" t="n">
        <v>45883</v>
      </c>
      <c r="D4236" t="inlineStr">
        <is>
          <t>GÄVLEBORGS LÄN</t>
        </is>
      </c>
      <c r="E4236" t="inlineStr">
        <is>
          <t>HUDIKSVALL</t>
        </is>
      </c>
      <c r="F4236" t="inlineStr">
        <is>
          <t>Holmen skog AB</t>
        </is>
      </c>
      <c r="G4236" t="n">
        <v>10</v>
      </c>
      <c r="H4236" t="n">
        <v>0</v>
      </c>
      <c r="I4236" t="n">
        <v>0</v>
      </c>
      <c r="J4236" t="n">
        <v>0</v>
      </c>
      <c r="K4236" t="n">
        <v>0</v>
      </c>
      <c r="L4236" t="n">
        <v>0</v>
      </c>
      <c r="M4236" t="n">
        <v>0</v>
      </c>
      <c r="N4236" t="n">
        <v>0</v>
      </c>
      <c r="O4236" t="n">
        <v>0</v>
      </c>
      <c r="P4236" t="n">
        <v>0</v>
      </c>
      <c r="Q4236" t="n">
        <v>0</v>
      </c>
      <c r="R4236" s="2" t="inlineStr"/>
    </row>
    <row r="4237" ht="15" customHeight="1">
      <c r="A4237" t="inlineStr">
        <is>
          <t>A 58876-2024</t>
        </is>
      </c>
      <c r="B4237" s="1" t="n">
        <v>45636.44318287037</v>
      </c>
      <c r="C4237" s="1" t="n">
        <v>45883</v>
      </c>
      <c r="D4237" t="inlineStr">
        <is>
          <t>GÄVLEBORGS LÄN</t>
        </is>
      </c>
      <c r="E4237" t="inlineStr">
        <is>
          <t>NORDANSTIG</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58877-2024</t>
        </is>
      </c>
      <c r="B4238" s="1" t="n">
        <v>45636.44435185185</v>
      </c>
      <c r="C4238" s="1" t="n">
        <v>45883</v>
      </c>
      <c r="D4238" t="inlineStr">
        <is>
          <t>GÄVLEBORGS LÄN</t>
        </is>
      </c>
      <c r="E4238" t="inlineStr">
        <is>
          <t>BOLLNÄS</t>
        </is>
      </c>
      <c r="G4238" t="n">
        <v>4.9</v>
      </c>
      <c r="H4238" t="n">
        <v>0</v>
      </c>
      <c r="I4238" t="n">
        <v>0</v>
      </c>
      <c r="J4238" t="n">
        <v>0</v>
      </c>
      <c r="K4238" t="n">
        <v>0</v>
      </c>
      <c r="L4238" t="n">
        <v>0</v>
      </c>
      <c r="M4238" t="n">
        <v>0</v>
      </c>
      <c r="N4238" t="n">
        <v>0</v>
      </c>
      <c r="O4238" t="n">
        <v>0</v>
      </c>
      <c r="P4238" t="n">
        <v>0</v>
      </c>
      <c r="Q4238" t="n">
        <v>0</v>
      </c>
      <c r="R4238" s="2" t="inlineStr"/>
    </row>
    <row r="4239" ht="15" customHeight="1">
      <c r="A4239" t="inlineStr">
        <is>
          <t>A 39749-2020</t>
        </is>
      </c>
      <c r="B4239" s="1" t="n">
        <v>44067</v>
      </c>
      <c r="C4239" s="1" t="n">
        <v>45883</v>
      </c>
      <c r="D4239" t="inlineStr">
        <is>
          <t>GÄVLEBORGS LÄN</t>
        </is>
      </c>
      <c r="E4239" t="inlineStr">
        <is>
          <t>HUDIKSVALL</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59931-2023</t>
        </is>
      </c>
      <c r="B4240" s="1" t="n">
        <v>45257.66400462963</v>
      </c>
      <c r="C4240" s="1" t="n">
        <v>45883</v>
      </c>
      <c r="D4240" t="inlineStr">
        <is>
          <t>GÄVLEBORGS LÄN</t>
        </is>
      </c>
      <c r="E4240" t="inlineStr">
        <is>
          <t>LJUSDAL</t>
        </is>
      </c>
      <c r="G4240" t="n">
        <v>4.2</v>
      </c>
      <c r="H4240" t="n">
        <v>0</v>
      </c>
      <c r="I4240" t="n">
        <v>0</v>
      </c>
      <c r="J4240" t="n">
        <v>0</v>
      </c>
      <c r="K4240" t="n">
        <v>0</v>
      </c>
      <c r="L4240" t="n">
        <v>0</v>
      </c>
      <c r="M4240" t="n">
        <v>0</v>
      </c>
      <c r="N4240" t="n">
        <v>0</v>
      </c>
      <c r="O4240" t="n">
        <v>0</v>
      </c>
      <c r="P4240" t="n">
        <v>0</v>
      </c>
      <c r="Q4240" t="n">
        <v>0</v>
      </c>
      <c r="R4240" s="2" t="inlineStr"/>
    </row>
    <row r="4241" ht="15" customHeight="1">
      <c r="A4241" t="inlineStr">
        <is>
          <t>A 42796-2024</t>
        </is>
      </c>
      <c r="B4241" s="1" t="n">
        <v>45566.55170138889</v>
      </c>
      <c r="C4241" s="1" t="n">
        <v>45883</v>
      </c>
      <c r="D4241" t="inlineStr">
        <is>
          <t>GÄVLEBORGS LÄN</t>
        </is>
      </c>
      <c r="E4241" t="inlineStr">
        <is>
          <t>NORDANSTIG</t>
        </is>
      </c>
      <c r="G4241" t="n">
        <v>4.4</v>
      </c>
      <c r="H4241" t="n">
        <v>0</v>
      </c>
      <c r="I4241" t="n">
        <v>0</v>
      </c>
      <c r="J4241" t="n">
        <v>0</v>
      </c>
      <c r="K4241" t="n">
        <v>0</v>
      </c>
      <c r="L4241" t="n">
        <v>0</v>
      </c>
      <c r="M4241" t="n">
        <v>0</v>
      </c>
      <c r="N4241" t="n">
        <v>0</v>
      </c>
      <c r="O4241" t="n">
        <v>0</v>
      </c>
      <c r="P4241" t="n">
        <v>0</v>
      </c>
      <c r="Q4241" t="n">
        <v>0</v>
      </c>
      <c r="R4241" s="2" t="inlineStr"/>
    </row>
    <row r="4242" ht="15" customHeight="1">
      <c r="A4242" t="inlineStr">
        <is>
          <t>A 39047-2024</t>
        </is>
      </c>
      <c r="B4242" s="1" t="n">
        <v>45548</v>
      </c>
      <c r="C4242" s="1" t="n">
        <v>45883</v>
      </c>
      <c r="D4242" t="inlineStr">
        <is>
          <t>GÄVLEBORGS LÄN</t>
        </is>
      </c>
      <c r="E4242" t="inlineStr">
        <is>
          <t>SANDVIKEN</t>
        </is>
      </c>
      <c r="F4242" t="inlineStr">
        <is>
          <t>Sveaskog</t>
        </is>
      </c>
      <c r="G4242" t="n">
        <v>12.9</v>
      </c>
      <c r="H4242" t="n">
        <v>0</v>
      </c>
      <c r="I4242" t="n">
        <v>0</v>
      </c>
      <c r="J4242" t="n">
        <v>0</v>
      </c>
      <c r="K4242" t="n">
        <v>0</v>
      </c>
      <c r="L4242" t="n">
        <v>0</v>
      </c>
      <c r="M4242" t="n">
        <v>0</v>
      </c>
      <c r="N4242" t="n">
        <v>0</v>
      </c>
      <c r="O4242" t="n">
        <v>0</v>
      </c>
      <c r="P4242" t="n">
        <v>0</v>
      </c>
      <c r="Q4242" t="n">
        <v>0</v>
      </c>
      <c r="R4242" s="2" t="inlineStr"/>
    </row>
    <row r="4243" ht="15" customHeight="1">
      <c r="A4243" t="inlineStr">
        <is>
          <t>A 16636-2025</t>
        </is>
      </c>
      <c r="B4243" s="1" t="n">
        <v>45754</v>
      </c>
      <c r="C4243" s="1" t="n">
        <v>45883</v>
      </c>
      <c r="D4243" t="inlineStr">
        <is>
          <t>GÄVLEBORGS LÄN</t>
        </is>
      </c>
      <c r="E4243" t="inlineStr">
        <is>
          <t>BOLLNÄS</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18976-2025</t>
        </is>
      </c>
      <c r="B4244" s="1" t="n">
        <v>45764.54430555556</v>
      </c>
      <c r="C4244" s="1" t="n">
        <v>45883</v>
      </c>
      <c r="D4244" t="inlineStr">
        <is>
          <t>GÄVLEBORGS LÄN</t>
        </is>
      </c>
      <c r="E4244" t="inlineStr">
        <is>
          <t>OCKELBO</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49455-2024</t>
        </is>
      </c>
      <c r="B4245" s="1" t="n">
        <v>45596.27561342593</v>
      </c>
      <c r="C4245" s="1" t="n">
        <v>45883</v>
      </c>
      <c r="D4245" t="inlineStr">
        <is>
          <t>GÄVLEBORGS LÄN</t>
        </is>
      </c>
      <c r="E4245" t="inlineStr">
        <is>
          <t>NORDANSTIG</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18135-2025</t>
        </is>
      </c>
      <c r="B4246" s="1" t="n">
        <v>45761.60195601852</v>
      </c>
      <c r="C4246" s="1" t="n">
        <v>45883</v>
      </c>
      <c r="D4246" t="inlineStr">
        <is>
          <t>GÄVLEBORGS LÄN</t>
        </is>
      </c>
      <c r="E4246" t="inlineStr">
        <is>
          <t>SÖDERHAMN</t>
        </is>
      </c>
      <c r="G4246" t="n">
        <v>6.8</v>
      </c>
      <c r="H4246" t="n">
        <v>0</v>
      </c>
      <c r="I4246" t="n">
        <v>0</v>
      </c>
      <c r="J4246" t="n">
        <v>0</v>
      </c>
      <c r="K4246" t="n">
        <v>0</v>
      </c>
      <c r="L4246" t="n">
        <v>0</v>
      </c>
      <c r="M4246" t="n">
        <v>0</v>
      </c>
      <c r="N4246" t="n">
        <v>0</v>
      </c>
      <c r="O4246" t="n">
        <v>0</v>
      </c>
      <c r="P4246" t="n">
        <v>0</v>
      </c>
      <c r="Q4246" t="n">
        <v>0</v>
      </c>
      <c r="R4246" s="2" t="inlineStr"/>
    </row>
    <row r="4247" ht="15" customHeight="1">
      <c r="A4247" t="inlineStr">
        <is>
          <t>A 16895-2025</t>
        </is>
      </c>
      <c r="B4247" s="1" t="n">
        <v>45755.33472222222</v>
      </c>
      <c r="C4247" s="1" t="n">
        <v>45883</v>
      </c>
      <c r="D4247" t="inlineStr">
        <is>
          <t>GÄVLEBORGS LÄN</t>
        </is>
      </c>
      <c r="E4247" t="inlineStr">
        <is>
          <t>GÄVLE</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35233-2024</t>
        </is>
      </c>
      <c r="B4248" s="1" t="n">
        <v>45530.53810185185</v>
      </c>
      <c r="C4248" s="1" t="n">
        <v>45883</v>
      </c>
      <c r="D4248" t="inlineStr">
        <is>
          <t>GÄVLEBORGS LÄN</t>
        </is>
      </c>
      <c r="E4248" t="inlineStr">
        <is>
          <t>GÄVLE</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61820-2024</t>
        </is>
      </c>
      <c r="B4249" s="1" t="n">
        <v>45649</v>
      </c>
      <c r="C4249" s="1" t="n">
        <v>45883</v>
      </c>
      <c r="D4249" t="inlineStr">
        <is>
          <t>GÄVLEBORGS LÄN</t>
        </is>
      </c>
      <c r="E4249" t="inlineStr">
        <is>
          <t>SANDVIKEN</t>
        </is>
      </c>
      <c r="G4249" t="n">
        <v>11.1</v>
      </c>
      <c r="H4249" t="n">
        <v>0</v>
      </c>
      <c r="I4249" t="n">
        <v>0</v>
      </c>
      <c r="J4249" t="n">
        <v>0</v>
      </c>
      <c r="K4249" t="n">
        <v>0</v>
      </c>
      <c r="L4249" t="n">
        <v>0</v>
      </c>
      <c r="M4249" t="n">
        <v>0</v>
      </c>
      <c r="N4249" t="n">
        <v>0</v>
      </c>
      <c r="O4249" t="n">
        <v>0</v>
      </c>
      <c r="P4249" t="n">
        <v>0</v>
      </c>
      <c r="Q4249" t="n">
        <v>0</v>
      </c>
      <c r="R4249" s="2" t="inlineStr"/>
    </row>
    <row r="4250" ht="15" customHeight="1">
      <c r="A4250" t="inlineStr">
        <is>
          <t>A 8137-2023</t>
        </is>
      </c>
      <c r="B4250" s="1" t="n">
        <v>44974.44017361111</v>
      </c>
      <c r="C4250" s="1" t="n">
        <v>45883</v>
      </c>
      <c r="D4250" t="inlineStr">
        <is>
          <t>GÄVLEBORGS LÄN</t>
        </is>
      </c>
      <c r="E4250" t="inlineStr">
        <is>
          <t>HUDIKSVALL</t>
        </is>
      </c>
      <c r="G4250" t="n">
        <v>0.4</v>
      </c>
      <c r="H4250" t="n">
        <v>0</v>
      </c>
      <c r="I4250" t="n">
        <v>0</v>
      </c>
      <c r="J4250" t="n">
        <v>0</v>
      </c>
      <c r="K4250" t="n">
        <v>0</v>
      </c>
      <c r="L4250" t="n">
        <v>0</v>
      </c>
      <c r="M4250" t="n">
        <v>0</v>
      </c>
      <c r="N4250" t="n">
        <v>0</v>
      </c>
      <c r="O4250" t="n">
        <v>0</v>
      </c>
      <c r="P4250" t="n">
        <v>0</v>
      </c>
      <c r="Q4250" t="n">
        <v>0</v>
      </c>
      <c r="R4250" s="2" t="inlineStr"/>
    </row>
    <row r="4251" ht="15" customHeight="1">
      <c r="A4251" t="inlineStr">
        <is>
          <t>A 41451-2023</t>
        </is>
      </c>
      <c r="B4251" s="1" t="n">
        <v>45175.38716435185</v>
      </c>
      <c r="C4251" s="1" t="n">
        <v>45883</v>
      </c>
      <c r="D4251" t="inlineStr">
        <is>
          <t>GÄVLEBORGS LÄN</t>
        </is>
      </c>
      <c r="E4251" t="inlineStr">
        <is>
          <t>OVANÅKER</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10327-2024</t>
        </is>
      </c>
      <c r="B4252" s="1" t="n">
        <v>45365.55339120371</v>
      </c>
      <c r="C4252" s="1" t="n">
        <v>45883</v>
      </c>
      <c r="D4252" t="inlineStr">
        <is>
          <t>GÄVLEBORGS LÄN</t>
        </is>
      </c>
      <c r="E4252" t="inlineStr">
        <is>
          <t>SÖDERHAMN</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2885-2023</t>
        </is>
      </c>
      <c r="B4253" s="1" t="n">
        <v>44945</v>
      </c>
      <c r="C4253" s="1" t="n">
        <v>45883</v>
      </c>
      <c r="D4253" t="inlineStr">
        <is>
          <t>GÄVLEBORGS LÄN</t>
        </is>
      </c>
      <c r="E4253" t="inlineStr">
        <is>
          <t>BOLLNÄS</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12629-2025</t>
        </is>
      </c>
      <c r="B4254" s="1" t="n">
        <v>45733.369375</v>
      </c>
      <c r="C4254" s="1" t="n">
        <v>45883</v>
      </c>
      <c r="D4254" t="inlineStr">
        <is>
          <t>GÄVLEBORGS LÄN</t>
        </is>
      </c>
      <c r="E4254" t="inlineStr">
        <is>
          <t>SANDVIKEN</t>
        </is>
      </c>
      <c r="F4254" t="inlineStr">
        <is>
          <t>Bergvik skog öst AB</t>
        </is>
      </c>
      <c r="G4254" t="n">
        <v>4.8</v>
      </c>
      <c r="H4254" t="n">
        <v>0</v>
      </c>
      <c r="I4254" t="n">
        <v>0</v>
      </c>
      <c r="J4254" t="n">
        <v>0</v>
      </c>
      <c r="K4254" t="n">
        <v>0</v>
      </c>
      <c r="L4254" t="n">
        <v>0</v>
      </c>
      <c r="M4254" t="n">
        <v>0</v>
      </c>
      <c r="N4254" t="n">
        <v>0</v>
      </c>
      <c r="O4254" t="n">
        <v>0</v>
      </c>
      <c r="P4254" t="n">
        <v>0</v>
      </c>
      <c r="Q4254" t="n">
        <v>0</v>
      </c>
      <c r="R4254" s="2" t="inlineStr"/>
    </row>
    <row r="4255" ht="15" customHeight="1">
      <c r="A4255" t="inlineStr">
        <is>
          <t>A 17113-2024</t>
        </is>
      </c>
      <c r="B4255" s="1" t="n">
        <v>45412</v>
      </c>
      <c r="C4255" s="1" t="n">
        <v>45883</v>
      </c>
      <c r="D4255" t="inlineStr">
        <is>
          <t>GÄVLEBORGS LÄN</t>
        </is>
      </c>
      <c r="E4255" t="inlineStr">
        <is>
          <t>GÄVLE</t>
        </is>
      </c>
      <c r="G4255" t="n">
        <v>3.4</v>
      </c>
      <c r="H4255" t="n">
        <v>0</v>
      </c>
      <c r="I4255" t="n">
        <v>0</v>
      </c>
      <c r="J4255" t="n">
        <v>0</v>
      </c>
      <c r="K4255" t="n">
        <v>0</v>
      </c>
      <c r="L4255" t="n">
        <v>0</v>
      </c>
      <c r="M4255" t="n">
        <v>0</v>
      </c>
      <c r="N4255" t="n">
        <v>0</v>
      </c>
      <c r="O4255" t="n">
        <v>0</v>
      </c>
      <c r="P4255" t="n">
        <v>0</v>
      </c>
      <c r="Q4255" t="n">
        <v>0</v>
      </c>
      <c r="R4255" s="2" t="inlineStr"/>
    </row>
    <row r="4256" ht="15" customHeight="1">
      <c r="A4256" t="inlineStr">
        <is>
          <t>A 24992-2023</t>
        </is>
      </c>
      <c r="B4256" s="1" t="n">
        <v>45085.64475694444</v>
      </c>
      <c r="C4256" s="1" t="n">
        <v>45883</v>
      </c>
      <c r="D4256" t="inlineStr">
        <is>
          <t>GÄVLEBORGS LÄN</t>
        </is>
      </c>
      <c r="E4256" t="inlineStr">
        <is>
          <t>SANDVIKEN</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46502-2024</t>
        </is>
      </c>
      <c r="B4257" s="1" t="n">
        <v>45582.60079861111</v>
      </c>
      <c r="C4257" s="1" t="n">
        <v>45883</v>
      </c>
      <c r="D4257" t="inlineStr">
        <is>
          <t>GÄVLEBORGS LÄN</t>
        </is>
      </c>
      <c r="E4257" t="inlineStr">
        <is>
          <t>LJUSDAL</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6581-2022</t>
        </is>
      </c>
      <c r="B4258" s="1" t="n">
        <v>44601.62753472223</v>
      </c>
      <c r="C4258" s="1" t="n">
        <v>45883</v>
      </c>
      <c r="D4258" t="inlineStr">
        <is>
          <t>GÄVLEBORGS LÄN</t>
        </is>
      </c>
      <c r="E4258" t="inlineStr">
        <is>
          <t>NORDANSTIG</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57400-2024</t>
        </is>
      </c>
      <c r="B4259" s="1" t="n">
        <v>45629.71085648148</v>
      </c>
      <c r="C4259" s="1" t="n">
        <v>45883</v>
      </c>
      <c r="D4259" t="inlineStr">
        <is>
          <t>GÄVLEBORGS LÄN</t>
        </is>
      </c>
      <c r="E4259" t="inlineStr">
        <is>
          <t>HOFORS</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624-2025</t>
        </is>
      </c>
      <c r="B4260" s="1" t="n">
        <v>45664</v>
      </c>
      <c r="C4260" s="1" t="n">
        <v>45883</v>
      </c>
      <c r="D4260" t="inlineStr">
        <is>
          <t>GÄVLEBORGS LÄN</t>
        </is>
      </c>
      <c r="E4260" t="inlineStr">
        <is>
          <t>HUDIKSVALL</t>
        </is>
      </c>
      <c r="F4260" t="inlineStr">
        <is>
          <t>Holmen skog AB</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13885-2025</t>
        </is>
      </c>
      <c r="B4261" s="1" t="n">
        <v>45737.6065625</v>
      </c>
      <c r="C4261" s="1" t="n">
        <v>45883</v>
      </c>
      <c r="D4261" t="inlineStr">
        <is>
          <t>GÄVLEBORGS LÄN</t>
        </is>
      </c>
      <c r="E4261" t="inlineStr">
        <is>
          <t>LJUSDAL</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22577-2022</t>
        </is>
      </c>
      <c r="B4262" s="1" t="n">
        <v>44713</v>
      </c>
      <c r="C4262" s="1" t="n">
        <v>45883</v>
      </c>
      <c r="D4262" t="inlineStr">
        <is>
          <t>GÄVLEBORGS LÄN</t>
        </is>
      </c>
      <c r="E4262" t="inlineStr">
        <is>
          <t>GÄVLE</t>
        </is>
      </c>
      <c r="F4262" t="inlineStr">
        <is>
          <t>Bergvik skog väst AB</t>
        </is>
      </c>
      <c r="G4262" t="n">
        <v>10</v>
      </c>
      <c r="H4262" t="n">
        <v>0</v>
      </c>
      <c r="I4262" t="n">
        <v>0</v>
      </c>
      <c r="J4262" t="n">
        <v>0</v>
      </c>
      <c r="K4262" t="n">
        <v>0</v>
      </c>
      <c r="L4262" t="n">
        <v>0</v>
      </c>
      <c r="M4262" t="n">
        <v>0</v>
      </c>
      <c r="N4262" t="n">
        <v>0</v>
      </c>
      <c r="O4262" t="n">
        <v>0</v>
      </c>
      <c r="P4262" t="n">
        <v>0</v>
      </c>
      <c r="Q4262" t="n">
        <v>0</v>
      </c>
      <c r="R4262" s="2" t="inlineStr"/>
    </row>
    <row r="4263" ht="15" customHeight="1">
      <c r="A4263" t="inlineStr">
        <is>
          <t>A 59425-2022</t>
        </is>
      </c>
      <c r="B4263" s="1" t="n">
        <v>44907</v>
      </c>
      <c r="C4263" s="1" t="n">
        <v>45883</v>
      </c>
      <c r="D4263" t="inlineStr">
        <is>
          <t>GÄVLEBORGS LÄN</t>
        </is>
      </c>
      <c r="E4263" t="inlineStr">
        <is>
          <t>NORDANSTIG</t>
        </is>
      </c>
      <c r="F4263" t="inlineStr">
        <is>
          <t>Holmen skog AB</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58821-2024</t>
        </is>
      </c>
      <c r="B4264" s="1" t="n">
        <v>45636.36251157407</v>
      </c>
      <c r="C4264" s="1" t="n">
        <v>45883</v>
      </c>
      <c r="D4264" t="inlineStr">
        <is>
          <t>GÄVLEBORGS LÄN</t>
        </is>
      </c>
      <c r="E4264" t="inlineStr">
        <is>
          <t>SÖDERHAMN</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48435-2024</t>
        </is>
      </c>
      <c r="B4265" s="1" t="n">
        <v>45590.66225694444</v>
      </c>
      <c r="C4265" s="1" t="n">
        <v>45883</v>
      </c>
      <c r="D4265" t="inlineStr">
        <is>
          <t>GÄVLEBORGS LÄN</t>
        </is>
      </c>
      <c r="E4265" t="inlineStr">
        <is>
          <t>SANDVIKEN</t>
        </is>
      </c>
      <c r="G4265" t="n">
        <v>6.7</v>
      </c>
      <c r="H4265" t="n">
        <v>0</v>
      </c>
      <c r="I4265" t="n">
        <v>0</v>
      </c>
      <c r="J4265" t="n">
        <v>0</v>
      </c>
      <c r="K4265" t="n">
        <v>0</v>
      </c>
      <c r="L4265" t="n">
        <v>0</v>
      </c>
      <c r="M4265" t="n">
        <v>0</v>
      </c>
      <c r="N4265" t="n">
        <v>0</v>
      </c>
      <c r="O4265" t="n">
        <v>0</v>
      </c>
      <c r="P4265" t="n">
        <v>0</v>
      </c>
      <c r="Q4265" t="n">
        <v>0</v>
      </c>
      <c r="R4265" s="2" t="inlineStr"/>
    </row>
    <row r="4266" ht="15" customHeight="1">
      <c r="A4266" t="inlineStr">
        <is>
          <t>A 51868-2020</t>
        </is>
      </c>
      <c r="B4266" s="1" t="n">
        <v>44116</v>
      </c>
      <c r="C4266" s="1" t="n">
        <v>45883</v>
      </c>
      <c r="D4266" t="inlineStr">
        <is>
          <t>GÄVLEBORGS LÄN</t>
        </is>
      </c>
      <c r="E4266" t="inlineStr">
        <is>
          <t>SANDVIKEN</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60428-2024</t>
        </is>
      </c>
      <c r="B4267" s="1" t="n">
        <v>45643</v>
      </c>
      <c r="C4267" s="1" t="n">
        <v>45883</v>
      </c>
      <c r="D4267" t="inlineStr">
        <is>
          <t>GÄVLEBORGS LÄN</t>
        </is>
      </c>
      <c r="E4267" t="inlineStr">
        <is>
          <t>BOLLNÄS</t>
        </is>
      </c>
      <c r="G4267" t="n">
        <v>5.5</v>
      </c>
      <c r="H4267" t="n">
        <v>0</v>
      </c>
      <c r="I4267" t="n">
        <v>0</v>
      </c>
      <c r="J4267" t="n">
        <v>0</v>
      </c>
      <c r="K4267" t="n">
        <v>0</v>
      </c>
      <c r="L4267" t="n">
        <v>0</v>
      </c>
      <c r="M4267" t="n">
        <v>0</v>
      </c>
      <c r="N4267" t="n">
        <v>0</v>
      </c>
      <c r="O4267" t="n">
        <v>0</v>
      </c>
      <c r="P4267" t="n">
        <v>0</v>
      </c>
      <c r="Q4267" t="n">
        <v>0</v>
      </c>
      <c r="R4267" s="2" t="inlineStr"/>
    </row>
    <row r="4268" ht="15" customHeight="1">
      <c r="A4268" t="inlineStr">
        <is>
          <t>A 56738-2023</t>
        </is>
      </c>
      <c r="B4268" s="1" t="n">
        <v>45244.35681712963</v>
      </c>
      <c r="C4268" s="1" t="n">
        <v>45883</v>
      </c>
      <c r="D4268" t="inlineStr">
        <is>
          <t>GÄVLEBORGS LÄN</t>
        </is>
      </c>
      <c r="E4268" t="inlineStr">
        <is>
          <t>HUDIKSVALL</t>
        </is>
      </c>
      <c r="F4268" t="inlineStr">
        <is>
          <t>Holmen skog AB</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18829-2024</t>
        </is>
      </c>
      <c r="B4269" s="1" t="n">
        <v>45426.64759259259</v>
      </c>
      <c r="C4269" s="1" t="n">
        <v>45883</v>
      </c>
      <c r="D4269" t="inlineStr">
        <is>
          <t>GÄVLEBORGS LÄN</t>
        </is>
      </c>
      <c r="E4269" t="inlineStr">
        <is>
          <t>HUDIKSVALL</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56755-2023</t>
        </is>
      </c>
      <c r="B4270" s="1" t="n">
        <v>45244.37376157408</v>
      </c>
      <c r="C4270" s="1" t="n">
        <v>45883</v>
      </c>
      <c r="D4270" t="inlineStr">
        <is>
          <t>GÄVLEBORGS LÄN</t>
        </is>
      </c>
      <c r="E4270" t="inlineStr">
        <is>
          <t>HUDIKSVALL</t>
        </is>
      </c>
      <c r="F4270" t="inlineStr">
        <is>
          <t>Holmen skog AB</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54713-2024</t>
        </is>
      </c>
      <c r="B4271" s="1" t="n">
        <v>45618.42712962963</v>
      </c>
      <c r="C4271" s="1" t="n">
        <v>45883</v>
      </c>
      <c r="D4271" t="inlineStr">
        <is>
          <t>GÄVLEBORGS LÄN</t>
        </is>
      </c>
      <c r="E4271" t="inlineStr">
        <is>
          <t>NORDANSTIG</t>
        </is>
      </c>
      <c r="F4271" t="inlineStr">
        <is>
          <t>Holmen skog AB</t>
        </is>
      </c>
      <c r="G4271" t="n">
        <v>5.7</v>
      </c>
      <c r="H4271" t="n">
        <v>0</v>
      </c>
      <c r="I4271" t="n">
        <v>0</v>
      </c>
      <c r="J4271" t="n">
        <v>0</v>
      </c>
      <c r="K4271" t="n">
        <v>0</v>
      </c>
      <c r="L4271" t="n">
        <v>0</v>
      </c>
      <c r="M4271" t="n">
        <v>0</v>
      </c>
      <c r="N4271" t="n">
        <v>0</v>
      </c>
      <c r="O4271" t="n">
        <v>0</v>
      </c>
      <c r="P4271" t="n">
        <v>0</v>
      </c>
      <c r="Q4271" t="n">
        <v>0</v>
      </c>
      <c r="R4271" s="2" t="inlineStr"/>
    </row>
    <row r="4272" ht="15" customHeight="1">
      <c r="A4272" t="inlineStr">
        <is>
          <t>A 68735-2020</t>
        </is>
      </c>
      <c r="B4272" s="1" t="n">
        <v>44187</v>
      </c>
      <c r="C4272" s="1" t="n">
        <v>45883</v>
      </c>
      <c r="D4272" t="inlineStr">
        <is>
          <t>GÄVLEBORGS LÄN</t>
        </is>
      </c>
      <c r="E4272" t="inlineStr">
        <is>
          <t>BOLLNÄS</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5241-2024</t>
        </is>
      </c>
      <c r="B4273" s="1" t="n">
        <v>45330.86684027778</v>
      </c>
      <c r="C4273" s="1" t="n">
        <v>45883</v>
      </c>
      <c r="D4273" t="inlineStr">
        <is>
          <t>GÄVLEBORGS LÄN</t>
        </is>
      </c>
      <c r="E4273" t="inlineStr">
        <is>
          <t>GÄVLE</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2909-2024</t>
        </is>
      </c>
      <c r="B4274" s="1" t="n">
        <v>45315</v>
      </c>
      <c r="C4274" s="1" t="n">
        <v>45883</v>
      </c>
      <c r="D4274" t="inlineStr">
        <is>
          <t>GÄVLEBORGS LÄN</t>
        </is>
      </c>
      <c r="E4274" t="inlineStr">
        <is>
          <t>LJUSDAL</t>
        </is>
      </c>
      <c r="G4274" t="n">
        <v>4.2</v>
      </c>
      <c r="H4274" t="n">
        <v>0</v>
      </c>
      <c r="I4274" t="n">
        <v>0</v>
      </c>
      <c r="J4274" t="n">
        <v>0</v>
      </c>
      <c r="K4274" t="n">
        <v>0</v>
      </c>
      <c r="L4274" t="n">
        <v>0</v>
      </c>
      <c r="M4274" t="n">
        <v>0</v>
      </c>
      <c r="N4274" t="n">
        <v>0</v>
      </c>
      <c r="O4274" t="n">
        <v>0</v>
      </c>
      <c r="P4274" t="n">
        <v>0</v>
      </c>
      <c r="Q4274" t="n">
        <v>0</v>
      </c>
      <c r="R4274" s="2" t="inlineStr"/>
    </row>
    <row r="4275" ht="15" customHeight="1">
      <c r="A4275" t="inlineStr">
        <is>
          <t>A 18701-2024</t>
        </is>
      </c>
      <c r="B4275" s="1" t="n">
        <v>45426.43263888889</v>
      </c>
      <c r="C4275" s="1" t="n">
        <v>45883</v>
      </c>
      <c r="D4275" t="inlineStr">
        <is>
          <t>GÄVLEBORGS LÄN</t>
        </is>
      </c>
      <c r="E4275" t="inlineStr">
        <is>
          <t>NORDANSTIG</t>
        </is>
      </c>
      <c r="F4275" t="inlineStr">
        <is>
          <t>Holmen skog AB</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32164-2024</t>
        </is>
      </c>
      <c r="B4276" s="1" t="n">
        <v>45511.59428240741</v>
      </c>
      <c r="C4276" s="1" t="n">
        <v>45883</v>
      </c>
      <c r="D4276" t="inlineStr">
        <is>
          <t>GÄVLEBORGS LÄN</t>
        </is>
      </c>
      <c r="E4276" t="inlineStr">
        <is>
          <t>LJUSDAL</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59353-2024</t>
        </is>
      </c>
      <c r="B4277" s="1" t="n">
        <v>45638.30491898148</v>
      </c>
      <c r="C4277" s="1" t="n">
        <v>45883</v>
      </c>
      <c r="D4277" t="inlineStr">
        <is>
          <t>GÄVLEBORGS LÄN</t>
        </is>
      </c>
      <c r="E4277" t="inlineStr">
        <is>
          <t>OVANÅKER</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49980-2024</t>
        </is>
      </c>
      <c r="B4278" s="1" t="n">
        <v>45597.74361111111</v>
      </c>
      <c r="C4278" s="1" t="n">
        <v>45883</v>
      </c>
      <c r="D4278" t="inlineStr">
        <is>
          <t>GÄVLEBORGS LÄN</t>
        </is>
      </c>
      <c r="E4278" t="inlineStr">
        <is>
          <t>BOLLNÄS</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5405-2025</t>
        </is>
      </c>
      <c r="B4279" s="1" t="n">
        <v>45692</v>
      </c>
      <c r="C4279" s="1" t="n">
        <v>45883</v>
      </c>
      <c r="D4279" t="inlineStr">
        <is>
          <t>GÄVLEBORGS LÄN</t>
        </is>
      </c>
      <c r="E4279" t="inlineStr">
        <is>
          <t>HUDIKSVALL</t>
        </is>
      </c>
      <c r="F4279" t="inlineStr">
        <is>
          <t>Holmen skog AB</t>
        </is>
      </c>
      <c r="G4279" t="n">
        <v>48.2</v>
      </c>
      <c r="H4279" t="n">
        <v>0</v>
      </c>
      <c r="I4279" t="n">
        <v>0</v>
      </c>
      <c r="J4279" t="n">
        <v>0</v>
      </c>
      <c r="K4279" t="n">
        <v>0</v>
      </c>
      <c r="L4279" t="n">
        <v>0</v>
      </c>
      <c r="M4279" t="n">
        <v>0</v>
      </c>
      <c r="N4279" t="n">
        <v>0</v>
      </c>
      <c r="O4279" t="n">
        <v>0</v>
      </c>
      <c r="P4279" t="n">
        <v>0</v>
      </c>
      <c r="Q4279" t="n">
        <v>0</v>
      </c>
      <c r="R4279" s="2" t="inlineStr"/>
    </row>
    <row r="4280" ht="15" customHeight="1">
      <c r="A4280" t="inlineStr">
        <is>
          <t>A 59360-2024</t>
        </is>
      </c>
      <c r="B4280" s="1" t="n">
        <v>45638.32483796297</v>
      </c>
      <c r="C4280" s="1" t="n">
        <v>45883</v>
      </c>
      <c r="D4280" t="inlineStr">
        <is>
          <t>GÄVLEBORGS LÄN</t>
        </is>
      </c>
      <c r="E4280" t="inlineStr">
        <is>
          <t>BOLLNÄS</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13490-2024</t>
        </is>
      </c>
      <c r="B4281" s="1" t="n">
        <v>45387.61716435185</v>
      </c>
      <c r="C4281" s="1" t="n">
        <v>45883</v>
      </c>
      <c r="D4281" t="inlineStr">
        <is>
          <t>GÄVLEBORGS LÄN</t>
        </is>
      </c>
      <c r="E4281" t="inlineStr">
        <is>
          <t>HUDIKSVALL</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47580-2024</t>
        </is>
      </c>
      <c r="B4282" s="1" t="n">
        <v>45587.76090277778</v>
      </c>
      <c r="C4282" s="1" t="n">
        <v>45883</v>
      </c>
      <c r="D4282" t="inlineStr">
        <is>
          <t>GÄVLEBORGS LÄN</t>
        </is>
      </c>
      <c r="E4282" t="inlineStr">
        <is>
          <t>LJUSDAL</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28391-2024</t>
        </is>
      </c>
      <c r="B4283" s="1" t="n">
        <v>45477.60254629629</v>
      </c>
      <c r="C4283" s="1" t="n">
        <v>45883</v>
      </c>
      <c r="D4283" t="inlineStr">
        <is>
          <t>GÄVLEBORGS LÄN</t>
        </is>
      </c>
      <c r="E4283" t="inlineStr">
        <is>
          <t>HOFORS</t>
        </is>
      </c>
      <c r="F4283" t="inlineStr">
        <is>
          <t>Sveaskog</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48943-2024</t>
        </is>
      </c>
      <c r="B4284" s="1" t="n">
        <v>45594.42071759259</v>
      </c>
      <c r="C4284" s="1" t="n">
        <v>45883</v>
      </c>
      <c r="D4284" t="inlineStr">
        <is>
          <t>GÄVLEBORGS LÄN</t>
        </is>
      </c>
      <c r="E4284" t="inlineStr">
        <is>
          <t>SÖDERHAMN</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33588-2024</t>
        </is>
      </c>
      <c r="B4285" s="1" t="n">
        <v>45520.3509375</v>
      </c>
      <c r="C4285" s="1" t="n">
        <v>45883</v>
      </c>
      <c r="D4285" t="inlineStr">
        <is>
          <t>GÄVLEBORGS LÄN</t>
        </is>
      </c>
      <c r="E4285" t="inlineStr">
        <is>
          <t>HUDIKSVALL</t>
        </is>
      </c>
      <c r="F4285" t="inlineStr">
        <is>
          <t>Holmen skog AB</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6844-2024</t>
        </is>
      </c>
      <c r="B4286" s="1" t="n">
        <v>45342.62732638889</v>
      </c>
      <c r="C4286" s="1" t="n">
        <v>45883</v>
      </c>
      <c r="D4286" t="inlineStr">
        <is>
          <t>GÄVLEBORGS LÄN</t>
        </is>
      </c>
      <c r="E4286" t="inlineStr">
        <is>
          <t>LJUSDAL</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50469-2024</t>
        </is>
      </c>
      <c r="B4287" s="1" t="n">
        <v>45601.47113425926</v>
      </c>
      <c r="C4287" s="1" t="n">
        <v>45883</v>
      </c>
      <c r="D4287" t="inlineStr">
        <is>
          <t>GÄVLEBORGS LÄN</t>
        </is>
      </c>
      <c r="E4287" t="inlineStr">
        <is>
          <t>OVANÅKER</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32353-2023</t>
        </is>
      </c>
      <c r="B4288" s="1" t="n">
        <v>45120.51550925926</v>
      </c>
      <c r="C4288" s="1" t="n">
        <v>45883</v>
      </c>
      <c r="D4288" t="inlineStr">
        <is>
          <t>GÄVLEBORGS LÄN</t>
        </is>
      </c>
      <c r="E4288" t="inlineStr">
        <is>
          <t>GÄVLE</t>
        </is>
      </c>
      <c r="G4288" t="n">
        <v>3.7</v>
      </c>
      <c r="H4288" t="n">
        <v>0</v>
      </c>
      <c r="I4288" t="n">
        <v>0</v>
      </c>
      <c r="J4288" t="n">
        <v>0</v>
      </c>
      <c r="K4288" t="n">
        <v>0</v>
      </c>
      <c r="L4288" t="n">
        <v>0</v>
      </c>
      <c r="M4288" t="n">
        <v>0</v>
      </c>
      <c r="N4288" t="n">
        <v>0</v>
      </c>
      <c r="O4288" t="n">
        <v>0</v>
      </c>
      <c r="P4288" t="n">
        <v>0</v>
      </c>
      <c r="Q4288" t="n">
        <v>0</v>
      </c>
      <c r="R4288" s="2" t="inlineStr"/>
    </row>
    <row r="4289" ht="15" customHeight="1">
      <c r="A4289" t="inlineStr">
        <is>
          <t>A 48755-2024</t>
        </is>
      </c>
      <c r="B4289" s="1" t="n">
        <v>45593.59631944444</v>
      </c>
      <c r="C4289" s="1" t="n">
        <v>45883</v>
      </c>
      <c r="D4289" t="inlineStr">
        <is>
          <t>GÄVLEBORGS LÄN</t>
        </is>
      </c>
      <c r="E4289" t="inlineStr">
        <is>
          <t>OVANÅKER</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21300-2024</t>
        </is>
      </c>
      <c r="B4290" s="1" t="n">
        <v>45440.67074074074</v>
      </c>
      <c r="C4290" s="1" t="n">
        <v>45883</v>
      </c>
      <c r="D4290" t="inlineStr">
        <is>
          <t>GÄVLEBORGS LÄN</t>
        </is>
      </c>
      <c r="E4290" t="inlineStr">
        <is>
          <t>GÄVLE</t>
        </is>
      </c>
      <c r="G4290" t="n">
        <v>8.6</v>
      </c>
      <c r="H4290" t="n">
        <v>0</v>
      </c>
      <c r="I4290" t="n">
        <v>0</v>
      </c>
      <c r="J4290" t="n">
        <v>0</v>
      </c>
      <c r="K4290" t="n">
        <v>0</v>
      </c>
      <c r="L4290" t="n">
        <v>0</v>
      </c>
      <c r="M4290" t="n">
        <v>0</v>
      </c>
      <c r="N4290" t="n">
        <v>0</v>
      </c>
      <c r="O4290" t="n">
        <v>0</v>
      </c>
      <c r="P4290" t="n">
        <v>0</v>
      </c>
      <c r="Q4290" t="n">
        <v>0</v>
      </c>
      <c r="R4290" s="2" t="inlineStr"/>
    </row>
    <row r="4291" ht="15" customHeight="1">
      <c r="A4291" t="inlineStr">
        <is>
          <t>A 12381-2023</t>
        </is>
      </c>
      <c r="B4291" s="1" t="n">
        <v>44999.46983796296</v>
      </c>
      <c r="C4291" s="1" t="n">
        <v>45883</v>
      </c>
      <c r="D4291" t="inlineStr">
        <is>
          <t>GÄVLEBORGS LÄN</t>
        </is>
      </c>
      <c r="E4291" t="inlineStr">
        <is>
          <t>GÄVLE</t>
        </is>
      </c>
      <c r="G4291" t="n">
        <v>4</v>
      </c>
      <c r="H4291" t="n">
        <v>0</v>
      </c>
      <c r="I4291" t="n">
        <v>0</v>
      </c>
      <c r="J4291" t="n">
        <v>0</v>
      </c>
      <c r="K4291" t="n">
        <v>0</v>
      </c>
      <c r="L4291" t="n">
        <v>0</v>
      </c>
      <c r="M4291" t="n">
        <v>0</v>
      </c>
      <c r="N4291" t="n">
        <v>0</v>
      </c>
      <c r="O4291" t="n">
        <v>0</v>
      </c>
      <c r="P4291" t="n">
        <v>0</v>
      </c>
      <c r="Q4291" t="n">
        <v>0</v>
      </c>
      <c r="R4291" s="2" t="inlineStr"/>
    </row>
    <row r="4292" ht="15" customHeight="1">
      <c r="A4292" t="inlineStr">
        <is>
          <t>A 12454-2023</t>
        </is>
      </c>
      <c r="B4292" s="1" t="n">
        <v>44999.58185185185</v>
      </c>
      <c r="C4292" s="1" t="n">
        <v>45883</v>
      </c>
      <c r="D4292" t="inlineStr">
        <is>
          <t>GÄVLEBORGS LÄN</t>
        </is>
      </c>
      <c r="E4292" t="inlineStr">
        <is>
          <t>BOLLNÄS</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42726-2024</t>
        </is>
      </c>
      <c r="B4293" s="1" t="n">
        <v>45566</v>
      </c>
      <c r="C4293" s="1" t="n">
        <v>45883</v>
      </c>
      <c r="D4293" t="inlineStr">
        <is>
          <t>GÄVLEBORGS LÄN</t>
        </is>
      </c>
      <c r="E4293" t="inlineStr">
        <is>
          <t>LJUSDAL</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46827-2024</t>
        </is>
      </c>
      <c r="B4294" s="1" t="n">
        <v>45583</v>
      </c>
      <c r="C4294" s="1" t="n">
        <v>45883</v>
      </c>
      <c r="D4294" t="inlineStr">
        <is>
          <t>GÄVLEBORGS LÄN</t>
        </is>
      </c>
      <c r="E4294" t="inlineStr">
        <is>
          <t>HUDIKSVALL</t>
        </is>
      </c>
      <c r="F4294" t="inlineStr">
        <is>
          <t>Sveaskog</t>
        </is>
      </c>
      <c r="G4294" t="n">
        <v>5.9</v>
      </c>
      <c r="H4294" t="n">
        <v>0</v>
      </c>
      <c r="I4294" t="n">
        <v>0</v>
      </c>
      <c r="J4294" t="n">
        <v>0</v>
      </c>
      <c r="K4294" t="n">
        <v>0</v>
      </c>
      <c r="L4294" t="n">
        <v>0</v>
      </c>
      <c r="M4294" t="n">
        <v>0</v>
      </c>
      <c r="N4294" t="n">
        <v>0</v>
      </c>
      <c r="O4294" t="n">
        <v>0</v>
      </c>
      <c r="P4294" t="n">
        <v>0</v>
      </c>
      <c r="Q4294" t="n">
        <v>0</v>
      </c>
      <c r="R4294" s="2" t="inlineStr"/>
    </row>
    <row r="4295" ht="15" customHeight="1">
      <c r="A4295" t="inlineStr">
        <is>
          <t>A 30067-2023</t>
        </is>
      </c>
      <c r="B4295" s="1" t="n">
        <v>45110.42435185185</v>
      </c>
      <c r="C4295" s="1" t="n">
        <v>45883</v>
      </c>
      <c r="D4295" t="inlineStr">
        <is>
          <t>GÄVLEBORGS LÄN</t>
        </is>
      </c>
      <c r="E4295" t="inlineStr">
        <is>
          <t>BOLLNÄS</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62646-2023</t>
        </is>
      </c>
      <c r="B4296" s="1" t="n">
        <v>45271.42679398148</v>
      </c>
      <c r="C4296" s="1" t="n">
        <v>45883</v>
      </c>
      <c r="D4296" t="inlineStr">
        <is>
          <t>GÄVLEBORGS LÄN</t>
        </is>
      </c>
      <c r="E4296" t="inlineStr">
        <is>
          <t>NORDANSTIG</t>
        </is>
      </c>
      <c r="G4296" t="n">
        <v>4.1</v>
      </c>
      <c r="H4296" t="n">
        <v>0</v>
      </c>
      <c r="I4296" t="n">
        <v>0</v>
      </c>
      <c r="J4296" t="n">
        <v>0</v>
      </c>
      <c r="K4296" t="n">
        <v>0</v>
      </c>
      <c r="L4296" t="n">
        <v>0</v>
      </c>
      <c r="M4296" t="n">
        <v>0</v>
      </c>
      <c r="N4296" t="n">
        <v>0</v>
      </c>
      <c r="O4296" t="n">
        <v>0</v>
      </c>
      <c r="P4296" t="n">
        <v>0</v>
      </c>
      <c r="Q4296" t="n">
        <v>0</v>
      </c>
      <c r="R4296" s="2" t="inlineStr"/>
    </row>
    <row r="4297" ht="15" customHeight="1">
      <c r="A4297" t="inlineStr">
        <is>
          <t>A 48649-2024</t>
        </is>
      </c>
      <c r="B4297" s="1" t="n">
        <v>45593.47898148148</v>
      </c>
      <c r="C4297" s="1" t="n">
        <v>45883</v>
      </c>
      <c r="D4297" t="inlineStr">
        <is>
          <t>GÄVLEBORGS LÄN</t>
        </is>
      </c>
      <c r="E4297" t="inlineStr">
        <is>
          <t>HUDIKSVALL</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41922-2024</t>
        </is>
      </c>
      <c r="B4298" s="1" t="n">
        <v>45561.55555555555</v>
      </c>
      <c r="C4298" s="1" t="n">
        <v>45883</v>
      </c>
      <c r="D4298" t="inlineStr">
        <is>
          <t>GÄVLEBORGS LÄN</t>
        </is>
      </c>
      <c r="E4298" t="inlineStr">
        <is>
          <t>LJUSDAL</t>
        </is>
      </c>
      <c r="F4298" t="inlineStr">
        <is>
          <t>Sveaskog</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29790-2023</t>
        </is>
      </c>
      <c r="B4299" s="1" t="n">
        <v>45107.52090277777</v>
      </c>
      <c r="C4299" s="1" t="n">
        <v>45883</v>
      </c>
      <c r="D4299" t="inlineStr">
        <is>
          <t>GÄVLEBORGS LÄN</t>
        </is>
      </c>
      <c r="E4299" t="inlineStr">
        <is>
          <t>LJUSDAL</t>
        </is>
      </c>
      <c r="G4299" t="n">
        <v>4.8</v>
      </c>
      <c r="H4299" t="n">
        <v>0</v>
      </c>
      <c r="I4299" t="n">
        <v>0</v>
      </c>
      <c r="J4299" t="n">
        <v>0</v>
      </c>
      <c r="K4299" t="n">
        <v>0</v>
      </c>
      <c r="L4299" t="n">
        <v>0</v>
      </c>
      <c r="M4299" t="n">
        <v>0</v>
      </c>
      <c r="N4299" t="n">
        <v>0</v>
      </c>
      <c r="O4299" t="n">
        <v>0</v>
      </c>
      <c r="P4299" t="n">
        <v>0</v>
      </c>
      <c r="Q4299" t="n">
        <v>0</v>
      </c>
      <c r="R4299" s="2" t="inlineStr"/>
    </row>
    <row r="4300" ht="15" customHeight="1">
      <c r="A4300" t="inlineStr">
        <is>
          <t>A 60193-2024</t>
        </is>
      </c>
      <c r="B4300" s="1" t="n">
        <v>45642.65353009259</v>
      </c>
      <c r="C4300" s="1" t="n">
        <v>45883</v>
      </c>
      <c r="D4300" t="inlineStr">
        <is>
          <t>GÄVLEBORGS LÄN</t>
        </is>
      </c>
      <c r="E4300" t="inlineStr">
        <is>
          <t>NORDANSTIG</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62215-2022</t>
        </is>
      </c>
      <c r="B4301" s="1" t="n">
        <v>44922.65163194444</v>
      </c>
      <c r="C4301" s="1" t="n">
        <v>45883</v>
      </c>
      <c r="D4301" t="inlineStr">
        <is>
          <t>GÄVLEBORGS LÄN</t>
        </is>
      </c>
      <c r="E4301" t="inlineStr">
        <is>
          <t>OVANÅKER</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61680-2023</t>
        </is>
      </c>
      <c r="B4302" s="1" t="n">
        <v>45265.63185185185</v>
      </c>
      <c r="C4302" s="1" t="n">
        <v>45883</v>
      </c>
      <c r="D4302" t="inlineStr">
        <is>
          <t>GÄVLEBORGS LÄN</t>
        </is>
      </c>
      <c r="E4302" t="inlineStr">
        <is>
          <t>SÖDERHAMN</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60359-2024</t>
        </is>
      </c>
      <c r="B4303" s="1" t="n">
        <v>45643.44834490741</v>
      </c>
      <c r="C4303" s="1" t="n">
        <v>45883</v>
      </c>
      <c r="D4303" t="inlineStr">
        <is>
          <t>GÄVLEBORGS LÄN</t>
        </is>
      </c>
      <c r="E4303" t="inlineStr">
        <is>
          <t>HUDIKSVALL</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61843-2023</t>
        </is>
      </c>
      <c r="B4304" s="1" t="n">
        <v>45266.36988425926</v>
      </c>
      <c r="C4304" s="1" t="n">
        <v>45883</v>
      </c>
      <c r="D4304" t="inlineStr">
        <is>
          <t>GÄVLEBORGS LÄN</t>
        </is>
      </c>
      <c r="E4304" t="inlineStr">
        <is>
          <t>GÄVLE</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51726-2023</t>
        </is>
      </c>
      <c r="B4305" s="1" t="n">
        <v>45222.64790509259</v>
      </c>
      <c r="C4305" s="1" t="n">
        <v>45883</v>
      </c>
      <c r="D4305" t="inlineStr">
        <is>
          <t>GÄVLEBORGS LÄN</t>
        </is>
      </c>
      <c r="E4305" t="inlineStr">
        <is>
          <t>OCKELBO</t>
        </is>
      </c>
      <c r="F4305" t="inlineStr">
        <is>
          <t>Bergvik skog väst AB</t>
        </is>
      </c>
      <c r="G4305" t="n">
        <v>3.3</v>
      </c>
      <c r="H4305" t="n">
        <v>0</v>
      </c>
      <c r="I4305" t="n">
        <v>0</v>
      </c>
      <c r="J4305" t="n">
        <v>0</v>
      </c>
      <c r="K4305" t="n">
        <v>0</v>
      </c>
      <c r="L4305" t="n">
        <v>0</v>
      </c>
      <c r="M4305" t="n">
        <v>0</v>
      </c>
      <c r="N4305" t="n">
        <v>0</v>
      </c>
      <c r="O4305" t="n">
        <v>0</v>
      </c>
      <c r="P4305" t="n">
        <v>0</v>
      </c>
      <c r="Q4305" t="n">
        <v>0</v>
      </c>
      <c r="R4305" s="2" t="inlineStr"/>
    </row>
    <row r="4306" ht="15" customHeight="1">
      <c r="A4306" t="inlineStr">
        <is>
          <t>A 19498-2025</t>
        </is>
      </c>
      <c r="B4306" s="1" t="n">
        <v>45770.39714120371</v>
      </c>
      <c r="C4306" s="1" t="n">
        <v>45883</v>
      </c>
      <c r="D4306" t="inlineStr">
        <is>
          <t>GÄVLEBORGS LÄN</t>
        </is>
      </c>
      <c r="E4306" t="inlineStr">
        <is>
          <t>LJUSDAL</t>
        </is>
      </c>
      <c r="G4306" t="n">
        <v>6.4</v>
      </c>
      <c r="H4306" t="n">
        <v>0</v>
      </c>
      <c r="I4306" t="n">
        <v>0</v>
      </c>
      <c r="J4306" t="n">
        <v>0</v>
      </c>
      <c r="K4306" t="n">
        <v>0</v>
      </c>
      <c r="L4306" t="n">
        <v>0</v>
      </c>
      <c r="M4306" t="n">
        <v>0</v>
      </c>
      <c r="N4306" t="n">
        <v>0</v>
      </c>
      <c r="O4306" t="n">
        <v>0</v>
      </c>
      <c r="P4306" t="n">
        <v>0</v>
      </c>
      <c r="Q4306" t="n">
        <v>0</v>
      </c>
      <c r="R4306" s="2" t="inlineStr"/>
    </row>
    <row r="4307" ht="15" customHeight="1">
      <c r="A4307" t="inlineStr">
        <is>
          <t>A 204-2025</t>
        </is>
      </c>
      <c r="B4307" s="1" t="n">
        <v>45660.31596064815</v>
      </c>
      <c r="C4307" s="1" t="n">
        <v>45883</v>
      </c>
      <c r="D4307" t="inlineStr">
        <is>
          <t>GÄVLEBORGS LÄN</t>
        </is>
      </c>
      <c r="E4307" t="inlineStr">
        <is>
          <t>LJUSDAL</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214-2025</t>
        </is>
      </c>
      <c r="B4308" s="1" t="n">
        <v>45660.34046296297</v>
      </c>
      <c r="C4308" s="1" t="n">
        <v>45883</v>
      </c>
      <c r="D4308" t="inlineStr">
        <is>
          <t>GÄVLEBORGS LÄN</t>
        </is>
      </c>
      <c r="E4308" t="inlineStr">
        <is>
          <t>GÄVLE</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2396-2024</t>
        </is>
      </c>
      <c r="B4309" s="1" t="n">
        <v>45310</v>
      </c>
      <c r="C4309" s="1" t="n">
        <v>45883</v>
      </c>
      <c r="D4309" t="inlineStr">
        <is>
          <t>GÄVLEBORGS LÄN</t>
        </is>
      </c>
      <c r="E4309" t="inlineStr">
        <is>
          <t>LJUSDAL</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23417-2023</t>
        </is>
      </c>
      <c r="B4310" s="1" t="n">
        <v>45076</v>
      </c>
      <c r="C4310" s="1" t="n">
        <v>45883</v>
      </c>
      <c r="D4310" t="inlineStr">
        <is>
          <t>GÄVLEBORGS LÄN</t>
        </is>
      </c>
      <c r="E4310" t="inlineStr">
        <is>
          <t>NORDANSTIG</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7149-2022</t>
        </is>
      </c>
      <c r="B4311" s="1" t="n">
        <v>44603</v>
      </c>
      <c r="C4311" s="1" t="n">
        <v>45883</v>
      </c>
      <c r="D4311" t="inlineStr">
        <is>
          <t>GÄVLEBORGS LÄN</t>
        </is>
      </c>
      <c r="E4311" t="inlineStr">
        <is>
          <t>NORDANSTIG</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46724-2024</t>
        </is>
      </c>
      <c r="B4312" s="1" t="n">
        <v>45583.46032407408</v>
      </c>
      <c r="C4312" s="1" t="n">
        <v>45883</v>
      </c>
      <c r="D4312" t="inlineStr">
        <is>
          <t>GÄVLEBORGS LÄN</t>
        </is>
      </c>
      <c r="E4312" t="inlineStr">
        <is>
          <t>BOLLNÄS</t>
        </is>
      </c>
      <c r="G4312" t="n">
        <v>6.9</v>
      </c>
      <c r="H4312" t="n">
        <v>0</v>
      </c>
      <c r="I4312" t="n">
        <v>0</v>
      </c>
      <c r="J4312" t="n">
        <v>0</v>
      </c>
      <c r="K4312" t="n">
        <v>0</v>
      </c>
      <c r="L4312" t="n">
        <v>0</v>
      </c>
      <c r="M4312" t="n">
        <v>0</v>
      </c>
      <c r="N4312" t="n">
        <v>0</v>
      </c>
      <c r="O4312" t="n">
        <v>0</v>
      </c>
      <c r="P4312" t="n">
        <v>0</v>
      </c>
      <c r="Q4312" t="n">
        <v>0</v>
      </c>
      <c r="R4312" s="2" t="inlineStr"/>
    </row>
    <row r="4313" ht="15" customHeight="1">
      <c r="A4313" t="inlineStr">
        <is>
          <t>A 61167-2022</t>
        </is>
      </c>
      <c r="B4313" s="1" t="n">
        <v>44915.48208333334</v>
      </c>
      <c r="C4313" s="1" t="n">
        <v>45883</v>
      </c>
      <c r="D4313" t="inlineStr">
        <is>
          <t>GÄVLEBORGS LÄN</t>
        </is>
      </c>
      <c r="E4313" t="inlineStr">
        <is>
          <t>SANDVIKEN</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70264-2021</t>
        </is>
      </c>
      <c r="B4314" s="1" t="n">
        <v>44536</v>
      </c>
      <c r="C4314" s="1" t="n">
        <v>45883</v>
      </c>
      <c r="D4314" t="inlineStr">
        <is>
          <t>GÄVLEBORGS LÄN</t>
        </is>
      </c>
      <c r="E4314" t="inlineStr">
        <is>
          <t>HUDIKSVALL</t>
        </is>
      </c>
      <c r="G4314" t="n">
        <v>0.4</v>
      </c>
      <c r="H4314" t="n">
        <v>0</v>
      </c>
      <c r="I4314" t="n">
        <v>0</v>
      </c>
      <c r="J4314" t="n">
        <v>0</v>
      </c>
      <c r="K4314" t="n">
        <v>0</v>
      </c>
      <c r="L4314" t="n">
        <v>0</v>
      </c>
      <c r="M4314" t="n">
        <v>0</v>
      </c>
      <c r="N4314" t="n">
        <v>0</v>
      </c>
      <c r="O4314" t="n">
        <v>0</v>
      </c>
      <c r="P4314" t="n">
        <v>0</v>
      </c>
      <c r="Q4314" t="n">
        <v>0</v>
      </c>
      <c r="R4314" s="2" t="inlineStr"/>
    </row>
    <row r="4315" ht="15" customHeight="1">
      <c r="A4315" t="inlineStr">
        <is>
          <t>A 17505-2025</t>
        </is>
      </c>
      <c r="B4315" s="1" t="n">
        <v>45757.55423611111</v>
      </c>
      <c r="C4315" s="1" t="n">
        <v>45883</v>
      </c>
      <c r="D4315" t="inlineStr">
        <is>
          <t>GÄVLEBORGS LÄN</t>
        </is>
      </c>
      <c r="E4315" t="inlineStr">
        <is>
          <t>NORDANSTIG</t>
        </is>
      </c>
      <c r="F4315" t="inlineStr">
        <is>
          <t>Holmen skog AB</t>
        </is>
      </c>
      <c r="G4315" t="n">
        <v>8.300000000000001</v>
      </c>
      <c r="H4315" t="n">
        <v>0</v>
      </c>
      <c r="I4315" t="n">
        <v>0</v>
      </c>
      <c r="J4315" t="n">
        <v>0</v>
      </c>
      <c r="K4315" t="n">
        <v>0</v>
      </c>
      <c r="L4315" t="n">
        <v>0</v>
      </c>
      <c r="M4315" t="n">
        <v>0</v>
      </c>
      <c r="N4315" t="n">
        <v>0</v>
      </c>
      <c r="O4315" t="n">
        <v>0</v>
      </c>
      <c r="P4315" t="n">
        <v>0</v>
      </c>
      <c r="Q4315" t="n">
        <v>0</v>
      </c>
      <c r="R4315" s="2" t="inlineStr"/>
    </row>
    <row r="4316" ht="15" customHeight="1">
      <c r="A4316" t="inlineStr">
        <is>
          <t>A 14657-2025</t>
        </is>
      </c>
      <c r="B4316" s="1" t="n">
        <v>45742.51152777778</v>
      </c>
      <c r="C4316" s="1" t="n">
        <v>45883</v>
      </c>
      <c r="D4316" t="inlineStr">
        <is>
          <t>GÄVLEBORGS LÄN</t>
        </is>
      </c>
      <c r="E4316" t="inlineStr">
        <is>
          <t>OCKELBO</t>
        </is>
      </c>
      <c r="F4316" t="inlineStr">
        <is>
          <t>Bergvik skog väst AB</t>
        </is>
      </c>
      <c r="G4316" t="n">
        <v>7.1</v>
      </c>
      <c r="H4316" t="n">
        <v>0</v>
      </c>
      <c r="I4316" t="n">
        <v>0</v>
      </c>
      <c r="J4316" t="n">
        <v>0</v>
      </c>
      <c r="K4316" t="n">
        <v>0</v>
      </c>
      <c r="L4316" t="n">
        <v>0</v>
      </c>
      <c r="M4316" t="n">
        <v>0</v>
      </c>
      <c r="N4316" t="n">
        <v>0</v>
      </c>
      <c r="O4316" t="n">
        <v>0</v>
      </c>
      <c r="P4316" t="n">
        <v>0</v>
      </c>
      <c r="Q4316" t="n">
        <v>0</v>
      </c>
      <c r="R4316" s="2" t="inlineStr"/>
    </row>
    <row r="4317" ht="15" customHeight="1">
      <c r="A4317" t="inlineStr">
        <is>
          <t>A 14661-2025</t>
        </is>
      </c>
      <c r="B4317" s="1" t="n">
        <v>45742.53079861111</v>
      </c>
      <c r="C4317" s="1" t="n">
        <v>45883</v>
      </c>
      <c r="D4317" t="inlineStr">
        <is>
          <t>GÄVLEBORGS LÄN</t>
        </is>
      </c>
      <c r="E4317" t="inlineStr">
        <is>
          <t>OCKELBO</t>
        </is>
      </c>
      <c r="F4317" t="inlineStr">
        <is>
          <t>Bergvik skog väst AB</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58473-2024</t>
        </is>
      </c>
      <c r="B4318" s="1" t="n">
        <v>45635.37916666667</v>
      </c>
      <c r="C4318" s="1" t="n">
        <v>45883</v>
      </c>
      <c r="D4318" t="inlineStr">
        <is>
          <t>GÄVLEBORGS LÄN</t>
        </is>
      </c>
      <c r="E4318" t="inlineStr">
        <is>
          <t>HUDIKSVALL</t>
        </is>
      </c>
      <c r="G4318" t="n">
        <v>3.8</v>
      </c>
      <c r="H4318" t="n">
        <v>0</v>
      </c>
      <c r="I4318" t="n">
        <v>0</v>
      </c>
      <c r="J4318" t="n">
        <v>0</v>
      </c>
      <c r="K4318" t="n">
        <v>0</v>
      </c>
      <c r="L4318" t="n">
        <v>0</v>
      </c>
      <c r="M4318" t="n">
        <v>0</v>
      </c>
      <c r="N4318" t="n">
        <v>0</v>
      </c>
      <c r="O4318" t="n">
        <v>0</v>
      </c>
      <c r="P4318" t="n">
        <v>0</v>
      </c>
      <c r="Q4318" t="n">
        <v>0</v>
      </c>
      <c r="R4318" s="2" t="inlineStr"/>
    </row>
    <row r="4319" ht="15" customHeight="1">
      <c r="A4319" t="inlineStr">
        <is>
          <t>A 17517-2025</t>
        </is>
      </c>
      <c r="B4319" s="1" t="n">
        <v>45757.57515046297</v>
      </c>
      <c r="C4319" s="1" t="n">
        <v>45883</v>
      </c>
      <c r="D4319" t="inlineStr">
        <is>
          <t>GÄVLEBORGS LÄN</t>
        </is>
      </c>
      <c r="E4319" t="inlineStr">
        <is>
          <t>SÖDERHAMN</t>
        </is>
      </c>
      <c r="F4319" t="inlineStr">
        <is>
          <t>Kommuner</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9058-2024</t>
        </is>
      </c>
      <c r="B4320" s="1" t="n">
        <v>45357.69202546297</v>
      </c>
      <c r="C4320" s="1" t="n">
        <v>45883</v>
      </c>
      <c r="D4320" t="inlineStr">
        <is>
          <t>GÄVLEBORGS LÄN</t>
        </is>
      </c>
      <c r="E4320" t="inlineStr">
        <is>
          <t>SANDVIKEN</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60942-2024</t>
        </is>
      </c>
      <c r="B4321" s="1" t="n">
        <v>45645.37174768518</v>
      </c>
      <c r="C4321" s="1" t="n">
        <v>45883</v>
      </c>
      <c r="D4321" t="inlineStr">
        <is>
          <t>GÄVLEBORGS LÄN</t>
        </is>
      </c>
      <c r="E4321" t="inlineStr">
        <is>
          <t>HUDIKSVALL</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19419-2025</t>
        </is>
      </c>
      <c r="B4322" s="1" t="n">
        <v>45769.74543981482</v>
      </c>
      <c r="C4322" s="1" t="n">
        <v>45883</v>
      </c>
      <c r="D4322" t="inlineStr">
        <is>
          <t>GÄVLEBORGS LÄN</t>
        </is>
      </c>
      <c r="E4322" t="inlineStr">
        <is>
          <t>SANDVIKEN</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19421-2025</t>
        </is>
      </c>
      <c r="B4323" s="1" t="n">
        <v>45769.74990740741</v>
      </c>
      <c r="C4323" s="1" t="n">
        <v>45883</v>
      </c>
      <c r="D4323" t="inlineStr">
        <is>
          <t>GÄVLEBORGS LÄN</t>
        </is>
      </c>
      <c r="E4323" t="inlineStr">
        <is>
          <t>SANDVIKEN</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49401-2024</t>
        </is>
      </c>
      <c r="B4324" s="1" t="n">
        <v>45595.67429398148</v>
      </c>
      <c r="C4324" s="1" t="n">
        <v>45883</v>
      </c>
      <c r="D4324" t="inlineStr">
        <is>
          <t>GÄVLEBORGS LÄN</t>
        </is>
      </c>
      <c r="E4324" t="inlineStr">
        <is>
          <t>GÄVLE</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13632-2024</t>
        </is>
      </c>
      <c r="B4325" s="1" t="n">
        <v>45390.41961805556</v>
      </c>
      <c r="C4325" s="1" t="n">
        <v>45883</v>
      </c>
      <c r="D4325" t="inlineStr">
        <is>
          <t>GÄVLEBORGS LÄN</t>
        </is>
      </c>
      <c r="E4325" t="inlineStr">
        <is>
          <t>SANDVIKEN</t>
        </is>
      </c>
      <c r="F4325" t="inlineStr">
        <is>
          <t>Kyrkan</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66418-2021</t>
        </is>
      </c>
      <c r="B4326" s="1" t="n">
        <v>44518</v>
      </c>
      <c r="C4326" s="1" t="n">
        <v>45883</v>
      </c>
      <c r="D4326" t="inlineStr">
        <is>
          <t>GÄVLEBORGS LÄN</t>
        </is>
      </c>
      <c r="E4326" t="inlineStr">
        <is>
          <t>HUDIKSVALL</t>
        </is>
      </c>
      <c r="F4326" t="inlineStr">
        <is>
          <t>Holmen skog AB</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47359-2024</t>
        </is>
      </c>
      <c r="B4327" s="1" t="n">
        <v>45587.43547453704</v>
      </c>
      <c r="C4327" s="1" t="n">
        <v>45883</v>
      </c>
      <c r="D4327" t="inlineStr">
        <is>
          <t>GÄVLEBORGS LÄN</t>
        </is>
      </c>
      <c r="E4327" t="inlineStr">
        <is>
          <t>HOFORS</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48879-2023</t>
        </is>
      </c>
      <c r="B4328" s="1" t="n">
        <v>45209.46855324074</v>
      </c>
      <c r="C4328" s="1" t="n">
        <v>45883</v>
      </c>
      <c r="D4328" t="inlineStr">
        <is>
          <t>GÄVLEBORGS LÄN</t>
        </is>
      </c>
      <c r="E4328" t="inlineStr">
        <is>
          <t>LJUSDAL</t>
        </is>
      </c>
      <c r="F4328" t="inlineStr">
        <is>
          <t>Bergvik skog väst AB</t>
        </is>
      </c>
      <c r="G4328" t="n">
        <v>0.4</v>
      </c>
      <c r="H4328" t="n">
        <v>0</v>
      </c>
      <c r="I4328" t="n">
        <v>0</v>
      </c>
      <c r="J4328" t="n">
        <v>0</v>
      </c>
      <c r="K4328" t="n">
        <v>0</v>
      </c>
      <c r="L4328" t="n">
        <v>0</v>
      </c>
      <c r="M4328" t="n">
        <v>0</v>
      </c>
      <c r="N4328" t="n">
        <v>0</v>
      </c>
      <c r="O4328" t="n">
        <v>0</v>
      </c>
      <c r="P4328" t="n">
        <v>0</v>
      </c>
      <c r="Q4328" t="n">
        <v>0</v>
      </c>
      <c r="R4328" s="2" t="inlineStr"/>
    </row>
    <row r="4329" ht="15" customHeight="1">
      <c r="A4329" t="inlineStr">
        <is>
          <t>A 55445-2024</t>
        </is>
      </c>
      <c r="B4329" s="1" t="n">
        <v>45622.41517361111</v>
      </c>
      <c r="C4329" s="1" t="n">
        <v>45883</v>
      </c>
      <c r="D4329" t="inlineStr">
        <is>
          <t>GÄVLEBORGS LÄN</t>
        </is>
      </c>
      <c r="E4329" t="inlineStr">
        <is>
          <t>HUDIKSVALL</t>
        </is>
      </c>
      <c r="G4329" t="n">
        <v>7.2</v>
      </c>
      <c r="H4329" t="n">
        <v>0</v>
      </c>
      <c r="I4329" t="n">
        <v>0</v>
      </c>
      <c r="J4329" t="n">
        <v>0</v>
      </c>
      <c r="K4329" t="n">
        <v>0</v>
      </c>
      <c r="L4329" t="n">
        <v>0</v>
      </c>
      <c r="M4329" t="n">
        <v>0</v>
      </c>
      <c r="N4329" t="n">
        <v>0</v>
      </c>
      <c r="O4329" t="n">
        <v>0</v>
      </c>
      <c r="P4329" t="n">
        <v>0</v>
      </c>
      <c r="Q4329" t="n">
        <v>0</v>
      </c>
      <c r="R4329" s="2" t="inlineStr"/>
    </row>
    <row r="4330" ht="15" customHeight="1">
      <c r="A4330" t="inlineStr">
        <is>
          <t>A 12228-2022</t>
        </is>
      </c>
      <c r="B4330" s="1" t="n">
        <v>44637.36871527778</v>
      </c>
      <c r="C4330" s="1" t="n">
        <v>45883</v>
      </c>
      <c r="D4330" t="inlineStr">
        <is>
          <t>GÄVLEBORGS LÄN</t>
        </is>
      </c>
      <c r="E4330" t="inlineStr">
        <is>
          <t>GÄVLE</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47380-2024</t>
        </is>
      </c>
      <c r="B4331" s="1" t="n">
        <v>45587.45914351852</v>
      </c>
      <c r="C4331" s="1" t="n">
        <v>45883</v>
      </c>
      <c r="D4331" t="inlineStr">
        <is>
          <t>GÄVLEBORGS LÄN</t>
        </is>
      </c>
      <c r="E4331" t="inlineStr">
        <is>
          <t>OVANÅKER</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51238-2023</t>
        </is>
      </c>
      <c r="B4332" s="1" t="n">
        <v>45219.46576388889</v>
      </c>
      <c r="C4332" s="1" t="n">
        <v>45883</v>
      </c>
      <c r="D4332" t="inlineStr">
        <is>
          <t>GÄVLEBORGS LÄN</t>
        </is>
      </c>
      <c r="E4332" t="inlineStr">
        <is>
          <t>LJUSDAL</t>
        </is>
      </c>
      <c r="F4332" t="inlineStr">
        <is>
          <t>Sveaskog</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7114-2025</t>
        </is>
      </c>
      <c r="B4333" s="1" t="n">
        <v>45702.30924768518</v>
      </c>
      <c r="C4333" s="1" t="n">
        <v>45883</v>
      </c>
      <c r="D4333" t="inlineStr">
        <is>
          <t>GÄVLEBORGS LÄN</t>
        </is>
      </c>
      <c r="E4333" t="inlineStr">
        <is>
          <t>HUDIKSVALL</t>
        </is>
      </c>
      <c r="F4333" t="inlineStr">
        <is>
          <t>Holmen skog AB</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14575-2024</t>
        </is>
      </c>
      <c r="B4334" s="1" t="n">
        <v>45394</v>
      </c>
      <c r="C4334" s="1" t="n">
        <v>45883</v>
      </c>
      <c r="D4334" t="inlineStr">
        <is>
          <t>GÄVLEBORGS LÄN</t>
        </is>
      </c>
      <c r="E4334" t="inlineStr">
        <is>
          <t>OVANÅKER</t>
        </is>
      </c>
      <c r="G4334" t="n">
        <v>4.4</v>
      </c>
      <c r="H4334" t="n">
        <v>0</v>
      </c>
      <c r="I4334" t="n">
        <v>0</v>
      </c>
      <c r="J4334" t="n">
        <v>0</v>
      </c>
      <c r="K4334" t="n">
        <v>0</v>
      </c>
      <c r="L4334" t="n">
        <v>0</v>
      </c>
      <c r="M4334" t="n">
        <v>0</v>
      </c>
      <c r="N4334" t="n">
        <v>0</v>
      </c>
      <c r="O4334" t="n">
        <v>0</v>
      </c>
      <c r="P4334" t="n">
        <v>0</v>
      </c>
      <c r="Q4334" t="n">
        <v>0</v>
      </c>
      <c r="R4334" s="2" t="inlineStr"/>
    </row>
    <row r="4335" ht="15" customHeight="1">
      <c r="A4335" t="inlineStr">
        <is>
          <t>A 57909-2024</t>
        </is>
      </c>
      <c r="B4335" s="1" t="n">
        <v>45631.49298611111</v>
      </c>
      <c r="C4335" s="1" t="n">
        <v>45883</v>
      </c>
      <c r="D4335" t="inlineStr">
        <is>
          <t>GÄVLEBORGS LÄN</t>
        </is>
      </c>
      <c r="E4335" t="inlineStr">
        <is>
          <t>HUDIKSVALL</t>
        </is>
      </c>
      <c r="F4335" t="inlineStr">
        <is>
          <t>Holmen skog AB</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18614-2023</t>
        </is>
      </c>
      <c r="B4336" s="1" t="n">
        <v>45043</v>
      </c>
      <c r="C4336" s="1" t="n">
        <v>45883</v>
      </c>
      <c r="D4336" t="inlineStr">
        <is>
          <t>GÄVLEBORGS LÄN</t>
        </is>
      </c>
      <c r="E4336" t="inlineStr">
        <is>
          <t>BOLLNÄS</t>
        </is>
      </c>
      <c r="G4336" t="n">
        <v>5.4</v>
      </c>
      <c r="H4336" t="n">
        <v>0</v>
      </c>
      <c r="I4336" t="n">
        <v>0</v>
      </c>
      <c r="J4336" t="n">
        <v>0</v>
      </c>
      <c r="K4336" t="n">
        <v>0</v>
      </c>
      <c r="L4336" t="n">
        <v>0</v>
      </c>
      <c r="M4336" t="n">
        <v>0</v>
      </c>
      <c r="N4336" t="n">
        <v>0</v>
      </c>
      <c r="O4336" t="n">
        <v>0</v>
      </c>
      <c r="P4336" t="n">
        <v>0</v>
      </c>
      <c r="Q4336" t="n">
        <v>0</v>
      </c>
      <c r="R4336" s="2" t="inlineStr"/>
    </row>
    <row r="4337" ht="15" customHeight="1">
      <c r="A4337" t="inlineStr">
        <is>
          <t>A 9601-2025</t>
        </is>
      </c>
      <c r="B4337" s="1" t="n">
        <v>45715.65280092593</v>
      </c>
      <c r="C4337" s="1" t="n">
        <v>45883</v>
      </c>
      <c r="D4337" t="inlineStr">
        <is>
          <t>GÄVLEBORGS LÄN</t>
        </is>
      </c>
      <c r="E4337" t="inlineStr">
        <is>
          <t>HUDIKSVALL</t>
        </is>
      </c>
      <c r="F4337" t="inlineStr">
        <is>
          <t>Holmen skog AB</t>
        </is>
      </c>
      <c r="G4337" t="n">
        <v>55</v>
      </c>
      <c r="H4337" t="n">
        <v>0</v>
      </c>
      <c r="I4337" t="n">
        <v>0</v>
      </c>
      <c r="J4337" t="n">
        <v>0</v>
      </c>
      <c r="K4337" t="n">
        <v>0</v>
      </c>
      <c r="L4337" t="n">
        <v>0</v>
      </c>
      <c r="M4337" t="n">
        <v>0</v>
      </c>
      <c r="N4337" t="n">
        <v>0</v>
      </c>
      <c r="O4337" t="n">
        <v>0</v>
      </c>
      <c r="P4337" t="n">
        <v>0</v>
      </c>
      <c r="Q4337" t="n">
        <v>0</v>
      </c>
      <c r="R4337" s="2" t="inlineStr"/>
    </row>
    <row r="4338" ht="15" customHeight="1">
      <c r="A4338" t="inlineStr">
        <is>
          <t>A 9988-2025</t>
        </is>
      </c>
      <c r="B4338" s="1" t="n">
        <v>45719.42697916667</v>
      </c>
      <c r="C4338" s="1" t="n">
        <v>45883</v>
      </c>
      <c r="D4338" t="inlineStr">
        <is>
          <t>GÄVLEBORGS LÄN</t>
        </is>
      </c>
      <c r="E4338" t="inlineStr">
        <is>
          <t>GÄVLE</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10001-2025</t>
        </is>
      </c>
      <c r="B4339" s="1" t="n">
        <v>45719.44918981481</v>
      </c>
      <c r="C4339" s="1" t="n">
        <v>45883</v>
      </c>
      <c r="D4339" t="inlineStr">
        <is>
          <t>GÄVLEBORGS LÄN</t>
        </is>
      </c>
      <c r="E4339" t="inlineStr">
        <is>
          <t>GÄVLE</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56082-2024</t>
        </is>
      </c>
      <c r="B4340" s="1" t="n">
        <v>45624.39293981482</v>
      </c>
      <c r="C4340" s="1" t="n">
        <v>45883</v>
      </c>
      <c r="D4340" t="inlineStr">
        <is>
          <t>GÄVLEBORGS LÄN</t>
        </is>
      </c>
      <c r="E4340" t="inlineStr">
        <is>
          <t>LJUSDAL</t>
        </is>
      </c>
      <c r="G4340" t="n">
        <v>3.9</v>
      </c>
      <c r="H4340" t="n">
        <v>0</v>
      </c>
      <c r="I4340" t="n">
        <v>0</v>
      </c>
      <c r="J4340" t="n">
        <v>0</v>
      </c>
      <c r="K4340" t="n">
        <v>0</v>
      </c>
      <c r="L4340" t="n">
        <v>0</v>
      </c>
      <c r="M4340" t="n">
        <v>0</v>
      </c>
      <c r="N4340" t="n">
        <v>0</v>
      </c>
      <c r="O4340" t="n">
        <v>0</v>
      </c>
      <c r="P4340" t="n">
        <v>0</v>
      </c>
      <c r="Q4340" t="n">
        <v>0</v>
      </c>
      <c r="R4340" s="2" t="inlineStr"/>
    </row>
    <row r="4341" ht="15" customHeight="1">
      <c r="A4341" t="inlineStr">
        <is>
          <t>A 56087-2024</t>
        </is>
      </c>
      <c r="B4341" s="1" t="n">
        <v>45624</v>
      </c>
      <c r="C4341" s="1" t="n">
        <v>45883</v>
      </c>
      <c r="D4341" t="inlineStr">
        <is>
          <t>GÄVLEBORGS LÄN</t>
        </is>
      </c>
      <c r="E4341" t="inlineStr">
        <is>
          <t>OVANÅKER</t>
        </is>
      </c>
      <c r="G4341" t="n">
        <v>5.4</v>
      </c>
      <c r="H4341" t="n">
        <v>0</v>
      </c>
      <c r="I4341" t="n">
        <v>0</v>
      </c>
      <c r="J4341" t="n">
        <v>0</v>
      </c>
      <c r="K4341" t="n">
        <v>0</v>
      </c>
      <c r="L4341" t="n">
        <v>0</v>
      </c>
      <c r="M4341" t="n">
        <v>0</v>
      </c>
      <c r="N4341" t="n">
        <v>0</v>
      </c>
      <c r="O4341" t="n">
        <v>0</v>
      </c>
      <c r="P4341" t="n">
        <v>0</v>
      </c>
      <c r="Q4341" t="n">
        <v>0</v>
      </c>
      <c r="R4341" s="2" t="inlineStr"/>
    </row>
    <row r="4342" ht="15" customHeight="1">
      <c r="A4342" t="inlineStr">
        <is>
          <t>A 47314-2024</t>
        </is>
      </c>
      <c r="B4342" s="1" t="n">
        <v>45587.36900462963</v>
      </c>
      <c r="C4342" s="1" t="n">
        <v>45883</v>
      </c>
      <c r="D4342" t="inlineStr">
        <is>
          <t>GÄVLEBORGS LÄN</t>
        </is>
      </c>
      <c r="E4342" t="inlineStr">
        <is>
          <t>HUDIKSVALL</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29981-2023</t>
        </is>
      </c>
      <c r="B4343" s="1" t="n">
        <v>45108.92454861111</v>
      </c>
      <c r="C4343" s="1" t="n">
        <v>45883</v>
      </c>
      <c r="D4343" t="inlineStr">
        <is>
          <t>GÄVLEBORGS LÄN</t>
        </is>
      </c>
      <c r="E4343" t="inlineStr">
        <is>
          <t>SÖDERHAMN</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29983-2023</t>
        </is>
      </c>
      <c r="B4344" s="1" t="n">
        <v>45108.92465277778</v>
      </c>
      <c r="C4344" s="1" t="n">
        <v>45883</v>
      </c>
      <c r="D4344" t="inlineStr">
        <is>
          <t>GÄVLEBORGS LÄN</t>
        </is>
      </c>
      <c r="E4344" t="inlineStr">
        <is>
          <t>SÖDERHAMN</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16776-2025</t>
        </is>
      </c>
      <c r="B4345" s="1" t="n">
        <v>45754.58342592593</v>
      </c>
      <c r="C4345" s="1" t="n">
        <v>45883</v>
      </c>
      <c r="D4345" t="inlineStr">
        <is>
          <t>GÄVLEBORGS LÄN</t>
        </is>
      </c>
      <c r="E4345" t="inlineStr">
        <is>
          <t>OCKELBO</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33231-2023</t>
        </is>
      </c>
      <c r="B4346" s="1" t="n">
        <v>45127.48289351852</v>
      </c>
      <c r="C4346" s="1" t="n">
        <v>45883</v>
      </c>
      <c r="D4346" t="inlineStr">
        <is>
          <t>GÄVLEBORGS LÄN</t>
        </is>
      </c>
      <c r="E4346" t="inlineStr">
        <is>
          <t>OVANÅKER</t>
        </is>
      </c>
      <c r="F4346" t="inlineStr">
        <is>
          <t>Bergvik skog öst AB</t>
        </is>
      </c>
      <c r="G4346" t="n">
        <v>5.8</v>
      </c>
      <c r="H4346" t="n">
        <v>0</v>
      </c>
      <c r="I4346" t="n">
        <v>0</v>
      </c>
      <c r="J4346" t="n">
        <v>0</v>
      </c>
      <c r="K4346" t="n">
        <v>0</v>
      </c>
      <c r="L4346" t="n">
        <v>0</v>
      </c>
      <c r="M4346" t="n">
        <v>0</v>
      </c>
      <c r="N4346" t="n">
        <v>0</v>
      </c>
      <c r="O4346" t="n">
        <v>0</v>
      </c>
      <c r="P4346" t="n">
        <v>0</v>
      </c>
      <c r="Q4346" t="n">
        <v>0</v>
      </c>
      <c r="R4346" s="2" t="inlineStr"/>
    </row>
    <row r="4347" ht="15" customHeight="1">
      <c r="A4347" t="inlineStr">
        <is>
          <t>A 42687-2024</t>
        </is>
      </c>
      <c r="B4347" s="1" t="n">
        <v>45566.39753472222</v>
      </c>
      <c r="C4347" s="1" t="n">
        <v>45883</v>
      </c>
      <c r="D4347" t="inlineStr">
        <is>
          <t>GÄVLEBORGS LÄN</t>
        </is>
      </c>
      <c r="E4347" t="inlineStr">
        <is>
          <t>HUDIKSVALL</t>
        </is>
      </c>
      <c r="F4347" t="inlineStr">
        <is>
          <t>Holmen skog AB</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56310-2021</t>
        </is>
      </c>
      <c r="B4348" s="1" t="n">
        <v>44477</v>
      </c>
      <c r="C4348" s="1" t="n">
        <v>45883</v>
      </c>
      <c r="D4348" t="inlineStr">
        <is>
          <t>GÄVLEBORGS LÄN</t>
        </is>
      </c>
      <c r="E4348" t="inlineStr">
        <is>
          <t>SANDVIKEN</t>
        </is>
      </c>
      <c r="F4348" t="inlineStr">
        <is>
          <t>Bergvik skog väst AB</t>
        </is>
      </c>
      <c r="G4348" t="n">
        <v>18.5</v>
      </c>
      <c r="H4348" t="n">
        <v>0</v>
      </c>
      <c r="I4348" t="n">
        <v>0</v>
      </c>
      <c r="J4348" t="n">
        <v>0</v>
      </c>
      <c r="K4348" t="n">
        <v>0</v>
      </c>
      <c r="L4348" t="n">
        <v>0</v>
      </c>
      <c r="M4348" t="n">
        <v>0</v>
      </c>
      <c r="N4348" t="n">
        <v>0</v>
      </c>
      <c r="O4348" t="n">
        <v>0</v>
      </c>
      <c r="P4348" t="n">
        <v>0</v>
      </c>
      <c r="Q4348" t="n">
        <v>0</v>
      </c>
      <c r="R4348" s="2" t="inlineStr"/>
    </row>
    <row r="4349" ht="15" customHeight="1">
      <c r="A4349" t="inlineStr">
        <is>
          <t>A 43384-2024</t>
        </is>
      </c>
      <c r="B4349" s="1" t="n">
        <v>45568.5949537037</v>
      </c>
      <c r="C4349" s="1" t="n">
        <v>45883</v>
      </c>
      <c r="D4349" t="inlineStr">
        <is>
          <t>GÄVLEBORGS LÄN</t>
        </is>
      </c>
      <c r="E4349" t="inlineStr">
        <is>
          <t>BOLLNÄS</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45938-2024</t>
        </is>
      </c>
      <c r="B4350" s="1" t="n">
        <v>45580</v>
      </c>
      <c r="C4350" s="1" t="n">
        <v>45883</v>
      </c>
      <c r="D4350" t="inlineStr">
        <is>
          <t>GÄVLEBORGS LÄN</t>
        </is>
      </c>
      <c r="E4350" t="inlineStr">
        <is>
          <t>GÄVLE</t>
        </is>
      </c>
      <c r="F4350" t="inlineStr">
        <is>
          <t>Bergvik skog öst AB</t>
        </is>
      </c>
      <c r="G4350" t="n">
        <v>5.3</v>
      </c>
      <c r="H4350" t="n">
        <v>0</v>
      </c>
      <c r="I4350" t="n">
        <v>0</v>
      </c>
      <c r="J4350" t="n">
        <v>0</v>
      </c>
      <c r="K4350" t="n">
        <v>0</v>
      </c>
      <c r="L4350" t="n">
        <v>0</v>
      </c>
      <c r="M4350" t="n">
        <v>0</v>
      </c>
      <c r="N4350" t="n">
        <v>0</v>
      </c>
      <c r="O4350" t="n">
        <v>0</v>
      </c>
      <c r="P4350" t="n">
        <v>0</v>
      </c>
      <c r="Q4350" t="n">
        <v>0</v>
      </c>
      <c r="R4350" s="2" t="inlineStr"/>
    </row>
    <row r="4351" ht="15" customHeight="1">
      <c r="A4351" t="inlineStr">
        <is>
          <t>A 20750-2025</t>
        </is>
      </c>
      <c r="B4351" s="1" t="n">
        <v>45776.56582175926</v>
      </c>
      <c r="C4351" s="1" t="n">
        <v>45883</v>
      </c>
      <c r="D4351" t="inlineStr">
        <is>
          <t>GÄVLEBORGS LÄN</t>
        </is>
      </c>
      <c r="E4351" t="inlineStr">
        <is>
          <t>BOLLNÄS</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20761-2025</t>
        </is>
      </c>
      <c r="B4352" s="1" t="n">
        <v>45776.57763888889</v>
      </c>
      <c r="C4352" s="1" t="n">
        <v>45883</v>
      </c>
      <c r="D4352" t="inlineStr">
        <is>
          <t>GÄVLEBORGS LÄN</t>
        </is>
      </c>
      <c r="E4352" t="inlineStr">
        <is>
          <t>GÄVLE</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53137-2024</t>
        </is>
      </c>
      <c r="B4353" s="1" t="n">
        <v>45611.59655092593</v>
      </c>
      <c r="C4353" s="1" t="n">
        <v>45883</v>
      </c>
      <c r="D4353" t="inlineStr">
        <is>
          <t>GÄVLEBORGS LÄN</t>
        </is>
      </c>
      <c r="E4353" t="inlineStr">
        <is>
          <t>OCKELBO</t>
        </is>
      </c>
      <c r="F4353" t="inlineStr">
        <is>
          <t>Bergvik skog väst AB</t>
        </is>
      </c>
      <c r="G4353" t="n">
        <v>5.5</v>
      </c>
      <c r="H4353" t="n">
        <v>0</v>
      </c>
      <c r="I4353" t="n">
        <v>0</v>
      </c>
      <c r="J4353" t="n">
        <v>0</v>
      </c>
      <c r="K4353" t="n">
        <v>0</v>
      </c>
      <c r="L4353" t="n">
        <v>0</v>
      </c>
      <c r="M4353" t="n">
        <v>0</v>
      </c>
      <c r="N4353" t="n">
        <v>0</v>
      </c>
      <c r="O4353" t="n">
        <v>0</v>
      </c>
      <c r="P4353" t="n">
        <v>0</v>
      </c>
      <c r="Q4353" t="n">
        <v>0</v>
      </c>
      <c r="R4353" s="2" t="inlineStr"/>
    </row>
    <row r="4354" ht="15" customHeight="1">
      <c r="A4354" t="inlineStr">
        <is>
          <t>A 46207-2024</t>
        </is>
      </c>
      <c r="B4354" s="1" t="n">
        <v>45581.54894675926</v>
      </c>
      <c r="C4354" s="1" t="n">
        <v>45883</v>
      </c>
      <c r="D4354" t="inlineStr">
        <is>
          <t>GÄVLEBORGS LÄN</t>
        </is>
      </c>
      <c r="E4354" t="inlineStr">
        <is>
          <t>HUDIKSVALL</t>
        </is>
      </c>
      <c r="F4354" t="inlineStr">
        <is>
          <t>Holmen skog AB</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20775-2025</t>
        </is>
      </c>
      <c r="B4355" s="1" t="n">
        <v>45776.59355324074</v>
      </c>
      <c r="C4355" s="1" t="n">
        <v>45883</v>
      </c>
      <c r="D4355" t="inlineStr">
        <is>
          <t>GÄVLEBORGS LÄN</t>
        </is>
      </c>
      <c r="E4355" t="inlineStr">
        <is>
          <t>OCKELBO</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45318-2024</t>
        </is>
      </c>
      <c r="B4356" s="1" t="n">
        <v>45576.44114583333</v>
      </c>
      <c r="C4356" s="1" t="n">
        <v>45883</v>
      </c>
      <c r="D4356" t="inlineStr">
        <is>
          <t>GÄVLEBORGS LÄN</t>
        </is>
      </c>
      <c r="E4356" t="inlineStr">
        <is>
          <t>SANDVIKEN</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3628-2023</t>
        </is>
      </c>
      <c r="B4357" s="1" t="n">
        <v>44950.64807870371</v>
      </c>
      <c r="C4357" s="1" t="n">
        <v>45883</v>
      </c>
      <c r="D4357" t="inlineStr">
        <is>
          <t>GÄVLEBORGS LÄN</t>
        </is>
      </c>
      <c r="E4357" t="inlineStr">
        <is>
          <t>OCKELBO</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20709-2025</t>
        </is>
      </c>
      <c r="B4358" s="1" t="n">
        <v>45776.48444444445</v>
      </c>
      <c r="C4358" s="1" t="n">
        <v>45883</v>
      </c>
      <c r="D4358" t="inlineStr">
        <is>
          <t>GÄVLEBORGS LÄN</t>
        </is>
      </c>
      <c r="E4358" t="inlineStr">
        <is>
          <t>BOLLNÄS</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23355-2024</t>
        </is>
      </c>
      <c r="B4359" s="1" t="n">
        <v>45453</v>
      </c>
      <c r="C4359" s="1" t="n">
        <v>45883</v>
      </c>
      <c r="D4359" t="inlineStr">
        <is>
          <t>GÄVLEBORGS LÄN</t>
        </is>
      </c>
      <c r="E4359" t="inlineStr">
        <is>
          <t>HOFORS</t>
        </is>
      </c>
      <c r="F4359" t="inlineStr">
        <is>
          <t>Sveaskog</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34103-2023</t>
        </is>
      </c>
      <c r="B4360" s="1" t="n">
        <v>45135.59890046297</v>
      </c>
      <c r="C4360" s="1" t="n">
        <v>45883</v>
      </c>
      <c r="D4360" t="inlineStr">
        <is>
          <t>GÄVLEBORGS LÄN</t>
        </is>
      </c>
      <c r="E4360" t="inlineStr">
        <is>
          <t>LJUSDAL</t>
        </is>
      </c>
      <c r="F4360" t="inlineStr">
        <is>
          <t>Holmen skog AB</t>
        </is>
      </c>
      <c r="G4360" t="n">
        <v>4.4</v>
      </c>
      <c r="H4360" t="n">
        <v>0</v>
      </c>
      <c r="I4360" t="n">
        <v>0</v>
      </c>
      <c r="J4360" t="n">
        <v>0</v>
      </c>
      <c r="K4360" t="n">
        <v>0</v>
      </c>
      <c r="L4360" t="n">
        <v>0</v>
      </c>
      <c r="M4360" t="n">
        <v>0</v>
      </c>
      <c r="N4360" t="n">
        <v>0</v>
      </c>
      <c r="O4360" t="n">
        <v>0</v>
      </c>
      <c r="P4360" t="n">
        <v>0</v>
      </c>
      <c r="Q4360" t="n">
        <v>0</v>
      </c>
      <c r="R4360" s="2" t="inlineStr"/>
    </row>
    <row r="4361" ht="15" customHeight="1">
      <c r="A4361" t="inlineStr">
        <is>
          <t>A 14240-2023</t>
        </is>
      </c>
      <c r="B4361" s="1" t="n">
        <v>45009.6615625</v>
      </c>
      <c r="C4361" s="1" t="n">
        <v>45883</v>
      </c>
      <c r="D4361" t="inlineStr">
        <is>
          <t>GÄVLEBORGS LÄN</t>
        </is>
      </c>
      <c r="E4361" t="inlineStr">
        <is>
          <t>OVANÅKER</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9382-2022</t>
        </is>
      </c>
      <c r="B4362" s="1" t="n">
        <v>44616.63564814815</v>
      </c>
      <c r="C4362" s="1" t="n">
        <v>45883</v>
      </c>
      <c r="D4362" t="inlineStr">
        <is>
          <t>GÄVLEBORGS LÄN</t>
        </is>
      </c>
      <c r="E4362" t="inlineStr">
        <is>
          <t>NORDANSTIG</t>
        </is>
      </c>
      <c r="G4362" t="n">
        <v>4.2</v>
      </c>
      <c r="H4362" t="n">
        <v>0</v>
      </c>
      <c r="I4362" t="n">
        <v>0</v>
      </c>
      <c r="J4362" t="n">
        <v>0</v>
      </c>
      <c r="K4362" t="n">
        <v>0</v>
      </c>
      <c r="L4362" t="n">
        <v>0</v>
      </c>
      <c r="M4362" t="n">
        <v>0</v>
      </c>
      <c r="N4362" t="n">
        <v>0</v>
      </c>
      <c r="O4362" t="n">
        <v>0</v>
      </c>
      <c r="P4362" t="n">
        <v>0</v>
      </c>
      <c r="Q4362" t="n">
        <v>0</v>
      </c>
      <c r="R4362" s="2" t="inlineStr"/>
    </row>
    <row r="4363" ht="15" customHeight="1">
      <c r="A4363" t="inlineStr">
        <is>
          <t>A 46115-2024</t>
        </is>
      </c>
      <c r="B4363" s="1" t="n">
        <v>45581</v>
      </c>
      <c r="C4363" s="1" t="n">
        <v>45883</v>
      </c>
      <c r="D4363" t="inlineStr">
        <is>
          <t>GÄVLEBORGS LÄN</t>
        </is>
      </c>
      <c r="E4363" t="inlineStr">
        <is>
          <t>GÄVLE</t>
        </is>
      </c>
      <c r="F4363" t="inlineStr">
        <is>
          <t>Kyrkan</t>
        </is>
      </c>
      <c r="G4363" t="n">
        <v>4.4</v>
      </c>
      <c r="H4363" t="n">
        <v>0</v>
      </c>
      <c r="I4363" t="n">
        <v>0</v>
      </c>
      <c r="J4363" t="n">
        <v>0</v>
      </c>
      <c r="K4363" t="n">
        <v>0</v>
      </c>
      <c r="L4363" t="n">
        <v>0</v>
      </c>
      <c r="M4363" t="n">
        <v>0</v>
      </c>
      <c r="N4363" t="n">
        <v>0</v>
      </c>
      <c r="O4363" t="n">
        <v>0</v>
      </c>
      <c r="P4363" t="n">
        <v>0</v>
      </c>
      <c r="Q4363" t="n">
        <v>0</v>
      </c>
      <c r="R4363" s="2" t="inlineStr"/>
    </row>
    <row r="4364" ht="15" customHeight="1">
      <c r="A4364" t="inlineStr">
        <is>
          <t>A 20813-2025</t>
        </is>
      </c>
      <c r="B4364" s="1" t="n">
        <v>45776.67744212963</v>
      </c>
      <c r="C4364" s="1" t="n">
        <v>45883</v>
      </c>
      <c r="D4364" t="inlineStr">
        <is>
          <t>GÄVLEBORGS LÄN</t>
        </is>
      </c>
      <c r="E4364" t="inlineStr">
        <is>
          <t>LJUSDAL</t>
        </is>
      </c>
      <c r="F4364" t="inlineStr">
        <is>
          <t>SCA</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20819-2025</t>
        </is>
      </c>
      <c r="B4365" s="1" t="n">
        <v>45776.70995370371</v>
      </c>
      <c r="C4365" s="1" t="n">
        <v>45883</v>
      </c>
      <c r="D4365" t="inlineStr">
        <is>
          <t>GÄVLEBORGS LÄN</t>
        </is>
      </c>
      <c r="E4365" t="inlineStr">
        <is>
          <t>HUDIKSVALL</t>
        </is>
      </c>
      <c r="G4365" t="n">
        <v>10.3</v>
      </c>
      <c r="H4365" t="n">
        <v>0</v>
      </c>
      <c r="I4365" t="n">
        <v>0</v>
      </c>
      <c r="J4365" t="n">
        <v>0</v>
      </c>
      <c r="K4365" t="n">
        <v>0</v>
      </c>
      <c r="L4365" t="n">
        <v>0</v>
      </c>
      <c r="M4365" t="n">
        <v>0</v>
      </c>
      <c r="N4365" t="n">
        <v>0</v>
      </c>
      <c r="O4365" t="n">
        <v>0</v>
      </c>
      <c r="P4365" t="n">
        <v>0</v>
      </c>
      <c r="Q4365" t="n">
        <v>0</v>
      </c>
      <c r="R4365" s="2" t="inlineStr"/>
    </row>
    <row r="4366" ht="15" customHeight="1">
      <c r="A4366" t="inlineStr">
        <is>
          <t>A 69206-2020</t>
        </is>
      </c>
      <c r="B4366" s="1" t="n">
        <v>44191</v>
      </c>
      <c r="C4366" s="1" t="n">
        <v>45883</v>
      </c>
      <c r="D4366" t="inlineStr">
        <is>
          <t>GÄVLEBORGS LÄN</t>
        </is>
      </c>
      <c r="E4366" t="inlineStr">
        <is>
          <t>GÄVLE</t>
        </is>
      </c>
      <c r="F4366" t="inlineStr">
        <is>
          <t>Kommuner</t>
        </is>
      </c>
      <c r="G4366" t="n">
        <v>0.4</v>
      </c>
      <c r="H4366" t="n">
        <v>0</v>
      </c>
      <c r="I4366" t="n">
        <v>0</v>
      </c>
      <c r="J4366" t="n">
        <v>0</v>
      </c>
      <c r="K4366" t="n">
        <v>0</v>
      </c>
      <c r="L4366" t="n">
        <v>0</v>
      </c>
      <c r="M4366" t="n">
        <v>0</v>
      </c>
      <c r="N4366" t="n">
        <v>0</v>
      </c>
      <c r="O4366" t="n">
        <v>0</v>
      </c>
      <c r="P4366" t="n">
        <v>0</v>
      </c>
      <c r="Q4366" t="n">
        <v>0</v>
      </c>
      <c r="R4366" s="2" t="inlineStr"/>
    </row>
    <row r="4367" ht="15" customHeight="1">
      <c r="A4367" t="inlineStr">
        <is>
          <t>A 20806-2025</t>
        </is>
      </c>
      <c r="B4367" s="1" t="n">
        <v>45776.65664351852</v>
      </c>
      <c r="C4367" s="1" t="n">
        <v>45883</v>
      </c>
      <c r="D4367" t="inlineStr">
        <is>
          <t>GÄVLEBORGS LÄN</t>
        </is>
      </c>
      <c r="E4367" t="inlineStr">
        <is>
          <t>LJUSDAL</t>
        </is>
      </c>
      <c r="F4367" t="inlineStr">
        <is>
          <t>SCA</t>
        </is>
      </c>
      <c r="G4367" t="n">
        <v>6.5</v>
      </c>
      <c r="H4367" t="n">
        <v>0</v>
      </c>
      <c r="I4367" t="n">
        <v>0</v>
      </c>
      <c r="J4367" t="n">
        <v>0</v>
      </c>
      <c r="K4367" t="n">
        <v>0</v>
      </c>
      <c r="L4367" t="n">
        <v>0</v>
      </c>
      <c r="M4367" t="n">
        <v>0</v>
      </c>
      <c r="N4367" t="n">
        <v>0</v>
      </c>
      <c r="O4367" t="n">
        <v>0</v>
      </c>
      <c r="P4367" t="n">
        <v>0</v>
      </c>
      <c r="Q4367" t="n">
        <v>0</v>
      </c>
      <c r="R4367" s="2" t="inlineStr"/>
    </row>
    <row r="4368" ht="15" customHeight="1">
      <c r="A4368" t="inlineStr">
        <is>
          <t>A 20621-2025</t>
        </is>
      </c>
      <c r="B4368" s="1" t="n">
        <v>45776.32197916666</v>
      </c>
      <c r="C4368" s="1" t="n">
        <v>45883</v>
      </c>
      <c r="D4368" t="inlineStr">
        <is>
          <t>GÄVLEBORGS LÄN</t>
        </is>
      </c>
      <c r="E4368" t="inlineStr">
        <is>
          <t>GÄVLE</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36061-2024</t>
        </is>
      </c>
      <c r="B4369" s="1" t="n">
        <v>45533.63870370371</v>
      </c>
      <c r="C4369" s="1" t="n">
        <v>45883</v>
      </c>
      <c r="D4369" t="inlineStr">
        <is>
          <t>GÄVLEBORGS LÄN</t>
        </is>
      </c>
      <c r="E4369" t="inlineStr">
        <is>
          <t>LJUSDAL</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22641-2024</t>
        </is>
      </c>
      <c r="B4370" s="1" t="n">
        <v>45447</v>
      </c>
      <c r="C4370" s="1" t="n">
        <v>45883</v>
      </c>
      <c r="D4370" t="inlineStr">
        <is>
          <t>GÄVLEBORGS LÄN</t>
        </is>
      </c>
      <c r="E4370" t="inlineStr">
        <is>
          <t>HUDIKSVALL</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72083-2021</t>
        </is>
      </c>
      <c r="B4371" s="1" t="n">
        <v>44544.51949074074</v>
      </c>
      <c r="C4371" s="1" t="n">
        <v>45883</v>
      </c>
      <c r="D4371" t="inlineStr">
        <is>
          <t>GÄVLEBORGS LÄN</t>
        </is>
      </c>
      <c r="E4371" t="inlineStr">
        <is>
          <t>HUDIKSVALL</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47116-2024</t>
        </is>
      </c>
      <c r="B4372" s="1" t="n">
        <v>45586.56028935185</v>
      </c>
      <c r="C4372" s="1" t="n">
        <v>45883</v>
      </c>
      <c r="D4372" t="inlineStr">
        <is>
          <t>GÄVLEBORGS LÄN</t>
        </is>
      </c>
      <c r="E4372" t="inlineStr">
        <is>
          <t>HUDIKSVALL</t>
        </is>
      </c>
      <c r="F4372" t="inlineStr">
        <is>
          <t>Holmen skog AB</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20710-2025</t>
        </is>
      </c>
      <c r="B4373" s="1" t="n">
        <v>45776.48524305555</v>
      </c>
      <c r="C4373" s="1" t="n">
        <v>45883</v>
      </c>
      <c r="D4373" t="inlineStr">
        <is>
          <t>GÄVLEBORGS LÄN</t>
        </is>
      </c>
      <c r="E4373" t="inlineStr">
        <is>
          <t>BOLLNÄS</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20742-2025</t>
        </is>
      </c>
      <c r="B4374" s="1" t="n">
        <v>45776.54644675926</v>
      </c>
      <c r="C4374" s="1" t="n">
        <v>45883</v>
      </c>
      <c r="D4374" t="inlineStr">
        <is>
          <t>GÄVLEBORGS LÄN</t>
        </is>
      </c>
      <c r="E4374" t="inlineStr">
        <is>
          <t>OVANÅKER</t>
        </is>
      </c>
      <c r="G4374" t="n">
        <v>9.1</v>
      </c>
      <c r="H4374" t="n">
        <v>0</v>
      </c>
      <c r="I4374" t="n">
        <v>0</v>
      </c>
      <c r="J4374" t="n">
        <v>0</v>
      </c>
      <c r="K4374" t="n">
        <v>0</v>
      </c>
      <c r="L4374" t="n">
        <v>0</v>
      </c>
      <c r="M4374" t="n">
        <v>0</v>
      </c>
      <c r="N4374" t="n">
        <v>0</v>
      </c>
      <c r="O4374" t="n">
        <v>0</v>
      </c>
      <c r="P4374" t="n">
        <v>0</v>
      </c>
      <c r="Q4374" t="n">
        <v>0</v>
      </c>
      <c r="R4374" s="2" t="inlineStr"/>
    </row>
    <row r="4375" ht="15" customHeight="1">
      <c r="A4375" t="inlineStr">
        <is>
          <t>A 2547-2022</t>
        </is>
      </c>
      <c r="B4375" s="1" t="n">
        <v>44579.98798611111</v>
      </c>
      <c r="C4375" s="1" t="n">
        <v>45883</v>
      </c>
      <c r="D4375" t="inlineStr">
        <is>
          <t>GÄVLEBORGS LÄN</t>
        </is>
      </c>
      <c r="E4375" t="inlineStr">
        <is>
          <t>GÄVLE</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13670-2024</t>
        </is>
      </c>
      <c r="B4376" s="1" t="n">
        <v>45390.52055555556</v>
      </c>
      <c r="C4376" s="1" t="n">
        <v>45883</v>
      </c>
      <c r="D4376" t="inlineStr">
        <is>
          <t>GÄVLEBORGS LÄN</t>
        </is>
      </c>
      <c r="E4376" t="inlineStr">
        <is>
          <t>HUDIKSVALL</t>
        </is>
      </c>
      <c r="F4376" t="inlineStr">
        <is>
          <t>Holmen skog AB</t>
        </is>
      </c>
      <c r="G4376" t="n">
        <v>3.3</v>
      </c>
      <c r="H4376" t="n">
        <v>0</v>
      </c>
      <c r="I4376" t="n">
        <v>0</v>
      </c>
      <c r="J4376" t="n">
        <v>0</v>
      </c>
      <c r="K4376" t="n">
        <v>0</v>
      </c>
      <c r="L4376" t="n">
        <v>0</v>
      </c>
      <c r="M4376" t="n">
        <v>0</v>
      </c>
      <c r="N4376" t="n">
        <v>0</v>
      </c>
      <c r="O4376" t="n">
        <v>0</v>
      </c>
      <c r="P4376" t="n">
        <v>0</v>
      </c>
      <c r="Q4376" t="n">
        <v>0</v>
      </c>
      <c r="R4376" s="2" t="inlineStr"/>
    </row>
    <row r="4377" ht="15" customHeight="1">
      <c r="A4377" t="inlineStr">
        <is>
          <t>A 22010-2024</t>
        </is>
      </c>
      <c r="B4377" s="1" t="n">
        <v>45443.57775462963</v>
      </c>
      <c r="C4377" s="1" t="n">
        <v>45883</v>
      </c>
      <c r="D4377" t="inlineStr">
        <is>
          <t>GÄVLEBORGS LÄN</t>
        </is>
      </c>
      <c r="E4377" t="inlineStr">
        <is>
          <t>BOLLNÄS</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22016-2024</t>
        </is>
      </c>
      <c r="B4378" s="1" t="n">
        <v>45443.58246527778</v>
      </c>
      <c r="C4378" s="1" t="n">
        <v>45883</v>
      </c>
      <c r="D4378" t="inlineStr">
        <is>
          <t>GÄVLEBORGS LÄN</t>
        </is>
      </c>
      <c r="E4378" t="inlineStr">
        <is>
          <t>NORDANSTIG</t>
        </is>
      </c>
      <c r="F4378" t="inlineStr">
        <is>
          <t>Holmen skog AB</t>
        </is>
      </c>
      <c r="G4378" t="n">
        <v>15.5</v>
      </c>
      <c r="H4378" t="n">
        <v>0</v>
      </c>
      <c r="I4378" t="n">
        <v>0</v>
      </c>
      <c r="J4378" t="n">
        <v>0</v>
      </c>
      <c r="K4378" t="n">
        <v>0</v>
      </c>
      <c r="L4378" t="n">
        <v>0</v>
      </c>
      <c r="M4378" t="n">
        <v>0</v>
      </c>
      <c r="N4378" t="n">
        <v>0</v>
      </c>
      <c r="O4378" t="n">
        <v>0</v>
      </c>
      <c r="P4378" t="n">
        <v>0</v>
      </c>
      <c r="Q4378" t="n">
        <v>0</v>
      </c>
      <c r="R4378" s="2" t="inlineStr"/>
    </row>
    <row r="4379" ht="15" customHeight="1">
      <c r="A4379" t="inlineStr">
        <is>
          <t>A 47524-2024</t>
        </is>
      </c>
      <c r="B4379" s="1" t="n">
        <v>45587.63166666667</v>
      </c>
      <c r="C4379" s="1" t="n">
        <v>45883</v>
      </c>
      <c r="D4379" t="inlineStr">
        <is>
          <t>GÄVLEBORGS LÄN</t>
        </is>
      </c>
      <c r="E4379" t="inlineStr">
        <is>
          <t>HOFORS</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20755-2025</t>
        </is>
      </c>
      <c r="B4380" s="1" t="n">
        <v>45776.57098379629</v>
      </c>
      <c r="C4380" s="1" t="n">
        <v>45883</v>
      </c>
      <c r="D4380" t="inlineStr">
        <is>
          <t>GÄVLEBORGS LÄN</t>
        </is>
      </c>
      <c r="E4380" t="inlineStr">
        <is>
          <t>SÖDERHAMN</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20795-2025</t>
        </is>
      </c>
      <c r="B4381" s="1" t="n">
        <v>45776.63881944444</v>
      </c>
      <c r="C4381" s="1" t="n">
        <v>45883</v>
      </c>
      <c r="D4381" t="inlineStr">
        <is>
          <t>GÄVLEBORGS LÄN</t>
        </is>
      </c>
      <c r="E4381" t="inlineStr">
        <is>
          <t>OVANÅKER</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20799-2025</t>
        </is>
      </c>
      <c r="B4382" s="1" t="n">
        <v>45776.64336805556</v>
      </c>
      <c r="C4382" s="1" t="n">
        <v>45883</v>
      </c>
      <c r="D4382" t="inlineStr">
        <is>
          <t>GÄVLEBORGS LÄN</t>
        </is>
      </c>
      <c r="E4382" t="inlineStr">
        <is>
          <t>OVANÅKER</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45554-2024</t>
        </is>
      </c>
      <c r="B4383" s="1" t="n">
        <v>45579.3487962963</v>
      </c>
      <c r="C4383" s="1" t="n">
        <v>45883</v>
      </c>
      <c r="D4383" t="inlineStr">
        <is>
          <t>GÄVLEBORGS LÄN</t>
        </is>
      </c>
      <c r="E4383" t="inlineStr">
        <is>
          <t>BOLLNÄS</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20760-2025</t>
        </is>
      </c>
      <c r="B4384" s="1" t="n">
        <v>45776.57601851852</v>
      </c>
      <c r="C4384" s="1" t="n">
        <v>45883</v>
      </c>
      <c r="D4384" t="inlineStr">
        <is>
          <t>GÄVLEBORGS LÄN</t>
        </is>
      </c>
      <c r="E4384" t="inlineStr">
        <is>
          <t>GÄVLE</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41729-2023</t>
        </is>
      </c>
      <c r="B4385" s="1" t="n">
        <v>45176</v>
      </c>
      <c r="C4385" s="1" t="n">
        <v>45883</v>
      </c>
      <c r="D4385" t="inlineStr">
        <is>
          <t>GÄVLEBORGS LÄN</t>
        </is>
      </c>
      <c r="E4385" t="inlineStr">
        <is>
          <t>NORDANSTIG</t>
        </is>
      </c>
      <c r="F4385" t="inlineStr">
        <is>
          <t>Holmen skog AB</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20782-2025</t>
        </is>
      </c>
      <c r="B4386" s="1" t="n">
        <v>45776</v>
      </c>
      <c r="C4386" s="1" t="n">
        <v>45883</v>
      </c>
      <c r="D4386" t="inlineStr">
        <is>
          <t>GÄVLEBORGS LÄN</t>
        </is>
      </c>
      <c r="E4386" t="inlineStr">
        <is>
          <t>OCKELBO</t>
        </is>
      </c>
      <c r="G4386" t="n">
        <v>5.7</v>
      </c>
      <c r="H4386" t="n">
        <v>0</v>
      </c>
      <c r="I4386" t="n">
        <v>0</v>
      </c>
      <c r="J4386" t="n">
        <v>0</v>
      </c>
      <c r="K4386" t="n">
        <v>0</v>
      </c>
      <c r="L4386" t="n">
        <v>0</v>
      </c>
      <c r="M4386" t="n">
        <v>0</v>
      </c>
      <c r="N4386" t="n">
        <v>0</v>
      </c>
      <c r="O4386" t="n">
        <v>0</v>
      </c>
      <c r="P4386" t="n">
        <v>0</v>
      </c>
      <c r="Q4386" t="n">
        <v>0</v>
      </c>
      <c r="R4386" s="2" t="inlineStr"/>
    </row>
    <row r="4387" ht="15" customHeight="1">
      <c r="A4387" t="inlineStr">
        <is>
          <t>A 4565-2024</t>
        </is>
      </c>
      <c r="B4387" s="1" t="n">
        <v>45327</v>
      </c>
      <c r="C4387" s="1" t="n">
        <v>45883</v>
      </c>
      <c r="D4387" t="inlineStr">
        <is>
          <t>GÄVLEBORGS LÄN</t>
        </is>
      </c>
      <c r="E4387" t="inlineStr">
        <is>
          <t>HUDIKSVALL</t>
        </is>
      </c>
      <c r="F4387" t="inlineStr">
        <is>
          <t>Holmen skog AB</t>
        </is>
      </c>
      <c r="G4387" t="n">
        <v>34.7</v>
      </c>
      <c r="H4387" t="n">
        <v>0</v>
      </c>
      <c r="I4387" t="n">
        <v>0</v>
      </c>
      <c r="J4387" t="n">
        <v>0</v>
      </c>
      <c r="K4387" t="n">
        <v>0</v>
      </c>
      <c r="L4387" t="n">
        <v>0</v>
      </c>
      <c r="M4387" t="n">
        <v>0</v>
      </c>
      <c r="N4387" t="n">
        <v>0</v>
      </c>
      <c r="O4387" t="n">
        <v>0</v>
      </c>
      <c r="P4387" t="n">
        <v>0</v>
      </c>
      <c r="Q4387" t="n">
        <v>0</v>
      </c>
      <c r="R4387" s="2" t="inlineStr"/>
    </row>
    <row r="4388" ht="15" customHeight="1">
      <c r="A4388" t="inlineStr">
        <is>
          <t>A 20633-2025</t>
        </is>
      </c>
      <c r="B4388" s="1" t="n">
        <v>45776.34916666667</v>
      </c>
      <c r="C4388" s="1" t="n">
        <v>45883</v>
      </c>
      <c r="D4388" t="inlineStr">
        <is>
          <t>GÄVLEBORGS LÄN</t>
        </is>
      </c>
      <c r="E4388" t="inlineStr">
        <is>
          <t>SANDVIKEN</t>
        </is>
      </c>
      <c r="G4388" t="n">
        <v>8.300000000000001</v>
      </c>
      <c r="H4388" t="n">
        <v>0</v>
      </c>
      <c r="I4388" t="n">
        <v>0</v>
      </c>
      <c r="J4388" t="n">
        <v>0</v>
      </c>
      <c r="K4388" t="n">
        <v>0</v>
      </c>
      <c r="L4388" t="n">
        <v>0</v>
      </c>
      <c r="M4388" t="n">
        <v>0</v>
      </c>
      <c r="N4388" t="n">
        <v>0</v>
      </c>
      <c r="O4388" t="n">
        <v>0</v>
      </c>
      <c r="P4388" t="n">
        <v>0</v>
      </c>
      <c r="Q4388" t="n">
        <v>0</v>
      </c>
      <c r="R4388" s="2" t="inlineStr"/>
    </row>
    <row r="4389" ht="15" customHeight="1">
      <c r="A4389" t="inlineStr">
        <is>
          <t>A 35002-2023</t>
        </is>
      </c>
      <c r="B4389" s="1" t="n">
        <v>45142</v>
      </c>
      <c r="C4389" s="1" t="n">
        <v>45883</v>
      </c>
      <c r="D4389" t="inlineStr">
        <is>
          <t>GÄVLEBORGS LÄN</t>
        </is>
      </c>
      <c r="E4389" t="inlineStr">
        <is>
          <t>HUDIKSVALL</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20705-2025</t>
        </is>
      </c>
      <c r="B4390" s="1" t="n">
        <v>45776.48304398148</v>
      </c>
      <c r="C4390" s="1" t="n">
        <v>45883</v>
      </c>
      <c r="D4390" t="inlineStr">
        <is>
          <t>GÄVLEBORGS LÄN</t>
        </is>
      </c>
      <c r="E4390" t="inlineStr">
        <is>
          <t>BOLLNÄS</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6949-2025</t>
        </is>
      </c>
      <c r="B4391" s="1" t="n">
        <v>45701</v>
      </c>
      <c r="C4391" s="1" t="n">
        <v>45883</v>
      </c>
      <c r="D4391" t="inlineStr">
        <is>
          <t>GÄVLEBORGS LÄN</t>
        </is>
      </c>
      <c r="E4391" t="inlineStr">
        <is>
          <t>HUDIKSVALL</t>
        </is>
      </c>
      <c r="G4391" t="n">
        <v>4.5</v>
      </c>
      <c r="H4391" t="n">
        <v>0</v>
      </c>
      <c r="I4391" t="n">
        <v>0</v>
      </c>
      <c r="J4391" t="n">
        <v>0</v>
      </c>
      <c r="K4391" t="n">
        <v>0</v>
      </c>
      <c r="L4391" t="n">
        <v>0</v>
      </c>
      <c r="M4391" t="n">
        <v>0</v>
      </c>
      <c r="N4391" t="n">
        <v>0</v>
      </c>
      <c r="O4391" t="n">
        <v>0</v>
      </c>
      <c r="P4391" t="n">
        <v>0</v>
      </c>
      <c r="Q4391" t="n">
        <v>0</v>
      </c>
      <c r="R4391" s="2" t="inlineStr"/>
    </row>
    <row r="4392" ht="15" customHeight="1">
      <c r="A4392" t="inlineStr">
        <is>
          <t>A 14479-2023</t>
        </is>
      </c>
      <c r="B4392" s="1" t="n">
        <v>45012</v>
      </c>
      <c r="C4392" s="1" t="n">
        <v>45883</v>
      </c>
      <c r="D4392" t="inlineStr">
        <is>
          <t>GÄVLEBORGS LÄN</t>
        </is>
      </c>
      <c r="E4392" t="inlineStr">
        <is>
          <t>LJUSDAL</t>
        </is>
      </c>
      <c r="F4392" t="inlineStr">
        <is>
          <t>Kyrkan</t>
        </is>
      </c>
      <c r="G4392" t="n">
        <v>27.5</v>
      </c>
      <c r="H4392" t="n">
        <v>0</v>
      </c>
      <c r="I4392" t="n">
        <v>0</v>
      </c>
      <c r="J4392" t="n">
        <v>0</v>
      </c>
      <c r="K4392" t="n">
        <v>0</v>
      </c>
      <c r="L4392" t="n">
        <v>0</v>
      </c>
      <c r="M4392" t="n">
        <v>0</v>
      </c>
      <c r="N4392" t="n">
        <v>0</v>
      </c>
      <c r="O4392" t="n">
        <v>0</v>
      </c>
      <c r="P4392" t="n">
        <v>0</v>
      </c>
      <c r="Q4392" t="n">
        <v>0</v>
      </c>
      <c r="R4392" s="2" t="inlineStr"/>
    </row>
    <row r="4393" ht="15" customHeight="1">
      <c r="A4393" t="inlineStr">
        <is>
          <t>A 20678-2025</t>
        </is>
      </c>
      <c r="B4393" s="1" t="n">
        <v>45776.44604166667</v>
      </c>
      <c r="C4393" s="1" t="n">
        <v>45883</v>
      </c>
      <c r="D4393" t="inlineStr">
        <is>
          <t>GÄVLEBORGS LÄN</t>
        </is>
      </c>
      <c r="E4393" t="inlineStr">
        <is>
          <t>HUDIKSVALL</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35963-2023</t>
        </is>
      </c>
      <c r="B4394" s="1" t="n">
        <v>45148.86685185185</v>
      </c>
      <c r="C4394" s="1" t="n">
        <v>45883</v>
      </c>
      <c r="D4394" t="inlineStr">
        <is>
          <t>GÄVLEBORGS LÄN</t>
        </is>
      </c>
      <c r="E4394" t="inlineStr">
        <is>
          <t>HUDIKSVALL</t>
        </is>
      </c>
      <c r="G4394" t="n">
        <v>9.699999999999999</v>
      </c>
      <c r="H4394" t="n">
        <v>0</v>
      </c>
      <c r="I4394" t="n">
        <v>0</v>
      </c>
      <c r="J4394" t="n">
        <v>0</v>
      </c>
      <c r="K4394" t="n">
        <v>0</v>
      </c>
      <c r="L4394" t="n">
        <v>0</v>
      </c>
      <c r="M4394" t="n">
        <v>0</v>
      </c>
      <c r="N4394" t="n">
        <v>0</v>
      </c>
      <c r="O4394" t="n">
        <v>0</v>
      </c>
      <c r="P4394" t="n">
        <v>0</v>
      </c>
      <c r="Q4394" t="n">
        <v>0</v>
      </c>
      <c r="R4394" s="2" t="inlineStr"/>
    </row>
    <row r="4395" ht="15" customHeight="1">
      <c r="A4395" t="inlineStr">
        <is>
          <t>A 11768-2025</t>
        </is>
      </c>
      <c r="B4395" s="1" t="n">
        <v>45727.67243055555</v>
      </c>
      <c r="C4395" s="1" t="n">
        <v>45883</v>
      </c>
      <c r="D4395" t="inlineStr">
        <is>
          <t>GÄVLEBORGS LÄN</t>
        </is>
      </c>
      <c r="E4395" t="inlineStr">
        <is>
          <t>GÄVLE</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39858-2023</t>
        </is>
      </c>
      <c r="B4396" s="1" t="n">
        <v>45168.37981481481</v>
      </c>
      <c r="C4396" s="1" t="n">
        <v>45883</v>
      </c>
      <c r="D4396" t="inlineStr">
        <is>
          <t>GÄVLEBORGS LÄN</t>
        </is>
      </c>
      <c r="E4396" t="inlineStr">
        <is>
          <t>HUDIKSVALL</t>
        </is>
      </c>
      <c r="F4396" t="inlineStr">
        <is>
          <t>Holmen skog AB</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21098-2025</t>
        </is>
      </c>
      <c r="B4397" s="1" t="n">
        <v>45777.6434837963</v>
      </c>
      <c r="C4397" s="1" t="n">
        <v>45883</v>
      </c>
      <c r="D4397" t="inlineStr">
        <is>
          <t>GÄVLEBORGS LÄN</t>
        </is>
      </c>
      <c r="E4397" t="inlineStr">
        <is>
          <t>LJUSDAL</t>
        </is>
      </c>
      <c r="F4397" t="inlineStr">
        <is>
          <t>Sveaskog</t>
        </is>
      </c>
      <c r="G4397" t="n">
        <v>30.7</v>
      </c>
      <c r="H4397" t="n">
        <v>0</v>
      </c>
      <c r="I4397" t="n">
        <v>0</v>
      </c>
      <c r="J4397" t="n">
        <v>0</v>
      </c>
      <c r="K4397" t="n">
        <v>0</v>
      </c>
      <c r="L4397" t="n">
        <v>0</v>
      </c>
      <c r="M4397" t="n">
        <v>0</v>
      </c>
      <c r="N4397" t="n">
        <v>0</v>
      </c>
      <c r="O4397" t="n">
        <v>0</v>
      </c>
      <c r="P4397" t="n">
        <v>0</v>
      </c>
      <c r="Q4397" t="n">
        <v>0</v>
      </c>
      <c r="R4397" s="2" t="inlineStr"/>
    </row>
    <row r="4398" ht="15" customHeight="1">
      <c r="A4398" t="inlineStr">
        <is>
          <t>A 55367-2023</t>
        </is>
      </c>
      <c r="B4398" s="1" t="n">
        <v>45238.34386574074</v>
      </c>
      <c r="C4398" s="1" t="n">
        <v>45883</v>
      </c>
      <c r="D4398" t="inlineStr">
        <is>
          <t>GÄVLEBORGS LÄN</t>
        </is>
      </c>
      <c r="E4398" t="inlineStr">
        <is>
          <t>BOLLNÄS</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11482-2025</t>
        </is>
      </c>
      <c r="B4399" s="1" t="n">
        <v>45726.69202546297</v>
      </c>
      <c r="C4399" s="1" t="n">
        <v>45883</v>
      </c>
      <c r="D4399" t="inlineStr">
        <is>
          <t>GÄVLEBORGS LÄN</t>
        </is>
      </c>
      <c r="E4399" t="inlineStr">
        <is>
          <t>OVANÅKER</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11390-2025</t>
        </is>
      </c>
      <c r="B4400" s="1" t="n">
        <v>45726.57084490741</v>
      </c>
      <c r="C4400" s="1" t="n">
        <v>45883</v>
      </c>
      <c r="D4400" t="inlineStr">
        <is>
          <t>GÄVLEBORGS LÄN</t>
        </is>
      </c>
      <c r="E4400" t="inlineStr">
        <is>
          <t>GÄVLE</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18763-2025</t>
        </is>
      </c>
      <c r="B4401" s="1" t="n">
        <v>45764.29385416667</v>
      </c>
      <c r="C4401" s="1" t="n">
        <v>45883</v>
      </c>
      <c r="D4401" t="inlineStr">
        <is>
          <t>GÄVLEBORGS LÄN</t>
        </is>
      </c>
      <c r="E4401" t="inlineStr">
        <is>
          <t>LJUSDAL</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7294-2025</t>
        </is>
      </c>
      <c r="B4402" s="1" t="n">
        <v>45702.64712962963</v>
      </c>
      <c r="C4402" s="1" t="n">
        <v>45883</v>
      </c>
      <c r="D4402" t="inlineStr">
        <is>
          <t>GÄVLEBORGS LÄN</t>
        </is>
      </c>
      <c r="E4402" t="inlineStr">
        <is>
          <t>GÄVLE</t>
        </is>
      </c>
      <c r="F4402" t="inlineStr">
        <is>
          <t>Bergvik skog öst AB</t>
        </is>
      </c>
      <c r="G4402" t="n">
        <v>8.9</v>
      </c>
      <c r="H4402" t="n">
        <v>0</v>
      </c>
      <c r="I4402" t="n">
        <v>0</v>
      </c>
      <c r="J4402" t="n">
        <v>0</v>
      </c>
      <c r="K4402" t="n">
        <v>0</v>
      </c>
      <c r="L4402" t="n">
        <v>0</v>
      </c>
      <c r="M4402" t="n">
        <v>0</v>
      </c>
      <c r="N4402" t="n">
        <v>0</v>
      </c>
      <c r="O4402" t="n">
        <v>0</v>
      </c>
      <c r="P4402" t="n">
        <v>0</v>
      </c>
      <c r="Q4402" t="n">
        <v>0</v>
      </c>
      <c r="R4402" s="2" t="inlineStr"/>
    </row>
    <row r="4403" ht="15" customHeight="1">
      <c r="A4403" t="inlineStr">
        <is>
          <t>A 7296-2025</t>
        </is>
      </c>
      <c r="B4403" s="1" t="n">
        <v>45702.64880787037</v>
      </c>
      <c r="C4403" s="1" t="n">
        <v>45883</v>
      </c>
      <c r="D4403" t="inlineStr">
        <is>
          <t>GÄVLEBORGS LÄN</t>
        </is>
      </c>
      <c r="E4403" t="inlineStr">
        <is>
          <t>GÄVLE</t>
        </is>
      </c>
      <c r="F4403" t="inlineStr">
        <is>
          <t>Bergvik skog öst AB</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9926-2023</t>
        </is>
      </c>
      <c r="B4404" s="1" t="n">
        <v>44985</v>
      </c>
      <c r="C4404" s="1" t="n">
        <v>45883</v>
      </c>
      <c r="D4404" t="inlineStr">
        <is>
          <t>GÄVLEBORGS LÄN</t>
        </is>
      </c>
      <c r="E4404" t="inlineStr">
        <is>
          <t>LJUSDAL</t>
        </is>
      </c>
      <c r="F4404" t="inlineStr">
        <is>
          <t>Bergvik skog väst AB</t>
        </is>
      </c>
      <c r="G4404" t="n">
        <v>17.5</v>
      </c>
      <c r="H4404" t="n">
        <v>0</v>
      </c>
      <c r="I4404" t="n">
        <v>0</v>
      </c>
      <c r="J4404" t="n">
        <v>0</v>
      </c>
      <c r="K4404" t="n">
        <v>0</v>
      </c>
      <c r="L4404" t="n">
        <v>0</v>
      </c>
      <c r="M4404" t="n">
        <v>0</v>
      </c>
      <c r="N4404" t="n">
        <v>0</v>
      </c>
      <c r="O4404" t="n">
        <v>0</v>
      </c>
      <c r="P4404" t="n">
        <v>0</v>
      </c>
      <c r="Q4404" t="n">
        <v>0</v>
      </c>
      <c r="R4404" s="2" t="inlineStr"/>
    </row>
    <row r="4405" ht="15" customHeight="1">
      <c r="A4405" t="inlineStr">
        <is>
          <t>A 9946-2023</t>
        </is>
      </c>
      <c r="B4405" s="1" t="n">
        <v>44985</v>
      </c>
      <c r="C4405" s="1" t="n">
        <v>45883</v>
      </c>
      <c r="D4405" t="inlineStr">
        <is>
          <t>GÄVLEBORGS LÄN</t>
        </is>
      </c>
      <c r="E4405" t="inlineStr">
        <is>
          <t>LJUSDAL</t>
        </is>
      </c>
      <c r="F4405" t="inlineStr">
        <is>
          <t>Bergvik skog väst AB</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32879-2022</t>
        </is>
      </c>
      <c r="B4406" s="1" t="n">
        <v>44784.54256944444</v>
      </c>
      <c r="C4406" s="1" t="n">
        <v>45883</v>
      </c>
      <c r="D4406" t="inlineStr">
        <is>
          <t>GÄVLEBORGS LÄN</t>
        </is>
      </c>
      <c r="E4406" t="inlineStr">
        <is>
          <t>LJUSDAL</t>
        </is>
      </c>
      <c r="F4406" t="inlineStr">
        <is>
          <t>Bergvik skog väst AB</t>
        </is>
      </c>
      <c r="G4406" t="n">
        <v>4.3</v>
      </c>
      <c r="H4406" t="n">
        <v>0</v>
      </c>
      <c r="I4406" t="n">
        <v>0</v>
      </c>
      <c r="J4406" t="n">
        <v>0</v>
      </c>
      <c r="K4406" t="n">
        <v>0</v>
      </c>
      <c r="L4406" t="n">
        <v>0</v>
      </c>
      <c r="M4406" t="n">
        <v>0</v>
      </c>
      <c r="N4406" t="n">
        <v>0</v>
      </c>
      <c r="O4406" t="n">
        <v>0</v>
      </c>
      <c r="P4406" t="n">
        <v>0</v>
      </c>
      <c r="Q4406" t="n">
        <v>0</v>
      </c>
      <c r="R4406" s="2" t="inlineStr"/>
    </row>
    <row r="4407" ht="15" customHeight="1">
      <c r="A4407" t="inlineStr">
        <is>
          <t>A 10101-2025</t>
        </is>
      </c>
      <c r="B4407" s="1" t="n">
        <v>45719.57923611111</v>
      </c>
      <c r="C4407" s="1" t="n">
        <v>45883</v>
      </c>
      <c r="D4407" t="inlineStr">
        <is>
          <t>GÄVLEBORGS LÄN</t>
        </is>
      </c>
      <c r="E4407" t="inlineStr">
        <is>
          <t>OVANÅKER</t>
        </is>
      </c>
      <c r="G4407" t="n">
        <v>5.3</v>
      </c>
      <c r="H4407" t="n">
        <v>0</v>
      </c>
      <c r="I4407" t="n">
        <v>0</v>
      </c>
      <c r="J4407" t="n">
        <v>0</v>
      </c>
      <c r="K4407" t="n">
        <v>0</v>
      </c>
      <c r="L4407" t="n">
        <v>0</v>
      </c>
      <c r="M4407" t="n">
        <v>0</v>
      </c>
      <c r="N4407" t="n">
        <v>0</v>
      </c>
      <c r="O4407" t="n">
        <v>0</v>
      </c>
      <c r="P4407" t="n">
        <v>0</v>
      </c>
      <c r="Q4407" t="n">
        <v>0</v>
      </c>
      <c r="R4407" s="2" t="inlineStr"/>
    </row>
    <row r="4408" ht="15" customHeight="1">
      <c r="A4408" t="inlineStr">
        <is>
          <t>A 20972-2025</t>
        </is>
      </c>
      <c r="B4408" s="1" t="n">
        <v>45777.45725694444</v>
      </c>
      <c r="C4408" s="1" t="n">
        <v>45883</v>
      </c>
      <c r="D4408" t="inlineStr">
        <is>
          <t>GÄVLEBORGS LÄN</t>
        </is>
      </c>
      <c r="E4408" t="inlineStr">
        <is>
          <t>HOFORS</t>
        </is>
      </c>
      <c r="F4408" t="inlineStr">
        <is>
          <t>Sveaskog</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45096-2023</t>
        </is>
      </c>
      <c r="B4409" s="1" t="n">
        <v>45191.42413194444</v>
      </c>
      <c r="C4409" s="1" t="n">
        <v>45883</v>
      </c>
      <c r="D4409" t="inlineStr">
        <is>
          <t>GÄVLEBORGS LÄN</t>
        </is>
      </c>
      <c r="E4409" t="inlineStr">
        <is>
          <t>HUDIKSVALL</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37767-2024</t>
        </is>
      </c>
      <c r="B4410" s="1" t="n">
        <v>45541.80368055555</v>
      </c>
      <c r="C4410" s="1" t="n">
        <v>45883</v>
      </c>
      <c r="D4410" t="inlineStr">
        <is>
          <t>GÄVLEBORGS LÄN</t>
        </is>
      </c>
      <c r="E4410" t="inlineStr">
        <is>
          <t>LJUSDAL</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69613-2021</t>
        </is>
      </c>
      <c r="B4411" s="1" t="n">
        <v>44532</v>
      </c>
      <c r="C4411" s="1" t="n">
        <v>45883</v>
      </c>
      <c r="D4411" t="inlineStr">
        <is>
          <t>GÄVLEBORGS LÄN</t>
        </is>
      </c>
      <c r="E4411" t="inlineStr">
        <is>
          <t>BOLLNÄS</t>
        </is>
      </c>
      <c r="F4411" t="inlineStr">
        <is>
          <t>Bergvik skog väst AB</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58611-2023</t>
        </is>
      </c>
      <c r="B4412" s="1" t="n">
        <v>45251.50232638889</v>
      </c>
      <c r="C4412" s="1" t="n">
        <v>45883</v>
      </c>
      <c r="D4412" t="inlineStr">
        <is>
          <t>GÄVLEBORGS LÄN</t>
        </is>
      </c>
      <c r="E4412" t="inlineStr">
        <is>
          <t>SÖDERHAMN</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36186-2023</t>
        </is>
      </c>
      <c r="B4413" s="1" t="n">
        <v>45149.70965277778</v>
      </c>
      <c r="C4413" s="1" t="n">
        <v>45883</v>
      </c>
      <c r="D4413" t="inlineStr">
        <is>
          <t>GÄVLEBORGS LÄN</t>
        </is>
      </c>
      <c r="E4413" t="inlineStr">
        <is>
          <t>NORDANSTIG</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35114-2023</t>
        </is>
      </c>
      <c r="B4414" s="1" t="n">
        <v>45145</v>
      </c>
      <c r="C4414" s="1" t="n">
        <v>45883</v>
      </c>
      <c r="D4414" t="inlineStr">
        <is>
          <t>GÄVLEBORGS LÄN</t>
        </is>
      </c>
      <c r="E4414" t="inlineStr">
        <is>
          <t>HOFORS</t>
        </is>
      </c>
      <c r="G4414" t="n">
        <v>3</v>
      </c>
      <c r="H4414" t="n">
        <v>0</v>
      </c>
      <c r="I4414" t="n">
        <v>0</v>
      </c>
      <c r="J4414" t="n">
        <v>0</v>
      </c>
      <c r="K4414" t="n">
        <v>0</v>
      </c>
      <c r="L4414" t="n">
        <v>0</v>
      </c>
      <c r="M4414" t="n">
        <v>0</v>
      </c>
      <c r="N4414" t="n">
        <v>0</v>
      </c>
      <c r="O4414" t="n">
        <v>0</v>
      </c>
      <c r="P4414" t="n">
        <v>0</v>
      </c>
      <c r="Q4414" t="n">
        <v>0</v>
      </c>
      <c r="R4414" s="2" t="inlineStr"/>
    </row>
    <row r="4415" ht="15" customHeight="1">
      <c r="A4415" t="inlineStr">
        <is>
          <t>A 7227-2023</t>
        </is>
      </c>
      <c r="B4415" s="1" t="n">
        <v>44970.59476851852</v>
      </c>
      <c r="C4415" s="1" t="n">
        <v>45883</v>
      </c>
      <c r="D4415" t="inlineStr">
        <is>
          <t>GÄVLEBORGS LÄN</t>
        </is>
      </c>
      <c r="E4415" t="inlineStr">
        <is>
          <t>OVANÅKER</t>
        </is>
      </c>
      <c r="G4415" t="n">
        <v>14.6</v>
      </c>
      <c r="H4415" t="n">
        <v>0</v>
      </c>
      <c r="I4415" t="n">
        <v>0</v>
      </c>
      <c r="J4415" t="n">
        <v>0</v>
      </c>
      <c r="K4415" t="n">
        <v>0</v>
      </c>
      <c r="L4415" t="n">
        <v>0</v>
      </c>
      <c r="M4415" t="n">
        <v>0</v>
      </c>
      <c r="N4415" t="n">
        <v>0</v>
      </c>
      <c r="O4415" t="n">
        <v>0</v>
      </c>
      <c r="P4415" t="n">
        <v>0</v>
      </c>
      <c r="Q4415" t="n">
        <v>0</v>
      </c>
      <c r="R4415" s="2" t="inlineStr"/>
    </row>
    <row r="4416" ht="15" customHeight="1">
      <c r="A4416" t="inlineStr">
        <is>
          <t>A 15788-2025</t>
        </is>
      </c>
      <c r="B4416" s="1" t="n">
        <v>45748.62546296296</v>
      </c>
      <c r="C4416" s="1" t="n">
        <v>45883</v>
      </c>
      <c r="D4416" t="inlineStr">
        <is>
          <t>GÄVLEBORGS LÄN</t>
        </is>
      </c>
      <c r="E4416" t="inlineStr">
        <is>
          <t>SANDVIKEN</t>
        </is>
      </c>
      <c r="G4416" t="n">
        <v>4.7</v>
      </c>
      <c r="H4416" t="n">
        <v>0</v>
      </c>
      <c r="I4416" t="n">
        <v>0</v>
      </c>
      <c r="J4416" t="n">
        <v>0</v>
      </c>
      <c r="K4416" t="n">
        <v>0</v>
      </c>
      <c r="L4416" t="n">
        <v>0</v>
      </c>
      <c r="M4416" t="n">
        <v>0</v>
      </c>
      <c r="N4416" t="n">
        <v>0</v>
      </c>
      <c r="O4416" t="n">
        <v>0</v>
      </c>
      <c r="P4416" t="n">
        <v>0</v>
      </c>
      <c r="Q4416" t="n">
        <v>0</v>
      </c>
      <c r="R4416" s="2" t="inlineStr"/>
    </row>
    <row r="4417" ht="15" customHeight="1">
      <c r="A4417" t="inlineStr">
        <is>
          <t>A 35136-2023</t>
        </is>
      </c>
      <c r="B4417" s="1" t="n">
        <v>45145.52915509259</v>
      </c>
      <c r="C4417" s="1" t="n">
        <v>45883</v>
      </c>
      <c r="D4417" t="inlineStr">
        <is>
          <t>GÄVLEBORGS LÄN</t>
        </is>
      </c>
      <c r="E4417" t="inlineStr">
        <is>
          <t>HOFORS</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35164-2023</t>
        </is>
      </c>
      <c r="B4418" s="1" t="n">
        <v>45145</v>
      </c>
      <c r="C4418" s="1" t="n">
        <v>45883</v>
      </c>
      <c r="D4418" t="inlineStr">
        <is>
          <t>GÄVLEBORGS LÄN</t>
        </is>
      </c>
      <c r="E4418" t="inlineStr">
        <is>
          <t>HUDIKSVALL</t>
        </is>
      </c>
      <c r="F4418" t="inlineStr">
        <is>
          <t>Holmen skog AB</t>
        </is>
      </c>
      <c r="G4418" t="n">
        <v>8.800000000000001</v>
      </c>
      <c r="H4418" t="n">
        <v>0</v>
      </c>
      <c r="I4418" t="n">
        <v>0</v>
      </c>
      <c r="J4418" t="n">
        <v>0</v>
      </c>
      <c r="K4418" t="n">
        <v>0</v>
      </c>
      <c r="L4418" t="n">
        <v>0</v>
      </c>
      <c r="M4418" t="n">
        <v>0</v>
      </c>
      <c r="N4418" t="n">
        <v>0</v>
      </c>
      <c r="O4418" t="n">
        <v>0</v>
      </c>
      <c r="P4418" t="n">
        <v>0</v>
      </c>
      <c r="Q4418" t="n">
        <v>0</v>
      </c>
      <c r="R4418" s="2" t="inlineStr"/>
    </row>
    <row r="4419" ht="15" customHeight="1">
      <c r="A4419" t="inlineStr">
        <is>
          <t>A 20876-2025</t>
        </is>
      </c>
      <c r="B4419" s="1" t="n">
        <v>45777.35241898148</v>
      </c>
      <c r="C4419" s="1" t="n">
        <v>45883</v>
      </c>
      <c r="D4419" t="inlineStr">
        <is>
          <t>GÄVLEBORGS LÄN</t>
        </is>
      </c>
      <c r="E4419" t="inlineStr">
        <is>
          <t>NORDANSTIG</t>
        </is>
      </c>
      <c r="F4419" t="inlineStr">
        <is>
          <t>Holmen skog AB</t>
        </is>
      </c>
      <c r="G4419" t="n">
        <v>5.5</v>
      </c>
      <c r="H4419" t="n">
        <v>0</v>
      </c>
      <c r="I4419" t="n">
        <v>0</v>
      </c>
      <c r="J4419" t="n">
        <v>0</v>
      </c>
      <c r="K4419" t="n">
        <v>0</v>
      </c>
      <c r="L4419" t="n">
        <v>0</v>
      </c>
      <c r="M4419" t="n">
        <v>0</v>
      </c>
      <c r="N4419" t="n">
        <v>0</v>
      </c>
      <c r="O4419" t="n">
        <v>0</v>
      </c>
      <c r="P4419" t="n">
        <v>0</v>
      </c>
      <c r="Q4419" t="n">
        <v>0</v>
      </c>
      <c r="R4419" s="2" t="inlineStr"/>
    </row>
    <row r="4420" ht="15" customHeight="1">
      <c r="A4420" t="inlineStr">
        <is>
          <t>A 20927-2025</t>
        </is>
      </c>
      <c r="B4420" s="1" t="n">
        <v>45777.42354166666</v>
      </c>
      <c r="C4420" s="1" t="n">
        <v>45883</v>
      </c>
      <c r="D4420" t="inlineStr">
        <is>
          <t>GÄVLEBORGS LÄN</t>
        </is>
      </c>
      <c r="E4420" t="inlineStr">
        <is>
          <t>OVANÅKER</t>
        </is>
      </c>
      <c r="F4420" t="inlineStr">
        <is>
          <t>Sveaskog</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20932-2025</t>
        </is>
      </c>
      <c r="B4421" s="1" t="n">
        <v>45777.42674768518</v>
      </c>
      <c r="C4421" s="1" t="n">
        <v>45883</v>
      </c>
      <c r="D4421" t="inlineStr">
        <is>
          <t>GÄVLEBORGS LÄN</t>
        </is>
      </c>
      <c r="E4421" t="inlineStr">
        <is>
          <t>HUDIKSVALL</t>
        </is>
      </c>
      <c r="F4421" t="inlineStr">
        <is>
          <t>Holmen skog AB</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5833-2023</t>
        </is>
      </c>
      <c r="B4422" s="1" t="n">
        <v>44963</v>
      </c>
      <c r="C4422" s="1" t="n">
        <v>45883</v>
      </c>
      <c r="D4422" t="inlineStr">
        <is>
          <t>GÄVLEBORGS LÄN</t>
        </is>
      </c>
      <c r="E4422" t="inlineStr">
        <is>
          <t>LJUSDAL</t>
        </is>
      </c>
      <c r="G4422" t="n">
        <v>8.9</v>
      </c>
      <c r="H4422" t="n">
        <v>0</v>
      </c>
      <c r="I4422" t="n">
        <v>0</v>
      </c>
      <c r="J4422" t="n">
        <v>0</v>
      </c>
      <c r="K4422" t="n">
        <v>0</v>
      </c>
      <c r="L4422" t="n">
        <v>0</v>
      </c>
      <c r="M4422" t="n">
        <v>0</v>
      </c>
      <c r="N4422" t="n">
        <v>0</v>
      </c>
      <c r="O4422" t="n">
        <v>0</v>
      </c>
      <c r="P4422" t="n">
        <v>0</v>
      </c>
      <c r="Q4422" t="n">
        <v>0</v>
      </c>
      <c r="R4422" s="2" t="inlineStr"/>
    </row>
    <row r="4423" ht="15" customHeight="1">
      <c r="A4423" t="inlineStr">
        <is>
          <t>A 20043-2025</t>
        </is>
      </c>
      <c r="B4423" s="1" t="n">
        <v>45772.38306712963</v>
      </c>
      <c r="C4423" s="1" t="n">
        <v>45883</v>
      </c>
      <c r="D4423" t="inlineStr">
        <is>
          <t>GÄVLEBORGS LÄN</t>
        </is>
      </c>
      <c r="E4423" t="inlineStr">
        <is>
          <t>HUDIKSVALL</t>
        </is>
      </c>
      <c r="G4423" t="n">
        <v>4.9</v>
      </c>
      <c r="H4423" t="n">
        <v>0</v>
      </c>
      <c r="I4423" t="n">
        <v>0</v>
      </c>
      <c r="J4423" t="n">
        <v>0</v>
      </c>
      <c r="K4423" t="n">
        <v>0</v>
      </c>
      <c r="L4423" t="n">
        <v>0</v>
      </c>
      <c r="M4423" t="n">
        <v>0</v>
      </c>
      <c r="N4423" t="n">
        <v>0</v>
      </c>
      <c r="O4423" t="n">
        <v>0</v>
      </c>
      <c r="P4423" t="n">
        <v>0</v>
      </c>
      <c r="Q4423" t="n">
        <v>0</v>
      </c>
      <c r="R4423" s="2" t="inlineStr"/>
    </row>
    <row r="4424" ht="15" customHeight="1">
      <c r="A4424" t="inlineStr">
        <is>
          <t>A 46636-2024</t>
        </is>
      </c>
      <c r="B4424" s="1" t="n">
        <v>45583.34546296296</v>
      </c>
      <c r="C4424" s="1" t="n">
        <v>45883</v>
      </c>
      <c r="D4424" t="inlineStr">
        <is>
          <t>GÄVLEBORGS LÄN</t>
        </is>
      </c>
      <c r="E4424" t="inlineStr">
        <is>
          <t>OCKELBO</t>
        </is>
      </c>
      <c r="G4424" t="n">
        <v>3.4</v>
      </c>
      <c r="H4424" t="n">
        <v>0</v>
      </c>
      <c r="I4424" t="n">
        <v>0</v>
      </c>
      <c r="J4424" t="n">
        <v>0</v>
      </c>
      <c r="K4424" t="n">
        <v>0</v>
      </c>
      <c r="L4424" t="n">
        <v>0</v>
      </c>
      <c r="M4424" t="n">
        <v>0</v>
      </c>
      <c r="N4424" t="n">
        <v>0</v>
      </c>
      <c r="O4424" t="n">
        <v>0</v>
      </c>
      <c r="P4424" t="n">
        <v>0</v>
      </c>
      <c r="Q4424" t="n">
        <v>0</v>
      </c>
      <c r="R4424" s="2" t="inlineStr"/>
    </row>
    <row r="4425" ht="15" customHeight="1">
      <c r="A4425" t="inlineStr">
        <is>
          <t>A 30398-2023</t>
        </is>
      </c>
      <c r="B4425" s="1" t="n">
        <v>45111.47403935185</v>
      </c>
      <c r="C4425" s="1" t="n">
        <v>45883</v>
      </c>
      <c r="D4425" t="inlineStr">
        <is>
          <t>GÄVLEBORGS LÄN</t>
        </is>
      </c>
      <c r="E4425" t="inlineStr">
        <is>
          <t>HUDIKSVALL</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12555-2023</t>
        </is>
      </c>
      <c r="B4426" s="1" t="n">
        <v>45000.354375</v>
      </c>
      <c r="C4426" s="1" t="n">
        <v>45883</v>
      </c>
      <c r="D4426" t="inlineStr">
        <is>
          <t>GÄVLEBORGS LÄN</t>
        </is>
      </c>
      <c r="E4426" t="inlineStr">
        <is>
          <t>LJUSDAL</t>
        </is>
      </c>
      <c r="G4426" t="n">
        <v>8.4</v>
      </c>
      <c r="H4426" t="n">
        <v>0</v>
      </c>
      <c r="I4426" t="n">
        <v>0</v>
      </c>
      <c r="J4426" t="n">
        <v>0</v>
      </c>
      <c r="K4426" t="n">
        <v>0</v>
      </c>
      <c r="L4426" t="n">
        <v>0</v>
      </c>
      <c r="M4426" t="n">
        <v>0</v>
      </c>
      <c r="N4426" t="n">
        <v>0</v>
      </c>
      <c r="O4426" t="n">
        <v>0</v>
      </c>
      <c r="P4426" t="n">
        <v>0</v>
      </c>
      <c r="Q4426" t="n">
        <v>0</v>
      </c>
      <c r="R4426" s="2" t="inlineStr"/>
    </row>
    <row r="4427" ht="15" customHeight="1">
      <c r="A4427" t="inlineStr">
        <is>
          <t>A 20873-2025</t>
        </is>
      </c>
      <c r="B4427" s="1" t="n">
        <v>45777.34825231481</v>
      </c>
      <c r="C4427" s="1" t="n">
        <v>45883</v>
      </c>
      <c r="D4427" t="inlineStr">
        <is>
          <t>GÄVLEBORGS LÄN</t>
        </is>
      </c>
      <c r="E4427" t="inlineStr">
        <is>
          <t>SANDVIKEN</t>
        </is>
      </c>
      <c r="G4427" t="n">
        <v>7.1</v>
      </c>
      <c r="H4427" t="n">
        <v>0</v>
      </c>
      <c r="I4427" t="n">
        <v>0</v>
      </c>
      <c r="J4427" t="n">
        <v>0</v>
      </c>
      <c r="K4427" t="n">
        <v>0</v>
      </c>
      <c r="L4427" t="n">
        <v>0</v>
      </c>
      <c r="M4427" t="n">
        <v>0</v>
      </c>
      <c r="N4427" t="n">
        <v>0</v>
      </c>
      <c r="O4427" t="n">
        <v>0</v>
      </c>
      <c r="P4427" t="n">
        <v>0</v>
      </c>
      <c r="Q4427" t="n">
        <v>0</v>
      </c>
      <c r="R4427" s="2" t="inlineStr"/>
    </row>
    <row r="4428" ht="15" customHeight="1">
      <c r="A4428" t="inlineStr">
        <is>
          <t>A 8237-2025</t>
        </is>
      </c>
      <c r="B4428" s="1" t="n">
        <v>45708.47871527778</v>
      </c>
      <c r="C4428" s="1" t="n">
        <v>45883</v>
      </c>
      <c r="D4428" t="inlineStr">
        <is>
          <t>GÄVLEBORGS LÄN</t>
        </is>
      </c>
      <c r="E4428" t="inlineStr">
        <is>
          <t>GÄVLE</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1372-2025</t>
        </is>
      </c>
      <c r="B4429" s="1" t="n">
        <v>45667.64702546296</v>
      </c>
      <c r="C4429" s="1" t="n">
        <v>45883</v>
      </c>
      <c r="D4429" t="inlineStr">
        <is>
          <t>GÄVLEBORGS LÄN</t>
        </is>
      </c>
      <c r="E4429" t="inlineStr">
        <is>
          <t>SANDVIKEN</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14700-2024</t>
        </is>
      </c>
      <c r="B4430" s="1" t="n">
        <v>45397</v>
      </c>
      <c r="C4430" s="1" t="n">
        <v>45883</v>
      </c>
      <c r="D4430" t="inlineStr">
        <is>
          <t>GÄVLEBORGS LÄN</t>
        </is>
      </c>
      <c r="E4430" t="inlineStr">
        <is>
          <t>HUDIKSVALL</t>
        </is>
      </c>
      <c r="G4430" t="n">
        <v>3.8</v>
      </c>
      <c r="H4430" t="n">
        <v>0</v>
      </c>
      <c r="I4430" t="n">
        <v>0</v>
      </c>
      <c r="J4430" t="n">
        <v>0</v>
      </c>
      <c r="K4430" t="n">
        <v>0</v>
      </c>
      <c r="L4430" t="n">
        <v>0</v>
      </c>
      <c r="M4430" t="n">
        <v>0</v>
      </c>
      <c r="N4430" t="n">
        <v>0</v>
      </c>
      <c r="O4430" t="n">
        <v>0</v>
      </c>
      <c r="P4430" t="n">
        <v>0</v>
      </c>
      <c r="Q4430" t="n">
        <v>0</v>
      </c>
      <c r="R4430" s="2" t="inlineStr"/>
    </row>
    <row r="4431" ht="15" customHeight="1">
      <c r="A4431" t="inlineStr">
        <is>
          <t>A 18568-2023</t>
        </is>
      </c>
      <c r="B4431" s="1" t="n">
        <v>45043.32208333333</v>
      </c>
      <c r="C4431" s="1" t="n">
        <v>45883</v>
      </c>
      <c r="D4431" t="inlineStr">
        <is>
          <t>GÄVLEBORGS LÄN</t>
        </is>
      </c>
      <c r="E4431" t="inlineStr">
        <is>
          <t>HUDIKSVALL</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60956-2022</t>
        </is>
      </c>
      <c r="B4432" s="1" t="n">
        <v>44914</v>
      </c>
      <c r="C4432" s="1" t="n">
        <v>45883</v>
      </c>
      <c r="D4432" t="inlineStr">
        <is>
          <t>GÄVLEBORGS LÄN</t>
        </is>
      </c>
      <c r="E4432" t="inlineStr">
        <is>
          <t>BOLLNÄS</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21071-2025</t>
        </is>
      </c>
      <c r="B4433" s="1" t="n">
        <v>45777.59451388889</v>
      </c>
      <c r="C4433" s="1" t="n">
        <v>45883</v>
      </c>
      <c r="D4433" t="inlineStr">
        <is>
          <t>GÄVLEBORGS LÄN</t>
        </is>
      </c>
      <c r="E4433" t="inlineStr">
        <is>
          <t>LJUSDAL</t>
        </is>
      </c>
      <c r="F4433" t="inlineStr">
        <is>
          <t>SCA</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51149-2023</t>
        </is>
      </c>
      <c r="B4434" s="1" t="n">
        <v>45212</v>
      </c>
      <c r="C4434" s="1" t="n">
        <v>45883</v>
      </c>
      <c r="D4434" t="inlineStr">
        <is>
          <t>GÄVLEBORGS LÄN</t>
        </is>
      </c>
      <c r="E4434" t="inlineStr">
        <is>
          <t>BOLLNÄS</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49963-2024</t>
        </is>
      </c>
      <c r="B4435" s="1" t="n">
        <v>45597.63175925926</v>
      </c>
      <c r="C4435" s="1" t="n">
        <v>45883</v>
      </c>
      <c r="D4435" t="inlineStr">
        <is>
          <t>GÄVLEBORGS LÄN</t>
        </is>
      </c>
      <c r="E4435" t="inlineStr">
        <is>
          <t>SÖDERHAMN</t>
        </is>
      </c>
      <c r="G4435" t="n">
        <v>2.8</v>
      </c>
      <c r="H4435" t="n">
        <v>0</v>
      </c>
      <c r="I4435" t="n">
        <v>0</v>
      </c>
      <c r="J4435" t="n">
        <v>0</v>
      </c>
      <c r="K4435" t="n">
        <v>0</v>
      </c>
      <c r="L4435" t="n">
        <v>0</v>
      </c>
      <c r="M4435" t="n">
        <v>0</v>
      </c>
      <c r="N4435" t="n">
        <v>0</v>
      </c>
      <c r="O4435" t="n">
        <v>0</v>
      </c>
      <c r="P4435" t="n">
        <v>0</v>
      </c>
      <c r="Q4435" t="n">
        <v>0</v>
      </c>
      <c r="R4435" s="2" t="inlineStr"/>
    </row>
    <row r="4436" ht="15" customHeight="1">
      <c r="A4436" t="inlineStr">
        <is>
          <t>A 20892-2025</t>
        </is>
      </c>
      <c r="B4436" s="1" t="n">
        <v>45777.38662037037</v>
      </c>
      <c r="C4436" s="1" t="n">
        <v>45883</v>
      </c>
      <c r="D4436" t="inlineStr">
        <is>
          <t>GÄVLEBORGS LÄN</t>
        </is>
      </c>
      <c r="E4436" t="inlineStr">
        <is>
          <t>OCKELBO</t>
        </is>
      </c>
      <c r="F4436" t="inlineStr">
        <is>
          <t>Bergvik skog väst AB</t>
        </is>
      </c>
      <c r="G4436" t="n">
        <v>8</v>
      </c>
      <c r="H4436" t="n">
        <v>0</v>
      </c>
      <c r="I4436" t="n">
        <v>0</v>
      </c>
      <c r="J4436" t="n">
        <v>0</v>
      </c>
      <c r="K4436" t="n">
        <v>0</v>
      </c>
      <c r="L4436" t="n">
        <v>0</v>
      </c>
      <c r="M4436" t="n">
        <v>0</v>
      </c>
      <c r="N4436" t="n">
        <v>0</v>
      </c>
      <c r="O4436" t="n">
        <v>0</v>
      </c>
      <c r="P4436" t="n">
        <v>0</v>
      </c>
      <c r="Q4436" t="n">
        <v>0</v>
      </c>
      <c r="R4436" s="2" t="inlineStr"/>
    </row>
    <row r="4437" ht="15" customHeight="1">
      <c r="A4437" t="inlineStr">
        <is>
          <t>A 21795-2022</t>
        </is>
      </c>
      <c r="B4437" s="1" t="n">
        <v>44708</v>
      </c>
      <c r="C4437" s="1" t="n">
        <v>45883</v>
      </c>
      <c r="D4437" t="inlineStr">
        <is>
          <t>GÄVLEBORGS LÄN</t>
        </is>
      </c>
      <c r="E4437" t="inlineStr">
        <is>
          <t>GÄVLE</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1259-2023</t>
        </is>
      </c>
      <c r="B4438" s="1" t="n">
        <v>44936.38371527778</v>
      </c>
      <c r="C4438" s="1" t="n">
        <v>45883</v>
      </c>
      <c r="D4438" t="inlineStr">
        <is>
          <t>GÄVLEBORGS LÄN</t>
        </is>
      </c>
      <c r="E4438" t="inlineStr">
        <is>
          <t>LJUSDAL</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47889-2022</t>
        </is>
      </c>
      <c r="B4439" s="1" t="n">
        <v>44855</v>
      </c>
      <c r="C4439" s="1" t="n">
        <v>45883</v>
      </c>
      <c r="D4439" t="inlineStr">
        <is>
          <t>GÄVLEBORGS LÄN</t>
        </is>
      </c>
      <c r="E4439" t="inlineStr">
        <is>
          <t>SANDVIKEN</t>
        </is>
      </c>
      <c r="F4439" t="inlineStr">
        <is>
          <t>Sveaskog</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40738-2023</t>
        </is>
      </c>
      <c r="B4440" s="1" t="n">
        <v>45170</v>
      </c>
      <c r="C4440" s="1" t="n">
        <v>45883</v>
      </c>
      <c r="D4440" t="inlineStr">
        <is>
          <t>GÄVLEBORGS LÄN</t>
        </is>
      </c>
      <c r="E4440" t="inlineStr">
        <is>
          <t>NORDANSTIG</t>
        </is>
      </c>
      <c r="F4440" t="inlineStr">
        <is>
          <t>Holmen skog AB</t>
        </is>
      </c>
      <c r="G4440" t="n">
        <v>9.5</v>
      </c>
      <c r="H4440" t="n">
        <v>0</v>
      </c>
      <c r="I4440" t="n">
        <v>0</v>
      </c>
      <c r="J4440" t="n">
        <v>0</v>
      </c>
      <c r="K4440" t="n">
        <v>0</v>
      </c>
      <c r="L4440" t="n">
        <v>0</v>
      </c>
      <c r="M4440" t="n">
        <v>0</v>
      </c>
      <c r="N4440" t="n">
        <v>0</v>
      </c>
      <c r="O4440" t="n">
        <v>0</v>
      </c>
      <c r="P4440" t="n">
        <v>0</v>
      </c>
      <c r="Q4440" t="n">
        <v>0</v>
      </c>
      <c r="R4440" s="2" t="inlineStr"/>
    </row>
    <row r="4441" ht="15" customHeight="1">
      <c r="A4441" t="inlineStr">
        <is>
          <t>A 4290-2024</t>
        </is>
      </c>
      <c r="B4441" s="1" t="n">
        <v>45324.60200231482</v>
      </c>
      <c r="C4441" s="1" t="n">
        <v>45883</v>
      </c>
      <c r="D4441" t="inlineStr">
        <is>
          <t>GÄVLEBORGS LÄN</t>
        </is>
      </c>
      <c r="E4441" t="inlineStr">
        <is>
          <t>GÄVLE</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20847-2025</t>
        </is>
      </c>
      <c r="B4442" s="1" t="n">
        <v>45777.29842592592</v>
      </c>
      <c r="C4442" s="1" t="n">
        <v>45883</v>
      </c>
      <c r="D4442" t="inlineStr">
        <is>
          <t>GÄVLEBORGS LÄN</t>
        </is>
      </c>
      <c r="E4442" t="inlineStr">
        <is>
          <t>LJUSDAL</t>
        </is>
      </c>
      <c r="G4442" t="n">
        <v>21.6</v>
      </c>
      <c r="H4442" t="n">
        <v>0</v>
      </c>
      <c r="I4442" t="n">
        <v>0</v>
      </c>
      <c r="J4442" t="n">
        <v>0</v>
      </c>
      <c r="K4442" t="n">
        <v>0</v>
      </c>
      <c r="L4442" t="n">
        <v>0</v>
      </c>
      <c r="M4442" t="n">
        <v>0</v>
      </c>
      <c r="N4442" t="n">
        <v>0</v>
      </c>
      <c r="O4442" t="n">
        <v>0</v>
      </c>
      <c r="P4442" t="n">
        <v>0</v>
      </c>
      <c r="Q4442" t="n">
        <v>0</v>
      </c>
      <c r="R4442" s="2" t="inlineStr"/>
    </row>
    <row r="4443" ht="15" customHeight="1">
      <c r="A4443" t="inlineStr">
        <is>
          <t>A 8081-2024</t>
        </is>
      </c>
      <c r="B4443" s="1" t="n">
        <v>45351.43940972222</v>
      </c>
      <c r="C4443" s="1" t="n">
        <v>45883</v>
      </c>
      <c r="D4443" t="inlineStr">
        <is>
          <t>GÄVLEBORGS LÄN</t>
        </is>
      </c>
      <c r="E4443" t="inlineStr">
        <is>
          <t>LJUSDAL</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6367-2025</t>
        </is>
      </c>
      <c r="B4444" s="1" t="n">
        <v>45699.3866087963</v>
      </c>
      <c r="C4444" s="1" t="n">
        <v>45883</v>
      </c>
      <c r="D4444" t="inlineStr">
        <is>
          <t>GÄVLEBORGS LÄN</t>
        </is>
      </c>
      <c r="E4444" t="inlineStr">
        <is>
          <t>GÄVLE</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62465-2021</t>
        </is>
      </c>
      <c r="B4445" s="1" t="n">
        <v>44503.53527777778</v>
      </c>
      <c r="C4445" s="1" t="n">
        <v>45883</v>
      </c>
      <c r="D4445" t="inlineStr">
        <is>
          <t>GÄVLEBORGS LÄN</t>
        </is>
      </c>
      <c r="E4445" t="inlineStr">
        <is>
          <t>NORDANSTIG</t>
        </is>
      </c>
      <c r="G4445" t="n">
        <v>3.1</v>
      </c>
      <c r="H4445" t="n">
        <v>0</v>
      </c>
      <c r="I4445" t="n">
        <v>0</v>
      </c>
      <c r="J4445" t="n">
        <v>0</v>
      </c>
      <c r="K4445" t="n">
        <v>0</v>
      </c>
      <c r="L4445" t="n">
        <v>0</v>
      </c>
      <c r="M4445" t="n">
        <v>0</v>
      </c>
      <c r="N4445" t="n">
        <v>0</v>
      </c>
      <c r="O4445" t="n">
        <v>0</v>
      </c>
      <c r="P4445" t="n">
        <v>0</v>
      </c>
      <c r="Q4445" t="n">
        <v>0</v>
      </c>
      <c r="R4445" s="2" t="inlineStr"/>
    </row>
    <row r="4446" ht="15" customHeight="1">
      <c r="A4446" t="inlineStr">
        <is>
          <t>A 8486-2024</t>
        </is>
      </c>
      <c r="B4446" s="1" t="n">
        <v>45355</v>
      </c>
      <c r="C4446" s="1" t="n">
        <v>45883</v>
      </c>
      <c r="D4446" t="inlineStr">
        <is>
          <t>GÄVLEBORGS LÄN</t>
        </is>
      </c>
      <c r="E4446" t="inlineStr">
        <is>
          <t>HUDIKSVALL</t>
        </is>
      </c>
      <c r="G4446" t="n">
        <v>4.7</v>
      </c>
      <c r="H4446" t="n">
        <v>0</v>
      </c>
      <c r="I4446" t="n">
        <v>0</v>
      </c>
      <c r="J4446" t="n">
        <v>0</v>
      </c>
      <c r="K4446" t="n">
        <v>0</v>
      </c>
      <c r="L4446" t="n">
        <v>0</v>
      </c>
      <c r="M4446" t="n">
        <v>0</v>
      </c>
      <c r="N4446" t="n">
        <v>0</v>
      </c>
      <c r="O4446" t="n">
        <v>0</v>
      </c>
      <c r="P4446" t="n">
        <v>0</v>
      </c>
      <c r="Q4446" t="n">
        <v>0</v>
      </c>
      <c r="R4446" s="2" t="inlineStr"/>
    </row>
    <row r="4447" ht="15" customHeight="1">
      <c r="A4447" t="inlineStr">
        <is>
          <t>A 21051-2025</t>
        </is>
      </c>
      <c r="B4447" s="1" t="n">
        <v>45777.56392361111</v>
      </c>
      <c r="C4447" s="1" t="n">
        <v>45883</v>
      </c>
      <c r="D4447" t="inlineStr">
        <is>
          <t>GÄVLEBORGS LÄN</t>
        </is>
      </c>
      <c r="E4447" t="inlineStr">
        <is>
          <t>OCKELBO</t>
        </is>
      </c>
      <c r="F4447" t="inlineStr">
        <is>
          <t>Bergvik skog väst AB</t>
        </is>
      </c>
      <c r="G4447" t="n">
        <v>15.3</v>
      </c>
      <c r="H4447" t="n">
        <v>0</v>
      </c>
      <c r="I4447" t="n">
        <v>0</v>
      </c>
      <c r="J4447" t="n">
        <v>0</v>
      </c>
      <c r="K4447" t="n">
        <v>0</v>
      </c>
      <c r="L4447" t="n">
        <v>0</v>
      </c>
      <c r="M4447" t="n">
        <v>0</v>
      </c>
      <c r="N4447" t="n">
        <v>0</v>
      </c>
      <c r="O4447" t="n">
        <v>0</v>
      </c>
      <c r="P4447" t="n">
        <v>0</v>
      </c>
      <c r="Q4447" t="n">
        <v>0</v>
      </c>
      <c r="R4447" s="2" t="inlineStr"/>
    </row>
    <row r="4448" ht="15" customHeight="1">
      <c r="A4448" t="inlineStr">
        <is>
          <t>A 20946-2025</t>
        </is>
      </c>
      <c r="B4448" s="1" t="n">
        <v>45777.4344212963</v>
      </c>
      <c r="C4448" s="1" t="n">
        <v>45883</v>
      </c>
      <c r="D4448" t="inlineStr">
        <is>
          <t>GÄVLEBORGS LÄN</t>
        </is>
      </c>
      <c r="E4448" t="inlineStr">
        <is>
          <t>SÖDERHAMN</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21182-2025</t>
        </is>
      </c>
      <c r="B4449" s="1" t="n">
        <v>45779.4387037037</v>
      </c>
      <c r="C4449" s="1" t="n">
        <v>45883</v>
      </c>
      <c r="D4449" t="inlineStr">
        <is>
          <t>GÄVLEBORGS LÄN</t>
        </is>
      </c>
      <c r="E4449" t="inlineStr">
        <is>
          <t>SANDVIKEN</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12023-2024</t>
        </is>
      </c>
      <c r="B4450" s="1" t="n">
        <v>45377.3715625</v>
      </c>
      <c r="C4450" s="1" t="n">
        <v>45883</v>
      </c>
      <c r="D4450" t="inlineStr">
        <is>
          <t>GÄVLEBORGS LÄN</t>
        </is>
      </c>
      <c r="E4450" t="inlineStr">
        <is>
          <t>BOLLNÄS</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61010-2021</t>
        </is>
      </c>
      <c r="B4451" s="1" t="n">
        <v>44497</v>
      </c>
      <c r="C4451" s="1" t="n">
        <v>45883</v>
      </c>
      <c r="D4451" t="inlineStr">
        <is>
          <t>GÄVLEBORGS LÄN</t>
        </is>
      </c>
      <c r="E4451" t="inlineStr">
        <is>
          <t>LJUSDAL</t>
        </is>
      </c>
      <c r="F4451" t="inlineStr">
        <is>
          <t>Holmen skog AB</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254-2022</t>
        </is>
      </c>
      <c r="B4452" s="1" t="n">
        <v>44564</v>
      </c>
      <c r="C4452" s="1" t="n">
        <v>45883</v>
      </c>
      <c r="D4452" t="inlineStr">
        <is>
          <t>GÄVLEBORGS LÄN</t>
        </is>
      </c>
      <c r="E4452" t="inlineStr">
        <is>
          <t>SÖDERHAMN</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46828-2024</t>
        </is>
      </c>
      <c r="B4453" s="1" t="n">
        <v>45583</v>
      </c>
      <c r="C4453" s="1" t="n">
        <v>45883</v>
      </c>
      <c r="D4453" t="inlineStr">
        <is>
          <t>GÄVLEBORGS LÄN</t>
        </is>
      </c>
      <c r="E4453" t="inlineStr">
        <is>
          <t>HUDIKSVALL</t>
        </is>
      </c>
      <c r="F4453" t="inlineStr">
        <is>
          <t>Holmen skog AB</t>
        </is>
      </c>
      <c r="G4453" t="n">
        <v>19.1</v>
      </c>
      <c r="H4453" t="n">
        <v>0</v>
      </c>
      <c r="I4453" t="n">
        <v>0</v>
      </c>
      <c r="J4453" t="n">
        <v>0</v>
      </c>
      <c r="K4453" t="n">
        <v>0</v>
      </c>
      <c r="L4453" t="n">
        <v>0</v>
      </c>
      <c r="M4453" t="n">
        <v>0</v>
      </c>
      <c r="N4453" t="n">
        <v>0</v>
      </c>
      <c r="O4453" t="n">
        <v>0</v>
      </c>
      <c r="P4453" t="n">
        <v>0</v>
      </c>
      <c r="Q4453" t="n">
        <v>0</v>
      </c>
      <c r="R4453" s="2" t="inlineStr"/>
    </row>
    <row r="4454" ht="15" customHeight="1">
      <c r="A4454" t="inlineStr">
        <is>
          <t>A 21562-2025</t>
        </is>
      </c>
      <c r="B4454" s="1" t="n">
        <v>45782.69534722222</v>
      </c>
      <c r="C4454" s="1" t="n">
        <v>45883</v>
      </c>
      <c r="D4454" t="inlineStr">
        <is>
          <t>GÄVLEBORGS LÄN</t>
        </is>
      </c>
      <c r="E4454" t="inlineStr">
        <is>
          <t>BOLLNÄS</t>
        </is>
      </c>
      <c r="F4454" t="inlineStr">
        <is>
          <t>Sveaskog</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14796-2023</t>
        </is>
      </c>
      <c r="B4455" s="1" t="n">
        <v>45014</v>
      </c>
      <c r="C4455" s="1" t="n">
        <v>45883</v>
      </c>
      <c r="D4455" t="inlineStr">
        <is>
          <t>GÄVLEBORGS LÄN</t>
        </is>
      </c>
      <c r="E4455" t="inlineStr">
        <is>
          <t>HUDIKSVALL</t>
        </is>
      </c>
      <c r="F4455" t="inlineStr">
        <is>
          <t>Holmen skog AB</t>
        </is>
      </c>
      <c r="G4455" t="n">
        <v>10.4</v>
      </c>
      <c r="H4455" t="n">
        <v>0</v>
      </c>
      <c r="I4455" t="n">
        <v>0</v>
      </c>
      <c r="J4455" t="n">
        <v>0</v>
      </c>
      <c r="K4455" t="n">
        <v>0</v>
      </c>
      <c r="L4455" t="n">
        <v>0</v>
      </c>
      <c r="M4455" t="n">
        <v>0</v>
      </c>
      <c r="N4455" t="n">
        <v>0</v>
      </c>
      <c r="O4455" t="n">
        <v>0</v>
      </c>
      <c r="P4455" t="n">
        <v>0</v>
      </c>
      <c r="Q4455" t="n">
        <v>0</v>
      </c>
      <c r="R4455" s="2" t="inlineStr"/>
    </row>
    <row r="4456" ht="15" customHeight="1">
      <c r="A4456" t="inlineStr">
        <is>
          <t>A 21334-2025</t>
        </is>
      </c>
      <c r="B4456" s="1" t="n">
        <v>45782.37358796296</v>
      </c>
      <c r="C4456" s="1" t="n">
        <v>45883</v>
      </c>
      <c r="D4456" t="inlineStr">
        <is>
          <t>GÄVLEBORGS LÄN</t>
        </is>
      </c>
      <c r="E4456" t="inlineStr">
        <is>
          <t>LJUSDAL</t>
        </is>
      </c>
      <c r="G4456" t="n">
        <v>6.8</v>
      </c>
      <c r="H4456" t="n">
        <v>0</v>
      </c>
      <c r="I4456" t="n">
        <v>0</v>
      </c>
      <c r="J4456" t="n">
        <v>0</v>
      </c>
      <c r="K4456" t="n">
        <v>0</v>
      </c>
      <c r="L4456" t="n">
        <v>0</v>
      </c>
      <c r="M4456" t="n">
        <v>0</v>
      </c>
      <c r="N4456" t="n">
        <v>0</v>
      </c>
      <c r="O4456" t="n">
        <v>0</v>
      </c>
      <c r="P4456" t="n">
        <v>0</v>
      </c>
      <c r="Q4456" t="n">
        <v>0</v>
      </c>
      <c r="R4456" s="2" t="inlineStr"/>
    </row>
    <row r="4457" ht="15" customHeight="1">
      <c r="A4457" t="inlineStr">
        <is>
          <t>A 24742-2024</t>
        </is>
      </c>
      <c r="B4457" s="1" t="n">
        <v>45460.66289351852</v>
      </c>
      <c r="C4457" s="1" t="n">
        <v>45883</v>
      </c>
      <c r="D4457" t="inlineStr">
        <is>
          <t>GÄVLEBORGS LÄN</t>
        </is>
      </c>
      <c r="E4457" t="inlineStr">
        <is>
          <t>BOLLNÄS</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21431-2025</t>
        </is>
      </c>
      <c r="B4458" s="1" t="n">
        <v>45782.51104166666</v>
      </c>
      <c r="C4458" s="1" t="n">
        <v>45883</v>
      </c>
      <c r="D4458" t="inlineStr">
        <is>
          <t>GÄVLEBORGS LÄN</t>
        </is>
      </c>
      <c r="E4458" t="inlineStr">
        <is>
          <t>GÄVLE</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10987-2025</t>
        </is>
      </c>
      <c r="B4459" s="1" t="n">
        <v>45723.42309027778</v>
      </c>
      <c r="C4459" s="1" t="n">
        <v>45883</v>
      </c>
      <c r="D4459" t="inlineStr">
        <is>
          <t>GÄVLEBORGS LÄN</t>
        </is>
      </c>
      <c r="E4459" t="inlineStr">
        <is>
          <t>SANDVIKEN</t>
        </is>
      </c>
      <c r="F4459" t="inlineStr">
        <is>
          <t>Bergvik skog öst AB</t>
        </is>
      </c>
      <c r="G4459" t="n">
        <v>4.5</v>
      </c>
      <c r="H4459" t="n">
        <v>0</v>
      </c>
      <c r="I4459" t="n">
        <v>0</v>
      </c>
      <c r="J4459" t="n">
        <v>0</v>
      </c>
      <c r="K4459" t="n">
        <v>0</v>
      </c>
      <c r="L4459" t="n">
        <v>0</v>
      </c>
      <c r="M4459" t="n">
        <v>0</v>
      </c>
      <c r="N4459" t="n">
        <v>0</v>
      </c>
      <c r="O4459" t="n">
        <v>0</v>
      </c>
      <c r="P4459" t="n">
        <v>0</v>
      </c>
      <c r="Q4459" t="n">
        <v>0</v>
      </c>
      <c r="R4459" s="2" t="inlineStr"/>
    </row>
    <row r="4460" ht="15" customHeight="1">
      <c r="A4460" t="inlineStr">
        <is>
          <t>A 21277-2025</t>
        </is>
      </c>
      <c r="B4460" s="1" t="n">
        <v>45779.64287037037</v>
      </c>
      <c r="C4460" s="1" t="n">
        <v>45883</v>
      </c>
      <c r="D4460" t="inlineStr">
        <is>
          <t>GÄVLEBORGS LÄN</t>
        </is>
      </c>
      <c r="E4460" t="inlineStr">
        <is>
          <t>BOLLNÄS</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11017-2025</t>
        </is>
      </c>
      <c r="B4461" s="1" t="n">
        <v>45723</v>
      </c>
      <c r="C4461" s="1" t="n">
        <v>45883</v>
      </c>
      <c r="D4461" t="inlineStr">
        <is>
          <t>GÄVLEBORGS LÄN</t>
        </is>
      </c>
      <c r="E4461" t="inlineStr">
        <is>
          <t>HUDIKSVALL</t>
        </is>
      </c>
      <c r="G4461" t="n">
        <v>6.8</v>
      </c>
      <c r="H4461" t="n">
        <v>0</v>
      </c>
      <c r="I4461" t="n">
        <v>0</v>
      </c>
      <c r="J4461" t="n">
        <v>0</v>
      </c>
      <c r="K4461" t="n">
        <v>0</v>
      </c>
      <c r="L4461" t="n">
        <v>0</v>
      </c>
      <c r="M4461" t="n">
        <v>0</v>
      </c>
      <c r="N4461" t="n">
        <v>0</v>
      </c>
      <c r="O4461" t="n">
        <v>0</v>
      </c>
      <c r="P4461" t="n">
        <v>0</v>
      </c>
      <c r="Q4461" t="n">
        <v>0</v>
      </c>
      <c r="R4461" s="2" t="inlineStr"/>
    </row>
    <row r="4462" ht="15" customHeight="1">
      <c r="A4462" t="inlineStr">
        <is>
          <t>A 42934-2023</t>
        </is>
      </c>
      <c r="B4462" s="1" t="n">
        <v>45182.56731481481</v>
      </c>
      <c r="C4462" s="1" t="n">
        <v>45883</v>
      </c>
      <c r="D4462" t="inlineStr">
        <is>
          <t>GÄVLEBORGS LÄN</t>
        </is>
      </c>
      <c r="E4462" t="inlineStr">
        <is>
          <t>GÄVLE</t>
        </is>
      </c>
      <c r="F4462" t="inlineStr">
        <is>
          <t>Bergvik skog väst AB</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23365-2024</t>
        </is>
      </c>
      <c r="B4463" s="1" t="n">
        <v>45453.54730324074</v>
      </c>
      <c r="C4463" s="1" t="n">
        <v>45883</v>
      </c>
      <c r="D4463" t="inlineStr">
        <is>
          <t>GÄVLEBORGS LÄN</t>
        </is>
      </c>
      <c r="E4463" t="inlineStr">
        <is>
          <t>BOLLNÄS</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21473-2023</t>
        </is>
      </c>
      <c r="B4464" s="1" t="n">
        <v>45063</v>
      </c>
      <c r="C4464" s="1" t="n">
        <v>45883</v>
      </c>
      <c r="D4464" t="inlineStr">
        <is>
          <t>GÄVLEBORGS LÄN</t>
        </is>
      </c>
      <c r="E4464" t="inlineStr">
        <is>
          <t>NORDANSTIG</t>
        </is>
      </c>
      <c r="F4464" t="inlineStr">
        <is>
          <t>Holmen skog AB</t>
        </is>
      </c>
      <c r="G4464" t="n">
        <v>5.7</v>
      </c>
      <c r="H4464" t="n">
        <v>0</v>
      </c>
      <c r="I4464" t="n">
        <v>0</v>
      </c>
      <c r="J4464" t="n">
        <v>0</v>
      </c>
      <c r="K4464" t="n">
        <v>0</v>
      </c>
      <c r="L4464" t="n">
        <v>0</v>
      </c>
      <c r="M4464" t="n">
        <v>0</v>
      </c>
      <c r="N4464" t="n">
        <v>0</v>
      </c>
      <c r="O4464" t="n">
        <v>0</v>
      </c>
      <c r="P4464" t="n">
        <v>0</v>
      </c>
      <c r="Q4464" t="n">
        <v>0</v>
      </c>
      <c r="R4464" s="2" t="inlineStr"/>
    </row>
    <row r="4465" ht="15" customHeight="1">
      <c r="A4465" t="inlineStr">
        <is>
          <t>A 64344-2021</t>
        </is>
      </c>
      <c r="B4465" s="1" t="n">
        <v>44511</v>
      </c>
      <c r="C4465" s="1" t="n">
        <v>45883</v>
      </c>
      <c r="D4465" t="inlineStr">
        <is>
          <t>GÄVLEBORGS LÄN</t>
        </is>
      </c>
      <c r="E4465" t="inlineStr">
        <is>
          <t>HUDIKSVALL</t>
        </is>
      </c>
      <c r="G4465" t="n">
        <v>5.2</v>
      </c>
      <c r="H4465" t="n">
        <v>0</v>
      </c>
      <c r="I4465" t="n">
        <v>0</v>
      </c>
      <c r="J4465" t="n">
        <v>0</v>
      </c>
      <c r="K4465" t="n">
        <v>0</v>
      </c>
      <c r="L4465" t="n">
        <v>0</v>
      </c>
      <c r="M4465" t="n">
        <v>0</v>
      </c>
      <c r="N4465" t="n">
        <v>0</v>
      </c>
      <c r="O4465" t="n">
        <v>0</v>
      </c>
      <c r="P4465" t="n">
        <v>0</v>
      </c>
      <c r="Q4465" t="n">
        <v>0</v>
      </c>
      <c r="R4465" s="2" t="inlineStr"/>
    </row>
    <row r="4466" ht="15" customHeight="1">
      <c r="A4466" t="inlineStr">
        <is>
          <t>A 21369-2025</t>
        </is>
      </c>
      <c r="B4466" s="1" t="n">
        <v>45782.44831018519</v>
      </c>
      <c r="C4466" s="1" t="n">
        <v>45883</v>
      </c>
      <c r="D4466" t="inlineStr">
        <is>
          <t>GÄVLEBORGS LÄN</t>
        </is>
      </c>
      <c r="E4466" t="inlineStr">
        <is>
          <t>HUDIKSVALL</t>
        </is>
      </c>
      <c r="F4466" t="inlineStr">
        <is>
          <t>Holmen skog AB</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21393-2025</t>
        </is>
      </c>
      <c r="B4467" s="1" t="n">
        <v>45782.48126157407</v>
      </c>
      <c r="C4467" s="1" t="n">
        <v>45883</v>
      </c>
      <c r="D4467" t="inlineStr">
        <is>
          <t>GÄVLEBORGS LÄN</t>
        </is>
      </c>
      <c r="E4467" t="inlineStr">
        <is>
          <t>BOLLNÄS</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34113-2023</t>
        </is>
      </c>
      <c r="B4468" s="1" t="n">
        <v>45135.62081018519</v>
      </c>
      <c r="C4468" s="1" t="n">
        <v>45883</v>
      </c>
      <c r="D4468" t="inlineStr">
        <is>
          <t>GÄVLEBORGS LÄN</t>
        </is>
      </c>
      <c r="E4468" t="inlineStr">
        <is>
          <t>LJUSDAL</t>
        </is>
      </c>
      <c r="F4468" t="inlineStr">
        <is>
          <t>Holmen skog AB</t>
        </is>
      </c>
      <c r="G4468" t="n">
        <v>6.6</v>
      </c>
      <c r="H4468" t="n">
        <v>0</v>
      </c>
      <c r="I4468" t="n">
        <v>0</v>
      </c>
      <c r="J4468" t="n">
        <v>0</v>
      </c>
      <c r="K4468" t="n">
        <v>0</v>
      </c>
      <c r="L4468" t="n">
        <v>0</v>
      </c>
      <c r="M4468" t="n">
        <v>0</v>
      </c>
      <c r="N4468" t="n">
        <v>0</v>
      </c>
      <c r="O4468" t="n">
        <v>0</v>
      </c>
      <c r="P4468" t="n">
        <v>0</v>
      </c>
      <c r="Q4468" t="n">
        <v>0</v>
      </c>
      <c r="R4468" s="2" t="inlineStr"/>
    </row>
    <row r="4469" ht="15" customHeight="1">
      <c r="A4469" t="inlineStr">
        <is>
          <t>A 21252-2025</t>
        </is>
      </c>
      <c r="B4469" s="1" t="n">
        <v>45779.57425925926</v>
      </c>
      <c r="C4469" s="1" t="n">
        <v>45883</v>
      </c>
      <c r="D4469" t="inlineStr">
        <is>
          <t>GÄVLEBORGS LÄN</t>
        </is>
      </c>
      <c r="E4469" t="inlineStr">
        <is>
          <t>SÖDERHAMN</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26185-2023</t>
        </is>
      </c>
      <c r="B4470" s="1" t="n">
        <v>45091.53390046296</v>
      </c>
      <c r="C4470" s="1" t="n">
        <v>45883</v>
      </c>
      <c r="D4470" t="inlineStr">
        <is>
          <t>GÄVLEBORGS LÄN</t>
        </is>
      </c>
      <c r="E4470" t="inlineStr">
        <is>
          <t>LJUSDAL</t>
        </is>
      </c>
      <c r="F4470" t="inlineStr">
        <is>
          <t>Sveaskog</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26186-2023</t>
        </is>
      </c>
      <c r="B4471" s="1" t="n">
        <v>45091.53475694444</v>
      </c>
      <c r="C4471" s="1" t="n">
        <v>45883</v>
      </c>
      <c r="D4471" t="inlineStr">
        <is>
          <t>GÄVLEBORGS LÄN</t>
        </is>
      </c>
      <c r="E4471" t="inlineStr">
        <is>
          <t>LJUSDAL</t>
        </is>
      </c>
      <c r="F4471" t="inlineStr">
        <is>
          <t>Sveaskog</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21287-2025</t>
        </is>
      </c>
      <c r="B4472" s="1" t="n">
        <v>45779.70166666667</v>
      </c>
      <c r="C4472" s="1" t="n">
        <v>45883</v>
      </c>
      <c r="D4472" t="inlineStr">
        <is>
          <t>GÄVLEBORGS LÄN</t>
        </is>
      </c>
      <c r="E4472" t="inlineStr">
        <is>
          <t>NORDANSTIG</t>
        </is>
      </c>
      <c r="G4472" t="n">
        <v>3.7</v>
      </c>
      <c r="H4472" t="n">
        <v>0</v>
      </c>
      <c r="I4472" t="n">
        <v>0</v>
      </c>
      <c r="J4472" t="n">
        <v>0</v>
      </c>
      <c r="K4472" t="n">
        <v>0</v>
      </c>
      <c r="L4472" t="n">
        <v>0</v>
      </c>
      <c r="M4472" t="n">
        <v>0</v>
      </c>
      <c r="N4472" t="n">
        <v>0</v>
      </c>
      <c r="O4472" t="n">
        <v>0</v>
      </c>
      <c r="P4472" t="n">
        <v>0</v>
      </c>
      <c r="Q4472" t="n">
        <v>0</v>
      </c>
      <c r="R4472" s="2" t="inlineStr"/>
    </row>
    <row r="4473" ht="15" customHeight="1">
      <c r="A4473" t="inlineStr">
        <is>
          <t>A 51998-2023</t>
        </is>
      </c>
      <c r="B4473" s="1" t="n">
        <v>45223</v>
      </c>
      <c r="C4473" s="1" t="n">
        <v>45883</v>
      </c>
      <c r="D4473" t="inlineStr">
        <is>
          <t>GÄVLEBORGS LÄN</t>
        </is>
      </c>
      <c r="E4473" t="inlineStr">
        <is>
          <t>NORDANSTIG</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10131-2024</t>
        </is>
      </c>
      <c r="B4474" s="1" t="n">
        <v>45364</v>
      </c>
      <c r="C4474" s="1" t="n">
        <v>45883</v>
      </c>
      <c r="D4474" t="inlineStr">
        <is>
          <t>GÄVLEBORGS LÄN</t>
        </is>
      </c>
      <c r="E4474" t="inlineStr">
        <is>
          <t>HUDIKSVALL</t>
        </is>
      </c>
      <c r="G4474" t="n">
        <v>11.6</v>
      </c>
      <c r="H4474" t="n">
        <v>0</v>
      </c>
      <c r="I4474" t="n">
        <v>0</v>
      </c>
      <c r="J4474" t="n">
        <v>0</v>
      </c>
      <c r="K4474" t="n">
        <v>0</v>
      </c>
      <c r="L4474" t="n">
        <v>0</v>
      </c>
      <c r="M4474" t="n">
        <v>0</v>
      </c>
      <c r="N4474" t="n">
        <v>0</v>
      </c>
      <c r="O4474" t="n">
        <v>0</v>
      </c>
      <c r="P4474" t="n">
        <v>0</v>
      </c>
      <c r="Q4474" t="n">
        <v>0</v>
      </c>
      <c r="R4474" s="2" t="inlineStr"/>
    </row>
    <row r="4475" ht="15" customHeight="1">
      <c r="A4475" t="inlineStr">
        <is>
          <t>A 9194-2022</t>
        </is>
      </c>
      <c r="B4475" s="1" t="n">
        <v>44615</v>
      </c>
      <c r="C4475" s="1" t="n">
        <v>45883</v>
      </c>
      <c r="D4475" t="inlineStr">
        <is>
          <t>GÄVLEBORGS LÄN</t>
        </is>
      </c>
      <c r="E4475" t="inlineStr">
        <is>
          <t>LJUSDAL</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21394-2025</t>
        </is>
      </c>
      <c r="B4476" s="1" t="n">
        <v>45782.48197916667</v>
      </c>
      <c r="C4476" s="1" t="n">
        <v>45883</v>
      </c>
      <c r="D4476" t="inlineStr">
        <is>
          <t>GÄVLEBORGS LÄN</t>
        </is>
      </c>
      <c r="E4476" t="inlineStr">
        <is>
          <t>OVANÅKER</t>
        </is>
      </c>
      <c r="F4476" t="inlineStr">
        <is>
          <t>Bergvik skog öst AB</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2370-2023</t>
        </is>
      </c>
      <c r="B4477" s="1" t="n">
        <v>44942</v>
      </c>
      <c r="C4477" s="1" t="n">
        <v>45883</v>
      </c>
      <c r="D4477" t="inlineStr">
        <is>
          <t>GÄVLEBORGS LÄN</t>
        </is>
      </c>
      <c r="E4477" t="inlineStr">
        <is>
          <t>LJUSDAL</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16106-2023</t>
        </is>
      </c>
      <c r="B4478" s="1" t="n">
        <v>45027</v>
      </c>
      <c r="C4478" s="1" t="n">
        <v>45883</v>
      </c>
      <c r="D4478" t="inlineStr">
        <is>
          <t>GÄVLEBORGS LÄN</t>
        </is>
      </c>
      <c r="E4478" t="inlineStr">
        <is>
          <t>SÖDERHAMN</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19441-2024</t>
        </is>
      </c>
      <c r="B4479" s="1" t="n">
        <v>45429</v>
      </c>
      <c r="C4479" s="1" t="n">
        <v>45883</v>
      </c>
      <c r="D4479" t="inlineStr">
        <is>
          <t>GÄVLEBORGS LÄN</t>
        </is>
      </c>
      <c r="E4479" t="inlineStr">
        <is>
          <t>SÖDERHAMN</t>
        </is>
      </c>
      <c r="G4479" t="n">
        <v>3.3</v>
      </c>
      <c r="H4479" t="n">
        <v>0</v>
      </c>
      <c r="I4479" t="n">
        <v>0</v>
      </c>
      <c r="J4479" t="n">
        <v>0</v>
      </c>
      <c r="K4479" t="n">
        <v>0</v>
      </c>
      <c r="L4479" t="n">
        <v>0</v>
      </c>
      <c r="M4479" t="n">
        <v>0</v>
      </c>
      <c r="N4479" t="n">
        <v>0</v>
      </c>
      <c r="O4479" t="n">
        <v>0</v>
      </c>
      <c r="P4479" t="n">
        <v>0</v>
      </c>
      <c r="Q4479" t="n">
        <v>0</v>
      </c>
      <c r="R4479" s="2" t="inlineStr"/>
    </row>
    <row r="4480" ht="15" customHeight="1">
      <c r="A4480" t="inlineStr">
        <is>
          <t>A 24659-2024</t>
        </is>
      </c>
      <c r="B4480" s="1" t="n">
        <v>45460.57925925926</v>
      </c>
      <c r="C4480" s="1" t="n">
        <v>45883</v>
      </c>
      <c r="D4480" t="inlineStr">
        <is>
          <t>GÄVLEBORGS LÄN</t>
        </is>
      </c>
      <c r="E4480" t="inlineStr">
        <is>
          <t>LJUSDAL</t>
        </is>
      </c>
      <c r="G4480" t="n">
        <v>8.199999999999999</v>
      </c>
      <c r="H4480" t="n">
        <v>0</v>
      </c>
      <c r="I4480" t="n">
        <v>0</v>
      </c>
      <c r="J4480" t="n">
        <v>0</v>
      </c>
      <c r="K4480" t="n">
        <v>0</v>
      </c>
      <c r="L4480" t="n">
        <v>0</v>
      </c>
      <c r="M4480" t="n">
        <v>0</v>
      </c>
      <c r="N4480" t="n">
        <v>0</v>
      </c>
      <c r="O4480" t="n">
        <v>0</v>
      </c>
      <c r="P4480" t="n">
        <v>0</v>
      </c>
      <c r="Q4480" t="n">
        <v>0</v>
      </c>
      <c r="R4480" s="2" t="inlineStr"/>
    </row>
    <row r="4481" ht="15" customHeight="1">
      <c r="A4481" t="inlineStr">
        <is>
          <t>A 41890-2023</t>
        </is>
      </c>
      <c r="B4481" s="1" t="n">
        <v>45176.71189814815</v>
      </c>
      <c r="C4481" s="1" t="n">
        <v>45883</v>
      </c>
      <c r="D4481" t="inlineStr">
        <is>
          <t>GÄVLEBORGS LÄN</t>
        </is>
      </c>
      <c r="E4481" t="inlineStr">
        <is>
          <t>SANDVIKEN</t>
        </is>
      </c>
      <c r="F4481" t="inlineStr">
        <is>
          <t>Sveaskog</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19454-2025</t>
        </is>
      </c>
      <c r="B4482" s="1" t="n">
        <v>45770.35150462963</v>
      </c>
      <c r="C4482" s="1" t="n">
        <v>45883</v>
      </c>
      <c r="D4482" t="inlineStr">
        <is>
          <t>GÄVLEBORGS LÄN</t>
        </is>
      </c>
      <c r="E4482" t="inlineStr">
        <is>
          <t>GÄVLE</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54705-2024</t>
        </is>
      </c>
      <c r="B4483" s="1" t="n">
        <v>45618.41390046296</v>
      </c>
      <c r="C4483" s="1" t="n">
        <v>45883</v>
      </c>
      <c r="D4483" t="inlineStr">
        <is>
          <t>GÄVLEBORGS LÄN</t>
        </is>
      </c>
      <c r="E4483" t="inlineStr">
        <is>
          <t>NORDANSTIG</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4461-2023</t>
        </is>
      </c>
      <c r="B4484" s="1" t="n">
        <v>44956</v>
      </c>
      <c r="C4484" s="1" t="n">
        <v>45883</v>
      </c>
      <c r="D4484" t="inlineStr">
        <is>
          <t>GÄVLEBORGS LÄN</t>
        </is>
      </c>
      <c r="E4484" t="inlineStr">
        <is>
          <t>SANDVIKEN</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4341-2021</t>
        </is>
      </c>
      <c r="B4485" s="1" t="n">
        <v>44223</v>
      </c>
      <c r="C4485" s="1" t="n">
        <v>45883</v>
      </c>
      <c r="D4485" t="inlineStr">
        <is>
          <t>GÄVLEBORGS LÄN</t>
        </is>
      </c>
      <c r="E4485" t="inlineStr">
        <is>
          <t>LJUSDAL</t>
        </is>
      </c>
      <c r="F4485" t="inlineStr">
        <is>
          <t>Kommuner</t>
        </is>
      </c>
      <c r="G4485" t="n">
        <v>7.9</v>
      </c>
      <c r="H4485" t="n">
        <v>0</v>
      </c>
      <c r="I4485" t="n">
        <v>0</v>
      </c>
      <c r="J4485" t="n">
        <v>0</v>
      </c>
      <c r="K4485" t="n">
        <v>0</v>
      </c>
      <c r="L4485" t="n">
        <v>0</v>
      </c>
      <c r="M4485" t="n">
        <v>0</v>
      </c>
      <c r="N4485" t="n">
        <v>0</v>
      </c>
      <c r="O4485" t="n">
        <v>0</v>
      </c>
      <c r="P4485" t="n">
        <v>0</v>
      </c>
      <c r="Q4485" t="n">
        <v>0</v>
      </c>
      <c r="R4485" s="2" t="inlineStr"/>
    </row>
    <row r="4486" ht="15" customHeight="1">
      <c r="A4486" t="inlineStr">
        <is>
          <t>A 21340-2025</t>
        </is>
      </c>
      <c r="B4486" s="1" t="n">
        <v>45782.38909722222</v>
      </c>
      <c r="C4486" s="1" t="n">
        <v>45883</v>
      </c>
      <c r="D4486" t="inlineStr">
        <is>
          <t>GÄVLEBORGS LÄN</t>
        </is>
      </c>
      <c r="E4486" t="inlineStr">
        <is>
          <t>HOFORS</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46485-2024</t>
        </is>
      </c>
      <c r="B4487" s="1" t="n">
        <v>45582.57607638889</v>
      </c>
      <c r="C4487" s="1" t="n">
        <v>45883</v>
      </c>
      <c r="D4487" t="inlineStr">
        <is>
          <t>GÄVLEBORGS LÄN</t>
        </is>
      </c>
      <c r="E4487" t="inlineStr">
        <is>
          <t>OCKELBO</t>
        </is>
      </c>
      <c r="F4487" t="inlineStr">
        <is>
          <t>Bergvik skog väst AB</t>
        </is>
      </c>
      <c r="G4487" t="n">
        <v>6.7</v>
      </c>
      <c r="H4487" t="n">
        <v>0</v>
      </c>
      <c r="I4487" t="n">
        <v>0</v>
      </c>
      <c r="J4487" t="n">
        <v>0</v>
      </c>
      <c r="K4487" t="n">
        <v>0</v>
      </c>
      <c r="L4487" t="n">
        <v>0</v>
      </c>
      <c r="M4487" t="n">
        <v>0</v>
      </c>
      <c r="N4487" t="n">
        <v>0</v>
      </c>
      <c r="O4487" t="n">
        <v>0</v>
      </c>
      <c r="P4487" t="n">
        <v>0</v>
      </c>
      <c r="Q4487" t="n">
        <v>0</v>
      </c>
      <c r="R4487" s="2" t="inlineStr"/>
    </row>
    <row r="4488" ht="15" customHeight="1">
      <c r="A4488" t="inlineStr">
        <is>
          <t>A 38570-2023</t>
        </is>
      </c>
      <c r="B4488" s="1" t="n">
        <v>45162</v>
      </c>
      <c r="C4488" s="1" t="n">
        <v>45883</v>
      </c>
      <c r="D4488" t="inlineStr">
        <is>
          <t>GÄVLEBORGS LÄN</t>
        </is>
      </c>
      <c r="E4488" t="inlineStr">
        <is>
          <t>SANDVIKEN</t>
        </is>
      </c>
      <c r="G4488" t="n">
        <v>6.3</v>
      </c>
      <c r="H4488" t="n">
        <v>0</v>
      </c>
      <c r="I4488" t="n">
        <v>0</v>
      </c>
      <c r="J4488" t="n">
        <v>0</v>
      </c>
      <c r="K4488" t="n">
        <v>0</v>
      </c>
      <c r="L4488" t="n">
        <v>0</v>
      </c>
      <c r="M4488" t="n">
        <v>0</v>
      </c>
      <c r="N4488" t="n">
        <v>0</v>
      </c>
      <c r="O4488" t="n">
        <v>0</v>
      </c>
      <c r="P4488" t="n">
        <v>0</v>
      </c>
      <c r="Q4488" t="n">
        <v>0</v>
      </c>
      <c r="R4488" s="2" t="inlineStr"/>
    </row>
    <row r="4489" ht="15" customHeight="1">
      <c r="A4489" t="inlineStr">
        <is>
          <t>A 21446-2025</t>
        </is>
      </c>
      <c r="B4489" s="1" t="n">
        <v>45782.54756944445</v>
      </c>
      <c r="C4489" s="1" t="n">
        <v>45883</v>
      </c>
      <c r="D4489" t="inlineStr">
        <is>
          <t>GÄVLEBORGS LÄN</t>
        </is>
      </c>
      <c r="E4489" t="inlineStr">
        <is>
          <t>OVANÅKER</t>
        </is>
      </c>
      <c r="F4489" t="inlineStr">
        <is>
          <t>Bergvik skog öst AB</t>
        </is>
      </c>
      <c r="G4489" t="n">
        <v>5.9</v>
      </c>
      <c r="H4489" t="n">
        <v>0</v>
      </c>
      <c r="I4489" t="n">
        <v>0</v>
      </c>
      <c r="J4489" t="n">
        <v>0</v>
      </c>
      <c r="K4489" t="n">
        <v>0</v>
      </c>
      <c r="L4489" t="n">
        <v>0</v>
      </c>
      <c r="M4489" t="n">
        <v>0</v>
      </c>
      <c r="N4489" t="n">
        <v>0</v>
      </c>
      <c r="O4489" t="n">
        <v>0</v>
      </c>
      <c r="P4489" t="n">
        <v>0</v>
      </c>
      <c r="Q4489" t="n">
        <v>0</v>
      </c>
      <c r="R4489" s="2" t="inlineStr"/>
    </row>
    <row r="4490" ht="15" customHeight="1">
      <c r="A4490" t="inlineStr">
        <is>
          <t>A 21200-2025</t>
        </is>
      </c>
      <c r="B4490" s="1" t="n">
        <v>45779.4734837963</v>
      </c>
      <c r="C4490" s="1" t="n">
        <v>45883</v>
      </c>
      <c r="D4490" t="inlineStr">
        <is>
          <t>GÄVLEBORGS LÄN</t>
        </is>
      </c>
      <c r="E4490" t="inlineStr">
        <is>
          <t>HUDIKSVALL</t>
        </is>
      </c>
      <c r="G4490" t="n">
        <v>5.2</v>
      </c>
      <c r="H4490" t="n">
        <v>0</v>
      </c>
      <c r="I4490" t="n">
        <v>0</v>
      </c>
      <c r="J4490" t="n">
        <v>0</v>
      </c>
      <c r="K4490" t="n">
        <v>0</v>
      </c>
      <c r="L4490" t="n">
        <v>0</v>
      </c>
      <c r="M4490" t="n">
        <v>0</v>
      </c>
      <c r="N4490" t="n">
        <v>0</v>
      </c>
      <c r="O4490" t="n">
        <v>0</v>
      </c>
      <c r="P4490" t="n">
        <v>0</v>
      </c>
      <c r="Q4490" t="n">
        <v>0</v>
      </c>
      <c r="R4490" s="2" t="inlineStr"/>
    </row>
    <row r="4491" ht="15" customHeight="1">
      <c r="A4491" t="inlineStr">
        <is>
          <t>A 31303-2023</t>
        </is>
      </c>
      <c r="B4491" s="1" t="n">
        <v>45114.44133101852</v>
      </c>
      <c r="C4491" s="1" t="n">
        <v>45883</v>
      </c>
      <c r="D4491" t="inlineStr">
        <is>
          <t>GÄVLEBORGS LÄN</t>
        </is>
      </c>
      <c r="E4491" t="inlineStr">
        <is>
          <t>OCKELBO</t>
        </is>
      </c>
      <c r="F4491" t="inlineStr">
        <is>
          <t>Bergvik skog väst AB</t>
        </is>
      </c>
      <c r="G4491" t="n">
        <v>9.699999999999999</v>
      </c>
      <c r="H4491" t="n">
        <v>0</v>
      </c>
      <c r="I4491" t="n">
        <v>0</v>
      </c>
      <c r="J4491" t="n">
        <v>0</v>
      </c>
      <c r="K4491" t="n">
        <v>0</v>
      </c>
      <c r="L4491" t="n">
        <v>0</v>
      </c>
      <c r="M4491" t="n">
        <v>0</v>
      </c>
      <c r="N4491" t="n">
        <v>0</v>
      </c>
      <c r="O4491" t="n">
        <v>0</v>
      </c>
      <c r="P4491" t="n">
        <v>0</v>
      </c>
      <c r="Q4491" t="n">
        <v>0</v>
      </c>
      <c r="R4491" s="2" t="inlineStr"/>
    </row>
    <row r="4492" ht="15" customHeight="1">
      <c r="A4492" t="inlineStr">
        <is>
          <t>A 21500-2025</t>
        </is>
      </c>
      <c r="B4492" s="1" t="n">
        <v>45782.60820601852</v>
      </c>
      <c r="C4492" s="1" t="n">
        <v>45883</v>
      </c>
      <c r="D4492" t="inlineStr">
        <is>
          <t>GÄVLEBORGS LÄN</t>
        </is>
      </c>
      <c r="E4492" t="inlineStr">
        <is>
          <t>SÖDERHAMN</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50797-2023</t>
        </is>
      </c>
      <c r="B4493" s="1" t="n">
        <v>45217.65972222222</v>
      </c>
      <c r="C4493" s="1" t="n">
        <v>45883</v>
      </c>
      <c r="D4493" t="inlineStr">
        <is>
          <t>GÄVLEBORGS LÄN</t>
        </is>
      </c>
      <c r="E4493" t="inlineStr">
        <is>
          <t>SANDVIKEN</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41097-2023</t>
        </is>
      </c>
      <c r="B4494" s="1" t="n">
        <v>45173.67476851852</v>
      </c>
      <c r="C4494" s="1" t="n">
        <v>45883</v>
      </c>
      <c r="D4494" t="inlineStr">
        <is>
          <t>GÄVLEBORGS LÄN</t>
        </is>
      </c>
      <c r="E4494" t="inlineStr">
        <is>
          <t>SANDVIKEN</t>
        </is>
      </c>
      <c r="F4494" t="inlineStr">
        <is>
          <t>Sveaskog</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5029-2021</t>
        </is>
      </c>
      <c r="B4495" s="1" t="n">
        <v>44228</v>
      </c>
      <c r="C4495" s="1" t="n">
        <v>45883</v>
      </c>
      <c r="D4495" t="inlineStr">
        <is>
          <t>GÄVLEBORGS LÄN</t>
        </is>
      </c>
      <c r="E4495" t="inlineStr">
        <is>
          <t>LJUSDAL</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35910-2024</t>
        </is>
      </c>
      <c r="B4496" s="1" t="n">
        <v>45533.41340277778</v>
      </c>
      <c r="C4496" s="1" t="n">
        <v>45883</v>
      </c>
      <c r="D4496" t="inlineStr">
        <is>
          <t>GÄVLEBORGS LÄN</t>
        </is>
      </c>
      <c r="E4496" t="inlineStr">
        <is>
          <t>GÄVLE</t>
        </is>
      </c>
      <c r="G4496" t="n">
        <v>4</v>
      </c>
      <c r="H4496" t="n">
        <v>0</v>
      </c>
      <c r="I4496" t="n">
        <v>0</v>
      </c>
      <c r="J4496" t="n">
        <v>0</v>
      </c>
      <c r="K4496" t="n">
        <v>0</v>
      </c>
      <c r="L4496" t="n">
        <v>0</v>
      </c>
      <c r="M4496" t="n">
        <v>0</v>
      </c>
      <c r="N4496" t="n">
        <v>0</v>
      </c>
      <c r="O4496" t="n">
        <v>0</v>
      </c>
      <c r="P4496" t="n">
        <v>0</v>
      </c>
      <c r="Q4496" t="n">
        <v>0</v>
      </c>
      <c r="R4496" s="2" t="inlineStr"/>
    </row>
    <row r="4497" ht="15" customHeight="1">
      <c r="A4497" t="inlineStr">
        <is>
          <t>A 32918-2023</t>
        </is>
      </c>
      <c r="B4497" s="1" t="n">
        <v>45125.34423611111</v>
      </c>
      <c r="C4497" s="1" t="n">
        <v>45883</v>
      </c>
      <c r="D4497" t="inlineStr">
        <is>
          <t>GÄVLEBORGS LÄN</t>
        </is>
      </c>
      <c r="E4497" t="inlineStr">
        <is>
          <t>LJUSDAL</t>
        </is>
      </c>
      <c r="F4497" t="inlineStr">
        <is>
          <t>Holmen skog AB</t>
        </is>
      </c>
      <c r="G4497" t="n">
        <v>4.1</v>
      </c>
      <c r="H4497" t="n">
        <v>0</v>
      </c>
      <c r="I4497" t="n">
        <v>0</v>
      </c>
      <c r="J4497" t="n">
        <v>0</v>
      </c>
      <c r="K4497" t="n">
        <v>0</v>
      </c>
      <c r="L4497" t="n">
        <v>0</v>
      </c>
      <c r="M4497" t="n">
        <v>0</v>
      </c>
      <c r="N4497" t="n">
        <v>0</v>
      </c>
      <c r="O4497" t="n">
        <v>0</v>
      </c>
      <c r="P4497" t="n">
        <v>0</v>
      </c>
      <c r="Q4497" t="n">
        <v>0</v>
      </c>
      <c r="R4497" s="2" t="inlineStr"/>
    </row>
    <row r="4498" ht="15" customHeight="1">
      <c r="A4498" t="inlineStr">
        <is>
          <t>A 32925-2023</t>
        </is>
      </c>
      <c r="B4498" s="1" t="n">
        <v>45125</v>
      </c>
      <c r="C4498" s="1" t="n">
        <v>45883</v>
      </c>
      <c r="D4498" t="inlineStr">
        <is>
          <t>GÄVLEBORGS LÄN</t>
        </is>
      </c>
      <c r="E4498" t="inlineStr">
        <is>
          <t>NORDANSTIG</t>
        </is>
      </c>
      <c r="F4498" t="inlineStr">
        <is>
          <t>Holmen skog AB</t>
        </is>
      </c>
      <c r="G4498" t="n">
        <v>7</v>
      </c>
      <c r="H4498" t="n">
        <v>0</v>
      </c>
      <c r="I4498" t="n">
        <v>0</v>
      </c>
      <c r="J4498" t="n">
        <v>0</v>
      </c>
      <c r="K4498" t="n">
        <v>0</v>
      </c>
      <c r="L4498" t="n">
        <v>0</v>
      </c>
      <c r="M4498" t="n">
        <v>0</v>
      </c>
      <c r="N4498" t="n">
        <v>0</v>
      </c>
      <c r="O4498" t="n">
        <v>0</v>
      </c>
      <c r="P4498" t="n">
        <v>0</v>
      </c>
      <c r="Q4498" t="n">
        <v>0</v>
      </c>
      <c r="R4498" s="2" t="inlineStr"/>
    </row>
    <row r="4499" ht="15" customHeight="1">
      <c r="A4499" t="inlineStr">
        <is>
          <t>A 36028-2024</t>
        </is>
      </c>
      <c r="B4499" s="1" t="n">
        <v>45533.57940972222</v>
      </c>
      <c r="C4499" s="1" t="n">
        <v>45883</v>
      </c>
      <c r="D4499" t="inlineStr">
        <is>
          <t>GÄVLEBORGS LÄN</t>
        </is>
      </c>
      <c r="E4499" t="inlineStr">
        <is>
          <t>NORDANSTIG</t>
        </is>
      </c>
      <c r="F4499" t="inlineStr">
        <is>
          <t>Holmen skog AB</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38332-2024</t>
        </is>
      </c>
      <c r="B4500" s="1" t="n">
        <v>45545.68222222223</v>
      </c>
      <c r="C4500" s="1" t="n">
        <v>45883</v>
      </c>
      <c r="D4500" t="inlineStr">
        <is>
          <t>GÄVLEBORGS LÄN</t>
        </is>
      </c>
      <c r="E4500" t="inlineStr">
        <is>
          <t>NORDANSTIG</t>
        </is>
      </c>
      <c r="G4500" t="n">
        <v>11.5</v>
      </c>
      <c r="H4500" t="n">
        <v>0</v>
      </c>
      <c r="I4500" t="n">
        <v>0</v>
      </c>
      <c r="J4500" t="n">
        <v>0</v>
      </c>
      <c r="K4500" t="n">
        <v>0</v>
      </c>
      <c r="L4500" t="n">
        <v>0</v>
      </c>
      <c r="M4500" t="n">
        <v>0</v>
      </c>
      <c r="N4500" t="n">
        <v>0</v>
      </c>
      <c r="O4500" t="n">
        <v>0</v>
      </c>
      <c r="P4500" t="n">
        <v>0</v>
      </c>
      <c r="Q4500" t="n">
        <v>0</v>
      </c>
      <c r="R4500" s="2" t="inlineStr"/>
    </row>
    <row r="4501" ht="15" customHeight="1">
      <c r="A4501" t="inlineStr">
        <is>
          <t>A 21327-2025</t>
        </is>
      </c>
      <c r="B4501" s="1" t="n">
        <v>45782.35456018519</v>
      </c>
      <c r="C4501" s="1" t="n">
        <v>45883</v>
      </c>
      <c r="D4501" t="inlineStr">
        <is>
          <t>GÄVLEBORGS LÄN</t>
        </is>
      </c>
      <c r="E4501" t="inlineStr">
        <is>
          <t>SÖDERHAMN</t>
        </is>
      </c>
      <c r="F4501" t="inlineStr">
        <is>
          <t>Kyrkan</t>
        </is>
      </c>
      <c r="G4501" t="n">
        <v>5.1</v>
      </c>
      <c r="H4501" t="n">
        <v>0</v>
      </c>
      <c r="I4501" t="n">
        <v>0</v>
      </c>
      <c r="J4501" t="n">
        <v>0</v>
      </c>
      <c r="K4501" t="n">
        <v>0</v>
      </c>
      <c r="L4501" t="n">
        <v>0</v>
      </c>
      <c r="M4501" t="n">
        <v>0</v>
      </c>
      <c r="N4501" t="n">
        <v>0</v>
      </c>
      <c r="O4501" t="n">
        <v>0</v>
      </c>
      <c r="P4501" t="n">
        <v>0</v>
      </c>
      <c r="Q4501" t="n">
        <v>0</v>
      </c>
      <c r="R4501" s="2" t="inlineStr"/>
    </row>
    <row r="4502" ht="15" customHeight="1">
      <c r="A4502" t="inlineStr">
        <is>
          <t>A 21352-2025</t>
        </is>
      </c>
      <c r="B4502" s="1" t="n">
        <v>45782.41087962963</v>
      </c>
      <c r="C4502" s="1" t="n">
        <v>45883</v>
      </c>
      <c r="D4502" t="inlineStr">
        <is>
          <t>GÄVLEBORGS LÄN</t>
        </is>
      </c>
      <c r="E4502" t="inlineStr">
        <is>
          <t>BOLLNÄS</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38346-2024</t>
        </is>
      </c>
      <c r="B4503" s="1" t="n">
        <v>45545.70670138889</v>
      </c>
      <c r="C4503" s="1" t="n">
        <v>45883</v>
      </c>
      <c r="D4503" t="inlineStr">
        <is>
          <t>GÄVLEBORGS LÄN</t>
        </is>
      </c>
      <c r="E4503" t="inlineStr">
        <is>
          <t>NORDANSTIG</t>
        </is>
      </c>
      <c r="F4503" t="inlineStr">
        <is>
          <t>Holmen skog AB</t>
        </is>
      </c>
      <c r="G4503" t="n">
        <v>3.4</v>
      </c>
      <c r="H4503" t="n">
        <v>0</v>
      </c>
      <c r="I4503" t="n">
        <v>0</v>
      </c>
      <c r="J4503" t="n">
        <v>0</v>
      </c>
      <c r="K4503" t="n">
        <v>0</v>
      </c>
      <c r="L4503" t="n">
        <v>0</v>
      </c>
      <c r="M4503" t="n">
        <v>0</v>
      </c>
      <c r="N4503" t="n">
        <v>0</v>
      </c>
      <c r="O4503" t="n">
        <v>0</v>
      </c>
      <c r="P4503" t="n">
        <v>0</v>
      </c>
      <c r="Q4503" t="n">
        <v>0</v>
      </c>
      <c r="R4503" s="2" t="inlineStr"/>
    </row>
    <row r="4504" ht="15" customHeight="1">
      <c r="A4504" t="inlineStr">
        <is>
          <t>A 38369-2024</t>
        </is>
      </c>
      <c r="B4504" s="1" t="n">
        <v>45545.83730324074</v>
      </c>
      <c r="C4504" s="1" t="n">
        <v>45883</v>
      </c>
      <c r="D4504" t="inlineStr">
        <is>
          <t>GÄVLEBORGS LÄN</t>
        </is>
      </c>
      <c r="E4504" t="inlineStr">
        <is>
          <t>OVANÅKER</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34284-2024</t>
        </is>
      </c>
      <c r="B4505" s="1" t="n">
        <v>45524.62756944444</v>
      </c>
      <c r="C4505" s="1" t="n">
        <v>45883</v>
      </c>
      <c r="D4505" t="inlineStr">
        <is>
          <t>GÄVLEBORGS LÄN</t>
        </is>
      </c>
      <c r="E4505" t="inlineStr">
        <is>
          <t>HUDIKSVALL</t>
        </is>
      </c>
      <c r="F4505" t="inlineStr">
        <is>
          <t>Holmen skog AB</t>
        </is>
      </c>
      <c r="G4505" t="n">
        <v>4.6</v>
      </c>
      <c r="H4505" t="n">
        <v>0</v>
      </c>
      <c r="I4505" t="n">
        <v>0</v>
      </c>
      <c r="J4505" t="n">
        <v>0</v>
      </c>
      <c r="K4505" t="n">
        <v>0</v>
      </c>
      <c r="L4505" t="n">
        <v>0</v>
      </c>
      <c r="M4505" t="n">
        <v>0</v>
      </c>
      <c r="N4505" t="n">
        <v>0</v>
      </c>
      <c r="O4505" t="n">
        <v>0</v>
      </c>
      <c r="P4505" t="n">
        <v>0</v>
      </c>
      <c r="Q4505" t="n">
        <v>0</v>
      </c>
      <c r="R4505" s="2" t="inlineStr"/>
    </row>
    <row r="4506" ht="15" customHeight="1">
      <c r="A4506" t="inlineStr">
        <is>
          <t>A 18322-2024</t>
        </is>
      </c>
      <c r="B4506" s="1" t="n">
        <v>45422.53849537037</v>
      </c>
      <c r="C4506" s="1" t="n">
        <v>45883</v>
      </c>
      <c r="D4506" t="inlineStr">
        <is>
          <t>GÄVLEBORGS LÄN</t>
        </is>
      </c>
      <c r="E4506" t="inlineStr">
        <is>
          <t>NORDANSTIG</t>
        </is>
      </c>
      <c r="F4506" t="inlineStr">
        <is>
          <t>Holmen skog AB</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14850-2024</t>
        </is>
      </c>
      <c r="B4507" s="1" t="n">
        <v>45398.43495370371</v>
      </c>
      <c r="C4507" s="1" t="n">
        <v>45883</v>
      </c>
      <c r="D4507" t="inlineStr">
        <is>
          <t>GÄVLEBORGS LÄN</t>
        </is>
      </c>
      <c r="E4507" t="inlineStr">
        <is>
          <t>SÖDERHAMN</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14863-2024</t>
        </is>
      </c>
      <c r="B4508" s="1" t="n">
        <v>45398.46366898148</v>
      </c>
      <c r="C4508" s="1" t="n">
        <v>45883</v>
      </c>
      <c r="D4508" t="inlineStr">
        <is>
          <t>GÄVLEBORGS LÄN</t>
        </is>
      </c>
      <c r="E4508" t="inlineStr">
        <is>
          <t>HUDIKSVALL</t>
        </is>
      </c>
      <c r="F4508" t="inlineStr">
        <is>
          <t>Holmen skog AB</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14937-2024</t>
        </is>
      </c>
      <c r="B4509" s="1" t="n">
        <v>45398.67929398148</v>
      </c>
      <c r="C4509" s="1" t="n">
        <v>45883</v>
      </c>
      <c r="D4509" t="inlineStr">
        <is>
          <t>GÄVLEBORGS LÄN</t>
        </is>
      </c>
      <c r="E4509" t="inlineStr">
        <is>
          <t>OCKELBO</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14960-2024</t>
        </is>
      </c>
      <c r="B4510" s="1" t="n">
        <v>45398</v>
      </c>
      <c r="C4510" s="1" t="n">
        <v>45883</v>
      </c>
      <c r="D4510" t="inlineStr">
        <is>
          <t>GÄVLEBORGS LÄN</t>
        </is>
      </c>
      <c r="E4510" t="inlineStr">
        <is>
          <t>SÖDERHAMN</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24445-2023</t>
        </is>
      </c>
      <c r="B4511" s="1" t="n">
        <v>45082.541875</v>
      </c>
      <c r="C4511" s="1" t="n">
        <v>45883</v>
      </c>
      <c r="D4511" t="inlineStr">
        <is>
          <t>GÄVLEBORGS LÄN</t>
        </is>
      </c>
      <c r="E4511" t="inlineStr">
        <is>
          <t>HUDIKSVALL</t>
        </is>
      </c>
      <c r="F4511" t="inlineStr">
        <is>
          <t>Holmen skog AB</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24465-2023</t>
        </is>
      </c>
      <c r="B4512" s="1" t="n">
        <v>45082.5808912037</v>
      </c>
      <c r="C4512" s="1" t="n">
        <v>45883</v>
      </c>
      <c r="D4512" t="inlineStr">
        <is>
          <t>GÄVLEBORGS LÄN</t>
        </is>
      </c>
      <c r="E4512" t="inlineStr">
        <is>
          <t>SANDVIKEN</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24478-2023</t>
        </is>
      </c>
      <c r="B4513" s="1" t="n">
        <v>45082</v>
      </c>
      <c r="C4513" s="1" t="n">
        <v>45883</v>
      </c>
      <c r="D4513" t="inlineStr">
        <is>
          <t>GÄVLEBORGS LÄN</t>
        </is>
      </c>
      <c r="E4513" t="inlineStr">
        <is>
          <t>GÄVLE</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48636-2024</t>
        </is>
      </c>
      <c r="B4514" s="1" t="n">
        <v>45593.47171296296</v>
      </c>
      <c r="C4514" s="1" t="n">
        <v>45883</v>
      </c>
      <c r="D4514" t="inlineStr">
        <is>
          <t>GÄVLEBORGS LÄN</t>
        </is>
      </c>
      <c r="E4514" t="inlineStr">
        <is>
          <t>NORDANSTIG</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35067-2023</t>
        </is>
      </c>
      <c r="B4515" s="1" t="n">
        <v>45145.41471064815</v>
      </c>
      <c r="C4515" s="1" t="n">
        <v>45883</v>
      </c>
      <c r="D4515" t="inlineStr">
        <is>
          <t>GÄVLEBORGS LÄN</t>
        </is>
      </c>
      <c r="E4515" t="inlineStr">
        <is>
          <t>BOLLNÄS</t>
        </is>
      </c>
      <c r="G4515" t="n">
        <v>3.2</v>
      </c>
      <c r="H4515" t="n">
        <v>0</v>
      </c>
      <c r="I4515" t="n">
        <v>0</v>
      </c>
      <c r="J4515" t="n">
        <v>0</v>
      </c>
      <c r="K4515" t="n">
        <v>0</v>
      </c>
      <c r="L4515" t="n">
        <v>0</v>
      </c>
      <c r="M4515" t="n">
        <v>0</v>
      </c>
      <c r="N4515" t="n">
        <v>0</v>
      </c>
      <c r="O4515" t="n">
        <v>0</v>
      </c>
      <c r="P4515" t="n">
        <v>0</v>
      </c>
      <c r="Q4515" t="n">
        <v>0</v>
      </c>
      <c r="R4515" s="2" t="inlineStr"/>
    </row>
    <row r="4516" ht="15" customHeight="1">
      <c r="A4516" t="inlineStr">
        <is>
          <t>A 35782-2023</t>
        </is>
      </c>
      <c r="B4516" s="1" t="n">
        <v>45148</v>
      </c>
      <c r="C4516" s="1" t="n">
        <v>45883</v>
      </c>
      <c r="D4516" t="inlineStr">
        <is>
          <t>GÄVLEBORGS LÄN</t>
        </is>
      </c>
      <c r="E4516" t="inlineStr">
        <is>
          <t>LJUSDAL</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50613-2024</t>
        </is>
      </c>
      <c r="B4517" s="1" t="n">
        <v>45601.63219907408</v>
      </c>
      <c r="C4517" s="1" t="n">
        <v>45883</v>
      </c>
      <c r="D4517" t="inlineStr">
        <is>
          <t>GÄVLEBORGS LÄN</t>
        </is>
      </c>
      <c r="E4517" t="inlineStr">
        <is>
          <t>LJUSDAL</t>
        </is>
      </c>
      <c r="F4517" t="inlineStr">
        <is>
          <t>Bergvik skog väst AB</t>
        </is>
      </c>
      <c r="G4517" t="n">
        <v>6.6</v>
      </c>
      <c r="H4517" t="n">
        <v>0</v>
      </c>
      <c r="I4517" t="n">
        <v>0</v>
      </c>
      <c r="J4517" t="n">
        <v>0</v>
      </c>
      <c r="K4517" t="n">
        <v>0</v>
      </c>
      <c r="L4517" t="n">
        <v>0</v>
      </c>
      <c r="M4517" t="n">
        <v>0</v>
      </c>
      <c r="N4517" t="n">
        <v>0</v>
      </c>
      <c r="O4517" t="n">
        <v>0</v>
      </c>
      <c r="P4517" t="n">
        <v>0</v>
      </c>
      <c r="Q4517" t="n">
        <v>0</v>
      </c>
      <c r="R4517" s="2" t="inlineStr"/>
    </row>
    <row r="4518" ht="15" customHeight="1">
      <c r="A4518" t="inlineStr">
        <is>
          <t>A 44736-2024</t>
        </is>
      </c>
      <c r="B4518" s="1" t="n">
        <v>45574.59299768518</v>
      </c>
      <c r="C4518" s="1" t="n">
        <v>45883</v>
      </c>
      <c r="D4518" t="inlineStr">
        <is>
          <t>GÄVLEBORGS LÄN</t>
        </is>
      </c>
      <c r="E4518" t="inlineStr">
        <is>
          <t>HUDIKSVALL</t>
        </is>
      </c>
      <c r="G4518" t="n">
        <v>43.7</v>
      </c>
      <c r="H4518" t="n">
        <v>0</v>
      </c>
      <c r="I4518" t="n">
        <v>0</v>
      </c>
      <c r="J4518" t="n">
        <v>0</v>
      </c>
      <c r="K4518" t="n">
        <v>0</v>
      </c>
      <c r="L4518" t="n">
        <v>0</v>
      </c>
      <c r="M4518" t="n">
        <v>0</v>
      </c>
      <c r="N4518" t="n">
        <v>0</v>
      </c>
      <c r="O4518" t="n">
        <v>0</v>
      </c>
      <c r="P4518" t="n">
        <v>0</v>
      </c>
      <c r="Q4518" t="n">
        <v>0</v>
      </c>
      <c r="R4518" s="2" t="inlineStr"/>
    </row>
    <row r="4519" ht="15" customHeight="1">
      <c r="A4519" t="inlineStr">
        <is>
          <t>A 57702-2020</t>
        </is>
      </c>
      <c r="B4519" s="1" t="n">
        <v>44140.89601851852</v>
      </c>
      <c r="C4519" s="1" t="n">
        <v>45883</v>
      </c>
      <c r="D4519" t="inlineStr">
        <is>
          <t>GÄVLEBORGS LÄN</t>
        </is>
      </c>
      <c r="E4519" t="inlineStr">
        <is>
          <t>GÄVLE</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30721-2023</t>
        </is>
      </c>
      <c r="B4520" s="1" t="n">
        <v>45112</v>
      </c>
      <c r="C4520" s="1" t="n">
        <v>45883</v>
      </c>
      <c r="D4520" t="inlineStr">
        <is>
          <t>GÄVLEBORGS LÄN</t>
        </is>
      </c>
      <c r="E4520" t="inlineStr">
        <is>
          <t>SANDVIKEN</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51806-2024</t>
        </is>
      </c>
      <c r="B4521" s="1" t="n">
        <v>45607.47730324074</v>
      </c>
      <c r="C4521" s="1" t="n">
        <v>45883</v>
      </c>
      <c r="D4521" t="inlineStr">
        <is>
          <t>GÄVLEBORGS LÄN</t>
        </is>
      </c>
      <c r="E4521" t="inlineStr">
        <is>
          <t>NORDANSTIG</t>
        </is>
      </c>
      <c r="F4521" t="inlineStr">
        <is>
          <t>Holmen skog AB</t>
        </is>
      </c>
      <c r="G4521" t="n">
        <v>10</v>
      </c>
      <c r="H4521" t="n">
        <v>0</v>
      </c>
      <c r="I4521" t="n">
        <v>0</v>
      </c>
      <c r="J4521" t="n">
        <v>0</v>
      </c>
      <c r="K4521" t="n">
        <v>0</v>
      </c>
      <c r="L4521" t="n">
        <v>0</v>
      </c>
      <c r="M4521" t="n">
        <v>0</v>
      </c>
      <c r="N4521" t="n">
        <v>0</v>
      </c>
      <c r="O4521" t="n">
        <v>0</v>
      </c>
      <c r="P4521" t="n">
        <v>0</v>
      </c>
      <c r="Q4521" t="n">
        <v>0</v>
      </c>
      <c r="R4521" s="2" t="inlineStr"/>
    </row>
    <row r="4522" ht="15" customHeight="1">
      <c r="A4522" t="inlineStr">
        <is>
          <t>A 51821-2024</t>
        </is>
      </c>
      <c r="B4522" s="1" t="n">
        <v>45607.49569444444</v>
      </c>
      <c r="C4522" s="1" t="n">
        <v>45883</v>
      </c>
      <c r="D4522" t="inlineStr">
        <is>
          <t>GÄVLEBORGS LÄN</t>
        </is>
      </c>
      <c r="E4522" t="inlineStr">
        <is>
          <t>NORDANSTIG</t>
        </is>
      </c>
      <c r="F4522" t="inlineStr">
        <is>
          <t>Holmen skog AB</t>
        </is>
      </c>
      <c r="G4522" t="n">
        <v>5.7</v>
      </c>
      <c r="H4522" t="n">
        <v>0</v>
      </c>
      <c r="I4522" t="n">
        <v>0</v>
      </c>
      <c r="J4522" t="n">
        <v>0</v>
      </c>
      <c r="K4522" t="n">
        <v>0</v>
      </c>
      <c r="L4522" t="n">
        <v>0</v>
      </c>
      <c r="M4522" t="n">
        <v>0</v>
      </c>
      <c r="N4522" t="n">
        <v>0</v>
      </c>
      <c r="O4522" t="n">
        <v>0</v>
      </c>
      <c r="P4522" t="n">
        <v>0</v>
      </c>
      <c r="Q4522" t="n">
        <v>0</v>
      </c>
      <c r="R4522" s="2" t="inlineStr"/>
    </row>
    <row r="4523" ht="15" customHeight="1">
      <c r="A4523" t="inlineStr">
        <is>
          <t>A 22824-2024</t>
        </is>
      </c>
      <c r="B4523" s="1" t="n">
        <v>45448</v>
      </c>
      <c r="C4523" s="1" t="n">
        <v>45883</v>
      </c>
      <c r="D4523" t="inlineStr">
        <is>
          <t>GÄVLEBORGS LÄN</t>
        </is>
      </c>
      <c r="E4523" t="inlineStr">
        <is>
          <t>OCKELBO</t>
        </is>
      </c>
      <c r="F4523" t="inlineStr">
        <is>
          <t>Bergvik skog väst AB</t>
        </is>
      </c>
      <c r="G4523" t="n">
        <v>0.1</v>
      </c>
      <c r="H4523" t="n">
        <v>0</v>
      </c>
      <c r="I4523" t="n">
        <v>0</v>
      </c>
      <c r="J4523" t="n">
        <v>0</v>
      </c>
      <c r="K4523" t="n">
        <v>0</v>
      </c>
      <c r="L4523" t="n">
        <v>0</v>
      </c>
      <c r="M4523" t="n">
        <v>0</v>
      </c>
      <c r="N4523" t="n">
        <v>0</v>
      </c>
      <c r="O4523" t="n">
        <v>0</v>
      </c>
      <c r="P4523" t="n">
        <v>0</v>
      </c>
      <c r="Q4523" t="n">
        <v>0</v>
      </c>
      <c r="R4523" s="2" t="inlineStr"/>
    </row>
    <row r="4524" ht="15" customHeight="1">
      <c r="A4524" t="inlineStr">
        <is>
          <t>A 53861-2024</t>
        </is>
      </c>
      <c r="B4524" s="1" t="n">
        <v>45615.64052083333</v>
      </c>
      <c r="C4524" s="1" t="n">
        <v>45883</v>
      </c>
      <c r="D4524" t="inlineStr">
        <is>
          <t>GÄVLEBORGS LÄN</t>
        </is>
      </c>
      <c r="E4524" t="inlineStr">
        <is>
          <t>SANDVIKEN</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22835-2024</t>
        </is>
      </c>
      <c r="B4525" s="1" t="n">
        <v>45448</v>
      </c>
      <c r="C4525" s="1" t="n">
        <v>45883</v>
      </c>
      <c r="D4525" t="inlineStr">
        <is>
          <t>GÄVLEBORGS LÄN</t>
        </is>
      </c>
      <c r="E4525" t="inlineStr">
        <is>
          <t>BOLLNÄS</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22842-2024</t>
        </is>
      </c>
      <c r="B4526" s="1" t="n">
        <v>45448</v>
      </c>
      <c r="C4526" s="1" t="n">
        <v>45883</v>
      </c>
      <c r="D4526" t="inlineStr">
        <is>
          <t>GÄVLEBORGS LÄN</t>
        </is>
      </c>
      <c r="E4526" t="inlineStr">
        <is>
          <t>NORDANSTIG</t>
        </is>
      </c>
      <c r="F4526" t="inlineStr">
        <is>
          <t>Holmen skog AB</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43498-2024</t>
        </is>
      </c>
      <c r="B4527" s="1" t="n">
        <v>45569.29821759259</v>
      </c>
      <c r="C4527" s="1" t="n">
        <v>45883</v>
      </c>
      <c r="D4527" t="inlineStr">
        <is>
          <t>GÄVLEBORGS LÄN</t>
        </is>
      </c>
      <c r="E4527" t="inlineStr">
        <is>
          <t>OVANÅKER</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43580-2024</t>
        </is>
      </c>
      <c r="B4528" s="1" t="n">
        <v>45569.42083333333</v>
      </c>
      <c r="C4528" s="1" t="n">
        <v>45883</v>
      </c>
      <c r="D4528" t="inlineStr">
        <is>
          <t>GÄVLEBORGS LÄN</t>
        </is>
      </c>
      <c r="E4528" t="inlineStr">
        <is>
          <t>LJUSDAL</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34752-2024</t>
        </is>
      </c>
      <c r="B4529" s="1" t="n">
        <v>45526</v>
      </c>
      <c r="C4529" s="1" t="n">
        <v>45883</v>
      </c>
      <c r="D4529" t="inlineStr">
        <is>
          <t>GÄVLEBORGS LÄN</t>
        </is>
      </c>
      <c r="E4529" t="inlineStr">
        <is>
          <t>SÖDERHAMN</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21538-2025</t>
        </is>
      </c>
      <c r="B4530" s="1" t="n">
        <v>45782.65975694444</v>
      </c>
      <c r="C4530" s="1" t="n">
        <v>45883</v>
      </c>
      <c r="D4530" t="inlineStr">
        <is>
          <t>GÄVLEBORGS LÄN</t>
        </is>
      </c>
      <c r="E4530" t="inlineStr">
        <is>
          <t>SÖDERHAMN</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21505-2025</t>
        </is>
      </c>
      <c r="B4531" s="1" t="n">
        <v>45782.61508101852</v>
      </c>
      <c r="C4531" s="1" t="n">
        <v>45883</v>
      </c>
      <c r="D4531" t="inlineStr">
        <is>
          <t>GÄVLEBORGS LÄN</t>
        </is>
      </c>
      <c r="E4531" t="inlineStr">
        <is>
          <t>HUDIKSVALL</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51986-2024</t>
        </is>
      </c>
      <c r="B4532" s="1" t="n">
        <v>45607.68255787037</v>
      </c>
      <c r="C4532" s="1" t="n">
        <v>45883</v>
      </c>
      <c r="D4532" t="inlineStr">
        <is>
          <t>GÄVLEBORGS LÄN</t>
        </is>
      </c>
      <c r="E4532" t="inlineStr">
        <is>
          <t>SÖDERHAMN</t>
        </is>
      </c>
      <c r="F4532" t="inlineStr">
        <is>
          <t>Bergvik skog väst AB</t>
        </is>
      </c>
      <c r="G4532" t="n">
        <v>5.7</v>
      </c>
      <c r="H4532" t="n">
        <v>0</v>
      </c>
      <c r="I4532" t="n">
        <v>0</v>
      </c>
      <c r="J4532" t="n">
        <v>0</v>
      </c>
      <c r="K4532" t="n">
        <v>0</v>
      </c>
      <c r="L4532" t="n">
        <v>0</v>
      </c>
      <c r="M4532" t="n">
        <v>0</v>
      </c>
      <c r="N4532" t="n">
        <v>0</v>
      </c>
      <c r="O4532" t="n">
        <v>0</v>
      </c>
      <c r="P4532" t="n">
        <v>0</v>
      </c>
      <c r="Q4532" t="n">
        <v>0</v>
      </c>
      <c r="R4532" s="2" t="inlineStr"/>
    </row>
    <row r="4533" ht="15" customHeight="1">
      <c r="A4533" t="inlineStr">
        <is>
          <t>A 21524-2025</t>
        </is>
      </c>
      <c r="B4533" s="1" t="n">
        <v>45782.64039351852</v>
      </c>
      <c r="C4533" s="1" t="n">
        <v>45883</v>
      </c>
      <c r="D4533" t="inlineStr">
        <is>
          <t>GÄVLEBORGS LÄN</t>
        </is>
      </c>
      <c r="E4533" t="inlineStr">
        <is>
          <t>HUDIKSVALL</t>
        </is>
      </c>
      <c r="G4533" t="n">
        <v>3.7</v>
      </c>
      <c r="H4533" t="n">
        <v>0</v>
      </c>
      <c r="I4533" t="n">
        <v>0</v>
      </c>
      <c r="J4533" t="n">
        <v>0</v>
      </c>
      <c r="K4533" t="n">
        <v>0</v>
      </c>
      <c r="L4533" t="n">
        <v>0</v>
      </c>
      <c r="M4533" t="n">
        <v>0</v>
      </c>
      <c r="N4533" t="n">
        <v>0</v>
      </c>
      <c r="O4533" t="n">
        <v>0</v>
      </c>
      <c r="P4533" t="n">
        <v>0</v>
      </c>
      <c r="Q4533" t="n">
        <v>0</v>
      </c>
      <c r="R4533" s="2" t="inlineStr"/>
    </row>
    <row r="4534" ht="15" customHeight="1">
      <c r="A4534" t="inlineStr">
        <is>
          <t>A 52001-2024</t>
        </is>
      </c>
      <c r="B4534" s="1" t="n">
        <v>45607.75534722222</v>
      </c>
      <c r="C4534" s="1" t="n">
        <v>45883</v>
      </c>
      <c r="D4534" t="inlineStr">
        <is>
          <t>GÄVLEBORGS LÄN</t>
        </is>
      </c>
      <c r="E4534" t="inlineStr">
        <is>
          <t>NORDANSTIG</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21178-2025</t>
        </is>
      </c>
      <c r="B4535" s="1" t="n">
        <v>45779.42856481481</v>
      </c>
      <c r="C4535" s="1" t="n">
        <v>45883</v>
      </c>
      <c r="D4535" t="inlineStr">
        <is>
          <t>GÄVLEBORGS LÄN</t>
        </is>
      </c>
      <c r="E4535" t="inlineStr">
        <is>
          <t>SANDVIKEN</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21179-2025</t>
        </is>
      </c>
      <c r="B4536" s="1" t="n">
        <v>45779.43439814815</v>
      </c>
      <c r="C4536" s="1" t="n">
        <v>45883</v>
      </c>
      <c r="D4536" t="inlineStr">
        <is>
          <t>GÄVLEBORGS LÄN</t>
        </is>
      </c>
      <c r="E4536" t="inlineStr">
        <is>
          <t>HUDIKSVALL</t>
        </is>
      </c>
      <c r="F4536" t="inlineStr">
        <is>
          <t>Holmen skog AB</t>
        </is>
      </c>
      <c r="G4536" t="n">
        <v>14.1</v>
      </c>
      <c r="H4536" t="n">
        <v>0</v>
      </c>
      <c r="I4536" t="n">
        <v>0</v>
      </c>
      <c r="J4536" t="n">
        <v>0</v>
      </c>
      <c r="K4536" t="n">
        <v>0</v>
      </c>
      <c r="L4536" t="n">
        <v>0</v>
      </c>
      <c r="M4536" t="n">
        <v>0</v>
      </c>
      <c r="N4536" t="n">
        <v>0</v>
      </c>
      <c r="O4536" t="n">
        <v>0</v>
      </c>
      <c r="P4536" t="n">
        <v>0</v>
      </c>
      <c r="Q4536" t="n">
        <v>0</v>
      </c>
      <c r="R4536" s="2" t="inlineStr"/>
    </row>
    <row r="4537" ht="15" customHeight="1">
      <c r="A4537" t="inlineStr">
        <is>
          <t>A 48212-2024</t>
        </is>
      </c>
      <c r="B4537" s="1" t="n">
        <v>45590.34556712963</v>
      </c>
      <c r="C4537" s="1" t="n">
        <v>45883</v>
      </c>
      <c r="D4537" t="inlineStr">
        <is>
          <t>GÄVLEBORGS LÄN</t>
        </is>
      </c>
      <c r="E4537" t="inlineStr">
        <is>
          <t>NORDANSTIG</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48221-2024</t>
        </is>
      </c>
      <c r="B4538" s="1" t="n">
        <v>45590.36142361111</v>
      </c>
      <c r="C4538" s="1" t="n">
        <v>45883</v>
      </c>
      <c r="D4538" t="inlineStr">
        <is>
          <t>GÄVLEBORGS LÄN</t>
        </is>
      </c>
      <c r="E4538" t="inlineStr">
        <is>
          <t>OCKELBO</t>
        </is>
      </c>
      <c r="F4538" t="inlineStr">
        <is>
          <t>Bergvik skog väst AB</t>
        </is>
      </c>
      <c r="G4538" t="n">
        <v>5.5</v>
      </c>
      <c r="H4538" t="n">
        <v>0</v>
      </c>
      <c r="I4538" t="n">
        <v>0</v>
      </c>
      <c r="J4538" t="n">
        <v>0</v>
      </c>
      <c r="K4538" t="n">
        <v>0</v>
      </c>
      <c r="L4538" t="n">
        <v>0</v>
      </c>
      <c r="M4538" t="n">
        <v>0</v>
      </c>
      <c r="N4538" t="n">
        <v>0</v>
      </c>
      <c r="O4538" t="n">
        <v>0</v>
      </c>
      <c r="P4538" t="n">
        <v>0</v>
      </c>
      <c r="Q4538" t="n">
        <v>0</v>
      </c>
      <c r="R4538" s="2" t="inlineStr"/>
    </row>
    <row r="4539" ht="15" customHeight="1">
      <c r="A4539" t="inlineStr">
        <is>
          <t>A 63952-2023</t>
        </is>
      </c>
      <c r="B4539" s="1" t="n">
        <v>45278</v>
      </c>
      <c r="C4539" s="1" t="n">
        <v>45883</v>
      </c>
      <c r="D4539" t="inlineStr">
        <is>
          <t>GÄVLEBORGS LÄN</t>
        </is>
      </c>
      <c r="E4539" t="inlineStr">
        <is>
          <t>HUDIKSVALL</t>
        </is>
      </c>
      <c r="F4539" t="inlineStr">
        <is>
          <t>Holmen skog AB</t>
        </is>
      </c>
      <c r="G4539" t="n">
        <v>7.2</v>
      </c>
      <c r="H4539" t="n">
        <v>0</v>
      </c>
      <c r="I4539" t="n">
        <v>0</v>
      </c>
      <c r="J4539" t="n">
        <v>0</v>
      </c>
      <c r="K4539" t="n">
        <v>0</v>
      </c>
      <c r="L4539" t="n">
        <v>0</v>
      </c>
      <c r="M4539" t="n">
        <v>0</v>
      </c>
      <c r="N4539" t="n">
        <v>0</v>
      </c>
      <c r="O4539" t="n">
        <v>0</v>
      </c>
      <c r="P4539" t="n">
        <v>0</v>
      </c>
      <c r="Q4539" t="n">
        <v>0</v>
      </c>
      <c r="R4539" s="2" t="inlineStr"/>
    </row>
    <row r="4540" ht="15" customHeight="1">
      <c r="A4540" t="inlineStr">
        <is>
          <t>A 31298-2024</t>
        </is>
      </c>
      <c r="B4540" s="1" t="n">
        <v>45504.49959490741</v>
      </c>
      <c r="C4540" s="1" t="n">
        <v>45883</v>
      </c>
      <c r="D4540" t="inlineStr">
        <is>
          <t>GÄVLEBORGS LÄN</t>
        </is>
      </c>
      <c r="E4540" t="inlineStr">
        <is>
          <t>OVANÅKER</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21921-2025</t>
        </is>
      </c>
      <c r="B4541" s="1" t="n">
        <v>45784.52148148148</v>
      </c>
      <c r="C4541" s="1" t="n">
        <v>45883</v>
      </c>
      <c r="D4541" t="inlineStr">
        <is>
          <t>GÄVLEBORGS LÄN</t>
        </is>
      </c>
      <c r="E4541" t="inlineStr">
        <is>
          <t>NORDANSTIG</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20639-2025</t>
        </is>
      </c>
      <c r="B4542" s="1" t="n">
        <v>45776</v>
      </c>
      <c r="C4542" s="1" t="n">
        <v>45883</v>
      </c>
      <c r="D4542" t="inlineStr">
        <is>
          <t>GÄVLEBORGS LÄN</t>
        </is>
      </c>
      <c r="E4542" t="inlineStr">
        <is>
          <t>HUDIKSVALL</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21925-2025</t>
        </is>
      </c>
      <c r="B4543" s="1" t="n">
        <v>45784</v>
      </c>
      <c r="C4543" s="1" t="n">
        <v>45883</v>
      </c>
      <c r="D4543" t="inlineStr">
        <is>
          <t>GÄVLEBORGS LÄN</t>
        </is>
      </c>
      <c r="E4543" t="inlineStr">
        <is>
          <t>LJUSDAL</t>
        </is>
      </c>
      <c r="F4543" t="inlineStr">
        <is>
          <t>Sveaskog</t>
        </is>
      </c>
      <c r="G4543" t="n">
        <v>8</v>
      </c>
      <c r="H4543" t="n">
        <v>0</v>
      </c>
      <c r="I4543" t="n">
        <v>0</v>
      </c>
      <c r="J4543" t="n">
        <v>0</v>
      </c>
      <c r="K4543" t="n">
        <v>0</v>
      </c>
      <c r="L4543" t="n">
        <v>0</v>
      </c>
      <c r="M4543" t="n">
        <v>0</v>
      </c>
      <c r="N4543" t="n">
        <v>0</v>
      </c>
      <c r="O4543" t="n">
        <v>0</v>
      </c>
      <c r="P4543" t="n">
        <v>0</v>
      </c>
      <c r="Q4543" t="n">
        <v>0</v>
      </c>
      <c r="R4543" s="2" t="inlineStr"/>
    </row>
    <row r="4544" ht="15" customHeight="1">
      <c r="A4544" t="inlineStr">
        <is>
          <t>A 45965-2024</t>
        </is>
      </c>
      <c r="B4544" s="1" t="n">
        <v>45580</v>
      </c>
      <c r="C4544" s="1" t="n">
        <v>45883</v>
      </c>
      <c r="D4544" t="inlineStr">
        <is>
          <t>GÄVLEBORGS LÄN</t>
        </is>
      </c>
      <c r="E4544" t="inlineStr">
        <is>
          <t>GÄVLE</t>
        </is>
      </c>
      <c r="F4544" t="inlineStr">
        <is>
          <t>Bergvik skog öst AB</t>
        </is>
      </c>
      <c r="G4544" t="n">
        <v>15.3</v>
      </c>
      <c r="H4544" t="n">
        <v>0</v>
      </c>
      <c r="I4544" t="n">
        <v>0</v>
      </c>
      <c r="J4544" t="n">
        <v>0</v>
      </c>
      <c r="K4544" t="n">
        <v>0</v>
      </c>
      <c r="L4544" t="n">
        <v>0</v>
      </c>
      <c r="M4544" t="n">
        <v>0</v>
      </c>
      <c r="N4544" t="n">
        <v>0</v>
      </c>
      <c r="O4544" t="n">
        <v>0</v>
      </c>
      <c r="P4544" t="n">
        <v>0</v>
      </c>
      <c r="Q4544" t="n">
        <v>0</v>
      </c>
      <c r="R4544" s="2" t="inlineStr"/>
    </row>
    <row r="4545" ht="15" customHeight="1">
      <c r="A4545" t="inlineStr">
        <is>
          <t>A 55629-2024</t>
        </is>
      </c>
      <c r="B4545" s="1" t="n">
        <v>45622.60282407407</v>
      </c>
      <c r="C4545" s="1" t="n">
        <v>45883</v>
      </c>
      <c r="D4545" t="inlineStr">
        <is>
          <t>GÄVLEBORGS LÄN</t>
        </is>
      </c>
      <c r="E4545" t="inlineStr">
        <is>
          <t>HUDIKSVALL</t>
        </is>
      </c>
      <c r="F4545" t="inlineStr">
        <is>
          <t>Holmen skog AB</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27718-2023</t>
        </is>
      </c>
      <c r="B4546" s="1" t="n">
        <v>45098</v>
      </c>
      <c r="C4546" s="1" t="n">
        <v>45883</v>
      </c>
      <c r="D4546" t="inlineStr">
        <is>
          <t>GÄVLEBORGS LÄN</t>
        </is>
      </c>
      <c r="E4546" t="inlineStr">
        <is>
          <t>LJUSDAL</t>
        </is>
      </c>
      <c r="F4546" t="inlineStr">
        <is>
          <t>Holmen skog AB</t>
        </is>
      </c>
      <c r="G4546" t="n">
        <v>23.3</v>
      </c>
      <c r="H4546" t="n">
        <v>0</v>
      </c>
      <c r="I4546" t="n">
        <v>0</v>
      </c>
      <c r="J4546" t="n">
        <v>0</v>
      </c>
      <c r="K4546" t="n">
        <v>0</v>
      </c>
      <c r="L4546" t="n">
        <v>0</v>
      </c>
      <c r="M4546" t="n">
        <v>0</v>
      </c>
      <c r="N4546" t="n">
        <v>0</v>
      </c>
      <c r="O4546" t="n">
        <v>0</v>
      </c>
      <c r="P4546" t="n">
        <v>0</v>
      </c>
      <c r="Q4546" t="n">
        <v>0</v>
      </c>
      <c r="R4546" s="2" t="inlineStr"/>
    </row>
    <row r="4547" ht="15" customHeight="1">
      <c r="A4547" t="inlineStr">
        <is>
          <t>A 21725-2025</t>
        </is>
      </c>
      <c r="B4547" s="1" t="n">
        <v>45783.56886574074</v>
      </c>
      <c r="C4547" s="1" t="n">
        <v>45883</v>
      </c>
      <c r="D4547" t="inlineStr">
        <is>
          <t>GÄVLEBORGS LÄN</t>
        </is>
      </c>
      <c r="E4547" t="inlineStr">
        <is>
          <t>NORDANSTIG</t>
        </is>
      </c>
      <c r="G4547" t="n">
        <v>6.4</v>
      </c>
      <c r="H4547" t="n">
        <v>0</v>
      </c>
      <c r="I4547" t="n">
        <v>0</v>
      </c>
      <c r="J4547" t="n">
        <v>0</v>
      </c>
      <c r="K4547" t="n">
        <v>0</v>
      </c>
      <c r="L4547" t="n">
        <v>0</v>
      </c>
      <c r="M4547" t="n">
        <v>0</v>
      </c>
      <c r="N4547" t="n">
        <v>0</v>
      </c>
      <c r="O4547" t="n">
        <v>0</v>
      </c>
      <c r="P4547" t="n">
        <v>0</v>
      </c>
      <c r="Q4547" t="n">
        <v>0</v>
      </c>
      <c r="R4547" s="2" t="inlineStr"/>
    </row>
    <row r="4548" ht="15" customHeight="1">
      <c r="A4548" t="inlineStr">
        <is>
          <t>A 46000-2024</t>
        </is>
      </c>
      <c r="B4548" s="1" t="n">
        <v>45580.65564814815</v>
      </c>
      <c r="C4548" s="1" t="n">
        <v>45883</v>
      </c>
      <c r="D4548" t="inlineStr">
        <is>
          <t>GÄVLEBORGS LÄN</t>
        </is>
      </c>
      <c r="E4548" t="inlineStr">
        <is>
          <t>OVANÅKER</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55715-2024</t>
        </is>
      </c>
      <c r="B4549" s="1" t="n">
        <v>45622.70284722222</v>
      </c>
      <c r="C4549" s="1" t="n">
        <v>45883</v>
      </c>
      <c r="D4549" t="inlineStr">
        <is>
          <t>GÄVLEBORGS LÄN</t>
        </is>
      </c>
      <c r="E4549" t="inlineStr">
        <is>
          <t>SÖDERHAMN</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46034-2024</t>
        </is>
      </c>
      <c r="B4550" s="1" t="n">
        <v>45580.72083333333</v>
      </c>
      <c r="C4550" s="1" t="n">
        <v>45883</v>
      </c>
      <c r="D4550" t="inlineStr">
        <is>
          <t>GÄVLEBORGS LÄN</t>
        </is>
      </c>
      <c r="E4550" t="inlineStr">
        <is>
          <t>OVANÅKER</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56464-2023</t>
        </is>
      </c>
      <c r="B4551" s="1" t="n">
        <v>45243.4821875</v>
      </c>
      <c r="C4551" s="1" t="n">
        <v>45883</v>
      </c>
      <c r="D4551" t="inlineStr">
        <is>
          <t>GÄVLEBORGS LÄN</t>
        </is>
      </c>
      <c r="E4551" t="inlineStr">
        <is>
          <t>LJUSDAL</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4137-2021</t>
        </is>
      </c>
      <c r="B4552" s="1" t="n">
        <v>44223</v>
      </c>
      <c r="C4552" s="1" t="n">
        <v>45883</v>
      </c>
      <c r="D4552" t="inlineStr">
        <is>
          <t>GÄVLEBORGS LÄN</t>
        </is>
      </c>
      <c r="E4552" t="inlineStr">
        <is>
          <t>HUDIKSVALL</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18681-2025</t>
        </is>
      </c>
      <c r="B4553" s="1" t="n">
        <v>45763.60788194444</v>
      </c>
      <c r="C4553" s="1" t="n">
        <v>45883</v>
      </c>
      <c r="D4553" t="inlineStr">
        <is>
          <t>GÄVLEBORGS LÄN</t>
        </is>
      </c>
      <c r="E4553" t="inlineStr">
        <is>
          <t>NORDANSTIG</t>
        </is>
      </c>
      <c r="F4553" t="inlineStr">
        <is>
          <t>Holmen skog AB</t>
        </is>
      </c>
      <c r="G4553" t="n">
        <v>6.7</v>
      </c>
      <c r="H4553" t="n">
        <v>0</v>
      </c>
      <c r="I4553" t="n">
        <v>0</v>
      </c>
      <c r="J4553" t="n">
        <v>0</v>
      </c>
      <c r="K4553" t="n">
        <v>0</v>
      </c>
      <c r="L4553" t="n">
        <v>0</v>
      </c>
      <c r="M4553" t="n">
        <v>0</v>
      </c>
      <c r="N4553" t="n">
        <v>0</v>
      </c>
      <c r="O4553" t="n">
        <v>0</v>
      </c>
      <c r="P4553" t="n">
        <v>0</v>
      </c>
      <c r="Q4553" t="n">
        <v>0</v>
      </c>
      <c r="R4553" s="2" t="inlineStr"/>
    </row>
    <row r="4554" ht="15" customHeight="1">
      <c r="A4554" t="inlineStr">
        <is>
          <t>A 26930-2023</t>
        </is>
      </c>
      <c r="B4554" s="1" t="n">
        <v>45093.62233796297</v>
      </c>
      <c r="C4554" s="1" t="n">
        <v>45883</v>
      </c>
      <c r="D4554" t="inlineStr">
        <is>
          <t>GÄVLEBORGS LÄN</t>
        </is>
      </c>
      <c r="E4554" t="inlineStr">
        <is>
          <t>SÖDERHAMN</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18716-2025</t>
        </is>
      </c>
      <c r="B4555" s="1" t="n">
        <v>45763.64425925926</v>
      </c>
      <c r="C4555" s="1" t="n">
        <v>45883</v>
      </c>
      <c r="D4555" t="inlineStr">
        <is>
          <t>GÄVLEBORGS LÄN</t>
        </is>
      </c>
      <c r="E4555" t="inlineStr">
        <is>
          <t>NORDANSTIG</t>
        </is>
      </c>
      <c r="F4555" t="inlineStr">
        <is>
          <t>Holmen skog AB</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18156-2024</t>
        </is>
      </c>
      <c r="B4556" s="1" t="n">
        <v>45420.60981481482</v>
      </c>
      <c r="C4556" s="1" t="n">
        <v>45883</v>
      </c>
      <c r="D4556" t="inlineStr">
        <is>
          <t>GÄVLEBORGS LÄN</t>
        </is>
      </c>
      <c r="E4556" t="inlineStr">
        <is>
          <t>OVANÅKER</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43547-2024</t>
        </is>
      </c>
      <c r="B4557" s="1" t="n">
        <v>45569.37582175926</v>
      </c>
      <c r="C4557" s="1" t="n">
        <v>45883</v>
      </c>
      <c r="D4557" t="inlineStr">
        <is>
          <t>GÄVLEBORGS LÄN</t>
        </is>
      </c>
      <c r="E4557" t="inlineStr">
        <is>
          <t>OVANÅKER</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3748-2022</t>
        </is>
      </c>
      <c r="B4558" s="1" t="n">
        <v>44586.71274305556</v>
      </c>
      <c r="C4558" s="1" t="n">
        <v>45883</v>
      </c>
      <c r="D4558" t="inlineStr">
        <is>
          <t>GÄVLEBORGS LÄN</t>
        </is>
      </c>
      <c r="E4558" t="inlineStr">
        <is>
          <t>SANDVIKEN</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59593-2021</t>
        </is>
      </c>
      <c r="B4559" s="1" t="n">
        <v>44491</v>
      </c>
      <c r="C4559" s="1" t="n">
        <v>45883</v>
      </c>
      <c r="D4559" t="inlineStr">
        <is>
          <t>GÄVLEBORGS LÄN</t>
        </is>
      </c>
      <c r="E4559" t="inlineStr">
        <is>
          <t>HUDIKSVALL</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3472-2022</t>
        </is>
      </c>
      <c r="B4560" s="1" t="n">
        <v>44585.59899305556</v>
      </c>
      <c r="C4560" s="1" t="n">
        <v>45883</v>
      </c>
      <c r="D4560" t="inlineStr">
        <is>
          <t>GÄVLEBORGS LÄN</t>
        </is>
      </c>
      <c r="E4560" t="inlineStr">
        <is>
          <t>GÄVLE</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59044-2023</t>
        </is>
      </c>
      <c r="B4561" s="1" t="n">
        <v>45252.72782407407</v>
      </c>
      <c r="C4561" s="1" t="n">
        <v>45883</v>
      </c>
      <c r="D4561" t="inlineStr">
        <is>
          <t>GÄVLEBORGS LÄN</t>
        </is>
      </c>
      <c r="E4561" t="inlineStr">
        <is>
          <t>GÄVLE</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42722-2024</t>
        </is>
      </c>
      <c r="B4562" s="1" t="n">
        <v>45566.46315972223</v>
      </c>
      <c r="C4562" s="1" t="n">
        <v>45883</v>
      </c>
      <c r="D4562" t="inlineStr">
        <is>
          <t>GÄVLEBORGS LÄN</t>
        </is>
      </c>
      <c r="E4562" t="inlineStr">
        <is>
          <t>OVANÅKER</t>
        </is>
      </c>
      <c r="G4562" t="n">
        <v>5</v>
      </c>
      <c r="H4562" t="n">
        <v>0</v>
      </c>
      <c r="I4562" t="n">
        <v>0</v>
      </c>
      <c r="J4562" t="n">
        <v>0</v>
      </c>
      <c r="K4562" t="n">
        <v>0</v>
      </c>
      <c r="L4562" t="n">
        <v>0</v>
      </c>
      <c r="M4562" t="n">
        <v>0</v>
      </c>
      <c r="N4562" t="n">
        <v>0</v>
      </c>
      <c r="O4562" t="n">
        <v>0</v>
      </c>
      <c r="P4562" t="n">
        <v>0</v>
      </c>
      <c r="Q4562" t="n">
        <v>0</v>
      </c>
      <c r="R4562" s="2" t="inlineStr"/>
    </row>
    <row r="4563" ht="15" customHeight="1">
      <c r="A4563" t="inlineStr">
        <is>
          <t>A 21588-2025</t>
        </is>
      </c>
      <c r="B4563" s="1" t="n">
        <v>45783.30799768519</v>
      </c>
      <c r="C4563" s="1" t="n">
        <v>45883</v>
      </c>
      <c r="D4563" t="inlineStr">
        <is>
          <t>GÄVLEBORGS LÄN</t>
        </is>
      </c>
      <c r="E4563" t="inlineStr">
        <is>
          <t>LJUSDAL</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21957-2025</t>
        </is>
      </c>
      <c r="B4564" s="1" t="n">
        <v>45784.6053587963</v>
      </c>
      <c r="C4564" s="1" t="n">
        <v>45883</v>
      </c>
      <c r="D4564" t="inlineStr">
        <is>
          <t>GÄVLEBORGS LÄN</t>
        </is>
      </c>
      <c r="E4564" t="inlineStr">
        <is>
          <t>LJUSDAL</t>
        </is>
      </c>
      <c r="G4564" t="n">
        <v>5.5</v>
      </c>
      <c r="H4564" t="n">
        <v>0</v>
      </c>
      <c r="I4564" t="n">
        <v>0</v>
      </c>
      <c r="J4564" t="n">
        <v>0</v>
      </c>
      <c r="K4564" t="n">
        <v>0</v>
      </c>
      <c r="L4564" t="n">
        <v>0</v>
      </c>
      <c r="M4564" t="n">
        <v>0</v>
      </c>
      <c r="N4564" t="n">
        <v>0</v>
      </c>
      <c r="O4564" t="n">
        <v>0</v>
      </c>
      <c r="P4564" t="n">
        <v>0</v>
      </c>
      <c r="Q4564" t="n">
        <v>0</v>
      </c>
      <c r="R4564" s="2" t="inlineStr"/>
    </row>
    <row r="4565" ht="15" customHeight="1">
      <c r="A4565" t="inlineStr">
        <is>
          <t>A 42247-2024</t>
        </is>
      </c>
      <c r="B4565" s="1" t="n">
        <v>45562</v>
      </c>
      <c r="C4565" s="1" t="n">
        <v>45883</v>
      </c>
      <c r="D4565" t="inlineStr">
        <is>
          <t>GÄVLEBORGS LÄN</t>
        </is>
      </c>
      <c r="E4565" t="inlineStr">
        <is>
          <t>GÄVLE</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35086-2024</t>
        </is>
      </c>
      <c r="B4566" s="1" t="n">
        <v>45527.70609953703</v>
      </c>
      <c r="C4566" s="1" t="n">
        <v>45883</v>
      </c>
      <c r="D4566" t="inlineStr">
        <is>
          <t>GÄVLEBORGS LÄN</t>
        </is>
      </c>
      <c r="E4566" t="inlineStr">
        <is>
          <t>OVANÅKER</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21592-2025</t>
        </is>
      </c>
      <c r="B4567" s="1" t="n">
        <v>45783.34420138889</v>
      </c>
      <c r="C4567" s="1" t="n">
        <v>45883</v>
      </c>
      <c r="D4567" t="inlineStr">
        <is>
          <t>GÄVLEBORGS LÄN</t>
        </is>
      </c>
      <c r="E4567" t="inlineStr">
        <is>
          <t>LJUSDAL</t>
        </is>
      </c>
      <c r="F4567" t="inlineStr">
        <is>
          <t>SCA</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46007-2024</t>
        </is>
      </c>
      <c r="B4568" s="1" t="n">
        <v>45580</v>
      </c>
      <c r="C4568" s="1" t="n">
        <v>45883</v>
      </c>
      <c r="D4568" t="inlineStr">
        <is>
          <t>GÄVLEBORGS LÄN</t>
        </is>
      </c>
      <c r="E4568" t="inlineStr">
        <is>
          <t>SÖDERHAMN</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46036-2024</t>
        </is>
      </c>
      <c r="B4569" s="1" t="n">
        <v>45580.72539351852</v>
      </c>
      <c r="C4569" s="1" t="n">
        <v>45883</v>
      </c>
      <c r="D4569" t="inlineStr">
        <is>
          <t>GÄVLEBORGS LÄN</t>
        </is>
      </c>
      <c r="E4569" t="inlineStr">
        <is>
          <t>OVANÅKER</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66491-2020</t>
        </is>
      </c>
      <c r="B4570" s="1" t="n">
        <v>44177</v>
      </c>
      <c r="C4570" s="1" t="n">
        <v>45883</v>
      </c>
      <c r="D4570" t="inlineStr">
        <is>
          <t>GÄVLEBORGS LÄN</t>
        </is>
      </c>
      <c r="E4570" t="inlineStr">
        <is>
          <t>HUDIKSVALL</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18707-2025</t>
        </is>
      </c>
      <c r="B4571" s="1" t="n">
        <v>45763.63564814815</v>
      </c>
      <c r="C4571" s="1" t="n">
        <v>45883</v>
      </c>
      <c r="D4571" t="inlineStr">
        <is>
          <t>GÄVLEBORGS LÄN</t>
        </is>
      </c>
      <c r="E4571" t="inlineStr">
        <is>
          <t>NORDANSTIG</t>
        </is>
      </c>
      <c r="F4571" t="inlineStr">
        <is>
          <t>Holmen skog AB</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35440-2023</t>
        </is>
      </c>
      <c r="B4572" s="1" t="n">
        <v>45146.63849537037</v>
      </c>
      <c r="C4572" s="1" t="n">
        <v>45883</v>
      </c>
      <c r="D4572" t="inlineStr">
        <is>
          <t>GÄVLEBORGS LÄN</t>
        </is>
      </c>
      <c r="E4572" t="inlineStr">
        <is>
          <t>GÄVLE</t>
        </is>
      </c>
      <c r="G4572" t="n">
        <v>3.3</v>
      </c>
      <c r="H4572" t="n">
        <v>0</v>
      </c>
      <c r="I4572" t="n">
        <v>0</v>
      </c>
      <c r="J4572" t="n">
        <v>0</v>
      </c>
      <c r="K4572" t="n">
        <v>0</v>
      </c>
      <c r="L4572" t="n">
        <v>0</v>
      </c>
      <c r="M4572" t="n">
        <v>0</v>
      </c>
      <c r="N4572" t="n">
        <v>0</v>
      </c>
      <c r="O4572" t="n">
        <v>0</v>
      </c>
      <c r="P4572" t="n">
        <v>0</v>
      </c>
      <c r="Q4572" t="n">
        <v>0</v>
      </c>
      <c r="R4572" s="2" t="inlineStr"/>
    </row>
    <row r="4573" ht="15" customHeight="1">
      <c r="A4573" t="inlineStr">
        <is>
          <t>A 21940-2025</t>
        </is>
      </c>
      <c r="B4573" s="1" t="n">
        <v>45784.58482638889</v>
      </c>
      <c r="C4573" s="1" t="n">
        <v>45883</v>
      </c>
      <c r="D4573" t="inlineStr">
        <is>
          <t>GÄVLEBORGS LÄN</t>
        </is>
      </c>
      <c r="E4573" t="inlineStr">
        <is>
          <t>LJUSDAL</t>
        </is>
      </c>
      <c r="G4573" t="n">
        <v>4.1</v>
      </c>
      <c r="H4573" t="n">
        <v>0</v>
      </c>
      <c r="I4573" t="n">
        <v>0</v>
      </c>
      <c r="J4573" t="n">
        <v>0</v>
      </c>
      <c r="K4573" t="n">
        <v>0</v>
      </c>
      <c r="L4573" t="n">
        <v>0</v>
      </c>
      <c r="M4573" t="n">
        <v>0</v>
      </c>
      <c r="N4573" t="n">
        <v>0</v>
      </c>
      <c r="O4573" t="n">
        <v>0</v>
      </c>
      <c r="P4573" t="n">
        <v>0</v>
      </c>
      <c r="Q4573" t="n">
        <v>0</v>
      </c>
      <c r="R4573" s="2" t="inlineStr"/>
    </row>
    <row r="4574" ht="15" customHeight="1">
      <c r="A4574" t="inlineStr">
        <is>
          <t>A 32260-2023</t>
        </is>
      </c>
      <c r="B4574" s="1" t="n">
        <v>45120.30417824074</v>
      </c>
      <c r="C4574" s="1" t="n">
        <v>45883</v>
      </c>
      <c r="D4574" t="inlineStr">
        <is>
          <t>GÄVLEBORGS LÄN</t>
        </is>
      </c>
      <c r="E4574" t="inlineStr">
        <is>
          <t>SANDVIKEN</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31866-2023</t>
        </is>
      </c>
      <c r="B4575" s="1" t="n">
        <v>45106</v>
      </c>
      <c r="C4575" s="1" t="n">
        <v>45883</v>
      </c>
      <c r="D4575" t="inlineStr">
        <is>
          <t>GÄVLEBORGS LÄN</t>
        </is>
      </c>
      <c r="E4575" t="inlineStr">
        <is>
          <t>GÄVLE</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22713-2024</t>
        </is>
      </c>
      <c r="B4576" s="1" t="n">
        <v>45448.35930555555</v>
      </c>
      <c r="C4576" s="1" t="n">
        <v>45883</v>
      </c>
      <c r="D4576" t="inlineStr">
        <is>
          <t>GÄVLEBORGS LÄN</t>
        </is>
      </c>
      <c r="E4576" t="inlineStr">
        <is>
          <t>LJUSDAL</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19135-2024</t>
        </is>
      </c>
      <c r="B4577" s="1" t="n">
        <v>45428</v>
      </c>
      <c r="C4577" s="1" t="n">
        <v>45883</v>
      </c>
      <c r="D4577" t="inlineStr">
        <is>
          <t>GÄVLEBORGS LÄN</t>
        </is>
      </c>
      <c r="E4577" t="inlineStr">
        <is>
          <t>BOLLNÄS</t>
        </is>
      </c>
      <c r="G4577" t="n">
        <v>4.7</v>
      </c>
      <c r="H4577" t="n">
        <v>0</v>
      </c>
      <c r="I4577" t="n">
        <v>0</v>
      </c>
      <c r="J4577" t="n">
        <v>0</v>
      </c>
      <c r="K4577" t="n">
        <v>0</v>
      </c>
      <c r="L4577" t="n">
        <v>0</v>
      </c>
      <c r="M4577" t="n">
        <v>0</v>
      </c>
      <c r="N4577" t="n">
        <v>0</v>
      </c>
      <c r="O4577" t="n">
        <v>0</v>
      </c>
      <c r="P4577" t="n">
        <v>0</v>
      </c>
      <c r="Q4577" t="n">
        <v>0</v>
      </c>
      <c r="R4577" s="2" t="inlineStr"/>
    </row>
    <row r="4578" ht="15" customHeight="1">
      <c r="A4578" t="inlineStr">
        <is>
          <t>A 10105-2024</t>
        </is>
      </c>
      <c r="B4578" s="1" t="n">
        <v>45364.53116898148</v>
      </c>
      <c r="C4578" s="1" t="n">
        <v>45883</v>
      </c>
      <c r="D4578" t="inlineStr">
        <is>
          <t>GÄVLEBORGS LÄN</t>
        </is>
      </c>
      <c r="E4578" t="inlineStr">
        <is>
          <t>LJUSDAL</t>
        </is>
      </c>
      <c r="G4578" t="n">
        <v>4.4</v>
      </c>
      <c r="H4578" t="n">
        <v>0</v>
      </c>
      <c r="I4578" t="n">
        <v>0</v>
      </c>
      <c r="J4578" t="n">
        <v>0</v>
      </c>
      <c r="K4578" t="n">
        <v>0</v>
      </c>
      <c r="L4578" t="n">
        <v>0</v>
      </c>
      <c r="M4578" t="n">
        <v>0</v>
      </c>
      <c r="N4578" t="n">
        <v>0</v>
      </c>
      <c r="O4578" t="n">
        <v>0</v>
      </c>
      <c r="P4578" t="n">
        <v>0</v>
      </c>
      <c r="Q4578" t="n">
        <v>0</v>
      </c>
      <c r="R4578" s="2" t="inlineStr"/>
    </row>
    <row r="4579" ht="15" customHeight="1">
      <c r="A4579" t="inlineStr">
        <is>
          <t>A 50065-2024</t>
        </is>
      </c>
      <c r="B4579" s="1" t="n">
        <v>45600</v>
      </c>
      <c r="C4579" s="1" t="n">
        <v>45883</v>
      </c>
      <c r="D4579" t="inlineStr">
        <is>
          <t>GÄVLEBORGS LÄN</t>
        </is>
      </c>
      <c r="E4579" t="inlineStr">
        <is>
          <t>HUDIKSVALL</t>
        </is>
      </c>
      <c r="G4579" t="n">
        <v>2.9</v>
      </c>
      <c r="H4579" t="n">
        <v>0</v>
      </c>
      <c r="I4579" t="n">
        <v>0</v>
      </c>
      <c r="J4579" t="n">
        <v>0</v>
      </c>
      <c r="K4579" t="n">
        <v>0</v>
      </c>
      <c r="L4579" t="n">
        <v>0</v>
      </c>
      <c r="M4579" t="n">
        <v>0</v>
      </c>
      <c r="N4579" t="n">
        <v>0</v>
      </c>
      <c r="O4579" t="n">
        <v>0</v>
      </c>
      <c r="P4579" t="n">
        <v>0</v>
      </c>
      <c r="Q4579" t="n">
        <v>0</v>
      </c>
      <c r="R4579" s="2" t="inlineStr"/>
    </row>
    <row r="4580" ht="15" customHeight="1">
      <c r="A4580" t="inlineStr">
        <is>
          <t>A 59754-2020</t>
        </is>
      </c>
      <c r="B4580" s="1" t="n">
        <v>44151</v>
      </c>
      <c r="C4580" s="1" t="n">
        <v>45883</v>
      </c>
      <c r="D4580" t="inlineStr">
        <is>
          <t>GÄVLEBORGS LÄN</t>
        </is>
      </c>
      <c r="E4580" t="inlineStr">
        <is>
          <t>BOLLNÄS</t>
        </is>
      </c>
      <c r="G4580" t="n">
        <v>7.8</v>
      </c>
      <c r="H4580" t="n">
        <v>0</v>
      </c>
      <c r="I4580" t="n">
        <v>0</v>
      </c>
      <c r="J4580" t="n">
        <v>0</v>
      </c>
      <c r="K4580" t="n">
        <v>0</v>
      </c>
      <c r="L4580" t="n">
        <v>0</v>
      </c>
      <c r="M4580" t="n">
        <v>0</v>
      </c>
      <c r="N4580" t="n">
        <v>0</v>
      </c>
      <c r="O4580" t="n">
        <v>0</v>
      </c>
      <c r="P4580" t="n">
        <v>0</v>
      </c>
      <c r="Q4580" t="n">
        <v>0</v>
      </c>
      <c r="R4580" s="2" t="inlineStr"/>
    </row>
    <row r="4581" ht="15" customHeight="1">
      <c r="A4581" t="inlineStr">
        <is>
          <t>A 31023-2024</t>
        </is>
      </c>
      <c r="B4581" s="1" t="n">
        <v>45500.43938657407</v>
      </c>
      <c r="C4581" s="1" t="n">
        <v>45883</v>
      </c>
      <c r="D4581" t="inlineStr">
        <is>
          <t>GÄVLEBORGS LÄN</t>
        </is>
      </c>
      <c r="E4581" t="inlineStr">
        <is>
          <t>BOLLNÄS</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12389-2023</t>
        </is>
      </c>
      <c r="B4582" s="1" t="n">
        <v>44999.47921296296</v>
      </c>
      <c r="C4582" s="1" t="n">
        <v>45883</v>
      </c>
      <c r="D4582" t="inlineStr">
        <is>
          <t>GÄVLEBORGS LÄN</t>
        </is>
      </c>
      <c r="E4582" t="inlineStr">
        <is>
          <t>NORDANSTIG</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21928-2025</t>
        </is>
      </c>
      <c r="B4583" s="1" t="n">
        <v>45784.54953703703</v>
      </c>
      <c r="C4583" s="1" t="n">
        <v>45883</v>
      </c>
      <c r="D4583" t="inlineStr">
        <is>
          <t>GÄVLEBORGS LÄN</t>
        </is>
      </c>
      <c r="E4583" t="inlineStr">
        <is>
          <t>NORDANSTIG</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7179-2025</t>
        </is>
      </c>
      <c r="B4584" s="1" t="n">
        <v>45702</v>
      </c>
      <c r="C4584" s="1" t="n">
        <v>45883</v>
      </c>
      <c r="D4584" t="inlineStr">
        <is>
          <t>GÄVLEBORGS LÄN</t>
        </is>
      </c>
      <c r="E4584" t="inlineStr">
        <is>
          <t>LJUSDAL</t>
        </is>
      </c>
      <c r="F4584" t="inlineStr">
        <is>
          <t>Kommuner</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18189-2024</t>
        </is>
      </c>
      <c r="B4585" s="1" t="n">
        <v>45420.65974537037</v>
      </c>
      <c r="C4585" s="1" t="n">
        <v>45883</v>
      </c>
      <c r="D4585" t="inlineStr">
        <is>
          <t>GÄVLEBORGS LÄN</t>
        </is>
      </c>
      <c r="E4585" t="inlineStr">
        <is>
          <t>SÖDERHAMN</t>
        </is>
      </c>
      <c r="F4585" t="inlineStr">
        <is>
          <t>Bergvik skog väst AB</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8960-2025</t>
        </is>
      </c>
      <c r="B4586" s="1" t="n">
        <v>45713.47555555555</v>
      </c>
      <c r="C4586" s="1" t="n">
        <v>45883</v>
      </c>
      <c r="D4586" t="inlineStr">
        <is>
          <t>GÄVLEBORGS LÄN</t>
        </is>
      </c>
      <c r="E4586" t="inlineStr">
        <is>
          <t>BOLLNÄS</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21886-2025</t>
        </is>
      </c>
      <c r="B4587" s="1" t="n">
        <v>45784.42454861111</v>
      </c>
      <c r="C4587" s="1" t="n">
        <v>45883</v>
      </c>
      <c r="D4587" t="inlineStr">
        <is>
          <t>GÄVLEBORGS LÄN</t>
        </is>
      </c>
      <c r="E4587" t="inlineStr">
        <is>
          <t>OCKELBO</t>
        </is>
      </c>
      <c r="G4587" t="n">
        <v>4.8</v>
      </c>
      <c r="H4587" t="n">
        <v>0</v>
      </c>
      <c r="I4587" t="n">
        <v>0</v>
      </c>
      <c r="J4587" t="n">
        <v>0</v>
      </c>
      <c r="K4587" t="n">
        <v>0</v>
      </c>
      <c r="L4587" t="n">
        <v>0</v>
      </c>
      <c r="M4587" t="n">
        <v>0</v>
      </c>
      <c r="N4587" t="n">
        <v>0</v>
      </c>
      <c r="O4587" t="n">
        <v>0</v>
      </c>
      <c r="P4587" t="n">
        <v>0</v>
      </c>
      <c r="Q4587" t="n">
        <v>0</v>
      </c>
      <c r="R4587" s="2" t="inlineStr"/>
    </row>
    <row r="4588" ht="15" customHeight="1">
      <c r="A4588" t="inlineStr">
        <is>
          <t>A 9002-2025</t>
        </is>
      </c>
      <c r="B4588" s="1" t="n">
        <v>45713.56700231481</v>
      </c>
      <c r="C4588" s="1" t="n">
        <v>45883</v>
      </c>
      <c r="D4588" t="inlineStr">
        <is>
          <t>GÄVLEBORGS LÄN</t>
        </is>
      </c>
      <c r="E4588" t="inlineStr">
        <is>
          <t>BOLLNÄS</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22459-2023</t>
        </is>
      </c>
      <c r="B4589" s="1" t="n">
        <v>45070</v>
      </c>
      <c r="C4589" s="1" t="n">
        <v>45883</v>
      </c>
      <c r="D4589" t="inlineStr">
        <is>
          <t>GÄVLEBORGS LÄN</t>
        </is>
      </c>
      <c r="E4589" t="inlineStr">
        <is>
          <t>NORDANSTIG</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1144-2024</t>
        </is>
      </c>
      <c r="B4590" s="1" t="n">
        <v>45302.49138888889</v>
      </c>
      <c r="C4590" s="1" t="n">
        <v>45883</v>
      </c>
      <c r="D4590" t="inlineStr">
        <is>
          <t>GÄVLEBORGS LÄN</t>
        </is>
      </c>
      <c r="E4590" t="inlineStr">
        <is>
          <t>HOFORS</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37459-2024</t>
        </is>
      </c>
      <c r="B4591" s="1" t="n">
        <v>45540.71594907407</v>
      </c>
      <c r="C4591" s="1" t="n">
        <v>45883</v>
      </c>
      <c r="D4591" t="inlineStr">
        <is>
          <t>GÄVLEBORGS LÄN</t>
        </is>
      </c>
      <c r="E4591" t="inlineStr">
        <is>
          <t>SANDVIKEN</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27051-2022</t>
        </is>
      </c>
      <c r="B4592" s="1" t="n">
        <v>44741.34873842593</v>
      </c>
      <c r="C4592" s="1" t="n">
        <v>45883</v>
      </c>
      <c r="D4592" t="inlineStr">
        <is>
          <t>GÄVLEBORGS LÄN</t>
        </is>
      </c>
      <c r="E4592" t="inlineStr">
        <is>
          <t>HUDIKSVALL</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49762-2024</t>
        </is>
      </c>
      <c r="B4593" s="1" t="n">
        <v>45597.33159722222</v>
      </c>
      <c r="C4593" s="1" t="n">
        <v>45883</v>
      </c>
      <c r="D4593" t="inlineStr">
        <is>
          <t>GÄVLEBORGS LÄN</t>
        </is>
      </c>
      <c r="E4593" t="inlineStr">
        <is>
          <t>SÖDERHAMN</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57013-2022</t>
        </is>
      </c>
      <c r="B4594" s="1" t="n">
        <v>44894</v>
      </c>
      <c r="C4594" s="1" t="n">
        <v>45883</v>
      </c>
      <c r="D4594" t="inlineStr">
        <is>
          <t>GÄVLEBORGS LÄN</t>
        </is>
      </c>
      <c r="E4594" t="inlineStr">
        <is>
          <t>NORDANSTIG</t>
        </is>
      </c>
      <c r="F4594" t="inlineStr">
        <is>
          <t>SCA</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7461-2021</t>
        </is>
      </c>
      <c r="B4595" s="1" t="n">
        <v>44239</v>
      </c>
      <c r="C4595" s="1" t="n">
        <v>45883</v>
      </c>
      <c r="D4595" t="inlineStr">
        <is>
          <t>GÄVLEBORGS LÄN</t>
        </is>
      </c>
      <c r="E4595" t="inlineStr">
        <is>
          <t>BOLLNÄS</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19605-2025</t>
        </is>
      </c>
      <c r="B4596" s="1" t="n">
        <v>45770.59724537037</v>
      </c>
      <c r="C4596" s="1" t="n">
        <v>45883</v>
      </c>
      <c r="D4596" t="inlineStr">
        <is>
          <t>GÄVLEBORGS LÄN</t>
        </is>
      </c>
      <c r="E4596" t="inlineStr">
        <is>
          <t>HUDIKSVALL</t>
        </is>
      </c>
      <c r="F4596" t="inlineStr">
        <is>
          <t>Holmen skog AB</t>
        </is>
      </c>
      <c r="G4596" t="n">
        <v>9.5</v>
      </c>
      <c r="H4596" t="n">
        <v>0</v>
      </c>
      <c r="I4596" t="n">
        <v>0</v>
      </c>
      <c r="J4596" t="n">
        <v>0</v>
      </c>
      <c r="K4596" t="n">
        <v>0</v>
      </c>
      <c r="L4596" t="n">
        <v>0</v>
      </c>
      <c r="M4596" t="n">
        <v>0</v>
      </c>
      <c r="N4596" t="n">
        <v>0</v>
      </c>
      <c r="O4596" t="n">
        <v>0</v>
      </c>
      <c r="P4596" t="n">
        <v>0</v>
      </c>
      <c r="Q4596" t="n">
        <v>0</v>
      </c>
      <c r="R4596" s="2" t="inlineStr"/>
    </row>
    <row r="4597" ht="15" customHeight="1">
      <c r="A4597" t="inlineStr">
        <is>
          <t>A 37495-2024</t>
        </is>
      </c>
      <c r="B4597" s="1" t="n">
        <v>45541</v>
      </c>
      <c r="C4597" s="1" t="n">
        <v>45883</v>
      </c>
      <c r="D4597" t="inlineStr">
        <is>
          <t>GÄVLEBORGS LÄN</t>
        </is>
      </c>
      <c r="E4597" t="inlineStr">
        <is>
          <t>HUDIKSVALL</t>
        </is>
      </c>
      <c r="F4597" t="inlineStr">
        <is>
          <t>Naturvårdsverket</t>
        </is>
      </c>
      <c r="G4597" t="n">
        <v>5.8</v>
      </c>
      <c r="H4597" t="n">
        <v>0</v>
      </c>
      <c r="I4597" t="n">
        <v>0</v>
      </c>
      <c r="J4597" t="n">
        <v>0</v>
      </c>
      <c r="K4597" t="n">
        <v>0</v>
      </c>
      <c r="L4597" t="n">
        <v>0</v>
      </c>
      <c r="M4597" t="n">
        <v>0</v>
      </c>
      <c r="N4597" t="n">
        <v>0</v>
      </c>
      <c r="O4597" t="n">
        <v>0</v>
      </c>
      <c r="P4597" t="n">
        <v>0</v>
      </c>
      <c r="Q4597" t="n">
        <v>0</v>
      </c>
      <c r="R4597" s="2" t="inlineStr"/>
    </row>
    <row r="4598" ht="15" customHeight="1">
      <c r="A4598" t="inlineStr">
        <is>
          <t>A 18924-2025</t>
        </is>
      </c>
      <c r="B4598" s="1" t="n">
        <v>45764.48153935185</v>
      </c>
      <c r="C4598" s="1" t="n">
        <v>45883</v>
      </c>
      <c r="D4598" t="inlineStr">
        <is>
          <t>GÄVLEBORGS LÄN</t>
        </is>
      </c>
      <c r="E4598" t="inlineStr">
        <is>
          <t>SÖDERHAMN</t>
        </is>
      </c>
      <c r="F4598" t="inlineStr">
        <is>
          <t>Kommuner</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18950-2025</t>
        </is>
      </c>
      <c r="B4599" s="1" t="n">
        <v>45764</v>
      </c>
      <c r="C4599" s="1" t="n">
        <v>45883</v>
      </c>
      <c r="D4599" t="inlineStr">
        <is>
          <t>GÄVLEBORGS LÄN</t>
        </is>
      </c>
      <c r="E4599" t="inlineStr">
        <is>
          <t>GÄVLE</t>
        </is>
      </c>
      <c r="F4599" t="inlineStr">
        <is>
          <t>Bergvik skog väst AB</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43730-2023</t>
        </is>
      </c>
      <c r="B4600" s="1" t="n">
        <v>45187</v>
      </c>
      <c r="C4600" s="1" t="n">
        <v>45883</v>
      </c>
      <c r="D4600" t="inlineStr">
        <is>
          <t>GÄVLEBORGS LÄN</t>
        </is>
      </c>
      <c r="E4600" t="inlineStr">
        <is>
          <t>HOFORS</t>
        </is>
      </c>
      <c r="F4600" t="inlineStr">
        <is>
          <t>Sveaskog</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25276-2024</t>
        </is>
      </c>
      <c r="B4601" s="1" t="n">
        <v>45462.63016203704</v>
      </c>
      <c r="C4601" s="1" t="n">
        <v>45883</v>
      </c>
      <c r="D4601" t="inlineStr">
        <is>
          <t>GÄVLEBORGS LÄN</t>
        </is>
      </c>
      <c r="E4601" t="inlineStr">
        <is>
          <t>GÄVLE</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59740-2023</t>
        </is>
      </c>
      <c r="B4602" s="1" t="n">
        <v>45257</v>
      </c>
      <c r="C4602" s="1" t="n">
        <v>45883</v>
      </c>
      <c r="D4602" t="inlineStr">
        <is>
          <t>GÄVLEBORGS LÄN</t>
        </is>
      </c>
      <c r="E4602" t="inlineStr">
        <is>
          <t>BOLLNÄS</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57689-2022</t>
        </is>
      </c>
      <c r="B4603" s="1" t="n">
        <v>44897</v>
      </c>
      <c r="C4603" s="1" t="n">
        <v>45883</v>
      </c>
      <c r="D4603" t="inlineStr">
        <is>
          <t>GÄVLEBORGS LÄN</t>
        </is>
      </c>
      <c r="E4603" t="inlineStr">
        <is>
          <t>BOLLNÄS</t>
        </is>
      </c>
      <c r="G4603" t="n">
        <v>6.7</v>
      </c>
      <c r="H4603" t="n">
        <v>0</v>
      </c>
      <c r="I4603" t="n">
        <v>0</v>
      </c>
      <c r="J4603" t="n">
        <v>0</v>
      </c>
      <c r="K4603" t="n">
        <v>0</v>
      </c>
      <c r="L4603" t="n">
        <v>0</v>
      </c>
      <c r="M4603" t="n">
        <v>0</v>
      </c>
      <c r="N4603" t="n">
        <v>0</v>
      </c>
      <c r="O4603" t="n">
        <v>0</v>
      </c>
      <c r="P4603" t="n">
        <v>0</v>
      </c>
      <c r="Q4603" t="n">
        <v>0</v>
      </c>
      <c r="R4603" s="2" t="inlineStr"/>
    </row>
    <row r="4604" ht="15" customHeight="1">
      <c r="A4604" t="inlineStr">
        <is>
          <t>A 34873-2024</t>
        </is>
      </c>
      <c r="B4604" s="1" t="n">
        <v>45527</v>
      </c>
      <c r="C4604" s="1" t="n">
        <v>45883</v>
      </c>
      <c r="D4604" t="inlineStr">
        <is>
          <t>GÄVLEBORGS LÄN</t>
        </is>
      </c>
      <c r="E4604" t="inlineStr">
        <is>
          <t>HUDIKSVALL</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42067-2023</t>
        </is>
      </c>
      <c r="B4605" s="1" t="n">
        <v>45177.57534722222</v>
      </c>
      <c r="C4605" s="1" t="n">
        <v>45883</v>
      </c>
      <c r="D4605" t="inlineStr">
        <is>
          <t>GÄVLEBORGS LÄN</t>
        </is>
      </c>
      <c r="E4605" t="inlineStr">
        <is>
          <t>OVANÅKER</t>
        </is>
      </c>
      <c r="G4605" t="n">
        <v>5.8</v>
      </c>
      <c r="H4605" t="n">
        <v>0</v>
      </c>
      <c r="I4605" t="n">
        <v>0</v>
      </c>
      <c r="J4605" t="n">
        <v>0</v>
      </c>
      <c r="K4605" t="n">
        <v>0</v>
      </c>
      <c r="L4605" t="n">
        <v>0</v>
      </c>
      <c r="M4605" t="n">
        <v>0</v>
      </c>
      <c r="N4605" t="n">
        <v>0</v>
      </c>
      <c r="O4605" t="n">
        <v>0</v>
      </c>
      <c r="P4605" t="n">
        <v>0</v>
      </c>
      <c r="Q4605" t="n">
        <v>0</v>
      </c>
      <c r="R4605" s="2" t="inlineStr"/>
    </row>
    <row r="4606" ht="15" customHeight="1">
      <c r="A4606" t="inlineStr">
        <is>
          <t>A 46341-2024</t>
        </is>
      </c>
      <c r="B4606" s="1" t="n">
        <v>45582.31078703704</v>
      </c>
      <c r="C4606" s="1" t="n">
        <v>45883</v>
      </c>
      <c r="D4606" t="inlineStr">
        <is>
          <t>GÄVLEBORGS LÄN</t>
        </is>
      </c>
      <c r="E4606" t="inlineStr">
        <is>
          <t>HUDIKSVALL</t>
        </is>
      </c>
      <c r="F4606" t="inlineStr">
        <is>
          <t>Holmen skog AB</t>
        </is>
      </c>
      <c r="G4606" t="n">
        <v>11.8</v>
      </c>
      <c r="H4606" t="n">
        <v>0</v>
      </c>
      <c r="I4606" t="n">
        <v>0</v>
      </c>
      <c r="J4606" t="n">
        <v>0</v>
      </c>
      <c r="K4606" t="n">
        <v>0</v>
      </c>
      <c r="L4606" t="n">
        <v>0</v>
      </c>
      <c r="M4606" t="n">
        <v>0</v>
      </c>
      <c r="N4606" t="n">
        <v>0</v>
      </c>
      <c r="O4606" t="n">
        <v>0</v>
      </c>
      <c r="P4606" t="n">
        <v>0</v>
      </c>
      <c r="Q4606" t="n">
        <v>0</v>
      </c>
      <c r="R4606" s="2" t="inlineStr"/>
    </row>
    <row r="4607" ht="15" customHeight="1">
      <c r="A4607" t="inlineStr">
        <is>
          <t>A 42076-2023</t>
        </is>
      </c>
      <c r="B4607" s="1" t="n">
        <v>45177.59209490741</v>
      </c>
      <c r="C4607" s="1" t="n">
        <v>45883</v>
      </c>
      <c r="D4607" t="inlineStr">
        <is>
          <t>GÄVLEBORGS LÄN</t>
        </is>
      </c>
      <c r="E4607" t="inlineStr">
        <is>
          <t>OVANÅKER</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20224-2024</t>
        </is>
      </c>
      <c r="B4608" s="1" t="n">
        <v>45434.70263888889</v>
      </c>
      <c r="C4608" s="1" t="n">
        <v>45883</v>
      </c>
      <c r="D4608" t="inlineStr">
        <is>
          <t>GÄVLEBORGS LÄN</t>
        </is>
      </c>
      <c r="E4608" t="inlineStr">
        <is>
          <t>BOLLNÄS</t>
        </is>
      </c>
      <c r="G4608" t="n">
        <v>4.8</v>
      </c>
      <c r="H4608" t="n">
        <v>0</v>
      </c>
      <c r="I4608" t="n">
        <v>0</v>
      </c>
      <c r="J4608" t="n">
        <v>0</v>
      </c>
      <c r="K4608" t="n">
        <v>0</v>
      </c>
      <c r="L4608" t="n">
        <v>0</v>
      </c>
      <c r="M4608" t="n">
        <v>0</v>
      </c>
      <c r="N4608" t="n">
        <v>0</v>
      </c>
      <c r="O4608" t="n">
        <v>0</v>
      </c>
      <c r="P4608" t="n">
        <v>0</v>
      </c>
      <c r="Q4608" t="n">
        <v>0</v>
      </c>
      <c r="R4608" s="2" t="inlineStr"/>
    </row>
    <row r="4609" ht="15" customHeight="1">
      <c r="A4609" t="inlineStr">
        <is>
          <t>A 46800-2024</t>
        </is>
      </c>
      <c r="B4609" s="1" t="n">
        <v>45583.54946759259</v>
      </c>
      <c r="C4609" s="1" t="n">
        <v>45883</v>
      </c>
      <c r="D4609" t="inlineStr">
        <is>
          <t>GÄVLEBORGS LÄN</t>
        </is>
      </c>
      <c r="E4609" t="inlineStr">
        <is>
          <t>BOLLNÄS</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27545-2024</t>
        </is>
      </c>
      <c r="B4610" s="1" t="n">
        <v>45474.60293981482</v>
      </c>
      <c r="C4610" s="1" t="n">
        <v>45883</v>
      </c>
      <c r="D4610" t="inlineStr">
        <is>
          <t>GÄVLEBORGS LÄN</t>
        </is>
      </c>
      <c r="E4610" t="inlineStr">
        <is>
          <t>HUDIKSVALL</t>
        </is>
      </c>
      <c r="G4610" t="n">
        <v>9.300000000000001</v>
      </c>
      <c r="H4610" t="n">
        <v>0</v>
      </c>
      <c r="I4610" t="n">
        <v>0</v>
      </c>
      <c r="J4610" t="n">
        <v>0</v>
      </c>
      <c r="K4610" t="n">
        <v>0</v>
      </c>
      <c r="L4610" t="n">
        <v>0</v>
      </c>
      <c r="M4610" t="n">
        <v>0</v>
      </c>
      <c r="N4610" t="n">
        <v>0</v>
      </c>
      <c r="O4610" t="n">
        <v>0</v>
      </c>
      <c r="P4610" t="n">
        <v>0</v>
      </c>
      <c r="Q4610" t="n">
        <v>0</v>
      </c>
      <c r="R4610" s="2" t="inlineStr"/>
    </row>
    <row r="4611" ht="15" customHeight="1">
      <c r="A4611" t="inlineStr">
        <is>
          <t>A 42579-2024</t>
        </is>
      </c>
      <c r="B4611" s="1" t="n">
        <v>45565.65407407407</v>
      </c>
      <c r="C4611" s="1" t="n">
        <v>45883</v>
      </c>
      <c r="D4611" t="inlineStr">
        <is>
          <t>GÄVLEBORGS LÄN</t>
        </is>
      </c>
      <c r="E4611" t="inlineStr">
        <is>
          <t>BOLLNÄS</t>
        </is>
      </c>
      <c r="G4611" t="n">
        <v>7.9</v>
      </c>
      <c r="H4611" t="n">
        <v>0</v>
      </c>
      <c r="I4611" t="n">
        <v>0</v>
      </c>
      <c r="J4611" t="n">
        <v>0</v>
      </c>
      <c r="K4611" t="n">
        <v>0</v>
      </c>
      <c r="L4611" t="n">
        <v>0</v>
      </c>
      <c r="M4611" t="n">
        <v>0</v>
      </c>
      <c r="N4611" t="n">
        <v>0</v>
      </c>
      <c r="O4611" t="n">
        <v>0</v>
      </c>
      <c r="P4611" t="n">
        <v>0</v>
      </c>
      <c r="Q4611" t="n">
        <v>0</v>
      </c>
      <c r="R4611" s="2" t="inlineStr"/>
    </row>
    <row r="4612" ht="15" customHeight="1">
      <c r="A4612" t="inlineStr">
        <is>
          <t>A 42580-2024</t>
        </is>
      </c>
      <c r="B4612" s="1" t="n">
        <v>45565.65543981481</v>
      </c>
      <c r="C4612" s="1" t="n">
        <v>45883</v>
      </c>
      <c r="D4612" t="inlineStr">
        <is>
          <t>GÄVLEBORGS LÄN</t>
        </is>
      </c>
      <c r="E4612" t="inlineStr">
        <is>
          <t>BOLLNÄS</t>
        </is>
      </c>
      <c r="G4612" t="n">
        <v>7.9</v>
      </c>
      <c r="H4612" t="n">
        <v>0</v>
      </c>
      <c r="I4612" t="n">
        <v>0</v>
      </c>
      <c r="J4612" t="n">
        <v>0</v>
      </c>
      <c r="K4612" t="n">
        <v>0</v>
      </c>
      <c r="L4612" t="n">
        <v>0</v>
      </c>
      <c r="M4612" t="n">
        <v>0</v>
      </c>
      <c r="N4612" t="n">
        <v>0</v>
      </c>
      <c r="O4612" t="n">
        <v>0</v>
      </c>
      <c r="P4612" t="n">
        <v>0</v>
      </c>
      <c r="Q4612" t="n">
        <v>0</v>
      </c>
      <c r="R4612" s="2" t="inlineStr"/>
    </row>
    <row r="4613" ht="15" customHeight="1">
      <c r="A4613" t="inlineStr">
        <is>
          <t>A 40520-2024</t>
        </is>
      </c>
      <c r="B4613" s="1" t="n">
        <v>45555.5937962963</v>
      </c>
      <c r="C4613" s="1" t="n">
        <v>45883</v>
      </c>
      <c r="D4613" t="inlineStr">
        <is>
          <t>GÄVLEBORGS LÄN</t>
        </is>
      </c>
      <c r="E4613" t="inlineStr">
        <is>
          <t>BOLLNÄS</t>
        </is>
      </c>
      <c r="G4613" t="n">
        <v>3.4</v>
      </c>
      <c r="H4613" t="n">
        <v>0</v>
      </c>
      <c r="I4613" t="n">
        <v>0</v>
      </c>
      <c r="J4613" t="n">
        <v>0</v>
      </c>
      <c r="K4613" t="n">
        <v>0</v>
      </c>
      <c r="L4613" t="n">
        <v>0</v>
      </c>
      <c r="M4613" t="n">
        <v>0</v>
      </c>
      <c r="N4613" t="n">
        <v>0</v>
      </c>
      <c r="O4613" t="n">
        <v>0</v>
      </c>
      <c r="P4613" t="n">
        <v>0</v>
      </c>
      <c r="Q4613" t="n">
        <v>0</v>
      </c>
      <c r="R4613" s="2" t="inlineStr"/>
    </row>
    <row r="4614" ht="15" customHeight="1">
      <c r="A4614" t="inlineStr">
        <is>
          <t>A 52842-2023</t>
        </is>
      </c>
      <c r="B4614" s="1" t="n">
        <v>45226.43016203704</v>
      </c>
      <c r="C4614" s="1" t="n">
        <v>45883</v>
      </c>
      <c r="D4614" t="inlineStr">
        <is>
          <t>GÄVLEBORGS LÄN</t>
        </is>
      </c>
      <c r="E4614" t="inlineStr">
        <is>
          <t>LJUSDAL</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21873-2025</t>
        </is>
      </c>
      <c r="B4615" s="1" t="n">
        <v>45784.38891203704</v>
      </c>
      <c r="C4615" s="1" t="n">
        <v>45883</v>
      </c>
      <c r="D4615" t="inlineStr">
        <is>
          <t>GÄVLEBORGS LÄN</t>
        </is>
      </c>
      <c r="E4615" t="inlineStr">
        <is>
          <t>BOLLNÄS</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21598-2025</t>
        </is>
      </c>
      <c r="B4616" s="1" t="n">
        <v>45783.34498842592</v>
      </c>
      <c r="C4616" s="1" t="n">
        <v>45883</v>
      </c>
      <c r="D4616" t="inlineStr">
        <is>
          <t>GÄVLEBORGS LÄN</t>
        </is>
      </c>
      <c r="E4616" t="inlineStr">
        <is>
          <t>LJUSDAL</t>
        </is>
      </c>
      <c r="F4616" t="inlineStr">
        <is>
          <t>Kommuner</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4075-2025</t>
        </is>
      </c>
      <c r="B4617" s="1" t="n">
        <v>45684.64509259259</v>
      </c>
      <c r="C4617" s="1" t="n">
        <v>45883</v>
      </c>
      <c r="D4617" t="inlineStr">
        <is>
          <t>GÄVLEBORGS LÄN</t>
        </is>
      </c>
      <c r="E4617" t="inlineStr">
        <is>
          <t>HUDIKSVALL</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17665-2025</t>
        </is>
      </c>
      <c r="B4618" s="1" t="n">
        <v>45758.36224537037</v>
      </c>
      <c r="C4618" s="1" t="n">
        <v>45883</v>
      </c>
      <c r="D4618" t="inlineStr">
        <is>
          <t>GÄVLEBORGS LÄN</t>
        </is>
      </c>
      <c r="E4618" t="inlineStr">
        <is>
          <t>OVANÅKER</t>
        </is>
      </c>
      <c r="F4618" t="inlineStr">
        <is>
          <t>Sveaskog</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17668-2025</t>
        </is>
      </c>
      <c r="B4619" s="1" t="n">
        <v>45758.36554398148</v>
      </c>
      <c r="C4619" s="1" t="n">
        <v>45883</v>
      </c>
      <c r="D4619" t="inlineStr">
        <is>
          <t>GÄVLEBORGS LÄN</t>
        </is>
      </c>
      <c r="E4619" t="inlineStr">
        <is>
          <t>OVANÅKER</t>
        </is>
      </c>
      <c r="F4619" t="inlineStr">
        <is>
          <t>Sveaskog</t>
        </is>
      </c>
      <c r="G4619" t="n">
        <v>8.199999999999999</v>
      </c>
      <c r="H4619" t="n">
        <v>0</v>
      </c>
      <c r="I4619" t="n">
        <v>0</v>
      </c>
      <c r="J4619" t="n">
        <v>0</v>
      </c>
      <c r="K4619" t="n">
        <v>0</v>
      </c>
      <c r="L4619" t="n">
        <v>0</v>
      </c>
      <c r="M4619" t="n">
        <v>0</v>
      </c>
      <c r="N4619" t="n">
        <v>0</v>
      </c>
      <c r="O4619" t="n">
        <v>0</v>
      </c>
      <c r="P4619" t="n">
        <v>0</v>
      </c>
      <c r="Q4619" t="n">
        <v>0</v>
      </c>
      <c r="R4619" s="2" t="inlineStr"/>
    </row>
    <row r="4620" ht="15" customHeight="1">
      <c r="A4620" t="inlineStr">
        <is>
          <t>A 17677-2025</t>
        </is>
      </c>
      <c r="B4620" s="1" t="n">
        <v>45758.37188657407</v>
      </c>
      <c r="C4620" s="1" t="n">
        <v>45883</v>
      </c>
      <c r="D4620" t="inlineStr">
        <is>
          <t>GÄVLEBORGS LÄN</t>
        </is>
      </c>
      <c r="E4620" t="inlineStr">
        <is>
          <t>OVANÅKER</t>
        </is>
      </c>
      <c r="F4620" t="inlineStr">
        <is>
          <t>Sveaskog</t>
        </is>
      </c>
      <c r="G4620" t="n">
        <v>4.7</v>
      </c>
      <c r="H4620" t="n">
        <v>0</v>
      </c>
      <c r="I4620" t="n">
        <v>0</v>
      </c>
      <c r="J4620" t="n">
        <v>0</v>
      </c>
      <c r="K4620" t="n">
        <v>0</v>
      </c>
      <c r="L4620" t="n">
        <v>0</v>
      </c>
      <c r="M4620" t="n">
        <v>0</v>
      </c>
      <c r="N4620" t="n">
        <v>0</v>
      </c>
      <c r="O4620" t="n">
        <v>0</v>
      </c>
      <c r="P4620" t="n">
        <v>0</v>
      </c>
      <c r="Q4620" t="n">
        <v>0</v>
      </c>
      <c r="R4620" s="2" t="inlineStr"/>
    </row>
    <row r="4621" ht="15" customHeight="1">
      <c r="A4621" t="inlineStr">
        <is>
          <t>A 13884-2025</t>
        </is>
      </c>
      <c r="B4621" s="1" t="n">
        <v>45737.60386574074</v>
      </c>
      <c r="C4621" s="1" t="n">
        <v>45883</v>
      </c>
      <c r="D4621" t="inlineStr">
        <is>
          <t>GÄVLEBORGS LÄN</t>
        </is>
      </c>
      <c r="E4621" t="inlineStr">
        <is>
          <t>LJUSDAL</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21734-2025</t>
        </is>
      </c>
      <c r="B4622" s="1" t="n">
        <v>45783.58751157407</v>
      </c>
      <c r="C4622" s="1" t="n">
        <v>45883</v>
      </c>
      <c r="D4622" t="inlineStr">
        <is>
          <t>GÄVLEBORGS LÄN</t>
        </is>
      </c>
      <c r="E4622" t="inlineStr">
        <is>
          <t>OVANÅKER</t>
        </is>
      </c>
      <c r="F4622" t="inlineStr">
        <is>
          <t>Bergvik skog öst AB</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13894-2025</t>
        </is>
      </c>
      <c r="B4623" s="1" t="n">
        <v>45737.62081018519</v>
      </c>
      <c r="C4623" s="1" t="n">
        <v>45883</v>
      </c>
      <c r="D4623" t="inlineStr">
        <is>
          <t>GÄVLEBORGS LÄN</t>
        </is>
      </c>
      <c r="E4623" t="inlineStr">
        <is>
          <t>LJUSDAL</t>
        </is>
      </c>
      <c r="G4623" t="n">
        <v>5.2</v>
      </c>
      <c r="H4623" t="n">
        <v>0</v>
      </c>
      <c r="I4623" t="n">
        <v>0</v>
      </c>
      <c r="J4623" t="n">
        <v>0</v>
      </c>
      <c r="K4623" t="n">
        <v>0</v>
      </c>
      <c r="L4623" t="n">
        <v>0</v>
      </c>
      <c r="M4623" t="n">
        <v>0</v>
      </c>
      <c r="N4623" t="n">
        <v>0</v>
      </c>
      <c r="O4623" t="n">
        <v>0</v>
      </c>
      <c r="P4623" t="n">
        <v>0</v>
      </c>
      <c r="Q4623" t="n">
        <v>0</v>
      </c>
      <c r="R4623" s="2" t="inlineStr"/>
    </row>
    <row r="4624" ht="15" customHeight="1">
      <c r="A4624" t="inlineStr">
        <is>
          <t>A 4110-2025</t>
        </is>
      </c>
      <c r="B4624" s="1" t="n">
        <v>45684.69658564815</v>
      </c>
      <c r="C4624" s="1" t="n">
        <v>45883</v>
      </c>
      <c r="D4624" t="inlineStr">
        <is>
          <t>GÄVLEBORGS LÄN</t>
        </is>
      </c>
      <c r="E4624" t="inlineStr">
        <is>
          <t>LJUSDAL</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1641-2025</t>
        </is>
      </c>
      <c r="B4625" s="1" t="n">
        <v>45670</v>
      </c>
      <c r="C4625" s="1" t="n">
        <v>45883</v>
      </c>
      <c r="D4625" t="inlineStr">
        <is>
          <t>GÄVLEBORGS LÄN</t>
        </is>
      </c>
      <c r="E4625" t="inlineStr">
        <is>
          <t>SÖDERHAMN</t>
        </is>
      </c>
      <c r="G4625" t="n">
        <v>3.9</v>
      </c>
      <c r="H4625" t="n">
        <v>0</v>
      </c>
      <c r="I4625" t="n">
        <v>0</v>
      </c>
      <c r="J4625" t="n">
        <v>0</v>
      </c>
      <c r="K4625" t="n">
        <v>0</v>
      </c>
      <c r="L4625" t="n">
        <v>0</v>
      </c>
      <c r="M4625" t="n">
        <v>0</v>
      </c>
      <c r="N4625" t="n">
        <v>0</v>
      </c>
      <c r="O4625" t="n">
        <v>0</v>
      </c>
      <c r="P4625" t="n">
        <v>0</v>
      </c>
      <c r="Q4625" t="n">
        <v>0</v>
      </c>
      <c r="R4625" s="2" t="inlineStr"/>
    </row>
    <row r="4626" ht="15" customHeight="1">
      <c r="A4626" t="inlineStr">
        <is>
          <t>A 27006-2023</t>
        </is>
      </c>
      <c r="B4626" s="1" t="n">
        <v>45094</v>
      </c>
      <c r="C4626" s="1" t="n">
        <v>45883</v>
      </c>
      <c r="D4626" t="inlineStr">
        <is>
          <t>GÄVLEBORGS LÄN</t>
        </is>
      </c>
      <c r="E4626" t="inlineStr">
        <is>
          <t>SANDVIKEN</t>
        </is>
      </c>
      <c r="F4626" t="inlineStr">
        <is>
          <t>Bergvik skog öst AB</t>
        </is>
      </c>
      <c r="G4626" t="n">
        <v>9.5</v>
      </c>
      <c r="H4626" t="n">
        <v>0</v>
      </c>
      <c r="I4626" t="n">
        <v>0</v>
      </c>
      <c r="J4626" t="n">
        <v>0</v>
      </c>
      <c r="K4626" t="n">
        <v>0</v>
      </c>
      <c r="L4626" t="n">
        <v>0</v>
      </c>
      <c r="M4626" t="n">
        <v>0</v>
      </c>
      <c r="N4626" t="n">
        <v>0</v>
      </c>
      <c r="O4626" t="n">
        <v>0</v>
      </c>
      <c r="P4626" t="n">
        <v>0</v>
      </c>
      <c r="Q4626" t="n">
        <v>0</v>
      </c>
      <c r="R4626" s="2" t="inlineStr"/>
    </row>
    <row r="4627" ht="15" customHeight="1">
      <c r="A4627" t="inlineStr">
        <is>
          <t>A 33947-2024</t>
        </is>
      </c>
      <c r="B4627" s="1" t="n">
        <v>45523</v>
      </c>
      <c r="C4627" s="1" t="n">
        <v>45883</v>
      </c>
      <c r="D4627" t="inlineStr">
        <is>
          <t>GÄVLEBORGS LÄN</t>
        </is>
      </c>
      <c r="E4627" t="inlineStr">
        <is>
          <t>LJUSDAL</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21798-2025</t>
        </is>
      </c>
      <c r="B4628" s="1" t="n">
        <v>45783.6865625</v>
      </c>
      <c r="C4628" s="1" t="n">
        <v>45883</v>
      </c>
      <c r="D4628" t="inlineStr">
        <is>
          <t>GÄVLEBORGS LÄN</t>
        </is>
      </c>
      <c r="E4628" t="inlineStr">
        <is>
          <t>SANDVIKEN</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21933-2025</t>
        </is>
      </c>
      <c r="B4629" s="1" t="n">
        <v>45784</v>
      </c>
      <c r="C4629" s="1" t="n">
        <v>45883</v>
      </c>
      <c r="D4629" t="inlineStr">
        <is>
          <t>GÄVLEBORGS LÄN</t>
        </is>
      </c>
      <c r="E4629" t="inlineStr">
        <is>
          <t>HUDIKSVALL</t>
        </is>
      </c>
      <c r="F4629" t="inlineStr">
        <is>
          <t>Holmen skog AB</t>
        </is>
      </c>
      <c r="G4629" t="n">
        <v>10.5</v>
      </c>
      <c r="H4629" t="n">
        <v>0</v>
      </c>
      <c r="I4629" t="n">
        <v>0</v>
      </c>
      <c r="J4629" t="n">
        <v>0</v>
      </c>
      <c r="K4629" t="n">
        <v>0</v>
      </c>
      <c r="L4629" t="n">
        <v>0</v>
      </c>
      <c r="M4629" t="n">
        <v>0</v>
      </c>
      <c r="N4629" t="n">
        <v>0</v>
      </c>
      <c r="O4629" t="n">
        <v>0</v>
      </c>
      <c r="P4629" t="n">
        <v>0</v>
      </c>
      <c r="Q4629" t="n">
        <v>0</v>
      </c>
      <c r="R4629" s="2" t="inlineStr"/>
    </row>
    <row r="4630" ht="15" customHeight="1">
      <c r="A4630" t="inlineStr">
        <is>
          <t>A 21966-2025</t>
        </is>
      </c>
      <c r="B4630" s="1" t="n">
        <v>45784.62677083333</v>
      </c>
      <c r="C4630" s="1" t="n">
        <v>45883</v>
      </c>
      <c r="D4630" t="inlineStr">
        <is>
          <t>GÄVLEBORGS LÄN</t>
        </is>
      </c>
      <c r="E4630" t="inlineStr">
        <is>
          <t>GÄVLE</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21978-2025</t>
        </is>
      </c>
      <c r="B4631" s="1" t="n">
        <v>45784.64991898148</v>
      </c>
      <c r="C4631" s="1" t="n">
        <v>45883</v>
      </c>
      <c r="D4631" t="inlineStr">
        <is>
          <t>GÄVLEBORGS LÄN</t>
        </is>
      </c>
      <c r="E4631" t="inlineStr">
        <is>
          <t>GÄVLE</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467-2024</t>
        </is>
      </c>
      <c r="B4632" s="1" t="n">
        <v>45297.58568287037</v>
      </c>
      <c r="C4632" s="1" t="n">
        <v>45883</v>
      </c>
      <c r="D4632" t="inlineStr">
        <is>
          <t>GÄVLEBORGS LÄN</t>
        </is>
      </c>
      <c r="E4632" t="inlineStr">
        <is>
          <t>HUDIKSVALL</t>
        </is>
      </c>
      <c r="F4632" t="inlineStr">
        <is>
          <t>Holmen skog AB</t>
        </is>
      </c>
      <c r="G4632" t="n">
        <v>5</v>
      </c>
      <c r="H4632" t="n">
        <v>0</v>
      </c>
      <c r="I4632" t="n">
        <v>0</v>
      </c>
      <c r="J4632" t="n">
        <v>0</v>
      </c>
      <c r="K4632" t="n">
        <v>0</v>
      </c>
      <c r="L4632" t="n">
        <v>0</v>
      </c>
      <c r="M4632" t="n">
        <v>0</v>
      </c>
      <c r="N4632" t="n">
        <v>0</v>
      </c>
      <c r="O4632" t="n">
        <v>0</v>
      </c>
      <c r="P4632" t="n">
        <v>0</v>
      </c>
      <c r="Q4632" t="n">
        <v>0</v>
      </c>
      <c r="R4632" s="2" t="inlineStr"/>
      <c r="U4632">
        <f>HYPERLINK("https://klasma.github.io/Logging_2184/knärot/A 467-2024 karta knärot.png", "A 467-2024")</f>
        <v/>
      </c>
      <c r="V4632">
        <f>HYPERLINK("https://klasma.github.io/Logging_2184/klagomål/A 467-2024 FSC-klagomål.docx", "A 467-2024")</f>
        <v/>
      </c>
      <c r="W4632">
        <f>HYPERLINK("https://klasma.github.io/Logging_2184/klagomålsmail/A 467-2024 FSC-klagomål mail.docx", "A 467-2024")</f>
        <v/>
      </c>
      <c r="X4632">
        <f>HYPERLINK("https://klasma.github.io/Logging_2184/tillsyn/A 467-2024 tillsynsbegäran.docx", "A 467-2024")</f>
        <v/>
      </c>
      <c r="Y4632">
        <f>HYPERLINK("https://klasma.github.io/Logging_2184/tillsynsmail/A 467-2024 tillsynsbegäran mail.docx", "A 467-2024")</f>
        <v/>
      </c>
    </row>
    <row r="4633" ht="15" customHeight="1">
      <c r="A4633" t="inlineStr">
        <is>
          <t>A 43090-2023</t>
        </is>
      </c>
      <c r="B4633" s="1" t="n">
        <v>45182.90457175926</v>
      </c>
      <c r="C4633" s="1" t="n">
        <v>45883</v>
      </c>
      <c r="D4633" t="inlineStr">
        <is>
          <t>GÄVLEBORGS LÄN</t>
        </is>
      </c>
      <c r="E4633" t="inlineStr">
        <is>
          <t>SANDVIKEN</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58645-2024</t>
        </is>
      </c>
      <c r="B4634" s="1" t="n">
        <v>45632</v>
      </c>
      <c r="C4634" s="1" t="n">
        <v>45883</v>
      </c>
      <c r="D4634" t="inlineStr">
        <is>
          <t>GÄVLEBORGS LÄN</t>
        </is>
      </c>
      <c r="E4634" t="inlineStr">
        <is>
          <t>OVANÅKER</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5901-2025</t>
        </is>
      </c>
      <c r="B4635" s="1" t="n">
        <v>45695.39758101852</v>
      </c>
      <c r="C4635" s="1" t="n">
        <v>45883</v>
      </c>
      <c r="D4635" t="inlineStr">
        <is>
          <t>GÄVLEBORGS LÄN</t>
        </is>
      </c>
      <c r="E4635" t="inlineStr">
        <is>
          <t>HUDIKSVALL</t>
        </is>
      </c>
      <c r="F4635" t="inlineStr">
        <is>
          <t>Holmen skog AB</t>
        </is>
      </c>
      <c r="G4635" t="n">
        <v>3.2</v>
      </c>
      <c r="H4635" t="n">
        <v>0</v>
      </c>
      <c r="I4635" t="n">
        <v>0</v>
      </c>
      <c r="J4635" t="n">
        <v>0</v>
      </c>
      <c r="K4635" t="n">
        <v>0</v>
      </c>
      <c r="L4635" t="n">
        <v>0</v>
      </c>
      <c r="M4635" t="n">
        <v>0</v>
      </c>
      <c r="N4635" t="n">
        <v>0</v>
      </c>
      <c r="O4635" t="n">
        <v>0</v>
      </c>
      <c r="P4635" t="n">
        <v>0</v>
      </c>
      <c r="Q4635" t="n">
        <v>0</v>
      </c>
      <c r="R4635" s="2" t="inlineStr"/>
    </row>
    <row r="4636" ht="15" customHeight="1">
      <c r="A4636" t="inlineStr">
        <is>
          <t>A 5908-2025</t>
        </is>
      </c>
      <c r="B4636" s="1" t="n">
        <v>45695.40526620371</v>
      </c>
      <c r="C4636" s="1" t="n">
        <v>45883</v>
      </c>
      <c r="D4636" t="inlineStr">
        <is>
          <t>GÄVLEBORGS LÄN</t>
        </is>
      </c>
      <c r="E4636" t="inlineStr">
        <is>
          <t>GÄVLE</t>
        </is>
      </c>
      <c r="F4636" t="inlineStr">
        <is>
          <t>Bergvik skog öst AB</t>
        </is>
      </c>
      <c r="G4636" t="n">
        <v>4</v>
      </c>
      <c r="H4636" t="n">
        <v>0</v>
      </c>
      <c r="I4636" t="n">
        <v>0</v>
      </c>
      <c r="J4636" t="n">
        <v>0</v>
      </c>
      <c r="K4636" t="n">
        <v>0</v>
      </c>
      <c r="L4636" t="n">
        <v>0</v>
      </c>
      <c r="M4636" t="n">
        <v>0</v>
      </c>
      <c r="N4636" t="n">
        <v>0</v>
      </c>
      <c r="O4636" t="n">
        <v>0</v>
      </c>
      <c r="P4636" t="n">
        <v>0</v>
      </c>
      <c r="Q4636" t="n">
        <v>0</v>
      </c>
      <c r="R4636" s="2" t="inlineStr"/>
    </row>
    <row r="4637" ht="15" customHeight="1">
      <c r="A4637" t="inlineStr">
        <is>
          <t>A 5912-2025</t>
        </is>
      </c>
      <c r="B4637" s="1" t="n">
        <v>45695</v>
      </c>
      <c r="C4637" s="1" t="n">
        <v>45883</v>
      </c>
      <c r="D4637" t="inlineStr">
        <is>
          <t>GÄVLEBORGS LÄN</t>
        </is>
      </c>
      <c r="E4637" t="inlineStr">
        <is>
          <t>GÄVLE</t>
        </is>
      </c>
      <c r="F4637" t="inlineStr">
        <is>
          <t>Bergvik skog öst AB</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5914-2025</t>
        </is>
      </c>
      <c r="B4638" s="1" t="n">
        <v>45695</v>
      </c>
      <c r="C4638" s="1" t="n">
        <v>45883</v>
      </c>
      <c r="D4638" t="inlineStr">
        <is>
          <t>GÄVLEBORGS LÄN</t>
        </is>
      </c>
      <c r="E4638" t="inlineStr">
        <is>
          <t>GÄVLE</t>
        </is>
      </c>
      <c r="F4638" t="inlineStr">
        <is>
          <t>Bergvik skog öst AB</t>
        </is>
      </c>
      <c r="G4638" t="n">
        <v>6.5</v>
      </c>
      <c r="H4638" t="n">
        <v>0</v>
      </c>
      <c r="I4638" t="n">
        <v>0</v>
      </c>
      <c r="J4638" t="n">
        <v>0</v>
      </c>
      <c r="K4638" t="n">
        <v>0</v>
      </c>
      <c r="L4638" t="n">
        <v>0</v>
      </c>
      <c r="M4638" t="n">
        <v>0</v>
      </c>
      <c r="N4638" t="n">
        <v>0</v>
      </c>
      <c r="O4638" t="n">
        <v>0</v>
      </c>
      <c r="P4638" t="n">
        <v>0</v>
      </c>
      <c r="Q4638" t="n">
        <v>0</v>
      </c>
      <c r="R4638" s="2" t="inlineStr"/>
    </row>
    <row r="4639" ht="15" customHeight="1">
      <c r="A4639" t="inlineStr">
        <is>
          <t>A 46799-2024</t>
        </is>
      </c>
      <c r="B4639" s="1" t="n">
        <v>45583.54844907407</v>
      </c>
      <c r="C4639" s="1" t="n">
        <v>45883</v>
      </c>
      <c r="D4639" t="inlineStr">
        <is>
          <t>GÄVLEBORGS LÄN</t>
        </is>
      </c>
      <c r="E4639" t="inlineStr">
        <is>
          <t>BOLLNÄS</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23335-2024</t>
        </is>
      </c>
      <c r="B4640" s="1" t="n">
        <v>45453</v>
      </c>
      <c r="C4640" s="1" t="n">
        <v>45883</v>
      </c>
      <c r="D4640" t="inlineStr">
        <is>
          <t>GÄVLEBORGS LÄN</t>
        </is>
      </c>
      <c r="E4640" t="inlineStr">
        <is>
          <t>BOLLNÄS</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5940-2025</t>
        </is>
      </c>
      <c r="B4641" s="1" t="n">
        <v>45695.46601851852</v>
      </c>
      <c r="C4641" s="1" t="n">
        <v>45883</v>
      </c>
      <c r="D4641" t="inlineStr">
        <is>
          <t>GÄVLEBORGS LÄN</t>
        </is>
      </c>
      <c r="E4641" t="inlineStr">
        <is>
          <t>HUDIKSVALL</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5946-2025</t>
        </is>
      </c>
      <c r="B4642" s="1" t="n">
        <v>45695.46989583333</v>
      </c>
      <c r="C4642" s="1" t="n">
        <v>45883</v>
      </c>
      <c r="D4642" t="inlineStr">
        <is>
          <t>GÄVLEBORGS LÄN</t>
        </is>
      </c>
      <c r="E4642" t="inlineStr">
        <is>
          <t>HUDIKSVALL</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17776-2025</t>
        </is>
      </c>
      <c r="B4643" s="1" t="n">
        <v>45758.52517361111</v>
      </c>
      <c r="C4643" s="1" t="n">
        <v>45883</v>
      </c>
      <c r="D4643" t="inlineStr">
        <is>
          <t>GÄVLEBORGS LÄN</t>
        </is>
      </c>
      <c r="E4643" t="inlineStr">
        <is>
          <t>BOLLNÄS</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36174-2024</t>
        </is>
      </c>
      <c r="B4644" s="1" t="n">
        <v>45534.40605324074</v>
      </c>
      <c r="C4644" s="1" t="n">
        <v>45883</v>
      </c>
      <c r="D4644" t="inlineStr">
        <is>
          <t>GÄVLEBORGS LÄN</t>
        </is>
      </c>
      <c r="E4644" t="inlineStr">
        <is>
          <t>SÖDERHAMN</t>
        </is>
      </c>
      <c r="F4644" t="inlineStr">
        <is>
          <t>Bergvik skog väst AB</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36182-2024</t>
        </is>
      </c>
      <c r="B4645" s="1" t="n">
        <v>45534.41583333333</v>
      </c>
      <c r="C4645" s="1" t="n">
        <v>45883</v>
      </c>
      <c r="D4645" t="inlineStr">
        <is>
          <t>GÄVLEBORGS LÄN</t>
        </is>
      </c>
      <c r="E4645" t="inlineStr">
        <is>
          <t>LJUSDAL</t>
        </is>
      </c>
      <c r="F4645" t="inlineStr">
        <is>
          <t>Holmen skog AB</t>
        </is>
      </c>
      <c r="G4645" t="n">
        <v>6.1</v>
      </c>
      <c r="H4645" t="n">
        <v>0</v>
      </c>
      <c r="I4645" t="n">
        <v>0</v>
      </c>
      <c r="J4645" t="n">
        <v>0</v>
      </c>
      <c r="K4645" t="n">
        <v>0</v>
      </c>
      <c r="L4645" t="n">
        <v>0</v>
      </c>
      <c r="M4645" t="n">
        <v>0</v>
      </c>
      <c r="N4645" t="n">
        <v>0</v>
      </c>
      <c r="O4645" t="n">
        <v>0</v>
      </c>
      <c r="P4645" t="n">
        <v>0</v>
      </c>
      <c r="Q4645" t="n">
        <v>0</v>
      </c>
      <c r="R4645" s="2" t="inlineStr"/>
    </row>
    <row r="4646" ht="15" customHeight="1">
      <c r="A4646" t="inlineStr">
        <is>
          <t>A 2932-2024</t>
        </is>
      </c>
      <c r="B4646" s="1" t="n">
        <v>45315.59603009259</v>
      </c>
      <c r="C4646" s="1" t="n">
        <v>45883</v>
      </c>
      <c r="D4646" t="inlineStr">
        <is>
          <t>GÄVLEBORGS LÄN</t>
        </is>
      </c>
      <c r="E4646" t="inlineStr">
        <is>
          <t>BOLLNÄS</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17818-2025</t>
        </is>
      </c>
      <c r="B4647" s="1" t="n">
        <v>45758.56565972222</v>
      </c>
      <c r="C4647" s="1" t="n">
        <v>45883</v>
      </c>
      <c r="D4647" t="inlineStr">
        <is>
          <t>GÄVLEBORGS LÄN</t>
        </is>
      </c>
      <c r="E4647" t="inlineStr">
        <is>
          <t>SANDVIKEN</t>
        </is>
      </c>
      <c r="F4647" t="inlineStr">
        <is>
          <t>Sveaskog</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20383-2025</t>
        </is>
      </c>
      <c r="B4648" s="1" t="n">
        <v>45775</v>
      </c>
      <c r="C4648" s="1" t="n">
        <v>45883</v>
      </c>
      <c r="D4648" t="inlineStr">
        <is>
          <t>GÄVLEBORGS LÄN</t>
        </is>
      </c>
      <c r="E4648" t="inlineStr">
        <is>
          <t>HUDIKSVALL</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39041-2024</t>
        </is>
      </c>
      <c r="B4649" s="1" t="n">
        <v>45548</v>
      </c>
      <c r="C4649" s="1" t="n">
        <v>45883</v>
      </c>
      <c r="D4649" t="inlineStr">
        <is>
          <t>GÄVLEBORGS LÄN</t>
        </is>
      </c>
      <c r="E4649" t="inlineStr">
        <is>
          <t>NORDANSTIG</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30590-2022</t>
        </is>
      </c>
      <c r="B4650" s="1" t="n">
        <v>44762</v>
      </c>
      <c r="C4650" s="1" t="n">
        <v>45883</v>
      </c>
      <c r="D4650" t="inlineStr">
        <is>
          <t>GÄVLEBORGS LÄN</t>
        </is>
      </c>
      <c r="E4650" t="inlineStr">
        <is>
          <t>HUDIKSVALL</t>
        </is>
      </c>
      <c r="F4650" t="inlineStr">
        <is>
          <t>Sveaskog</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37031-2024</t>
        </is>
      </c>
      <c r="B4651" s="1" t="n">
        <v>45539.38991898148</v>
      </c>
      <c r="C4651" s="1" t="n">
        <v>45883</v>
      </c>
      <c r="D4651" t="inlineStr">
        <is>
          <t>GÄVLEBORGS LÄN</t>
        </is>
      </c>
      <c r="E4651" t="inlineStr">
        <is>
          <t>NORDANSTIG</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16424-2025</t>
        </is>
      </c>
      <c r="B4652" s="1" t="n">
        <v>45751.47364583334</v>
      </c>
      <c r="C4652" s="1" t="n">
        <v>45883</v>
      </c>
      <c r="D4652" t="inlineStr">
        <is>
          <t>GÄVLEBORGS LÄN</t>
        </is>
      </c>
      <c r="E4652" t="inlineStr">
        <is>
          <t>OVANÅKER</t>
        </is>
      </c>
      <c r="F4652" t="inlineStr">
        <is>
          <t>Bergvik skog öst AB</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16726-2025</t>
        </is>
      </c>
      <c r="B4653" s="1" t="n">
        <v>45754.52270833333</v>
      </c>
      <c r="C4653" s="1" t="n">
        <v>45883</v>
      </c>
      <c r="D4653" t="inlineStr">
        <is>
          <t>GÄVLEBORGS LÄN</t>
        </is>
      </c>
      <c r="E4653" t="inlineStr">
        <is>
          <t>SÖDERHAMN</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31890-2022</t>
        </is>
      </c>
      <c r="B4654" s="1" t="n">
        <v>44777</v>
      </c>
      <c r="C4654" s="1" t="n">
        <v>45883</v>
      </c>
      <c r="D4654" t="inlineStr">
        <is>
          <t>GÄVLEBORGS LÄN</t>
        </is>
      </c>
      <c r="E4654" t="inlineStr">
        <is>
          <t>LJUSDAL</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58610-2023</t>
        </is>
      </c>
      <c r="B4655" s="1" t="n">
        <v>45251.49936342592</v>
      </c>
      <c r="C4655" s="1" t="n">
        <v>45883</v>
      </c>
      <c r="D4655" t="inlineStr">
        <is>
          <t>GÄVLEBORGS LÄN</t>
        </is>
      </c>
      <c r="E4655" t="inlineStr">
        <is>
          <t>SÖDERHAMN</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58626-2023</t>
        </is>
      </c>
      <c r="B4656" s="1" t="n">
        <v>45251.55770833333</v>
      </c>
      <c r="C4656" s="1" t="n">
        <v>45883</v>
      </c>
      <c r="D4656" t="inlineStr">
        <is>
          <t>GÄVLEBORGS LÄN</t>
        </is>
      </c>
      <c r="E4656" t="inlineStr">
        <is>
          <t>LJUSDAL</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16019-2024</t>
        </is>
      </c>
      <c r="B4657" s="1" t="n">
        <v>45405.67047453704</v>
      </c>
      <c r="C4657" s="1" t="n">
        <v>45883</v>
      </c>
      <c r="D4657" t="inlineStr">
        <is>
          <t>GÄVLEBORGS LÄN</t>
        </is>
      </c>
      <c r="E4657" t="inlineStr">
        <is>
          <t>OVANÅKER</t>
        </is>
      </c>
      <c r="G4657" t="n">
        <v>3.6</v>
      </c>
      <c r="H4657" t="n">
        <v>0</v>
      </c>
      <c r="I4657" t="n">
        <v>0</v>
      </c>
      <c r="J4657" t="n">
        <v>0</v>
      </c>
      <c r="K4657" t="n">
        <v>0</v>
      </c>
      <c r="L4657" t="n">
        <v>0</v>
      </c>
      <c r="M4657" t="n">
        <v>0</v>
      </c>
      <c r="N4657" t="n">
        <v>0</v>
      </c>
      <c r="O4657" t="n">
        <v>0</v>
      </c>
      <c r="P4657" t="n">
        <v>0</v>
      </c>
      <c r="Q4657" t="n">
        <v>0</v>
      </c>
      <c r="R4657" s="2" t="inlineStr"/>
    </row>
    <row r="4658" ht="15" customHeight="1">
      <c r="A4658" t="inlineStr">
        <is>
          <t>A 18297-2024</t>
        </is>
      </c>
      <c r="B4658" s="1" t="n">
        <v>45422.43357638889</v>
      </c>
      <c r="C4658" s="1" t="n">
        <v>45883</v>
      </c>
      <c r="D4658" t="inlineStr">
        <is>
          <t>GÄVLEBORGS LÄN</t>
        </is>
      </c>
      <c r="E4658" t="inlineStr">
        <is>
          <t>LJUSDAL</t>
        </is>
      </c>
      <c r="F4658" t="inlineStr">
        <is>
          <t>Holmen skog AB</t>
        </is>
      </c>
      <c r="G4658" t="n">
        <v>1.6</v>
      </c>
      <c r="H4658" t="n">
        <v>0</v>
      </c>
      <c r="I4658" t="n">
        <v>0</v>
      </c>
      <c r="J4658" t="n">
        <v>0</v>
      </c>
      <c r="K4658" t="n">
        <v>0</v>
      </c>
      <c r="L4658" t="n">
        <v>0</v>
      </c>
      <c r="M4658" t="n">
        <v>0</v>
      </c>
      <c r="N4658" t="n">
        <v>0</v>
      </c>
      <c r="O4658" t="n">
        <v>0</v>
      </c>
      <c r="P4658" t="n">
        <v>0</v>
      </c>
      <c r="Q4658" t="n">
        <v>0</v>
      </c>
      <c r="R4658" s="2" t="inlineStr"/>
      <c r="U4658">
        <f>HYPERLINK("https://klasma.github.io/Logging_2161/knärot/A 18297-2024 karta knärot.png", "A 18297-2024")</f>
        <v/>
      </c>
      <c r="V4658">
        <f>HYPERLINK("https://klasma.github.io/Logging_2161/klagomål/A 18297-2024 FSC-klagomål.docx", "A 18297-2024")</f>
        <v/>
      </c>
      <c r="W4658">
        <f>HYPERLINK("https://klasma.github.io/Logging_2161/klagomålsmail/A 18297-2024 FSC-klagomål mail.docx", "A 18297-2024")</f>
        <v/>
      </c>
      <c r="X4658">
        <f>HYPERLINK("https://klasma.github.io/Logging_2161/tillsyn/A 18297-2024 tillsynsbegäran.docx", "A 18297-2024")</f>
        <v/>
      </c>
      <c r="Y4658">
        <f>HYPERLINK("https://klasma.github.io/Logging_2161/tillsynsmail/A 18297-2024 tillsynsbegäran mail.docx", "A 18297-2024")</f>
        <v/>
      </c>
    </row>
    <row r="4659" ht="15" customHeight="1">
      <c r="A4659" t="inlineStr">
        <is>
          <t>A 31723-2023</t>
        </is>
      </c>
      <c r="B4659" s="1" t="n">
        <v>45117.91378472222</v>
      </c>
      <c r="C4659" s="1" t="n">
        <v>45883</v>
      </c>
      <c r="D4659" t="inlineStr">
        <is>
          <t>GÄVLEBORGS LÄN</t>
        </is>
      </c>
      <c r="E4659" t="inlineStr">
        <is>
          <t>OVANÅKER</t>
        </is>
      </c>
      <c r="G4659" t="n">
        <v>5.5</v>
      </c>
      <c r="H4659" t="n">
        <v>0</v>
      </c>
      <c r="I4659" t="n">
        <v>0</v>
      </c>
      <c r="J4659" t="n">
        <v>0</v>
      </c>
      <c r="K4659" t="n">
        <v>0</v>
      </c>
      <c r="L4659" t="n">
        <v>0</v>
      </c>
      <c r="M4659" t="n">
        <v>0</v>
      </c>
      <c r="N4659" t="n">
        <v>0</v>
      </c>
      <c r="O4659" t="n">
        <v>0</v>
      </c>
      <c r="P4659" t="n">
        <v>0</v>
      </c>
      <c r="Q4659" t="n">
        <v>0</v>
      </c>
      <c r="R4659" s="2" t="inlineStr"/>
    </row>
    <row r="4660" ht="15" customHeight="1">
      <c r="A4660" t="inlineStr">
        <is>
          <t>A 34229-2024</t>
        </is>
      </c>
      <c r="B4660" s="1" t="n">
        <v>45524</v>
      </c>
      <c r="C4660" s="1" t="n">
        <v>45883</v>
      </c>
      <c r="D4660" t="inlineStr">
        <is>
          <t>GÄVLEBORGS LÄN</t>
        </is>
      </c>
      <c r="E4660" t="inlineStr">
        <is>
          <t>LJUSDAL</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21744-2025</t>
        </is>
      </c>
      <c r="B4661" s="1" t="n">
        <v>45783.60194444445</v>
      </c>
      <c r="C4661" s="1" t="n">
        <v>45883</v>
      </c>
      <c r="D4661" t="inlineStr">
        <is>
          <t>GÄVLEBORGS LÄN</t>
        </is>
      </c>
      <c r="E4661" t="inlineStr">
        <is>
          <t>OVANÅKER</t>
        </is>
      </c>
      <c r="F4661" t="inlineStr">
        <is>
          <t>Bergvik skog öst AB</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50191-2024</t>
        </is>
      </c>
      <c r="B4662" s="1" t="n">
        <v>45600.48091435185</v>
      </c>
      <c r="C4662" s="1" t="n">
        <v>45883</v>
      </c>
      <c r="D4662" t="inlineStr">
        <is>
          <t>GÄVLEBORGS LÄN</t>
        </is>
      </c>
      <c r="E4662" t="inlineStr">
        <is>
          <t>GÄVLE</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50242-2024</t>
        </is>
      </c>
      <c r="B4663" s="1" t="n">
        <v>45600.56403935186</v>
      </c>
      <c r="C4663" s="1" t="n">
        <v>45883</v>
      </c>
      <c r="D4663" t="inlineStr">
        <is>
          <t>GÄVLEBORGS LÄN</t>
        </is>
      </c>
      <c r="E4663" t="inlineStr">
        <is>
          <t>HUDIKSVALL</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13582-2021</t>
        </is>
      </c>
      <c r="B4664" s="1" t="n">
        <v>44274.30858796297</v>
      </c>
      <c r="C4664" s="1" t="n">
        <v>45883</v>
      </c>
      <c r="D4664" t="inlineStr">
        <is>
          <t>GÄVLEBORGS LÄN</t>
        </is>
      </c>
      <c r="E4664" t="inlineStr">
        <is>
          <t>SÖDERHAMN</t>
        </is>
      </c>
      <c r="F4664" t="inlineStr">
        <is>
          <t>Bergvik skog väst AB</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40060-2023</t>
        </is>
      </c>
      <c r="B4665" s="1" t="n">
        <v>45168.75980324074</v>
      </c>
      <c r="C4665" s="1" t="n">
        <v>45883</v>
      </c>
      <c r="D4665" t="inlineStr">
        <is>
          <t>GÄVLEBORGS LÄN</t>
        </is>
      </c>
      <c r="E4665" t="inlineStr">
        <is>
          <t>HUDIKSVALL</t>
        </is>
      </c>
      <c r="F4665" t="inlineStr">
        <is>
          <t>Holmen skog AB</t>
        </is>
      </c>
      <c r="G4665" t="n">
        <v>4.3</v>
      </c>
      <c r="H4665" t="n">
        <v>0</v>
      </c>
      <c r="I4665" t="n">
        <v>0</v>
      </c>
      <c r="J4665" t="n">
        <v>0</v>
      </c>
      <c r="K4665" t="n">
        <v>0</v>
      </c>
      <c r="L4665" t="n">
        <v>0</v>
      </c>
      <c r="M4665" t="n">
        <v>0</v>
      </c>
      <c r="N4665" t="n">
        <v>0</v>
      </c>
      <c r="O4665" t="n">
        <v>0</v>
      </c>
      <c r="P4665" t="n">
        <v>0</v>
      </c>
      <c r="Q4665" t="n">
        <v>0</v>
      </c>
      <c r="R4665" s="2" t="inlineStr"/>
    </row>
    <row r="4666" ht="15" customHeight="1">
      <c r="A4666" t="inlineStr">
        <is>
          <t>A 40793-2024</t>
        </is>
      </c>
      <c r="B4666" s="1" t="n">
        <v>45558</v>
      </c>
      <c r="C4666" s="1" t="n">
        <v>45883</v>
      </c>
      <c r="D4666" t="inlineStr">
        <is>
          <t>GÄVLEBORGS LÄN</t>
        </is>
      </c>
      <c r="E4666" t="inlineStr">
        <is>
          <t>SÖDERHAMN</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21616-2022</t>
        </is>
      </c>
      <c r="B4667" s="1" t="n">
        <v>44706</v>
      </c>
      <c r="C4667" s="1" t="n">
        <v>45883</v>
      </c>
      <c r="D4667" t="inlineStr">
        <is>
          <t>GÄVLEBORGS LÄN</t>
        </is>
      </c>
      <c r="E4667" t="inlineStr">
        <is>
          <t>BOLLNÄS</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25593-2024</t>
        </is>
      </c>
      <c r="B4668" s="1" t="n">
        <v>45463.6169212963</v>
      </c>
      <c r="C4668" s="1" t="n">
        <v>45883</v>
      </c>
      <c r="D4668" t="inlineStr">
        <is>
          <t>GÄVLEBORGS LÄN</t>
        </is>
      </c>
      <c r="E4668" t="inlineStr">
        <is>
          <t>GÄVLE</t>
        </is>
      </c>
      <c r="F4668" t="inlineStr">
        <is>
          <t>Bergvik skog öst AB</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22173-2024</t>
        </is>
      </c>
      <c r="B4669" s="1" t="n">
        <v>45446.31018518518</v>
      </c>
      <c r="C4669" s="1" t="n">
        <v>45883</v>
      </c>
      <c r="D4669" t="inlineStr">
        <is>
          <t>GÄVLEBORGS LÄN</t>
        </is>
      </c>
      <c r="E4669" t="inlineStr">
        <is>
          <t>OVANÅKER</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33901-2024</t>
        </is>
      </c>
      <c r="B4670" s="1" t="n">
        <v>45523</v>
      </c>
      <c r="C4670" s="1" t="n">
        <v>45883</v>
      </c>
      <c r="D4670" t="inlineStr">
        <is>
          <t>GÄVLEBORGS LÄN</t>
        </is>
      </c>
      <c r="E4670" t="inlineStr">
        <is>
          <t>GÄVLE</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247-2025</t>
        </is>
      </c>
      <c r="B4671" s="1" t="n">
        <v>45660.41883101852</v>
      </c>
      <c r="C4671" s="1" t="n">
        <v>45883</v>
      </c>
      <c r="D4671" t="inlineStr">
        <is>
          <t>GÄVLEBORGS LÄN</t>
        </is>
      </c>
      <c r="E4671" t="inlineStr">
        <is>
          <t>GÄVLE</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44500-2024</t>
        </is>
      </c>
      <c r="B4672" s="1" t="n">
        <v>45574.39741898148</v>
      </c>
      <c r="C4672" s="1" t="n">
        <v>45883</v>
      </c>
      <c r="D4672" t="inlineStr">
        <is>
          <t>GÄVLEBORGS LÄN</t>
        </is>
      </c>
      <c r="E4672" t="inlineStr">
        <is>
          <t>NORDANSTIG</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18914-2024</t>
        </is>
      </c>
      <c r="B4673" s="1" t="n">
        <v>45427.383125</v>
      </c>
      <c r="C4673" s="1" t="n">
        <v>45883</v>
      </c>
      <c r="D4673" t="inlineStr">
        <is>
          <t>GÄVLEBORGS LÄN</t>
        </is>
      </c>
      <c r="E4673" t="inlineStr">
        <is>
          <t>LJUSDAL</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34490-2024</t>
        </is>
      </c>
      <c r="B4674" s="1" t="n">
        <v>45525.61373842593</v>
      </c>
      <c r="C4674" s="1" t="n">
        <v>45883</v>
      </c>
      <c r="D4674" t="inlineStr">
        <is>
          <t>GÄVLEBORGS LÄN</t>
        </is>
      </c>
      <c r="E4674" t="inlineStr">
        <is>
          <t>OVANÅKER</t>
        </is>
      </c>
      <c r="F4674" t="inlineStr">
        <is>
          <t>Bergvik skog öst AB</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49578-2020</t>
        </is>
      </c>
      <c r="B4675" s="1" t="n">
        <v>44106.37875</v>
      </c>
      <c r="C4675" s="1" t="n">
        <v>45883</v>
      </c>
      <c r="D4675" t="inlineStr">
        <is>
          <t>GÄVLEBORGS LÄN</t>
        </is>
      </c>
      <c r="E4675" t="inlineStr">
        <is>
          <t>OVANÅKER</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50704-2024</t>
        </is>
      </c>
      <c r="B4676" s="1" t="n">
        <v>45602.36324074074</v>
      </c>
      <c r="C4676" s="1" t="n">
        <v>45883</v>
      </c>
      <c r="D4676" t="inlineStr">
        <is>
          <t>GÄVLEBORGS LÄN</t>
        </is>
      </c>
      <c r="E4676" t="inlineStr">
        <is>
          <t>SANDVIKEN</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50712-2024</t>
        </is>
      </c>
      <c r="B4677" s="1" t="n">
        <v>45602.3834375</v>
      </c>
      <c r="C4677" s="1" t="n">
        <v>45883</v>
      </c>
      <c r="D4677" t="inlineStr">
        <is>
          <t>GÄVLEBORGS LÄN</t>
        </is>
      </c>
      <c r="E4677" t="inlineStr">
        <is>
          <t>LJUSDAL</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7276-2023</t>
        </is>
      </c>
      <c r="B4678" s="1" t="n">
        <v>44970</v>
      </c>
      <c r="C4678" s="1" t="n">
        <v>45883</v>
      </c>
      <c r="D4678" t="inlineStr">
        <is>
          <t>GÄVLEBORGS LÄN</t>
        </is>
      </c>
      <c r="E4678" t="inlineStr">
        <is>
          <t>OCKELBO</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61732-2024</t>
        </is>
      </c>
      <c r="B4679" s="1" t="n">
        <v>45649.34438657408</v>
      </c>
      <c r="C4679" s="1" t="n">
        <v>45883</v>
      </c>
      <c r="D4679" t="inlineStr">
        <is>
          <t>GÄVLEBORGS LÄN</t>
        </is>
      </c>
      <c r="E4679" t="inlineStr">
        <is>
          <t>OCKELBO</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51247-2024</t>
        </is>
      </c>
      <c r="B4680" s="1" t="n">
        <v>45603.68180555556</v>
      </c>
      <c r="C4680" s="1" t="n">
        <v>45883</v>
      </c>
      <c r="D4680" t="inlineStr">
        <is>
          <t>GÄVLEBORGS LÄN</t>
        </is>
      </c>
      <c r="E4680" t="inlineStr">
        <is>
          <t>LJUSDAL</t>
        </is>
      </c>
      <c r="F4680" t="inlineStr">
        <is>
          <t>Kommuner</t>
        </is>
      </c>
      <c r="G4680" t="n">
        <v>6.1</v>
      </c>
      <c r="H4680" t="n">
        <v>0</v>
      </c>
      <c r="I4680" t="n">
        <v>0</v>
      </c>
      <c r="J4680" t="n">
        <v>0</v>
      </c>
      <c r="K4680" t="n">
        <v>0</v>
      </c>
      <c r="L4680" t="n">
        <v>0</v>
      </c>
      <c r="M4680" t="n">
        <v>0</v>
      </c>
      <c r="N4680" t="n">
        <v>0</v>
      </c>
      <c r="O4680" t="n">
        <v>0</v>
      </c>
      <c r="P4680" t="n">
        <v>0</v>
      </c>
      <c r="Q4680" t="n">
        <v>0</v>
      </c>
      <c r="R4680" s="2" t="inlineStr"/>
    </row>
    <row r="4681" ht="15" customHeight="1">
      <c r="A4681" t="inlineStr">
        <is>
          <t>A 27723-2024</t>
        </is>
      </c>
      <c r="B4681" s="1" t="n">
        <v>45475.4027662037</v>
      </c>
      <c r="C4681" s="1" t="n">
        <v>45883</v>
      </c>
      <c r="D4681" t="inlineStr">
        <is>
          <t>GÄVLEBORGS LÄN</t>
        </is>
      </c>
      <c r="E4681" t="inlineStr">
        <is>
          <t>LJUSDAL</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41254-2024</t>
        </is>
      </c>
      <c r="B4682" s="1" t="n">
        <v>45559.58112268519</v>
      </c>
      <c r="C4682" s="1" t="n">
        <v>45883</v>
      </c>
      <c r="D4682" t="inlineStr">
        <is>
          <t>GÄVLEBORGS LÄN</t>
        </is>
      </c>
      <c r="E4682" t="inlineStr">
        <is>
          <t>HUDIKSVALL</t>
        </is>
      </c>
      <c r="F4682" t="inlineStr">
        <is>
          <t>Holmen skog AB</t>
        </is>
      </c>
      <c r="G4682" t="n">
        <v>6.4</v>
      </c>
      <c r="H4682" t="n">
        <v>0</v>
      </c>
      <c r="I4682" t="n">
        <v>0</v>
      </c>
      <c r="J4682" t="n">
        <v>0</v>
      </c>
      <c r="K4682" t="n">
        <v>0</v>
      </c>
      <c r="L4682" t="n">
        <v>0</v>
      </c>
      <c r="M4682" t="n">
        <v>0</v>
      </c>
      <c r="N4682" t="n">
        <v>0</v>
      </c>
      <c r="O4682" t="n">
        <v>0</v>
      </c>
      <c r="P4682" t="n">
        <v>0</v>
      </c>
      <c r="Q4682" t="n">
        <v>0</v>
      </c>
      <c r="R4682" s="2" t="inlineStr"/>
    </row>
    <row r="4683" ht="15" customHeight="1">
      <c r="A4683" t="inlineStr">
        <is>
          <t>A 12140-2021</t>
        </is>
      </c>
      <c r="B4683" s="1" t="n">
        <v>44266.56907407408</v>
      </c>
      <c r="C4683" s="1" t="n">
        <v>45883</v>
      </c>
      <c r="D4683" t="inlineStr">
        <is>
          <t>GÄVLEBORGS LÄN</t>
        </is>
      </c>
      <c r="E4683" t="inlineStr">
        <is>
          <t>OVANÅKER</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55538-2024</t>
        </is>
      </c>
      <c r="B4684" s="1" t="n">
        <v>45622.49493055556</v>
      </c>
      <c r="C4684" s="1" t="n">
        <v>45883</v>
      </c>
      <c r="D4684" t="inlineStr">
        <is>
          <t>GÄVLEBORGS LÄN</t>
        </is>
      </c>
      <c r="E4684" t="inlineStr">
        <is>
          <t>NORDANSTIG</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55570-2024</t>
        </is>
      </c>
      <c r="B4685" s="1" t="n">
        <v>45622.5512037037</v>
      </c>
      <c r="C4685" s="1" t="n">
        <v>45883</v>
      </c>
      <c r="D4685" t="inlineStr">
        <is>
          <t>GÄVLEBORGS LÄN</t>
        </is>
      </c>
      <c r="E4685" t="inlineStr">
        <is>
          <t>BOLLNÄS</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10119-2025</t>
        </is>
      </c>
      <c r="B4686" s="1" t="n">
        <v>45719.59969907408</v>
      </c>
      <c r="C4686" s="1" t="n">
        <v>45883</v>
      </c>
      <c r="D4686" t="inlineStr">
        <is>
          <t>GÄVLEBORGS LÄN</t>
        </is>
      </c>
      <c r="E4686" t="inlineStr">
        <is>
          <t>OVANÅKER</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17445-2024</t>
        </is>
      </c>
      <c r="B4687" s="1" t="n">
        <v>45415.37329861111</v>
      </c>
      <c r="C4687" s="1" t="n">
        <v>45883</v>
      </c>
      <c r="D4687" t="inlineStr">
        <is>
          <t>GÄVLEBORGS LÄN</t>
        </is>
      </c>
      <c r="E4687" t="inlineStr">
        <is>
          <t>SANDVIKEN</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49856-2024</t>
        </is>
      </c>
      <c r="B4688" s="1" t="n">
        <v>45597.46902777778</v>
      </c>
      <c r="C4688" s="1" t="n">
        <v>45883</v>
      </c>
      <c r="D4688" t="inlineStr">
        <is>
          <t>GÄVLEBORGS LÄN</t>
        </is>
      </c>
      <c r="E4688" t="inlineStr">
        <is>
          <t>OVANÅKER</t>
        </is>
      </c>
      <c r="G4688" t="n">
        <v>3.4</v>
      </c>
      <c r="H4688" t="n">
        <v>0</v>
      </c>
      <c r="I4688" t="n">
        <v>0</v>
      </c>
      <c r="J4688" t="n">
        <v>0</v>
      </c>
      <c r="K4688" t="n">
        <v>0</v>
      </c>
      <c r="L4688" t="n">
        <v>0</v>
      </c>
      <c r="M4688" t="n">
        <v>0</v>
      </c>
      <c r="N4688" t="n">
        <v>0</v>
      </c>
      <c r="O4688" t="n">
        <v>0</v>
      </c>
      <c r="P4688" t="n">
        <v>0</v>
      </c>
      <c r="Q4688" t="n">
        <v>0</v>
      </c>
      <c r="R4688" s="2" t="inlineStr"/>
    </row>
    <row r="4689" ht="15" customHeight="1">
      <c r="A4689" t="inlineStr">
        <is>
          <t>A 49857-2024</t>
        </is>
      </c>
      <c r="B4689" s="1" t="n">
        <v>45597.46914351852</v>
      </c>
      <c r="C4689" s="1" t="n">
        <v>45883</v>
      </c>
      <c r="D4689" t="inlineStr">
        <is>
          <t>GÄVLEBORGS LÄN</t>
        </is>
      </c>
      <c r="E4689" t="inlineStr">
        <is>
          <t>OVANÅKER</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50900-2024</t>
        </is>
      </c>
      <c r="B4690" s="1" t="n">
        <v>45602.68607638889</v>
      </c>
      <c r="C4690" s="1" t="n">
        <v>45883</v>
      </c>
      <c r="D4690" t="inlineStr">
        <is>
          <t>GÄVLEBORGS LÄN</t>
        </is>
      </c>
      <c r="E4690" t="inlineStr">
        <is>
          <t>SANDVIKEN</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56351-2024</t>
        </is>
      </c>
      <c r="B4691" s="1" t="n">
        <v>45624.91649305556</v>
      </c>
      <c r="C4691" s="1" t="n">
        <v>45883</v>
      </c>
      <c r="D4691" t="inlineStr">
        <is>
          <t>GÄVLEBORGS LÄN</t>
        </is>
      </c>
      <c r="E4691" t="inlineStr">
        <is>
          <t>NORDANSTIG</t>
        </is>
      </c>
      <c r="G4691" t="n">
        <v>4.2</v>
      </c>
      <c r="H4691" t="n">
        <v>0</v>
      </c>
      <c r="I4691" t="n">
        <v>0</v>
      </c>
      <c r="J4691" t="n">
        <v>0</v>
      </c>
      <c r="K4691" t="n">
        <v>0</v>
      </c>
      <c r="L4691" t="n">
        <v>0</v>
      </c>
      <c r="M4691" t="n">
        <v>0</v>
      </c>
      <c r="N4691" t="n">
        <v>0</v>
      </c>
      <c r="O4691" t="n">
        <v>0</v>
      </c>
      <c r="P4691" t="n">
        <v>0</v>
      </c>
      <c r="Q4691" t="n">
        <v>0</v>
      </c>
      <c r="R4691" s="2" t="inlineStr"/>
    </row>
    <row r="4692" ht="15" customHeight="1">
      <c r="A4692" t="inlineStr">
        <is>
          <t>A 13369-2021</t>
        </is>
      </c>
      <c r="B4692" s="1" t="n">
        <v>44273.39921296296</v>
      </c>
      <c r="C4692" s="1" t="n">
        <v>45883</v>
      </c>
      <c r="D4692" t="inlineStr">
        <is>
          <t>GÄVLEBORGS LÄN</t>
        </is>
      </c>
      <c r="E4692" t="inlineStr">
        <is>
          <t>LJUSDAL</t>
        </is>
      </c>
      <c r="G4692" t="n">
        <v>8.699999999999999</v>
      </c>
      <c r="H4692" t="n">
        <v>0</v>
      </c>
      <c r="I4692" t="n">
        <v>0</v>
      </c>
      <c r="J4692" t="n">
        <v>0</v>
      </c>
      <c r="K4692" t="n">
        <v>0</v>
      </c>
      <c r="L4692" t="n">
        <v>0</v>
      </c>
      <c r="M4692" t="n">
        <v>0</v>
      </c>
      <c r="N4692" t="n">
        <v>0</v>
      </c>
      <c r="O4692" t="n">
        <v>0</v>
      </c>
      <c r="P4692" t="n">
        <v>0</v>
      </c>
      <c r="Q4692" t="n">
        <v>0</v>
      </c>
      <c r="R4692" s="2" t="inlineStr"/>
    </row>
    <row r="4693" ht="15" customHeight="1">
      <c r="A4693" t="inlineStr">
        <is>
          <t>A 45782-2024</t>
        </is>
      </c>
      <c r="B4693" s="1" t="n">
        <v>45579.66521990741</v>
      </c>
      <c r="C4693" s="1" t="n">
        <v>45883</v>
      </c>
      <c r="D4693" t="inlineStr">
        <is>
          <t>GÄVLEBORGS LÄN</t>
        </is>
      </c>
      <c r="E4693" t="inlineStr">
        <is>
          <t>BOLLNÄS</t>
        </is>
      </c>
      <c r="G4693" t="n">
        <v>9.199999999999999</v>
      </c>
      <c r="H4693" t="n">
        <v>0</v>
      </c>
      <c r="I4693" t="n">
        <v>0</v>
      </c>
      <c r="J4693" t="n">
        <v>0</v>
      </c>
      <c r="K4693" t="n">
        <v>0</v>
      </c>
      <c r="L4693" t="n">
        <v>0</v>
      </c>
      <c r="M4693" t="n">
        <v>0</v>
      </c>
      <c r="N4693" t="n">
        <v>0</v>
      </c>
      <c r="O4693" t="n">
        <v>0</v>
      </c>
      <c r="P4693" t="n">
        <v>0</v>
      </c>
      <c r="Q4693" t="n">
        <v>0</v>
      </c>
      <c r="R4693" s="2" t="inlineStr"/>
    </row>
    <row r="4694" ht="15" customHeight="1">
      <c r="A4694" t="inlineStr">
        <is>
          <t>A 53250-2024</t>
        </is>
      </c>
      <c r="B4694" s="1" t="n">
        <v>45614.26361111111</v>
      </c>
      <c r="C4694" s="1" t="n">
        <v>45883</v>
      </c>
      <c r="D4694" t="inlineStr">
        <is>
          <t>GÄVLEBORGS LÄN</t>
        </is>
      </c>
      <c r="E4694" t="inlineStr">
        <is>
          <t>OVANÅKER</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53281-2024</t>
        </is>
      </c>
      <c r="B4695" s="1" t="n">
        <v>45614.37862268519</v>
      </c>
      <c r="C4695" s="1" t="n">
        <v>45883</v>
      </c>
      <c r="D4695" t="inlineStr">
        <is>
          <t>GÄVLEBORGS LÄN</t>
        </is>
      </c>
      <c r="E4695" t="inlineStr">
        <is>
          <t>GÄVLE</t>
        </is>
      </c>
      <c r="G4695" t="n">
        <v>6.5</v>
      </c>
      <c r="H4695" t="n">
        <v>0</v>
      </c>
      <c r="I4695" t="n">
        <v>0</v>
      </c>
      <c r="J4695" t="n">
        <v>0</v>
      </c>
      <c r="K4695" t="n">
        <v>0</v>
      </c>
      <c r="L4695" t="n">
        <v>0</v>
      </c>
      <c r="M4695" t="n">
        <v>0</v>
      </c>
      <c r="N4695" t="n">
        <v>0</v>
      </c>
      <c r="O4695" t="n">
        <v>0</v>
      </c>
      <c r="P4695" t="n">
        <v>0</v>
      </c>
      <c r="Q4695" t="n">
        <v>0</v>
      </c>
      <c r="R4695" s="2" t="inlineStr"/>
    </row>
    <row r="4696" ht="15" customHeight="1">
      <c r="A4696" t="inlineStr">
        <is>
          <t>A 29686-2023</t>
        </is>
      </c>
      <c r="B4696" s="1" t="n">
        <v>45107.38175925926</v>
      </c>
      <c r="C4696" s="1" t="n">
        <v>45883</v>
      </c>
      <c r="D4696" t="inlineStr">
        <is>
          <t>GÄVLEBORGS LÄN</t>
        </is>
      </c>
      <c r="E4696" t="inlineStr">
        <is>
          <t>LJUSDAL</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25304-2021</t>
        </is>
      </c>
      <c r="B4697" s="1" t="n">
        <v>44342</v>
      </c>
      <c r="C4697" s="1" t="n">
        <v>45883</v>
      </c>
      <c r="D4697" t="inlineStr">
        <is>
          <t>GÄVLEBORGS LÄN</t>
        </is>
      </c>
      <c r="E4697" t="inlineStr">
        <is>
          <t>SANDVIKEN</t>
        </is>
      </c>
      <c r="F4697" t="inlineStr">
        <is>
          <t>Sveaskog</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25318-2021</t>
        </is>
      </c>
      <c r="B4698" s="1" t="n">
        <v>44342</v>
      </c>
      <c r="C4698" s="1" t="n">
        <v>45883</v>
      </c>
      <c r="D4698" t="inlineStr">
        <is>
          <t>GÄVLEBORGS LÄN</t>
        </is>
      </c>
      <c r="E4698" t="inlineStr">
        <is>
          <t>OCKELBO</t>
        </is>
      </c>
      <c r="G4698" t="n">
        <v>9.9</v>
      </c>
      <c r="H4698" t="n">
        <v>0</v>
      </c>
      <c r="I4698" t="n">
        <v>0</v>
      </c>
      <c r="J4698" t="n">
        <v>0</v>
      </c>
      <c r="K4698" t="n">
        <v>0</v>
      </c>
      <c r="L4698" t="n">
        <v>0</v>
      </c>
      <c r="M4698" t="n">
        <v>0</v>
      </c>
      <c r="N4698" t="n">
        <v>0</v>
      </c>
      <c r="O4698" t="n">
        <v>0</v>
      </c>
      <c r="P4698" t="n">
        <v>0</v>
      </c>
      <c r="Q4698" t="n">
        <v>0</v>
      </c>
      <c r="R4698" s="2" t="inlineStr"/>
    </row>
    <row r="4699" ht="15" customHeight="1">
      <c r="A4699" t="inlineStr">
        <is>
          <t>A 7451-2025</t>
        </is>
      </c>
      <c r="B4699" s="1" t="n">
        <v>45705.42418981482</v>
      </c>
      <c r="C4699" s="1" t="n">
        <v>45883</v>
      </c>
      <c r="D4699" t="inlineStr">
        <is>
          <t>GÄVLEBORGS LÄN</t>
        </is>
      </c>
      <c r="E4699" t="inlineStr">
        <is>
          <t>GÄVLE</t>
        </is>
      </c>
      <c r="F4699" t="inlineStr">
        <is>
          <t>Bergvik skog öst AB</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45696-2024</t>
        </is>
      </c>
      <c r="B4700" s="1" t="n">
        <v>45579.55864583333</v>
      </c>
      <c r="C4700" s="1" t="n">
        <v>45883</v>
      </c>
      <c r="D4700" t="inlineStr">
        <is>
          <t>GÄVLEBORGS LÄN</t>
        </is>
      </c>
      <c r="E4700" t="inlineStr">
        <is>
          <t>LJUSDAL</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47291-2024</t>
        </is>
      </c>
      <c r="B4701" s="1" t="n">
        <v>45587.33782407407</v>
      </c>
      <c r="C4701" s="1" t="n">
        <v>45883</v>
      </c>
      <c r="D4701" t="inlineStr">
        <is>
          <t>GÄVLEBORGS LÄN</t>
        </is>
      </c>
      <c r="E4701" t="inlineStr">
        <is>
          <t>LJUSDAL</t>
        </is>
      </c>
      <c r="F4701" t="inlineStr">
        <is>
          <t>Holmen skog AB</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22105-2025</t>
        </is>
      </c>
      <c r="B4702" s="1" t="n">
        <v>45785.48791666667</v>
      </c>
      <c r="C4702" s="1" t="n">
        <v>45883</v>
      </c>
      <c r="D4702" t="inlineStr">
        <is>
          <t>GÄVLEBORGS LÄN</t>
        </is>
      </c>
      <c r="E4702" t="inlineStr">
        <is>
          <t>OCKELBO</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22148-2025</t>
        </is>
      </c>
      <c r="B4703" s="1" t="n">
        <v>45785.5562037037</v>
      </c>
      <c r="C4703" s="1" t="n">
        <v>45883</v>
      </c>
      <c r="D4703" t="inlineStr">
        <is>
          <t>GÄVLEBORGS LÄN</t>
        </is>
      </c>
      <c r="E4703" t="inlineStr">
        <is>
          <t>HUDIKSVALL</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54685-2024</t>
        </is>
      </c>
      <c r="B4704" s="1" t="n">
        <v>45618.36010416667</v>
      </c>
      <c r="C4704" s="1" t="n">
        <v>45883</v>
      </c>
      <c r="D4704" t="inlineStr">
        <is>
          <t>GÄVLEBORGS LÄN</t>
        </is>
      </c>
      <c r="E4704" t="inlineStr">
        <is>
          <t>NORDANSTIG</t>
        </is>
      </c>
      <c r="F4704" t="inlineStr">
        <is>
          <t>Holmen skog AB</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13025-2025</t>
        </is>
      </c>
      <c r="B4705" s="1" t="n">
        <v>45734.55638888889</v>
      </c>
      <c r="C4705" s="1" t="n">
        <v>45883</v>
      </c>
      <c r="D4705" t="inlineStr">
        <is>
          <t>GÄVLEBORGS LÄN</t>
        </is>
      </c>
      <c r="E4705" t="inlineStr">
        <is>
          <t>NORDANSTIG</t>
        </is>
      </c>
      <c r="G4705" t="n">
        <v>9.699999999999999</v>
      </c>
      <c r="H4705" t="n">
        <v>0</v>
      </c>
      <c r="I4705" t="n">
        <v>0</v>
      </c>
      <c r="J4705" t="n">
        <v>0</v>
      </c>
      <c r="K4705" t="n">
        <v>0</v>
      </c>
      <c r="L4705" t="n">
        <v>0</v>
      </c>
      <c r="M4705" t="n">
        <v>0</v>
      </c>
      <c r="N4705" t="n">
        <v>0</v>
      </c>
      <c r="O4705" t="n">
        <v>0</v>
      </c>
      <c r="P4705" t="n">
        <v>0</v>
      </c>
      <c r="Q4705" t="n">
        <v>0</v>
      </c>
      <c r="R4705" s="2" t="inlineStr"/>
    </row>
    <row r="4706" ht="15" customHeight="1">
      <c r="A4706" t="inlineStr">
        <is>
          <t>A 52165-2023</t>
        </is>
      </c>
      <c r="B4706" s="1" t="n">
        <v>45224.33109953703</v>
      </c>
      <c r="C4706" s="1" t="n">
        <v>45883</v>
      </c>
      <c r="D4706" t="inlineStr">
        <is>
          <t>GÄVLEBORGS LÄN</t>
        </is>
      </c>
      <c r="E4706" t="inlineStr">
        <is>
          <t>OVANÅKER</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48270-2024</t>
        </is>
      </c>
      <c r="B4707" s="1" t="n">
        <v>45590.4315162037</v>
      </c>
      <c r="C4707" s="1" t="n">
        <v>45883</v>
      </c>
      <c r="D4707" t="inlineStr">
        <is>
          <t>GÄVLEBORGS LÄN</t>
        </is>
      </c>
      <c r="E4707" t="inlineStr">
        <is>
          <t>BOLLNÄS</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28083-2024</t>
        </is>
      </c>
      <c r="B4708" s="1" t="n">
        <v>45476.59189814814</v>
      </c>
      <c r="C4708" s="1" t="n">
        <v>45883</v>
      </c>
      <c r="D4708" t="inlineStr">
        <is>
          <t>GÄVLEBORGS LÄN</t>
        </is>
      </c>
      <c r="E4708" t="inlineStr">
        <is>
          <t>BOLLNÄS</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33199-2024</t>
        </is>
      </c>
      <c r="B4709" s="1" t="n">
        <v>45518.51728009259</v>
      </c>
      <c r="C4709" s="1" t="n">
        <v>45883</v>
      </c>
      <c r="D4709" t="inlineStr">
        <is>
          <t>GÄVLEBORGS LÄN</t>
        </is>
      </c>
      <c r="E4709" t="inlineStr">
        <is>
          <t>LJUSDAL</t>
        </is>
      </c>
      <c r="F4709" t="inlineStr">
        <is>
          <t>Bergvik skog väst AB</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31805-2024</t>
        </is>
      </c>
      <c r="B4710" s="1" t="n">
        <v>45509</v>
      </c>
      <c r="C4710" s="1" t="n">
        <v>45883</v>
      </c>
      <c r="D4710" t="inlineStr">
        <is>
          <t>GÄVLEBORGS LÄN</t>
        </is>
      </c>
      <c r="E4710" t="inlineStr">
        <is>
          <t>SÖDERHAMN</t>
        </is>
      </c>
      <c r="G4710" t="n">
        <v>7.3</v>
      </c>
      <c r="H4710" t="n">
        <v>0</v>
      </c>
      <c r="I4710" t="n">
        <v>0</v>
      </c>
      <c r="J4710" t="n">
        <v>0</v>
      </c>
      <c r="K4710" t="n">
        <v>0</v>
      </c>
      <c r="L4710" t="n">
        <v>0</v>
      </c>
      <c r="M4710" t="n">
        <v>0</v>
      </c>
      <c r="N4710" t="n">
        <v>0</v>
      </c>
      <c r="O4710" t="n">
        <v>0</v>
      </c>
      <c r="P4710" t="n">
        <v>0</v>
      </c>
      <c r="Q4710" t="n">
        <v>0</v>
      </c>
      <c r="R4710" s="2" t="inlineStr"/>
    </row>
    <row r="4711" ht="15" customHeight="1">
      <c r="A4711" t="inlineStr">
        <is>
          <t>A 60347-2024</t>
        </is>
      </c>
      <c r="B4711" s="1" t="n">
        <v>45643.42839120371</v>
      </c>
      <c r="C4711" s="1" t="n">
        <v>45883</v>
      </c>
      <c r="D4711" t="inlineStr">
        <is>
          <t>GÄVLEBORGS LÄN</t>
        </is>
      </c>
      <c r="E4711" t="inlineStr">
        <is>
          <t>SÖDERHAMN</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22355-2025</t>
        </is>
      </c>
      <c r="B4712" s="1" t="n">
        <v>45786.45901620371</v>
      </c>
      <c r="C4712" s="1" t="n">
        <v>45883</v>
      </c>
      <c r="D4712" t="inlineStr">
        <is>
          <t>GÄVLEBORGS LÄN</t>
        </is>
      </c>
      <c r="E4712" t="inlineStr">
        <is>
          <t>GÄVLE</t>
        </is>
      </c>
      <c r="F4712" t="inlineStr">
        <is>
          <t>Bergvik skog väst AB</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23289-2024</t>
        </is>
      </c>
      <c r="B4713" s="1" t="n">
        <v>45453.42105324074</v>
      </c>
      <c r="C4713" s="1" t="n">
        <v>45883</v>
      </c>
      <c r="D4713" t="inlineStr">
        <is>
          <t>GÄVLEBORGS LÄN</t>
        </is>
      </c>
      <c r="E4713" t="inlineStr">
        <is>
          <t>SANDVIKEN</t>
        </is>
      </c>
      <c r="F4713" t="inlineStr">
        <is>
          <t>Kyrkan</t>
        </is>
      </c>
      <c r="G4713" t="n">
        <v>3.8</v>
      </c>
      <c r="H4713" t="n">
        <v>0</v>
      </c>
      <c r="I4713" t="n">
        <v>0</v>
      </c>
      <c r="J4713" t="n">
        <v>0</v>
      </c>
      <c r="K4713" t="n">
        <v>0</v>
      </c>
      <c r="L4713" t="n">
        <v>0</v>
      </c>
      <c r="M4713" t="n">
        <v>0</v>
      </c>
      <c r="N4713" t="n">
        <v>0</v>
      </c>
      <c r="O4713" t="n">
        <v>0</v>
      </c>
      <c r="P4713" t="n">
        <v>0</v>
      </c>
      <c r="Q4713" t="n">
        <v>0</v>
      </c>
      <c r="R4713" s="2" t="inlineStr"/>
    </row>
    <row r="4714" ht="15" customHeight="1">
      <c r="A4714" t="inlineStr">
        <is>
          <t>A 18802-2025</t>
        </is>
      </c>
      <c r="B4714" s="1" t="n">
        <v>45764.35001157408</v>
      </c>
      <c r="C4714" s="1" t="n">
        <v>45883</v>
      </c>
      <c r="D4714" t="inlineStr">
        <is>
          <t>GÄVLEBORGS LÄN</t>
        </is>
      </c>
      <c r="E4714" t="inlineStr">
        <is>
          <t>LJUSDAL</t>
        </is>
      </c>
      <c r="F4714" t="inlineStr">
        <is>
          <t>Sveaskog</t>
        </is>
      </c>
      <c r="G4714" t="n">
        <v>13.1</v>
      </c>
      <c r="H4714" t="n">
        <v>0</v>
      </c>
      <c r="I4714" t="n">
        <v>0</v>
      </c>
      <c r="J4714" t="n">
        <v>0</v>
      </c>
      <c r="K4714" t="n">
        <v>0</v>
      </c>
      <c r="L4714" t="n">
        <v>0</v>
      </c>
      <c r="M4714" t="n">
        <v>0</v>
      </c>
      <c r="N4714" t="n">
        <v>0</v>
      </c>
      <c r="O4714" t="n">
        <v>0</v>
      </c>
      <c r="P4714" t="n">
        <v>0</v>
      </c>
      <c r="Q4714" t="n">
        <v>0</v>
      </c>
      <c r="R4714" s="2" t="inlineStr"/>
    </row>
    <row r="4715" ht="15" customHeight="1">
      <c r="A4715" t="inlineStr">
        <is>
          <t>A 5691-2022</t>
        </is>
      </c>
      <c r="B4715" s="1" t="n">
        <v>44596</v>
      </c>
      <c r="C4715" s="1" t="n">
        <v>45883</v>
      </c>
      <c r="D4715" t="inlineStr">
        <is>
          <t>GÄVLEBORGS LÄN</t>
        </is>
      </c>
      <c r="E4715" t="inlineStr">
        <is>
          <t>BOLLNÄS</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30879-2024</t>
        </is>
      </c>
      <c r="B4716" s="1" t="n">
        <v>45498.35340277778</v>
      </c>
      <c r="C4716" s="1" t="n">
        <v>45883</v>
      </c>
      <c r="D4716" t="inlineStr">
        <is>
          <t>GÄVLEBORGS LÄN</t>
        </is>
      </c>
      <c r="E4716" t="inlineStr">
        <is>
          <t>NORDANSTIG</t>
        </is>
      </c>
      <c r="F4716" t="inlineStr">
        <is>
          <t>Holmen skog AB</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11393-2023</t>
        </is>
      </c>
      <c r="B4717" s="1" t="n">
        <v>44988</v>
      </c>
      <c r="C4717" s="1" t="n">
        <v>45883</v>
      </c>
      <c r="D4717" t="inlineStr">
        <is>
          <t>GÄVLEBORGS LÄN</t>
        </is>
      </c>
      <c r="E4717" t="inlineStr">
        <is>
          <t>SANDVIKEN</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11401-2023</t>
        </is>
      </c>
      <c r="B4718" s="1" t="n">
        <v>44988</v>
      </c>
      <c r="C4718" s="1" t="n">
        <v>45883</v>
      </c>
      <c r="D4718" t="inlineStr">
        <is>
          <t>GÄVLEBORGS LÄN</t>
        </is>
      </c>
      <c r="E4718" t="inlineStr">
        <is>
          <t>SANDVIKEN</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52273-2024</t>
        </is>
      </c>
      <c r="B4719" s="1" t="n">
        <v>45608.66064814815</v>
      </c>
      <c r="C4719" s="1" t="n">
        <v>45883</v>
      </c>
      <c r="D4719" t="inlineStr">
        <is>
          <t>GÄVLEBORGS LÄN</t>
        </is>
      </c>
      <c r="E4719" t="inlineStr">
        <is>
          <t>OCKELBO</t>
        </is>
      </c>
      <c r="G4719" t="n">
        <v>2.9</v>
      </c>
      <c r="H4719" t="n">
        <v>0</v>
      </c>
      <c r="I4719" t="n">
        <v>0</v>
      </c>
      <c r="J4719" t="n">
        <v>0</v>
      </c>
      <c r="K4719" t="n">
        <v>0</v>
      </c>
      <c r="L4719" t="n">
        <v>0</v>
      </c>
      <c r="M4719" t="n">
        <v>0</v>
      </c>
      <c r="N4719" t="n">
        <v>0</v>
      </c>
      <c r="O4719" t="n">
        <v>0</v>
      </c>
      <c r="P4719" t="n">
        <v>0</v>
      </c>
      <c r="Q4719" t="n">
        <v>0</v>
      </c>
      <c r="R4719" s="2" t="inlineStr"/>
    </row>
    <row r="4720" ht="15" customHeight="1">
      <c r="A4720" t="inlineStr">
        <is>
          <t>A 22015-2025</t>
        </is>
      </c>
      <c r="B4720" s="1" t="n">
        <v>45784.78133101852</v>
      </c>
      <c r="C4720" s="1" t="n">
        <v>45883</v>
      </c>
      <c r="D4720" t="inlineStr">
        <is>
          <t>GÄVLEBORGS LÄN</t>
        </is>
      </c>
      <c r="E4720" t="inlineStr">
        <is>
          <t>HUDIKSVALL</t>
        </is>
      </c>
      <c r="F4720" t="inlineStr">
        <is>
          <t>Holmen skog AB</t>
        </is>
      </c>
      <c r="G4720" t="n">
        <v>14.3</v>
      </c>
      <c r="H4720" t="n">
        <v>0</v>
      </c>
      <c r="I4720" t="n">
        <v>0</v>
      </c>
      <c r="J4720" t="n">
        <v>0</v>
      </c>
      <c r="K4720" t="n">
        <v>0</v>
      </c>
      <c r="L4720" t="n">
        <v>0</v>
      </c>
      <c r="M4720" t="n">
        <v>0</v>
      </c>
      <c r="N4720" t="n">
        <v>0</v>
      </c>
      <c r="O4720" t="n">
        <v>0</v>
      </c>
      <c r="P4720" t="n">
        <v>0</v>
      </c>
      <c r="Q4720" t="n">
        <v>0</v>
      </c>
      <c r="R4720" s="2" t="inlineStr"/>
    </row>
    <row r="4721" ht="15" customHeight="1">
      <c r="A4721" t="inlineStr">
        <is>
          <t>A 7202-2025</t>
        </is>
      </c>
      <c r="B4721" s="1" t="n">
        <v>45702.46539351852</v>
      </c>
      <c r="C4721" s="1" t="n">
        <v>45883</v>
      </c>
      <c r="D4721" t="inlineStr">
        <is>
          <t>GÄVLEBORGS LÄN</t>
        </is>
      </c>
      <c r="E4721" t="inlineStr">
        <is>
          <t>GÄVLE</t>
        </is>
      </c>
      <c r="F4721" t="inlineStr">
        <is>
          <t>Bergvik skog öst AB</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8654-2025</t>
        </is>
      </c>
      <c r="B4722" s="1" t="n">
        <v>45712</v>
      </c>
      <c r="C4722" s="1" t="n">
        <v>45883</v>
      </c>
      <c r="D4722" t="inlineStr">
        <is>
          <t>GÄVLEBORGS LÄN</t>
        </is>
      </c>
      <c r="E4722" t="inlineStr">
        <is>
          <t>HUDIKSVALL</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8665-2025</t>
        </is>
      </c>
      <c r="B4723" s="1" t="n">
        <v>45712.40818287037</v>
      </c>
      <c r="C4723" s="1" t="n">
        <v>45883</v>
      </c>
      <c r="D4723" t="inlineStr">
        <is>
          <t>GÄVLEBORGS LÄN</t>
        </is>
      </c>
      <c r="E4723" t="inlineStr">
        <is>
          <t>BOLLNÄS</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31691-2024</t>
        </is>
      </c>
      <c r="B4724" s="1" t="n">
        <v>45507.84005787037</v>
      </c>
      <c r="C4724" s="1" t="n">
        <v>45883</v>
      </c>
      <c r="D4724" t="inlineStr">
        <is>
          <t>GÄVLEBORGS LÄN</t>
        </is>
      </c>
      <c r="E4724" t="inlineStr">
        <is>
          <t>HUDIKSVALL</t>
        </is>
      </c>
      <c r="F4724" t="inlineStr">
        <is>
          <t>Holmen skog AB</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41525-2022</t>
        </is>
      </c>
      <c r="B4725" s="1" t="n">
        <v>44827.34787037037</v>
      </c>
      <c r="C4725" s="1" t="n">
        <v>45883</v>
      </c>
      <c r="D4725" t="inlineStr">
        <is>
          <t>GÄVLEBORGS LÄN</t>
        </is>
      </c>
      <c r="E4725" t="inlineStr">
        <is>
          <t>LJUSDAL</t>
        </is>
      </c>
      <c r="F4725" t="inlineStr">
        <is>
          <t>Holmen skog AB</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58280-2024</t>
        </is>
      </c>
      <c r="B4726" s="1" t="n">
        <v>45632.57650462963</v>
      </c>
      <c r="C4726" s="1" t="n">
        <v>45883</v>
      </c>
      <c r="D4726" t="inlineStr">
        <is>
          <t>GÄVLEBORGS LÄN</t>
        </is>
      </c>
      <c r="E4726" t="inlineStr">
        <is>
          <t>OVANÅKER</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41284-2023</t>
        </is>
      </c>
      <c r="B4727" s="1" t="n">
        <v>45174</v>
      </c>
      <c r="C4727" s="1" t="n">
        <v>45883</v>
      </c>
      <c r="D4727" t="inlineStr">
        <is>
          <t>GÄVLEBORGS LÄN</t>
        </is>
      </c>
      <c r="E4727" t="inlineStr">
        <is>
          <t>SANDVIKEN</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60792-2024</t>
        </is>
      </c>
      <c r="B4728" s="1" t="n">
        <v>45644.59484953704</v>
      </c>
      <c r="C4728" s="1" t="n">
        <v>45883</v>
      </c>
      <c r="D4728" t="inlineStr">
        <is>
          <t>GÄVLEBORGS LÄN</t>
        </is>
      </c>
      <c r="E4728" t="inlineStr">
        <is>
          <t>GÄVLE</t>
        </is>
      </c>
      <c r="F4728" t="inlineStr">
        <is>
          <t>Kyrkan</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43750-2023</t>
        </is>
      </c>
      <c r="B4729" s="1" t="n">
        <v>45187</v>
      </c>
      <c r="C4729" s="1" t="n">
        <v>45883</v>
      </c>
      <c r="D4729" t="inlineStr">
        <is>
          <t>GÄVLEBORGS LÄN</t>
        </is>
      </c>
      <c r="E4729" t="inlineStr">
        <is>
          <t>BOLLNÄS</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2280-2022</t>
        </is>
      </c>
      <c r="B4730" s="1" t="n">
        <v>44578</v>
      </c>
      <c r="C4730" s="1" t="n">
        <v>45883</v>
      </c>
      <c r="D4730" t="inlineStr">
        <is>
          <t>GÄVLEBORGS LÄN</t>
        </is>
      </c>
      <c r="E4730" t="inlineStr">
        <is>
          <t>HUDIKSVALL</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62674-2023</t>
        </is>
      </c>
      <c r="B4731" s="1" t="n">
        <v>45271</v>
      </c>
      <c r="C4731" s="1" t="n">
        <v>45883</v>
      </c>
      <c r="D4731" t="inlineStr">
        <is>
          <t>GÄVLEBORGS LÄN</t>
        </is>
      </c>
      <c r="E4731" t="inlineStr">
        <is>
          <t>HUDIKSVALL</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62685-2023</t>
        </is>
      </c>
      <c r="B4732" s="1" t="n">
        <v>45271.49274305555</v>
      </c>
      <c r="C4732" s="1" t="n">
        <v>45883</v>
      </c>
      <c r="D4732" t="inlineStr">
        <is>
          <t>GÄVLEBORGS LÄN</t>
        </is>
      </c>
      <c r="E4732" t="inlineStr">
        <is>
          <t>BOLLNÄS</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7065-2023</t>
        </is>
      </c>
      <c r="B4733" s="1" t="n">
        <v>44969</v>
      </c>
      <c r="C4733" s="1" t="n">
        <v>45883</v>
      </c>
      <c r="D4733" t="inlineStr">
        <is>
          <t>GÄVLEBORGS LÄN</t>
        </is>
      </c>
      <c r="E4733" t="inlineStr">
        <is>
          <t>HUDIKSVALL</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6344-2021</t>
        </is>
      </c>
      <c r="B4734" s="1" t="n">
        <v>44235</v>
      </c>
      <c r="C4734" s="1" t="n">
        <v>45883</v>
      </c>
      <c r="D4734" t="inlineStr">
        <is>
          <t>GÄVLEBORGS LÄN</t>
        </is>
      </c>
      <c r="E4734" t="inlineStr">
        <is>
          <t>NORDANSTIG</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64422-2023</t>
        </is>
      </c>
      <c r="B4735" s="1" t="n">
        <v>45280.65898148148</v>
      </c>
      <c r="C4735" s="1" t="n">
        <v>45883</v>
      </c>
      <c r="D4735" t="inlineStr">
        <is>
          <t>GÄVLEBORGS LÄN</t>
        </is>
      </c>
      <c r="E4735" t="inlineStr">
        <is>
          <t>BOLLNÄS</t>
        </is>
      </c>
      <c r="G4735" t="n">
        <v>6.2</v>
      </c>
      <c r="H4735" t="n">
        <v>0</v>
      </c>
      <c r="I4735" t="n">
        <v>0</v>
      </c>
      <c r="J4735" t="n">
        <v>0</v>
      </c>
      <c r="K4735" t="n">
        <v>0</v>
      </c>
      <c r="L4735" t="n">
        <v>0</v>
      </c>
      <c r="M4735" t="n">
        <v>0</v>
      </c>
      <c r="N4735" t="n">
        <v>0</v>
      </c>
      <c r="O4735" t="n">
        <v>0</v>
      </c>
      <c r="P4735" t="n">
        <v>0</v>
      </c>
      <c r="Q4735" t="n">
        <v>0</v>
      </c>
      <c r="R4735" s="2" t="inlineStr"/>
    </row>
    <row r="4736" ht="15" customHeight="1">
      <c r="A4736" t="inlineStr">
        <is>
          <t>A 11432-2023</t>
        </is>
      </c>
      <c r="B4736" s="1" t="n">
        <v>44993</v>
      </c>
      <c r="C4736" s="1" t="n">
        <v>45883</v>
      </c>
      <c r="D4736" t="inlineStr">
        <is>
          <t>GÄVLEBORGS LÄN</t>
        </is>
      </c>
      <c r="E4736" t="inlineStr">
        <is>
          <t>HUDIKSVALL</t>
        </is>
      </c>
      <c r="G4736" t="n">
        <v>6.3</v>
      </c>
      <c r="H4736" t="n">
        <v>0</v>
      </c>
      <c r="I4736" t="n">
        <v>0</v>
      </c>
      <c r="J4736" t="n">
        <v>0</v>
      </c>
      <c r="K4736" t="n">
        <v>0</v>
      </c>
      <c r="L4736" t="n">
        <v>0</v>
      </c>
      <c r="M4736" t="n">
        <v>0</v>
      </c>
      <c r="N4736" t="n">
        <v>0</v>
      </c>
      <c r="O4736" t="n">
        <v>0</v>
      </c>
      <c r="P4736" t="n">
        <v>0</v>
      </c>
      <c r="Q4736" t="n">
        <v>0</v>
      </c>
      <c r="R4736" s="2" t="inlineStr"/>
    </row>
    <row r="4737" ht="15" customHeight="1">
      <c r="A4737" t="inlineStr">
        <is>
          <t>A 11436-2023</t>
        </is>
      </c>
      <c r="B4737" s="1" t="n">
        <v>44988</v>
      </c>
      <c r="C4737" s="1" t="n">
        <v>45883</v>
      </c>
      <c r="D4737" t="inlineStr">
        <is>
          <t>GÄVLEBORGS LÄN</t>
        </is>
      </c>
      <c r="E4737" t="inlineStr">
        <is>
          <t>SANDVIKEN</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57384-2024</t>
        </is>
      </c>
      <c r="B4738" s="1" t="n">
        <v>45629.68210648148</v>
      </c>
      <c r="C4738" s="1" t="n">
        <v>45883</v>
      </c>
      <c r="D4738" t="inlineStr">
        <is>
          <t>GÄVLEBORGS LÄN</t>
        </is>
      </c>
      <c r="E4738" t="inlineStr">
        <is>
          <t>BOLLNÄS</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56019-2023</t>
        </is>
      </c>
      <c r="B4739" s="1" t="n">
        <v>45240.42166666667</v>
      </c>
      <c r="C4739" s="1" t="n">
        <v>45883</v>
      </c>
      <c r="D4739" t="inlineStr">
        <is>
          <t>GÄVLEBORGS LÄN</t>
        </is>
      </c>
      <c r="E4739" t="inlineStr">
        <is>
          <t>SANDVIKEN</t>
        </is>
      </c>
      <c r="G4739" t="n">
        <v>3.3</v>
      </c>
      <c r="H4739" t="n">
        <v>0</v>
      </c>
      <c r="I4739" t="n">
        <v>0</v>
      </c>
      <c r="J4739" t="n">
        <v>0</v>
      </c>
      <c r="K4739" t="n">
        <v>0</v>
      </c>
      <c r="L4739" t="n">
        <v>0</v>
      </c>
      <c r="M4739" t="n">
        <v>0</v>
      </c>
      <c r="N4739" t="n">
        <v>0</v>
      </c>
      <c r="O4739" t="n">
        <v>0</v>
      </c>
      <c r="P4739" t="n">
        <v>0</v>
      </c>
      <c r="Q4739" t="n">
        <v>0</v>
      </c>
      <c r="R4739" s="2" t="inlineStr"/>
    </row>
    <row r="4740" ht="15" customHeight="1">
      <c r="A4740" t="inlineStr">
        <is>
          <t>A 18218-2024</t>
        </is>
      </c>
      <c r="B4740" s="1" t="n">
        <v>45420</v>
      </c>
      <c r="C4740" s="1" t="n">
        <v>45883</v>
      </c>
      <c r="D4740" t="inlineStr">
        <is>
          <t>GÄVLEBORGS LÄN</t>
        </is>
      </c>
      <c r="E4740" t="inlineStr">
        <is>
          <t>GÄVLE</t>
        </is>
      </c>
      <c r="F4740" t="inlineStr">
        <is>
          <t>Bergvik skog väst AB</t>
        </is>
      </c>
      <c r="G4740" t="n">
        <v>13.1</v>
      </c>
      <c r="H4740" t="n">
        <v>0</v>
      </c>
      <c r="I4740" t="n">
        <v>0</v>
      </c>
      <c r="J4740" t="n">
        <v>0</v>
      </c>
      <c r="K4740" t="n">
        <v>0</v>
      </c>
      <c r="L4740" t="n">
        <v>0</v>
      </c>
      <c r="M4740" t="n">
        <v>0</v>
      </c>
      <c r="N4740" t="n">
        <v>0</v>
      </c>
      <c r="O4740" t="n">
        <v>0</v>
      </c>
      <c r="P4740" t="n">
        <v>0</v>
      </c>
      <c r="Q4740" t="n">
        <v>0</v>
      </c>
      <c r="R4740" s="2" t="inlineStr"/>
    </row>
    <row r="4741" ht="15" customHeight="1">
      <c r="A4741" t="inlineStr">
        <is>
          <t>A 54323-2024</t>
        </is>
      </c>
      <c r="B4741" s="1" t="n">
        <v>45617.35549768519</v>
      </c>
      <c r="C4741" s="1" t="n">
        <v>45883</v>
      </c>
      <c r="D4741" t="inlineStr">
        <is>
          <t>GÄVLEBORGS LÄN</t>
        </is>
      </c>
      <c r="E4741" t="inlineStr">
        <is>
          <t>OCKELBO</t>
        </is>
      </c>
      <c r="F4741" t="inlineStr">
        <is>
          <t>Bergvik skog väst AB</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23093-2022</t>
        </is>
      </c>
      <c r="B4742" s="1" t="n">
        <v>44719.4865625</v>
      </c>
      <c r="C4742" s="1" t="n">
        <v>45883</v>
      </c>
      <c r="D4742" t="inlineStr">
        <is>
          <t>GÄVLEBORGS LÄN</t>
        </is>
      </c>
      <c r="E4742" t="inlineStr">
        <is>
          <t>OVANÅKER</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51788-2024</t>
        </is>
      </c>
      <c r="B4743" s="1" t="n">
        <v>45607.46204861111</v>
      </c>
      <c r="C4743" s="1" t="n">
        <v>45883</v>
      </c>
      <c r="D4743" t="inlineStr">
        <is>
          <t>GÄVLEBORGS LÄN</t>
        </is>
      </c>
      <c r="E4743" t="inlineStr">
        <is>
          <t>OVANÅKER</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47676-2024</t>
        </is>
      </c>
      <c r="B4744" s="1" t="n">
        <v>45588.40865740741</v>
      </c>
      <c r="C4744" s="1" t="n">
        <v>45883</v>
      </c>
      <c r="D4744" t="inlineStr">
        <is>
          <t>GÄVLEBORGS LÄN</t>
        </is>
      </c>
      <c r="E4744" t="inlineStr">
        <is>
          <t>SÖDERHAMN</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41670-2024</t>
        </is>
      </c>
      <c r="B4745" s="1" t="n">
        <v>45560.65509259259</v>
      </c>
      <c r="C4745" s="1" t="n">
        <v>45883</v>
      </c>
      <c r="D4745" t="inlineStr">
        <is>
          <t>GÄVLEBORGS LÄN</t>
        </is>
      </c>
      <c r="E4745" t="inlineStr">
        <is>
          <t>BOLLNÄS</t>
        </is>
      </c>
      <c r="G4745" t="n">
        <v>11.5</v>
      </c>
      <c r="H4745" t="n">
        <v>0</v>
      </c>
      <c r="I4745" t="n">
        <v>0</v>
      </c>
      <c r="J4745" t="n">
        <v>0</v>
      </c>
      <c r="K4745" t="n">
        <v>0</v>
      </c>
      <c r="L4745" t="n">
        <v>0</v>
      </c>
      <c r="M4745" t="n">
        <v>0</v>
      </c>
      <c r="N4745" t="n">
        <v>0</v>
      </c>
      <c r="O4745" t="n">
        <v>0</v>
      </c>
      <c r="P4745" t="n">
        <v>0</v>
      </c>
      <c r="Q4745" t="n">
        <v>0</v>
      </c>
      <c r="R4745" s="2" t="inlineStr"/>
    </row>
    <row r="4746" ht="15" customHeight="1">
      <c r="A4746" t="inlineStr">
        <is>
          <t>A 44182-2023</t>
        </is>
      </c>
      <c r="B4746" s="1" t="n">
        <v>45188.52214120371</v>
      </c>
      <c r="C4746" s="1" t="n">
        <v>45883</v>
      </c>
      <c r="D4746" t="inlineStr">
        <is>
          <t>GÄVLEBORGS LÄN</t>
        </is>
      </c>
      <c r="E4746" t="inlineStr">
        <is>
          <t>HUDIKSVALL</t>
        </is>
      </c>
      <c r="F4746" t="inlineStr">
        <is>
          <t>Holmen skog AB</t>
        </is>
      </c>
      <c r="G4746" t="n">
        <v>14.6</v>
      </c>
      <c r="H4746" t="n">
        <v>0</v>
      </c>
      <c r="I4746" t="n">
        <v>0</v>
      </c>
      <c r="J4746" t="n">
        <v>0</v>
      </c>
      <c r="K4746" t="n">
        <v>0</v>
      </c>
      <c r="L4746" t="n">
        <v>0</v>
      </c>
      <c r="M4746" t="n">
        <v>0</v>
      </c>
      <c r="N4746" t="n">
        <v>0</v>
      </c>
      <c r="O4746" t="n">
        <v>0</v>
      </c>
      <c r="P4746" t="n">
        <v>0</v>
      </c>
      <c r="Q4746" t="n">
        <v>0</v>
      </c>
      <c r="R4746" s="2" t="inlineStr"/>
    </row>
    <row r="4747" ht="15" customHeight="1">
      <c r="A4747" t="inlineStr">
        <is>
          <t>A 56754-2022</t>
        </is>
      </c>
      <c r="B4747" s="1" t="n">
        <v>44894</v>
      </c>
      <c r="C4747" s="1" t="n">
        <v>45883</v>
      </c>
      <c r="D4747" t="inlineStr">
        <is>
          <t>GÄVLEBORGS LÄN</t>
        </is>
      </c>
      <c r="E4747" t="inlineStr">
        <is>
          <t>HUDIKSVALL</t>
        </is>
      </c>
      <c r="F4747" t="inlineStr">
        <is>
          <t>Holmen skog AB</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20286-2023</t>
        </is>
      </c>
      <c r="B4748" s="1" t="n">
        <v>45056</v>
      </c>
      <c r="C4748" s="1" t="n">
        <v>45883</v>
      </c>
      <c r="D4748" t="inlineStr">
        <is>
          <t>GÄVLEBORGS LÄN</t>
        </is>
      </c>
      <c r="E4748" t="inlineStr">
        <is>
          <t>SÖDERHAMN</t>
        </is>
      </c>
      <c r="F4748" t="inlineStr">
        <is>
          <t>Bergvik skog väst AB</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22465-2021</t>
        </is>
      </c>
      <c r="B4749" s="1" t="n">
        <v>44326</v>
      </c>
      <c r="C4749" s="1" t="n">
        <v>45883</v>
      </c>
      <c r="D4749" t="inlineStr">
        <is>
          <t>GÄVLEBORGS LÄN</t>
        </is>
      </c>
      <c r="E4749" t="inlineStr">
        <is>
          <t>HUDIKSVALL</t>
        </is>
      </c>
      <c r="F4749" t="inlineStr">
        <is>
          <t>Holmen skog AB</t>
        </is>
      </c>
      <c r="G4749" t="n">
        <v>8</v>
      </c>
      <c r="H4749" t="n">
        <v>0</v>
      </c>
      <c r="I4749" t="n">
        <v>0</v>
      </c>
      <c r="J4749" t="n">
        <v>0</v>
      </c>
      <c r="K4749" t="n">
        <v>0</v>
      </c>
      <c r="L4749" t="n">
        <v>0</v>
      </c>
      <c r="M4749" t="n">
        <v>0</v>
      </c>
      <c r="N4749" t="n">
        <v>0</v>
      </c>
      <c r="O4749" t="n">
        <v>0</v>
      </c>
      <c r="P4749" t="n">
        <v>0</v>
      </c>
      <c r="Q4749" t="n">
        <v>0</v>
      </c>
      <c r="R4749" s="2" t="inlineStr"/>
    </row>
    <row r="4750" ht="15" customHeight="1">
      <c r="A4750" t="inlineStr">
        <is>
          <t>A 44549-2024</t>
        </is>
      </c>
      <c r="B4750" s="1" t="n">
        <v>45574.46666666667</v>
      </c>
      <c r="C4750" s="1" t="n">
        <v>45883</v>
      </c>
      <c r="D4750" t="inlineStr">
        <is>
          <t>GÄVLEBORGS LÄN</t>
        </is>
      </c>
      <c r="E4750" t="inlineStr">
        <is>
          <t>HUDIKSVALL</t>
        </is>
      </c>
      <c r="F4750" t="inlineStr">
        <is>
          <t>Holmen skog AB</t>
        </is>
      </c>
      <c r="G4750" t="n">
        <v>30.9</v>
      </c>
      <c r="H4750" t="n">
        <v>0</v>
      </c>
      <c r="I4750" t="n">
        <v>0</v>
      </c>
      <c r="J4750" t="n">
        <v>0</v>
      </c>
      <c r="K4750" t="n">
        <v>0</v>
      </c>
      <c r="L4750" t="n">
        <v>0</v>
      </c>
      <c r="M4750" t="n">
        <v>0</v>
      </c>
      <c r="N4750" t="n">
        <v>0</v>
      </c>
      <c r="O4750" t="n">
        <v>0</v>
      </c>
      <c r="P4750" t="n">
        <v>0</v>
      </c>
      <c r="Q4750" t="n">
        <v>0</v>
      </c>
      <c r="R4750" s="2" t="inlineStr"/>
    </row>
    <row r="4751" ht="15" customHeight="1">
      <c r="A4751" t="inlineStr">
        <is>
          <t>A 18453-2025</t>
        </is>
      </c>
      <c r="B4751" s="1" t="n">
        <v>45762.66689814815</v>
      </c>
      <c r="C4751" s="1" t="n">
        <v>45883</v>
      </c>
      <c r="D4751" t="inlineStr">
        <is>
          <t>GÄVLEBORGS LÄN</t>
        </is>
      </c>
      <c r="E4751" t="inlineStr">
        <is>
          <t>LJUSDAL</t>
        </is>
      </c>
      <c r="F4751" t="inlineStr">
        <is>
          <t>Kommuner</t>
        </is>
      </c>
      <c r="G4751" t="n">
        <v>5.5</v>
      </c>
      <c r="H4751" t="n">
        <v>0</v>
      </c>
      <c r="I4751" t="n">
        <v>0</v>
      </c>
      <c r="J4751" t="n">
        <v>0</v>
      </c>
      <c r="K4751" t="n">
        <v>0</v>
      </c>
      <c r="L4751" t="n">
        <v>0</v>
      </c>
      <c r="M4751" t="n">
        <v>0</v>
      </c>
      <c r="N4751" t="n">
        <v>0</v>
      </c>
      <c r="O4751" t="n">
        <v>0</v>
      </c>
      <c r="P4751" t="n">
        <v>0</v>
      </c>
      <c r="Q4751" t="n">
        <v>0</v>
      </c>
      <c r="R4751" s="2" t="inlineStr"/>
    </row>
    <row r="4752" ht="15" customHeight="1">
      <c r="A4752" t="inlineStr">
        <is>
          <t>A 18459-2025</t>
        </is>
      </c>
      <c r="B4752" s="1" t="n">
        <v>45762</v>
      </c>
      <c r="C4752" s="1" t="n">
        <v>45883</v>
      </c>
      <c r="D4752" t="inlineStr">
        <is>
          <t>GÄVLEBORGS LÄN</t>
        </is>
      </c>
      <c r="E4752" t="inlineStr">
        <is>
          <t>SÖDERHAMN</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19276-2025</t>
        </is>
      </c>
      <c r="B4753" s="1" t="n">
        <v>45769.5315625</v>
      </c>
      <c r="C4753" s="1" t="n">
        <v>45883</v>
      </c>
      <c r="D4753" t="inlineStr">
        <is>
          <t>GÄVLEBORGS LÄN</t>
        </is>
      </c>
      <c r="E4753" t="inlineStr">
        <is>
          <t>LJUSDAL</t>
        </is>
      </c>
      <c r="F4753" t="inlineStr">
        <is>
          <t>SCA</t>
        </is>
      </c>
      <c r="G4753" t="n">
        <v>5</v>
      </c>
      <c r="H4753" t="n">
        <v>0</v>
      </c>
      <c r="I4753" t="n">
        <v>0</v>
      </c>
      <c r="J4753" t="n">
        <v>0</v>
      </c>
      <c r="K4753" t="n">
        <v>0</v>
      </c>
      <c r="L4753" t="n">
        <v>0</v>
      </c>
      <c r="M4753" t="n">
        <v>0</v>
      </c>
      <c r="N4753" t="n">
        <v>0</v>
      </c>
      <c r="O4753" t="n">
        <v>0</v>
      </c>
      <c r="P4753" t="n">
        <v>0</v>
      </c>
      <c r="Q4753" t="n">
        <v>0</v>
      </c>
      <c r="R4753" s="2" t="inlineStr"/>
    </row>
    <row r="4754" ht="15" customHeight="1">
      <c r="A4754" t="inlineStr">
        <is>
          <t>A 64609-2023</t>
        </is>
      </c>
      <c r="B4754" s="1" t="n">
        <v>45281.50811342592</v>
      </c>
      <c r="C4754" s="1" t="n">
        <v>45883</v>
      </c>
      <c r="D4754" t="inlineStr">
        <is>
          <t>GÄVLEBORGS LÄN</t>
        </is>
      </c>
      <c r="E4754" t="inlineStr">
        <is>
          <t>OCKELBO</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9464-2025</t>
        </is>
      </c>
      <c r="B4755" s="1" t="n">
        <v>45715.4665625</v>
      </c>
      <c r="C4755" s="1" t="n">
        <v>45883</v>
      </c>
      <c r="D4755" t="inlineStr">
        <is>
          <t>GÄVLEBORGS LÄN</t>
        </is>
      </c>
      <c r="E4755" t="inlineStr">
        <is>
          <t>OCKELBO</t>
        </is>
      </c>
      <c r="F4755" t="inlineStr">
        <is>
          <t>Bergvik skog öst AB</t>
        </is>
      </c>
      <c r="G4755" t="n">
        <v>4.6</v>
      </c>
      <c r="H4755" t="n">
        <v>0</v>
      </c>
      <c r="I4755" t="n">
        <v>0</v>
      </c>
      <c r="J4755" t="n">
        <v>0</v>
      </c>
      <c r="K4755" t="n">
        <v>0</v>
      </c>
      <c r="L4755" t="n">
        <v>0</v>
      </c>
      <c r="M4755" t="n">
        <v>0</v>
      </c>
      <c r="N4755" t="n">
        <v>0</v>
      </c>
      <c r="O4755" t="n">
        <v>0</v>
      </c>
      <c r="P4755" t="n">
        <v>0</v>
      </c>
      <c r="Q4755" t="n">
        <v>0</v>
      </c>
      <c r="R4755" s="2" t="inlineStr"/>
    </row>
    <row r="4756" ht="15" customHeight="1">
      <c r="A4756" t="inlineStr">
        <is>
          <t>A 47875-2023</t>
        </is>
      </c>
      <c r="B4756" s="1" t="n">
        <v>45204.4600462963</v>
      </c>
      <c r="C4756" s="1" t="n">
        <v>45883</v>
      </c>
      <c r="D4756" t="inlineStr">
        <is>
          <t>GÄVLEBORGS LÄN</t>
        </is>
      </c>
      <c r="E4756" t="inlineStr">
        <is>
          <t>LJUSDAL</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8662-2025</t>
        </is>
      </c>
      <c r="B4757" s="1" t="n">
        <v>45712.39575231481</v>
      </c>
      <c r="C4757" s="1" t="n">
        <v>45883</v>
      </c>
      <c r="D4757" t="inlineStr">
        <is>
          <t>GÄVLEBORGS LÄN</t>
        </is>
      </c>
      <c r="E4757" t="inlineStr">
        <is>
          <t>OCKELBO</t>
        </is>
      </c>
      <c r="G4757" t="n">
        <v>14.7</v>
      </c>
      <c r="H4757" t="n">
        <v>0</v>
      </c>
      <c r="I4757" t="n">
        <v>0</v>
      </c>
      <c r="J4757" t="n">
        <v>0</v>
      </c>
      <c r="K4757" t="n">
        <v>0</v>
      </c>
      <c r="L4757" t="n">
        <v>0</v>
      </c>
      <c r="M4757" t="n">
        <v>0</v>
      </c>
      <c r="N4757" t="n">
        <v>0</v>
      </c>
      <c r="O4757" t="n">
        <v>0</v>
      </c>
      <c r="P4757" t="n">
        <v>0</v>
      </c>
      <c r="Q4757" t="n">
        <v>0</v>
      </c>
      <c r="R4757" s="2" t="inlineStr"/>
    </row>
    <row r="4758" ht="15" customHeight="1">
      <c r="A4758" t="inlineStr">
        <is>
          <t>A 47895-2023</t>
        </is>
      </c>
      <c r="B4758" s="1" t="n">
        <v>45204.49018518518</v>
      </c>
      <c r="C4758" s="1" t="n">
        <v>45883</v>
      </c>
      <c r="D4758" t="inlineStr">
        <is>
          <t>GÄVLEBORGS LÄN</t>
        </is>
      </c>
      <c r="E4758" t="inlineStr">
        <is>
          <t>SANDVIKEN</t>
        </is>
      </c>
      <c r="F4758" t="inlineStr">
        <is>
          <t>Bergvik skog öst AB</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22786-2024</t>
        </is>
      </c>
      <c r="B4759" s="1" t="n">
        <v>45448.48175925926</v>
      </c>
      <c r="C4759" s="1" t="n">
        <v>45883</v>
      </c>
      <c r="D4759" t="inlineStr">
        <is>
          <t>GÄVLEBORGS LÄN</t>
        </is>
      </c>
      <c r="E4759" t="inlineStr">
        <is>
          <t>LJUSDAL</t>
        </is>
      </c>
      <c r="F4759" t="inlineStr">
        <is>
          <t>Sveaskog</t>
        </is>
      </c>
      <c r="G4759" t="n">
        <v>4.2</v>
      </c>
      <c r="H4759" t="n">
        <v>0</v>
      </c>
      <c r="I4759" t="n">
        <v>0</v>
      </c>
      <c r="J4759" t="n">
        <v>0</v>
      </c>
      <c r="K4759" t="n">
        <v>0</v>
      </c>
      <c r="L4759" t="n">
        <v>0</v>
      </c>
      <c r="M4759" t="n">
        <v>0</v>
      </c>
      <c r="N4759" t="n">
        <v>0</v>
      </c>
      <c r="O4759" t="n">
        <v>0</v>
      </c>
      <c r="P4759" t="n">
        <v>0</v>
      </c>
      <c r="Q4759" t="n">
        <v>0</v>
      </c>
      <c r="R4759" s="2" t="inlineStr"/>
    </row>
    <row r="4760" ht="15" customHeight="1">
      <c r="A4760" t="inlineStr">
        <is>
          <t>A 57196-2024</t>
        </is>
      </c>
      <c r="B4760" s="1" t="n">
        <v>45629.47431712963</v>
      </c>
      <c r="C4760" s="1" t="n">
        <v>45883</v>
      </c>
      <c r="D4760" t="inlineStr">
        <is>
          <t>GÄVLEBORGS LÄN</t>
        </is>
      </c>
      <c r="E4760" t="inlineStr">
        <is>
          <t>HUDIKSVALL</t>
        </is>
      </c>
      <c r="F4760" t="inlineStr">
        <is>
          <t>Naturvårdsverket</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71305-2021</t>
        </is>
      </c>
      <c r="B4761" s="1" t="n">
        <v>44539.64944444445</v>
      </c>
      <c r="C4761" s="1" t="n">
        <v>45883</v>
      </c>
      <c r="D4761" t="inlineStr">
        <is>
          <t>GÄVLEBORGS LÄN</t>
        </is>
      </c>
      <c r="E4761" t="inlineStr">
        <is>
          <t>LJUSDAL</t>
        </is>
      </c>
      <c r="F4761" t="inlineStr">
        <is>
          <t>Kommuner</t>
        </is>
      </c>
      <c r="G4761" t="n">
        <v>3.8</v>
      </c>
      <c r="H4761" t="n">
        <v>0</v>
      </c>
      <c r="I4761" t="n">
        <v>0</v>
      </c>
      <c r="J4761" t="n">
        <v>0</v>
      </c>
      <c r="K4761" t="n">
        <v>0</v>
      </c>
      <c r="L4761" t="n">
        <v>0</v>
      </c>
      <c r="M4761" t="n">
        <v>0</v>
      </c>
      <c r="N4761" t="n">
        <v>0</v>
      </c>
      <c r="O4761" t="n">
        <v>0</v>
      </c>
      <c r="P4761" t="n">
        <v>0</v>
      </c>
      <c r="Q4761" t="n">
        <v>0</v>
      </c>
      <c r="R4761" s="2" t="inlineStr"/>
    </row>
    <row r="4762" ht="15" customHeight="1">
      <c r="A4762" t="inlineStr">
        <is>
          <t>A 27955-2024</t>
        </is>
      </c>
      <c r="B4762" s="1" t="n">
        <v>45476.3388425926</v>
      </c>
      <c r="C4762" s="1" t="n">
        <v>45883</v>
      </c>
      <c r="D4762" t="inlineStr">
        <is>
          <t>GÄVLEBORGS LÄN</t>
        </is>
      </c>
      <c r="E4762" t="inlineStr">
        <is>
          <t>HUDIKSVALL</t>
        </is>
      </c>
      <c r="F4762" t="inlineStr">
        <is>
          <t>Holmen skog AB</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52090-2024</t>
        </is>
      </c>
      <c r="B4763" s="1" t="n">
        <v>45608</v>
      </c>
      <c r="C4763" s="1" t="n">
        <v>45883</v>
      </c>
      <c r="D4763" t="inlineStr">
        <is>
          <t>GÄVLEBORGS LÄN</t>
        </is>
      </c>
      <c r="E4763" t="inlineStr">
        <is>
          <t>LJUSDAL</t>
        </is>
      </c>
      <c r="G4763" t="n">
        <v>0.3</v>
      </c>
      <c r="H4763" t="n">
        <v>0</v>
      </c>
      <c r="I4763" t="n">
        <v>0</v>
      </c>
      <c r="J4763" t="n">
        <v>0</v>
      </c>
      <c r="K4763" t="n">
        <v>0</v>
      </c>
      <c r="L4763" t="n">
        <v>0</v>
      </c>
      <c r="M4763" t="n">
        <v>0</v>
      </c>
      <c r="N4763" t="n">
        <v>0</v>
      </c>
      <c r="O4763" t="n">
        <v>0</v>
      </c>
      <c r="P4763" t="n">
        <v>0</v>
      </c>
      <c r="Q4763" t="n">
        <v>0</v>
      </c>
      <c r="R4763" s="2" t="inlineStr"/>
    </row>
    <row r="4764" ht="15" customHeight="1">
      <c r="A4764" t="inlineStr">
        <is>
          <t>A 45299-2023</t>
        </is>
      </c>
      <c r="B4764" s="1" t="n">
        <v>45191.66645833333</v>
      </c>
      <c r="C4764" s="1" t="n">
        <v>45883</v>
      </c>
      <c r="D4764" t="inlineStr">
        <is>
          <t>GÄVLEBORGS LÄN</t>
        </is>
      </c>
      <c r="E4764" t="inlineStr">
        <is>
          <t>SANDVIKEN</t>
        </is>
      </c>
      <c r="F4764" t="inlineStr">
        <is>
          <t>Bergvik skog öst AB</t>
        </is>
      </c>
      <c r="G4764" t="n">
        <v>5.1</v>
      </c>
      <c r="H4764" t="n">
        <v>0</v>
      </c>
      <c r="I4764" t="n">
        <v>0</v>
      </c>
      <c r="J4764" t="n">
        <v>0</v>
      </c>
      <c r="K4764" t="n">
        <v>0</v>
      </c>
      <c r="L4764" t="n">
        <v>0</v>
      </c>
      <c r="M4764" t="n">
        <v>0</v>
      </c>
      <c r="N4764" t="n">
        <v>0</v>
      </c>
      <c r="O4764" t="n">
        <v>0</v>
      </c>
      <c r="P4764" t="n">
        <v>0</v>
      </c>
      <c r="Q4764" t="n">
        <v>0</v>
      </c>
      <c r="R4764" s="2" t="inlineStr"/>
    </row>
    <row r="4765" ht="15" customHeight="1">
      <c r="A4765" t="inlineStr">
        <is>
          <t>A 45318-2023</t>
        </is>
      </c>
      <c r="B4765" s="1" t="n">
        <v>45191.76460648148</v>
      </c>
      <c r="C4765" s="1" t="n">
        <v>45883</v>
      </c>
      <c r="D4765" t="inlineStr">
        <is>
          <t>GÄVLEBORGS LÄN</t>
        </is>
      </c>
      <c r="E4765" t="inlineStr">
        <is>
          <t>HUDIKSVALL</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46879-2024</t>
        </is>
      </c>
      <c r="B4766" s="1" t="n">
        <v>45583</v>
      </c>
      <c r="C4766" s="1" t="n">
        <v>45883</v>
      </c>
      <c r="D4766" t="inlineStr">
        <is>
          <t>GÄVLEBORGS LÄN</t>
        </is>
      </c>
      <c r="E4766" t="inlineStr">
        <is>
          <t>SANDVIKEN</t>
        </is>
      </c>
      <c r="F4766" t="inlineStr">
        <is>
          <t>Sveaskog</t>
        </is>
      </c>
      <c r="G4766" t="n">
        <v>11.3</v>
      </c>
      <c r="H4766" t="n">
        <v>0</v>
      </c>
      <c r="I4766" t="n">
        <v>0</v>
      </c>
      <c r="J4766" t="n">
        <v>0</v>
      </c>
      <c r="K4766" t="n">
        <v>0</v>
      </c>
      <c r="L4766" t="n">
        <v>0</v>
      </c>
      <c r="M4766" t="n">
        <v>0</v>
      </c>
      <c r="N4766" t="n">
        <v>0</v>
      </c>
      <c r="O4766" t="n">
        <v>0</v>
      </c>
      <c r="P4766" t="n">
        <v>0</v>
      </c>
      <c r="Q4766" t="n">
        <v>0</v>
      </c>
      <c r="R4766" s="2" t="inlineStr"/>
    </row>
    <row r="4767" ht="15" customHeight="1">
      <c r="A4767" t="inlineStr">
        <is>
          <t>A 20434-2024</t>
        </is>
      </c>
      <c r="B4767" s="1" t="n">
        <v>45435.61346064815</v>
      </c>
      <c r="C4767" s="1" t="n">
        <v>45883</v>
      </c>
      <c r="D4767" t="inlineStr">
        <is>
          <t>GÄVLEBORGS LÄN</t>
        </is>
      </c>
      <c r="E4767" t="inlineStr">
        <is>
          <t>NORDANSTIG</t>
        </is>
      </c>
      <c r="F4767" t="inlineStr">
        <is>
          <t>Holmen skog AB</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44009-2023</t>
        </is>
      </c>
      <c r="B4768" s="1" t="n">
        <v>45188.33112268519</v>
      </c>
      <c r="C4768" s="1" t="n">
        <v>45883</v>
      </c>
      <c r="D4768" t="inlineStr">
        <is>
          <t>GÄVLEBORGS LÄN</t>
        </is>
      </c>
      <c r="E4768" t="inlineStr">
        <is>
          <t>NORDANSTIG</t>
        </is>
      </c>
      <c r="F4768" t="inlineStr">
        <is>
          <t>Holmen skog AB</t>
        </is>
      </c>
      <c r="G4768" t="n">
        <v>4.1</v>
      </c>
      <c r="H4768" t="n">
        <v>0</v>
      </c>
      <c r="I4768" t="n">
        <v>0</v>
      </c>
      <c r="J4768" t="n">
        <v>0</v>
      </c>
      <c r="K4768" t="n">
        <v>0</v>
      </c>
      <c r="L4768" t="n">
        <v>0</v>
      </c>
      <c r="M4768" t="n">
        <v>0</v>
      </c>
      <c r="N4768" t="n">
        <v>0</v>
      </c>
      <c r="O4768" t="n">
        <v>0</v>
      </c>
      <c r="P4768" t="n">
        <v>0</v>
      </c>
      <c r="Q4768" t="n">
        <v>0</v>
      </c>
      <c r="R4768" s="2" t="inlineStr"/>
    </row>
    <row r="4769" ht="15" customHeight="1">
      <c r="A4769" t="inlineStr">
        <is>
          <t>A 59661-2024</t>
        </is>
      </c>
      <c r="B4769" s="1" t="n">
        <v>45639.36412037037</v>
      </c>
      <c r="C4769" s="1" t="n">
        <v>45883</v>
      </c>
      <c r="D4769" t="inlineStr">
        <is>
          <t>GÄVLEBORGS LÄN</t>
        </is>
      </c>
      <c r="E4769" t="inlineStr">
        <is>
          <t>SANDVIKEN</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60426-2024</t>
        </is>
      </c>
      <c r="B4770" s="1" t="n">
        <v>45643</v>
      </c>
      <c r="C4770" s="1" t="n">
        <v>45883</v>
      </c>
      <c r="D4770" t="inlineStr">
        <is>
          <t>GÄVLEBORGS LÄN</t>
        </is>
      </c>
      <c r="E4770" t="inlineStr">
        <is>
          <t>BOLLNÄS</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6929-2023</t>
        </is>
      </c>
      <c r="B4771" s="1" t="n">
        <v>44967</v>
      </c>
      <c r="C4771" s="1" t="n">
        <v>45883</v>
      </c>
      <c r="D4771" t="inlineStr">
        <is>
          <t>GÄVLEBORGS LÄN</t>
        </is>
      </c>
      <c r="E4771" t="inlineStr">
        <is>
          <t>HOFORS</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6935-2023</t>
        </is>
      </c>
      <c r="B4772" s="1" t="n">
        <v>44967</v>
      </c>
      <c r="C4772" s="1" t="n">
        <v>45883</v>
      </c>
      <c r="D4772" t="inlineStr">
        <is>
          <t>GÄVLEBORGS LÄN</t>
        </is>
      </c>
      <c r="E4772" t="inlineStr">
        <is>
          <t>GÄVLE</t>
        </is>
      </c>
      <c r="F4772" t="inlineStr">
        <is>
          <t>Bergvik skog öst AB</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56229-2024</t>
        </is>
      </c>
      <c r="B4773" s="1" t="n">
        <v>45624.61965277778</v>
      </c>
      <c r="C4773" s="1" t="n">
        <v>45883</v>
      </c>
      <c r="D4773" t="inlineStr">
        <is>
          <t>GÄVLEBORGS LÄN</t>
        </is>
      </c>
      <c r="E4773" t="inlineStr">
        <is>
          <t>BOLLNÄS</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22188-2025</t>
        </is>
      </c>
      <c r="B4774" s="1" t="n">
        <v>45785.62377314815</v>
      </c>
      <c r="C4774" s="1" t="n">
        <v>45883</v>
      </c>
      <c r="D4774" t="inlineStr">
        <is>
          <t>GÄVLEBORGS LÄN</t>
        </is>
      </c>
      <c r="E4774" t="inlineStr">
        <is>
          <t>HUDIKSVALL</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22194-2025</t>
        </is>
      </c>
      <c r="B4775" s="1" t="n">
        <v>45785.64438657407</v>
      </c>
      <c r="C4775" s="1" t="n">
        <v>45883</v>
      </c>
      <c r="D4775" t="inlineStr">
        <is>
          <t>GÄVLEBORGS LÄN</t>
        </is>
      </c>
      <c r="E4775" t="inlineStr">
        <is>
          <t>LJUSDAL</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40460-2024</t>
        </is>
      </c>
      <c r="B4776" s="1" t="n">
        <v>45555.50784722222</v>
      </c>
      <c r="C4776" s="1" t="n">
        <v>45883</v>
      </c>
      <c r="D4776" t="inlineStr">
        <is>
          <t>GÄVLEBORGS LÄN</t>
        </is>
      </c>
      <c r="E4776" t="inlineStr">
        <is>
          <t>SANDVIKEN</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17529-2024</t>
        </is>
      </c>
      <c r="B4777" s="1" t="n">
        <v>45415</v>
      </c>
      <c r="C4777" s="1" t="n">
        <v>45883</v>
      </c>
      <c r="D4777" t="inlineStr">
        <is>
          <t>GÄVLEBORGS LÄN</t>
        </is>
      </c>
      <c r="E4777" t="inlineStr">
        <is>
          <t>BOLLNÄS</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55446-2024</t>
        </is>
      </c>
      <c r="B4778" s="1" t="n">
        <v>45622.41663194444</v>
      </c>
      <c r="C4778" s="1" t="n">
        <v>45883</v>
      </c>
      <c r="D4778" t="inlineStr">
        <is>
          <t>GÄVLEBORGS LÄN</t>
        </is>
      </c>
      <c r="E4778" t="inlineStr">
        <is>
          <t>SANDVIKEN</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37071-2024</t>
        </is>
      </c>
      <c r="B4779" s="1" t="n">
        <v>45539.46820601852</v>
      </c>
      <c r="C4779" s="1" t="n">
        <v>45883</v>
      </c>
      <c r="D4779" t="inlineStr">
        <is>
          <t>GÄVLEBORGS LÄN</t>
        </is>
      </c>
      <c r="E4779" t="inlineStr">
        <is>
          <t>OVANÅKER</t>
        </is>
      </c>
      <c r="F4779" t="inlineStr">
        <is>
          <t>Bergvik skog väst AB</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48319-2023</t>
        </is>
      </c>
      <c r="B4780" s="1" t="n">
        <v>45205.59666666666</v>
      </c>
      <c r="C4780" s="1" t="n">
        <v>45883</v>
      </c>
      <c r="D4780" t="inlineStr">
        <is>
          <t>GÄVLEBORGS LÄN</t>
        </is>
      </c>
      <c r="E4780" t="inlineStr">
        <is>
          <t>SANDVIKEN</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7379-2021</t>
        </is>
      </c>
      <c r="B4781" s="1" t="n">
        <v>44239</v>
      </c>
      <c r="C4781" s="1" t="n">
        <v>45883</v>
      </c>
      <c r="D4781" t="inlineStr">
        <is>
          <t>GÄVLEBORGS LÄN</t>
        </is>
      </c>
      <c r="E4781" t="inlineStr">
        <is>
          <t>OCKELBO</t>
        </is>
      </c>
      <c r="F4781" t="inlineStr">
        <is>
          <t>Bergvik skog väst AB</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19903-2025</t>
        </is>
      </c>
      <c r="B4782" s="1" t="n">
        <v>45771.59248842593</v>
      </c>
      <c r="C4782" s="1" t="n">
        <v>45883</v>
      </c>
      <c r="D4782" t="inlineStr">
        <is>
          <t>GÄVLEBORGS LÄN</t>
        </is>
      </c>
      <c r="E4782" t="inlineStr">
        <is>
          <t>OVANÅKER</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71070-2021</t>
        </is>
      </c>
      <c r="B4783" s="1" t="n">
        <v>44538.92322916666</v>
      </c>
      <c r="C4783" s="1" t="n">
        <v>45883</v>
      </c>
      <c r="D4783" t="inlineStr">
        <is>
          <t>GÄVLEBORGS LÄN</t>
        </is>
      </c>
      <c r="E4783" t="inlineStr">
        <is>
          <t>LJUSDAL</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53917-2024</t>
        </is>
      </c>
      <c r="B4784" s="1" t="n">
        <v>45615.75956018519</v>
      </c>
      <c r="C4784" s="1" t="n">
        <v>45883</v>
      </c>
      <c r="D4784" t="inlineStr">
        <is>
          <t>GÄVLEBORGS LÄN</t>
        </is>
      </c>
      <c r="E4784" t="inlineStr">
        <is>
          <t>SÖDERHAMN</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38634-2023</t>
        </is>
      </c>
      <c r="B4785" s="1" t="n">
        <v>45162.70454861111</v>
      </c>
      <c r="C4785" s="1" t="n">
        <v>45883</v>
      </c>
      <c r="D4785" t="inlineStr">
        <is>
          <t>GÄVLEBORGS LÄN</t>
        </is>
      </c>
      <c r="E4785" t="inlineStr">
        <is>
          <t>LJUSDAL</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52748-2024</t>
        </is>
      </c>
      <c r="B4786" s="1" t="n">
        <v>45610.48736111111</v>
      </c>
      <c r="C4786" s="1" t="n">
        <v>45883</v>
      </c>
      <c r="D4786" t="inlineStr">
        <is>
          <t>GÄVLEBORGS LÄN</t>
        </is>
      </c>
      <c r="E4786" t="inlineStr">
        <is>
          <t>BOLLNÄS</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38658-2023</t>
        </is>
      </c>
      <c r="B4787" s="1" t="n">
        <v>45162.8475925926</v>
      </c>
      <c r="C4787" s="1" t="n">
        <v>45883</v>
      </c>
      <c r="D4787" t="inlineStr">
        <is>
          <t>GÄVLEBORGS LÄN</t>
        </is>
      </c>
      <c r="E4787" t="inlineStr">
        <is>
          <t>NORDANSTIG</t>
        </is>
      </c>
      <c r="F4787" t="inlineStr">
        <is>
          <t>Holmen skog AB</t>
        </is>
      </c>
      <c r="G4787" t="n">
        <v>5.2</v>
      </c>
      <c r="H4787" t="n">
        <v>0</v>
      </c>
      <c r="I4787" t="n">
        <v>0</v>
      </c>
      <c r="J4787" t="n">
        <v>0</v>
      </c>
      <c r="K4787" t="n">
        <v>0</v>
      </c>
      <c r="L4787" t="n">
        <v>0</v>
      </c>
      <c r="M4787" t="n">
        <v>0</v>
      </c>
      <c r="N4787" t="n">
        <v>0</v>
      </c>
      <c r="O4787" t="n">
        <v>0</v>
      </c>
      <c r="P4787" t="n">
        <v>0</v>
      </c>
      <c r="Q4787" t="n">
        <v>0</v>
      </c>
      <c r="R4787" s="2" t="inlineStr"/>
    </row>
    <row r="4788" ht="15" customHeight="1">
      <c r="A4788" t="inlineStr">
        <is>
          <t>A 22449-2025</t>
        </is>
      </c>
      <c r="B4788" s="1" t="n">
        <v>45786.59866898148</v>
      </c>
      <c r="C4788" s="1" t="n">
        <v>45883</v>
      </c>
      <c r="D4788" t="inlineStr">
        <is>
          <t>GÄVLEBORGS LÄN</t>
        </is>
      </c>
      <c r="E4788" t="inlineStr">
        <is>
          <t>BOLLNÄS</t>
        </is>
      </c>
      <c r="G4788" t="n">
        <v>5.5</v>
      </c>
      <c r="H4788" t="n">
        <v>0</v>
      </c>
      <c r="I4788" t="n">
        <v>0</v>
      </c>
      <c r="J4788" t="n">
        <v>0</v>
      </c>
      <c r="K4788" t="n">
        <v>0</v>
      </c>
      <c r="L4788" t="n">
        <v>0</v>
      </c>
      <c r="M4788" t="n">
        <v>0</v>
      </c>
      <c r="N4788" t="n">
        <v>0</v>
      </c>
      <c r="O4788" t="n">
        <v>0</v>
      </c>
      <c r="P4788" t="n">
        <v>0</v>
      </c>
      <c r="Q4788" t="n">
        <v>0</v>
      </c>
      <c r="R4788" s="2" t="inlineStr"/>
    </row>
    <row r="4789" ht="15" customHeight="1">
      <c r="A4789" t="inlineStr">
        <is>
          <t>A 19144-2024</t>
        </is>
      </c>
      <c r="B4789" s="1" t="n">
        <v>45428</v>
      </c>
      <c r="C4789" s="1" t="n">
        <v>45883</v>
      </c>
      <c r="D4789" t="inlineStr">
        <is>
          <t>GÄVLEBORGS LÄN</t>
        </is>
      </c>
      <c r="E4789" t="inlineStr">
        <is>
          <t>BOLLNÄS</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3862-2024</t>
        </is>
      </c>
      <c r="B4790" s="1" t="n">
        <v>45322.38930555555</v>
      </c>
      <c r="C4790" s="1" t="n">
        <v>45883</v>
      </c>
      <c r="D4790" t="inlineStr">
        <is>
          <t>GÄVLEBORGS LÄN</t>
        </is>
      </c>
      <c r="E4790" t="inlineStr">
        <is>
          <t>GÄVLE</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20897-2024</t>
        </is>
      </c>
      <c r="B4791" s="1" t="n">
        <v>45439.46805555555</v>
      </c>
      <c r="C4791" s="1" t="n">
        <v>45883</v>
      </c>
      <c r="D4791" t="inlineStr">
        <is>
          <t>GÄVLEBORGS LÄN</t>
        </is>
      </c>
      <c r="E4791" t="inlineStr">
        <is>
          <t>LJUSDAL</t>
        </is>
      </c>
      <c r="G4791" t="n">
        <v>4.6</v>
      </c>
      <c r="H4791" t="n">
        <v>0</v>
      </c>
      <c r="I4791" t="n">
        <v>0</v>
      </c>
      <c r="J4791" t="n">
        <v>0</v>
      </c>
      <c r="K4791" t="n">
        <v>0</v>
      </c>
      <c r="L4791" t="n">
        <v>0</v>
      </c>
      <c r="M4791" t="n">
        <v>0</v>
      </c>
      <c r="N4791" t="n">
        <v>0</v>
      </c>
      <c r="O4791" t="n">
        <v>0</v>
      </c>
      <c r="P4791" t="n">
        <v>0</v>
      </c>
      <c r="Q4791" t="n">
        <v>0</v>
      </c>
      <c r="R4791" s="2" t="inlineStr"/>
    </row>
    <row r="4792" ht="15" customHeight="1">
      <c r="A4792" t="inlineStr">
        <is>
          <t>A 52655-2024</t>
        </is>
      </c>
      <c r="B4792" s="1" t="n">
        <v>45610.35550925926</v>
      </c>
      <c r="C4792" s="1" t="n">
        <v>45883</v>
      </c>
      <c r="D4792" t="inlineStr">
        <is>
          <t>GÄVLEBORGS LÄN</t>
        </is>
      </c>
      <c r="E4792" t="inlineStr">
        <is>
          <t>NORDANSTIG</t>
        </is>
      </c>
      <c r="F4792" t="inlineStr">
        <is>
          <t>Holmen skog AB</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32470-2023</t>
        </is>
      </c>
      <c r="B4793" s="1" t="n">
        <v>45120.92684027777</v>
      </c>
      <c r="C4793" s="1" t="n">
        <v>45883</v>
      </c>
      <c r="D4793" t="inlineStr">
        <is>
          <t>GÄVLEBORGS LÄN</t>
        </is>
      </c>
      <c r="E4793" t="inlineStr">
        <is>
          <t>NORDANSTIG</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42318-2020</t>
        </is>
      </c>
      <c r="B4794" s="1" t="n">
        <v>44076</v>
      </c>
      <c r="C4794" s="1" t="n">
        <v>45883</v>
      </c>
      <c r="D4794" t="inlineStr">
        <is>
          <t>GÄVLEBORGS LÄN</t>
        </is>
      </c>
      <c r="E4794" t="inlineStr">
        <is>
          <t>BOLLNÄS</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36864-2024</t>
        </is>
      </c>
      <c r="B4795" s="1" t="n">
        <v>45538.57896990741</v>
      </c>
      <c r="C4795" s="1" t="n">
        <v>45883</v>
      </c>
      <c r="D4795" t="inlineStr">
        <is>
          <t>GÄVLEBORGS LÄN</t>
        </is>
      </c>
      <c r="E4795" t="inlineStr">
        <is>
          <t>OVANÅKER</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21941-2022</t>
        </is>
      </c>
      <c r="B4796" s="1" t="n">
        <v>44711.48230324074</v>
      </c>
      <c r="C4796" s="1" t="n">
        <v>45883</v>
      </c>
      <c r="D4796" t="inlineStr">
        <is>
          <t>GÄVLEBORGS LÄN</t>
        </is>
      </c>
      <c r="E4796" t="inlineStr">
        <is>
          <t>LJUSDAL</t>
        </is>
      </c>
      <c r="F4796" t="inlineStr">
        <is>
          <t>Bergvik skog väst AB</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51930-2023</t>
        </is>
      </c>
      <c r="B4797" s="1" t="n">
        <v>45223.495</v>
      </c>
      <c r="C4797" s="1" t="n">
        <v>45883</v>
      </c>
      <c r="D4797" t="inlineStr">
        <is>
          <t>GÄVLEBORGS LÄN</t>
        </is>
      </c>
      <c r="E4797" t="inlineStr">
        <is>
          <t>NORDANSTIG</t>
        </is>
      </c>
      <c r="F4797" t="inlineStr">
        <is>
          <t>Holmen skog AB</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51952-2023</t>
        </is>
      </c>
      <c r="B4798" s="1" t="n">
        <v>45223.53648148148</v>
      </c>
      <c r="C4798" s="1" t="n">
        <v>45883</v>
      </c>
      <c r="D4798" t="inlineStr">
        <is>
          <t>GÄVLEBORGS LÄN</t>
        </is>
      </c>
      <c r="E4798" t="inlineStr">
        <is>
          <t>BOLLNÄS</t>
        </is>
      </c>
      <c r="G4798" t="n">
        <v>0.4</v>
      </c>
      <c r="H4798" t="n">
        <v>0</v>
      </c>
      <c r="I4798" t="n">
        <v>0</v>
      </c>
      <c r="J4798" t="n">
        <v>0</v>
      </c>
      <c r="K4798" t="n">
        <v>0</v>
      </c>
      <c r="L4798" t="n">
        <v>0</v>
      </c>
      <c r="M4798" t="n">
        <v>0</v>
      </c>
      <c r="N4798" t="n">
        <v>0</v>
      </c>
      <c r="O4798" t="n">
        <v>0</v>
      </c>
      <c r="P4798" t="n">
        <v>0</v>
      </c>
      <c r="Q4798" t="n">
        <v>0</v>
      </c>
      <c r="R4798" s="2" t="inlineStr"/>
    </row>
    <row r="4799" ht="15" customHeight="1">
      <c r="A4799" t="inlineStr">
        <is>
          <t>A 328-2024</t>
        </is>
      </c>
      <c r="B4799" s="1" t="n">
        <v>45295</v>
      </c>
      <c r="C4799" s="1" t="n">
        <v>45883</v>
      </c>
      <c r="D4799" t="inlineStr">
        <is>
          <t>GÄVLEBORGS LÄN</t>
        </is>
      </c>
      <c r="E4799" t="inlineStr">
        <is>
          <t>LJUSDAL</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22376-2025</t>
        </is>
      </c>
      <c r="B4800" s="1" t="n">
        <v>45786.48606481482</v>
      </c>
      <c r="C4800" s="1" t="n">
        <v>45883</v>
      </c>
      <c r="D4800" t="inlineStr">
        <is>
          <t>GÄVLEBORGS LÄN</t>
        </is>
      </c>
      <c r="E4800" t="inlineStr">
        <is>
          <t>OCKELBO</t>
        </is>
      </c>
      <c r="F4800" t="inlineStr">
        <is>
          <t>Bergvik skog väst AB</t>
        </is>
      </c>
      <c r="G4800" t="n">
        <v>11.1</v>
      </c>
      <c r="H4800" t="n">
        <v>0</v>
      </c>
      <c r="I4800" t="n">
        <v>0</v>
      </c>
      <c r="J4800" t="n">
        <v>0</v>
      </c>
      <c r="K4800" t="n">
        <v>0</v>
      </c>
      <c r="L4800" t="n">
        <v>0</v>
      </c>
      <c r="M4800" t="n">
        <v>0</v>
      </c>
      <c r="N4800" t="n">
        <v>0</v>
      </c>
      <c r="O4800" t="n">
        <v>0</v>
      </c>
      <c r="P4800" t="n">
        <v>0</v>
      </c>
      <c r="Q4800" t="n">
        <v>0</v>
      </c>
      <c r="R4800" s="2" t="inlineStr"/>
    </row>
    <row r="4801" ht="15" customHeight="1">
      <c r="A4801" t="inlineStr">
        <is>
          <t>A 3297-2024</t>
        </is>
      </c>
      <c r="B4801" s="1" t="n">
        <v>45317.4618287037</v>
      </c>
      <c r="C4801" s="1" t="n">
        <v>45883</v>
      </c>
      <c r="D4801" t="inlineStr">
        <is>
          <t>GÄVLEBORGS LÄN</t>
        </is>
      </c>
      <c r="E4801" t="inlineStr">
        <is>
          <t>HUDIKSVALL</t>
        </is>
      </c>
      <c r="G4801" t="n">
        <v>3</v>
      </c>
      <c r="H4801" t="n">
        <v>0</v>
      </c>
      <c r="I4801" t="n">
        <v>0</v>
      </c>
      <c r="J4801" t="n">
        <v>0</v>
      </c>
      <c r="K4801" t="n">
        <v>0</v>
      </c>
      <c r="L4801" t="n">
        <v>0</v>
      </c>
      <c r="M4801" t="n">
        <v>0</v>
      </c>
      <c r="N4801" t="n">
        <v>0</v>
      </c>
      <c r="O4801" t="n">
        <v>0</v>
      </c>
      <c r="P4801" t="n">
        <v>0</v>
      </c>
      <c r="Q4801" t="n">
        <v>0</v>
      </c>
      <c r="R4801" s="2" t="inlineStr"/>
    </row>
    <row r="4802" ht="15" customHeight="1">
      <c r="A4802" t="inlineStr">
        <is>
          <t>A 73389-2021</t>
        </is>
      </c>
      <c r="B4802" s="1" t="n">
        <v>44551</v>
      </c>
      <c r="C4802" s="1" t="n">
        <v>45883</v>
      </c>
      <c r="D4802" t="inlineStr">
        <is>
          <t>GÄVLEBORGS LÄN</t>
        </is>
      </c>
      <c r="E4802" t="inlineStr">
        <is>
          <t>NORDANSTIG</t>
        </is>
      </c>
      <c r="G4802" t="n">
        <v>4.2</v>
      </c>
      <c r="H4802" t="n">
        <v>0</v>
      </c>
      <c r="I4802" t="n">
        <v>0</v>
      </c>
      <c r="J4802" t="n">
        <v>0</v>
      </c>
      <c r="K4802" t="n">
        <v>0</v>
      </c>
      <c r="L4802" t="n">
        <v>0</v>
      </c>
      <c r="M4802" t="n">
        <v>0</v>
      </c>
      <c r="N4802" t="n">
        <v>0</v>
      </c>
      <c r="O4802" t="n">
        <v>0</v>
      </c>
      <c r="P4802" t="n">
        <v>0</v>
      </c>
      <c r="Q4802" t="n">
        <v>0</v>
      </c>
      <c r="R4802" s="2" t="inlineStr"/>
    </row>
    <row r="4803" ht="15" customHeight="1">
      <c r="A4803" t="inlineStr">
        <is>
          <t>A 12800-2025</t>
        </is>
      </c>
      <c r="B4803" s="1" t="n">
        <v>45733.61204861111</v>
      </c>
      <c r="C4803" s="1" t="n">
        <v>45883</v>
      </c>
      <c r="D4803" t="inlineStr">
        <is>
          <t>GÄVLEBORGS LÄN</t>
        </is>
      </c>
      <c r="E4803" t="inlineStr">
        <is>
          <t>BOLLNÄS</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12858-2025</t>
        </is>
      </c>
      <c r="B4804" s="1" t="n">
        <v>45733.66342592592</v>
      </c>
      <c r="C4804" s="1" t="n">
        <v>45883</v>
      </c>
      <c r="D4804" t="inlineStr">
        <is>
          <t>GÄVLEBORGS LÄN</t>
        </is>
      </c>
      <c r="E4804" t="inlineStr">
        <is>
          <t>NORDANSTIG</t>
        </is>
      </c>
      <c r="F4804" t="inlineStr">
        <is>
          <t>Holmen skog AB</t>
        </is>
      </c>
      <c r="G4804" t="n">
        <v>5.4</v>
      </c>
      <c r="H4804" t="n">
        <v>0</v>
      </c>
      <c r="I4804" t="n">
        <v>0</v>
      </c>
      <c r="J4804" t="n">
        <v>0</v>
      </c>
      <c r="K4804" t="n">
        <v>0</v>
      </c>
      <c r="L4804" t="n">
        <v>0</v>
      </c>
      <c r="M4804" t="n">
        <v>0</v>
      </c>
      <c r="N4804" t="n">
        <v>0</v>
      </c>
      <c r="O4804" t="n">
        <v>0</v>
      </c>
      <c r="P4804" t="n">
        <v>0</v>
      </c>
      <c r="Q4804" t="n">
        <v>0</v>
      </c>
      <c r="R4804" s="2" t="inlineStr"/>
    </row>
    <row r="4805" ht="15" customHeight="1">
      <c r="A4805" t="inlineStr">
        <is>
          <t>A 12867-2025</t>
        </is>
      </c>
      <c r="B4805" s="1" t="n">
        <v>45733.67521990741</v>
      </c>
      <c r="C4805" s="1" t="n">
        <v>45883</v>
      </c>
      <c r="D4805" t="inlineStr">
        <is>
          <t>GÄVLEBORGS LÄN</t>
        </is>
      </c>
      <c r="E4805" t="inlineStr">
        <is>
          <t>BOLLNÄS</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12897-2025</t>
        </is>
      </c>
      <c r="B4806" s="1" t="n">
        <v>45733.73048611111</v>
      </c>
      <c r="C4806" s="1" t="n">
        <v>45883</v>
      </c>
      <c r="D4806" t="inlineStr">
        <is>
          <t>GÄVLEBORGS LÄN</t>
        </is>
      </c>
      <c r="E4806" t="inlineStr">
        <is>
          <t>GÄVLE</t>
        </is>
      </c>
      <c r="F4806" t="inlineStr">
        <is>
          <t>Bergvik skog öst AB</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6417-2025</t>
        </is>
      </c>
      <c r="B4807" s="1" t="n">
        <v>45699.47202546296</v>
      </c>
      <c r="C4807" s="1" t="n">
        <v>45883</v>
      </c>
      <c r="D4807" t="inlineStr">
        <is>
          <t>GÄVLEBORGS LÄN</t>
        </is>
      </c>
      <c r="E4807" t="inlineStr">
        <is>
          <t>LJUSDAL</t>
        </is>
      </c>
      <c r="F4807" t="inlineStr">
        <is>
          <t>Holmen skog AB</t>
        </is>
      </c>
      <c r="G4807" t="n">
        <v>42.3</v>
      </c>
      <c r="H4807" t="n">
        <v>0</v>
      </c>
      <c r="I4807" t="n">
        <v>0</v>
      </c>
      <c r="J4807" t="n">
        <v>0</v>
      </c>
      <c r="K4807" t="n">
        <v>0</v>
      </c>
      <c r="L4807" t="n">
        <v>0</v>
      </c>
      <c r="M4807" t="n">
        <v>0</v>
      </c>
      <c r="N4807" t="n">
        <v>0</v>
      </c>
      <c r="O4807" t="n">
        <v>0</v>
      </c>
      <c r="P4807" t="n">
        <v>0</v>
      </c>
      <c r="Q4807" t="n">
        <v>0</v>
      </c>
      <c r="R4807" s="2" t="inlineStr"/>
    </row>
    <row r="4808" ht="15" customHeight="1">
      <c r="A4808" t="inlineStr">
        <is>
          <t>A 6718-2021</t>
        </is>
      </c>
      <c r="B4808" s="1" t="n">
        <v>44236</v>
      </c>
      <c r="C4808" s="1" t="n">
        <v>45883</v>
      </c>
      <c r="D4808" t="inlineStr">
        <is>
          <t>GÄVLEBORGS LÄN</t>
        </is>
      </c>
      <c r="E4808" t="inlineStr">
        <is>
          <t>NORDANSTIG</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25415-2022</t>
        </is>
      </c>
      <c r="B4809" s="1" t="n">
        <v>44732.45652777778</v>
      </c>
      <c r="C4809" s="1" t="n">
        <v>45883</v>
      </c>
      <c r="D4809" t="inlineStr">
        <is>
          <t>GÄVLEBORGS LÄN</t>
        </is>
      </c>
      <c r="E4809" t="inlineStr">
        <is>
          <t>LJUSDAL</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72997-2021</t>
        </is>
      </c>
      <c r="B4810" s="1" t="n">
        <v>44549.87050925926</v>
      </c>
      <c r="C4810" s="1" t="n">
        <v>45883</v>
      </c>
      <c r="D4810" t="inlineStr">
        <is>
          <t>GÄVLEBORGS LÄN</t>
        </is>
      </c>
      <c r="E4810" t="inlineStr">
        <is>
          <t>SANDVIKEN</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60789-2023</t>
        </is>
      </c>
      <c r="B4811" s="1" t="n">
        <v>45260</v>
      </c>
      <c r="C4811" s="1" t="n">
        <v>45883</v>
      </c>
      <c r="D4811" t="inlineStr">
        <is>
          <t>GÄVLEBORGS LÄN</t>
        </is>
      </c>
      <c r="E4811" t="inlineStr">
        <is>
          <t>HUDIKSVALL</t>
        </is>
      </c>
      <c r="G4811" t="n">
        <v>4.8</v>
      </c>
      <c r="H4811" t="n">
        <v>0</v>
      </c>
      <c r="I4811" t="n">
        <v>0</v>
      </c>
      <c r="J4811" t="n">
        <v>0</v>
      </c>
      <c r="K4811" t="n">
        <v>0</v>
      </c>
      <c r="L4811" t="n">
        <v>0</v>
      </c>
      <c r="M4811" t="n">
        <v>0</v>
      </c>
      <c r="N4811" t="n">
        <v>0</v>
      </c>
      <c r="O4811" t="n">
        <v>0</v>
      </c>
      <c r="P4811" t="n">
        <v>0</v>
      </c>
      <c r="Q4811" t="n">
        <v>0</v>
      </c>
      <c r="R4811" s="2" t="inlineStr"/>
    </row>
    <row r="4812" ht="15" customHeight="1">
      <c r="A4812" t="inlineStr">
        <is>
          <t>A 6998-2022</t>
        </is>
      </c>
      <c r="B4812" s="1" t="n">
        <v>44603</v>
      </c>
      <c r="C4812" s="1" t="n">
        <v>45883</v>
      </c>
      <c r="D4812" t="inlineStr">
        <is>
          <t>GÄVLEBORGS LÄN</t>
        </is>
      </c>
      <c r="E4812" t="inlineStr">
        <is>
          <t>SANDVIKEN</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60891-2023</t>
        </is>
      </c>
      <c r="B4813" s="1" t="n">
        <v>45261.34476851852</v>
      </c>
      <c r="C4813" s="1" t="n">
        <v>45883</v>
      </c>
      <c r="D4813" t="inlineStr">
        <is>
          <t>GÄVLEBORGS LÄN</t>
        </is>
      </c>
      <c r="E4813" t="inlineStr">
        <is>
          <t>SANDVIKEN</t>
        </is>
      </c>
      <c r="G4813" t="n">
        <v>3.3</v>
      </c>
      <c r="H4813" t="n">
        <v>0</v>
      </c>
      <c r="I4813" t="n">
        <v>0</v>
      </c>
      <c r="J4813" t="n">
        <v>0</v>
      </c>
      <c r="K4813" t="n">
        <v>0</v>
      </c>
      <c r="L4813" t="n">
        <v>0</v>
      </c>
      <c r="M4813" t="n">
        <v>0</v>
      </c>
      <c r="N4813" t="n">
        <v>0</v>
      </c>
      <c r="O4813" t="n">
        <v>0</v>
      </c>
      <c r="P4813" t="n">
        <v>0</v>
      </c>
      <c r="Q4813" t="n">
        <v>0</v>
      </c>
      <c r="R4813" s="2" t="inlineStr"/>
    </row>
    <row r="4814" ht="15" customHeight="1">
      <c r="A4814" t="inlineStr">
        <is>
          <t>A 60897-2023</t>
        </is>
      </c>
      <c r="B4814" s="1" t="n">
        <v>45261</v>
      </c>
      <c r="C4814" s="1" t="n">
        <v>45883</v>
      </c>
      <c r="D4814" t="inlineStr">
        <is>
          <t>GÄVLEBORGS LÄN</t>
        </is>
      </c>
      <c r="E4814" t="inlineStr">
        <is>
          <t>SANDVIKEN</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18926-2022</t>
        </is>
      </c>
      <c r="B4815" s="1" t="n">
        <v>44690.64179398148</v>
      </c>
      <c r="C4815" s="1" t="n">
        <v>45883</v>
      </c>
      <c r="D4815" t="inlineStr">
        <is>
          <t>GÄVLEBORGS LÄN</t>
        </is>
      </c>
      <c r="E4815" t="inlineStr">
        <is>
          <t>NORDANSTIG</t>
        </is>
      </c>
      <c r="F4815" t="inlineStr">
        <is>
          <t>Holmen skog AB</t>
        </is>
      </c>
      <c r="G4815" t="n">
        <v>11.4</v>
      </c>
      <c r="H4815" t="n">
        <v>0</v>
      </c>
      <c r="I4815" t="n">
        <v>0</v>
      </c>
      <c r="J4815" t="n">
        <v>0</v>
      </c>
      <c r="K4815" t="n">
        <v>0</v>
      </c>
      <c r="L4815" t="n">
        <v>0</v>
      </c>
      <c r="M4815" t="n">
        <v>0</v>
      </c>
      <c r="N4815" t="n">
        <v>0</v>
      </c>
      <c r="O4815" t="n">
        <v>0</v>
      </c>
      <c r="P4815" t="n">
        <v>0</v>
      </c>
      <c r="Q4815" t="n">
        <v>0</v>
      </c>
      <c r="R4815" s="2" t="inlineStr"/>
    </row>
    <row r="4816" ht="15" customHeight="1">
      <c r="A4816" t="inlineStr">
        <is>
          <t>A 69851-2021</t>
        </is>
      </c>
      <c r="B4816" s="1" t="n">
        <v>44532.68631944444</v>
      </c>
      <c r="C4816" s="1" t="n">
        <v>45883</v>
      </c>
      <c r="D4816" t="inlineStr">
        <is>
          <t>GÄVLEBORGS LÄN</t>
        </is>
      </c>
      <c r="E4816" t="inlineStr">
        <is>
          <t>HUDIKSVALL</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51424-2024</t>
        </is>
      </c>
      <c r="B4817" s="1" t="n">
        <v>45604.46155092592</v>
      </c>
      <c r="C4817" s="1" t="n">
        <v>45883</v>
      </c>
      <c r="D4817" t="inlineStr">
        <is>
          <t>GÄVLEBORGS LÄN</t>
        </is>
      </c>
      <c r="E4817" t="inlineStr">
        <is>
          <t>HUDIKSVALL</t>
        </is>
      </c>
      <c r="G4817" t="n">
        <v>8.800000000000001</v>
      </c>
      <c r="H4817" t="n">
        <v>0</v>
      </c>
      <c r="I4817" t="n">
        <v>0</v>
      </c>
      <c r="J4817" t="n">
        <v>0</v>
      </c>
      <c r="K4817" t="n">
        <v>0</v>
      </c>
      <c r="L4817" t="n">
        <v>0</v>
      </c>
      <c r="M4817" t="n">
        <v>0</v>
      </c>
      <c r="N4817" t="n">
        <v>0</v>
      </c>
      <c r="O4817" t="n">
        <v>0</v>
      </c>
      <c r="P4817" t="n">
        <v>0</v>
      </c>
      <c r="Q4817" t="n">
        <v>0</v>
      </c>
      <c r="R4817" s="2" t="inlineStr"/>
    </row>
    <row r="4818" ht="15" customHeight="1">
      <c r="A4818" t="inlineStr">
        <is>
          <t>A 48308-2024</t>
        </is>
      </c>
      <c r="B4818" s="1" t="n">
        <v>45590.47798611111</v>
      </c>
      <c r="C4818" s="1" t="n">
        <v>45883</v>
      </c>
      <c r="D4818" t="inlineStr">
        <is>
          <t>GÄVLEBORGS LÄN</t>
        </is>
      </c>
      <c r="E4818" t="inlineStr">
        <is>
          <t>BOLLNÄS</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48313-2024</t>
        </is>
      </c>
      <c r="B4819" s="1" t="n">
        <v>45590.48979166667</v>
      </c>
      <c r="C4819" s="1" t="n">
        <v>45883</v>
      </c>
      <c r="D4819" t="inlineStr">
        <is>
          <t>GÄVLEBORGS LÄN</t>
        </is>
      </c>
      <c r="E4819" t="inlineStr">
        <is>
          <t>SÖDERHAMN</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51368-2024</t>
        </is>
      </c>
      <c r="B4820" s="1" t="n">
        <v>45604.37246527777</v>
      </c>
      <c r="C4820" s="1" t="n">
        <v>45883</v>
      </c>
      <c r="D4820" t="inlineStr">
        <is>
          <t>GÄVLEBORGS LÄN</t>
        </is>
      </c>
      <c r="E4820" t="inlineStr">
        <is>
          <t>GÄVLE</t>
        </is>
      </c>
      <c r="F4820" t="inlineStr">
        <is>
          <t>Bergvik skog öst AB</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30407-2023</t>
        </is>
      </c>
      <c r="B4821" s="1" t="n">
        <v>45111</v>
      </c>
      <c r="C4821" s="1" t="n">
        <v>45883</v>
      </c>
      <c r="D4821" t="inlineStr">
        <is>
          <t>GÄVLEBORGS LÄN</t>
        </is>
      </c>
      <c r="E4821" t="inlineStr">
        <is>
          <t>SÖDERHAMN</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42629-2024</t>
        </is>
      </c>
      <c r="B4822" s="1" t="n">
        <v>45565.87759259259</v>
      </c>
      <c r="C4822" s="1" t="n">
        <v>45883</v>
      </c>
      <c r="D4822" t="inlineStr">
        <is>
          <t>GÄVLEBORGS LÄN</t>
        </is>
      </c>
      <c r="E4822" t="inlineStr">
        <is>
          <t>HUDIKSVALL</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42643-2024</t>
        </is>
      </c>
      <c r="B4823" s="1" t="n">
        <v>45566.28908564815</v>
      </c>
      <c r="C4823" s="1" t="n">
        <v>45883</v>
      </c>
      <c r="D4823" t="inlineStr">
        <is>
          <t>GÄVLEBORGS LÄN</t>
        </is>
      </c>
      <c r="E4823" t="inlineStr">
        <is>
          <t>BOLLNÄS</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42644-2024</t>
        </is>
      </c>
      <c r="B4824" s="1" t="n">
        <v>45566.29006944445</v>
      </c>
      <c r="C4824" s="1" t="n">
        <v>45883</v>
      </c>
      <c r="D4824" t="inlineStr">
        <is>
          <t>GÄVLEBORGS LÄN</t>
        </is>
      </c>
      <c r="E4824" t="inlineStr">
        <is>
          <t>BOLLNÄS</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63108-2021</t>
        </is>
      </c>
      <c r="B4825" s="1" t="n">
        <v>44505</v>
      </c>
      <c r="C4825" s="1" t="n">
        <v>45883</v>
      </c>
      <c r="D4825" t="inlineStr">
        <is>
          <t>GÄVLEBORGS LÄN</t>
        </is>
      </c>
      <c r="E4825" t="inlineStr">
        <is>
          <t>BOLLNÄS</t>
        </is>
      </c>
      <c r="F4825" t="inlineStr">
        <is>
          <t>Bergvik skog väst AB</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2274-2025</t>
        </is>
      </c>
      <c r="B4826" s="1" t="n">
        <v>45673.55641203704</v>
      </c>
      <c r="C4826" s="1" t="n">
        <v>45883</v>
      </c>
      <c r="D4826" t="inlineStr">
        <is>
          <t>GÄVLEBORGS LÄN</t>
        </is>
      </c>
      <c r="E4826" t="inlineStr">
        <is>
          <t>GÄVLE</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10863-2025</t>
        </is>
      </c>
      <c r="B4827" s="1" t="n">
        <v>45722.61061342592</v>
      </c>
      <c r="C4827" s="1" t="n">
        <v>45883</v>
      </c>
      <c r="D4827" t="inlineStr">
        <is>
          <t>GÄVLEBORGS LÄN</t>
        </is>
      </c>
      <c r="E4827" t="inlineStr">
        <is>
          <t>OVANÅKER</t>
        </is>
      </c>
      <c r="F4827" t="inlineStr">
        <is>
          <t>Bergvik skog väst AB</t>
        </is>
      </c>
      <c r="G4827" t="n">
        <v>6.8</v>
      </c>
      <c r="H4827" t="n">
        <v>0</v>
      </c>
      <c r="I4827" t="n">
        <v>0</v>
      </c>
      <c r="J4827" t="n">
        <v>0</v>
      </c>
      <c r="K4827" t="n">
        <v>0</v>
      </c>
      <c r="L4827" t="n">
        <v>0</v>
      </c>
      <c r="M4827" t="n">
        <v>0</v>
      </c>
      <c r="N4827" t="n">
        <v>0</v>
      </c>
      <c r="O4827" t="n">
        <v>0</v>
      </c>
      <c r="P4827" t="n">
        <v>0</v>
      </c>
      <c r="Q4827" t="n">
        <v>0</v>
      </c>
      <c r="R4827" s="2" t="inlineStr"/>
    </row>
    <row r="4828" ht="15" customHeight="1">
      <c r="A4828" t="inlineStr">
        <is>
          <t>A 10890-2025</t>
        </is>
      </c>
      <c r="B4828" s="1" t="n">
        <v>45722.67138888889</v>
      </c>
      <c r="C4828" s="1" t="n">
        <v>45883</v>
      </c>
      <c r="D4828" t="inlineStr">
        <is>
          <t>GÄVLEBORGS LÄN</t>
        </is>
      </c>
      <c r="E4828" t="inlineStr">
        <is>
          <t>HUDIKSVALL</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55427-2024</t>
        </is>
      </c>
      <c r="B4829" s="1" t="n">
        <v>45622.38875</v>
      </c>
      <c r="C4829" s="1" t="n">
        <v>45883</v>
      </c>
      <c r="D4829" t="inlineStr">
        <is>
          <t>GÄVLEBORGS LÄN</t>
        </is>
      </c>
      <c r="E4829" t="inlineStr">
        <is>
          <t>OVANÅKER</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65363-2021</t>
        </is>
      </c>
      <c r="B4830" s="1" t="n">
        <v>44515.67112268518</v>
      </c>
      <c r="C4830" s="1" t="n">
        <v>45883</v>
      </c>
      <c r="D4830" t="inlineStr">
        <is>
          <t>GÄVLEBORGS LÄN</t>
        </is>
      </c>
      <c r="E4830" t="inlineStr">
        <is>
          <t>HUDIKSVALL</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31573-2024</t>
        </is>
      </c>
      <c r="B4831" s="1" t="n">
        <v>45506.34135416667</v>
      </c>
      <c r="C4831" s="1" t="n">
        <v>45883</v>
      </c>
      <c r="D4831" t="inlineStr">
        <is>
          <t>GÄVLEBORGS LÄN</t>
        </is>
      </c>
      <c r="E4831" t="inlineStr">
        <is>
          <t>BOLLNÄS</t>
        </is>
      </c>
      <c r="F4831" t="inlineStr">
        <is>
          <t>Sveaskog</t>
        </is>
      </c>
      <c r="G4831" t="n">
        <v>10.8</v>
      </c>
      <c r="H4831" t="n">
        <v>0</v>
      </c>
      <c r="I4831" t="n">
        <v>0</v>
      </c>
      <c r="J4831" t="n">
        <v>0</v>
      </c>
      <c r="K4831" t="n">
        <v>0</v>
      </c>
      <c r="L4831" t="n">
        <v>0</v>
      </c>
      <c r="M4831" t="n">
        <v>0</v>
      </c>
      <c r="N4831" t="n">
        <v>0</v>
      </c>
      <c r="O4831" t="n">
        <v>0</v>
      </c>
      <c r="P4831" t="n">
        <v>0</v>
      </c>
      <c r="Q4831" t="n">
        <v>0</v>
      </c>
      <c r="R4831" s="2" t="inlineStr"/>
    </row>
    <row r="4832" ht="15" customHeight="1">
      <c r="A4832" t="inlineStr">
        <is>
          <t>A 13489-2025</t>
        </is>
      </c>
      <c r="B4832" s="1" t="n">
        <v>45736</v>
      </c>
      <c r="C4832" s="1" t="n">
        <v>45883</v>
      </c>
      <c r="D4832" t="inlineStr">
        <is>
          <t>GÄVLEBORGS LÄN</t>
        </is>
      </c>
      <c r="E4832" t="inlineStr">
        <is>
          <t>NORDANSTIG</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42950-2023</t>
        </is>
      </c>
      <c r="B4833" s="1" t="n">
        <v>45178</v>
      </c>
      <c r="C4833" s="1" t="n">
        <v>45883</v>
      </c>
      <c r="D4833" t="inlineStr">
        <is>
          <t>GÄVLEBORGS LÄN</t>
        </is>
      </c>
      <c r="E4833" t="inlineStr">
        <is>
          <t>SANDVIKEN</t>
        </is>
      </c>
      <c r="F4833" t="inlineStr">
        <is>
          <t>Bergvik skog väst AB</t>
        </is>
      </c>
      <c r="G4833" t="n">
        <v>16.5</v>
      </c>
      <c r="H4833" t="n">
        <v>0</v>
      </c>
      <c r="I4833" t="n">
        <v>0</v>
      </c>
      <c r="J4833" t="n">
        <v>0</v>
      </c>
      <c r="K4833" t="n">
        <v>0</v>
      </c>
      <c r="L4833" t="n">
        <v>0</v>
      </c>
      <c r="M4833" t="n">
        <v>0</v>
      </c>
      <c r="N4833" t="n">
        <v>0</v>
      </c>
      <c r="O4833" t="n">
        <v>0</v>
      </c>
      <c r="P4833" t="n">
        <v>0</v>
      </c>
      <c r="Q4833" t="n">
        <v>0</v>
      </c>
      <c r="R4833" s="2" t="inlineStr"/>
    </row>
    <row r="4834" ht="15" customHeight="1">
      <c r="A4834" t="inlineStr">
        <is>
          <t>A 60253-2023</t>
        </is>
      </c>
      <c r="B4834" s="1" t="n">
        <v>45258</v>
      </c>
      <c r="C4834" s="1" t="n">
        <v>45883</v>
      </c>
      <c r="D4834" t="inlineStr">
        <is>
          <t>GÄVLEBORGS LÄN</t>
        </is>
      </c>
      <c r="E4834" t="inlineStr">
        <is>
          <t>OCKELBO</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46075-2024</t>
        </is>
      </c>
      <c r="B4835" s="1" t="n">
        <v>45581.32696759259</v>
      </c>
      <c r="C4835" s="1" t="n">
        <v>45883</v>
      </c>
      <c r="D4835" t="inlineStr">
        <is>
          <t>GÄVLEBORGS LÄN</t>
        </is>
      </c>
      <c r="E4835" t="inlineStr">
        <is>
          <t>LJUSDAL</t>
        </is>
      </c>
      <c r="F4835" t="inlineStr">
        <is>
          <t>Bergvik skog väst AB</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15001-2023</t>
        </is>
      </c>
      <c r="B4836" s="1" t="n">
        <v>45015</v>
      </c>
      <c r="C4836" s="1" t="n">
        <v>45883</v>
      </c>
      <c r="D4836" t="inlineStr">
        <is>
          <t>GÄVLEBORGS LÄN</t>
        </is>
      </c>
      <c r="E4836" t="inlineStr">
        <is>
          <t>GÄVLE</t>
        </is>
      </c>
      <c r="F4836" t="inlineStr">
        <is>
          <t>Bergvik skog öst AB</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17062-2023</t>
        </is>
      </c>
      <c r="B4837" s="1" t="n">
        <v>45034</v>
      </c>
      <c r="C4837" s="1" t="n">
        <v>45883</v>
      </c>
      <c r="D4837" t="inlineStr">
        <is>
          <t>GÄVLEBORGS LÄN</t>
        </is>
      </c>
      <c r="E4837" t="inlineStr">
        <is>
          <t>GÄVLE</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40097-2024</t>
        </is>
      </c>
      <c r="B4838" s="1" t="n">
        <v>45554.41347222222</v>
      </c>
      <c r="C4838" s="1" t="n">
        <v>45883</v>
      </c>
      <c r="D4838" t="inlineStr">
        <is>
          <t>GÄVLEBORGS LÄN</t>
        </is>
      </c>
      <c r="E4838" t="inlineStr">
        <is>
          <t>SÖDERHAMN</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5892-2022</t>
        </is>
      </c>
      <c r="B4839" s="1" t="n">
        <v>44596</v>
      </c>
      <c r="C4839" s="1" t="n">
        <v>45883</v>
      </c>
      <c r="D4839" t="inlineStr">
        <is>
          <t>GÄVLEBORGS LÄN</t>
        </is>
      </c>
      <c r="E4839" t="inlineStr">
        <is>
          <t>NORDANSTIG</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5271-2023</t>
        </is>
      </c>
      <c r="B4840" s="1" t="n">
        <v>44959.48050925926</v>
      </c>
      <c r="C4840" s="1" t="n">
        <v>45883</v>
      </c>
      <c r="D4840" t="inlineStr">
        <is>
          <t>GÄVLEBORGS LÄN</t>
        </is>
      </c>
      <c r="E4840" t="inlineStr">
        <is>
          <t>OVANÅKER</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5300-2023</t>
        </is>
      </c>
      <c r="B4841" s="1" t="n">
        <v>44959.54719907408</v>
      </c>
      <c r="C4841" s="1" t="n">
        <v>45883</v>
      </c>
      <c r="D4841" t="inlineStr">
        <is>
          <t>GÄVLEBORGS LÄN</t>
        </is>
      </c>
      <c r="E4841" t="inlineStr">
        <is>
          <t>OVANÅKER</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13365-2023</t>
        </is>
      </c>
      <c r="B4842" s="1" t="n">
        <v>45005</v>
      </c>
      <c r="C4842" s="1" t="n">
        <v>45883</v>
      </c>
      <c r="D4842" t="inlineStr">
        <is>
          <t>GÄVLEBORGS LÄN</t>
        </is>
      </c>
      <c r="E4842" t="inlineStr">
        <is>
          <t>OVANÅKER</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9392-2025</t>
        </is>
      </c>
      <c r="B4843" s="1" t="n">
        <v>45715.35614583334</v>
      </c>
      <c r="C4843" s="1" t="n">
        <v>45883</v>
      </c>
      <c r="D4843" t="inlineStr">
        <is>
          <t>GÄVLEBORGS LÄN</t>
        </is>
      </c>
      <c r="E4843" t="inlineStr">
        <is>
          <t>HUDIKSVALL</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10030-2025</t>
        </is>
      </c>
      <c r="B4844" s="1" t="n">
        <v>45719.49319444445</v>
      </c>
      <c r="C4844" s="1" t="n">
        <v>45883</v>
      </c>
      <c r="D4844" t="inlineStr">
        <is>
          <t>GÄVLEBORGS LÄN</t>
        </is>
      </c>
      <c r="E4844" t="inlineStr">
        <is>
          <t>BOLLNÄS</t>
        </is>
      </c>
      <c r="F4844" t="inlineStr">
        <is>
          <t>Bergvik skog väst AB</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65259-2023</t>
        </is>
      </c>
      <c r="B4845" s="1" t="n">
        <v>45291.52712962963</v>
      </c>
      <c r="C4845" s="1" t="n">
        <v>45883</v>
      </c>
      <c r="D4845" t="inlineStr">
        <is>
          <t>GÄVLEBORGS LÄN</t>
        </is>
      </c>
      <c r="E4845" t="inlineStr">
        <is>
          <t>OCKELBO</t>
        </is>
      </c>
      <c r="G4845" t="n">
        <v>3.6</v>
      </c>
      <c r="H4845" t="n">
        <v>0</v>
      </c>
      <c r="I4845" t="n">
        <v>0</v>
      </c>
      <c r="J4845" t="n">
        <v>0</v>
      </c>
      <c r="K4845" t="n">
        <v>0</v>
      </c>
      <c r="L4845" t="n">
        <v>0</v>
      </c>
      <c r="M4845" t="n">
        <v>0</v>
      </c>
      <c r="N4845" t="n">
        <v>0</v>
      </c>
      <c r="O4845" t="n">
        <v>0</v>
      </c>
      <c r="P4845" t="n">
        <v>0</v>
      </c>
      <c r="Q4845" t="n">
        <v>0</v>
      </c>
      <c r="R4845" s="2" t="inlineStr"/>
    </row>
    <row r="4846" ht="15" customHeight="1">
      <c r="A4846" t="inlineStr">
        <is>
          <t>A 67049-2021</t>
        </is>
      </c>
      <c r="B4846" s="1" t="n">
        <v>44522.74202546296</v>
      </c>
      <c r="C4846" s="1" t="n">
        <v>45883</v>
      </c>
      <c r="D4846" t="inlineStr">
        <is>
          <t>GÄVLEBORGS LÄN</t>
        </is>
      </c>
      <c r="E4846" t="inlineStr">
        <is>
          <t>HUDIKSVALL</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32652-2023</t>
        </is>
      </c>
      <c r="B4847" s="1" t="n">
        <v>45121.60966435185</v>
      </c>
      <c r="C4847" s="1" t="n">
        <v>45883</v>
      </c>
      <c r="D4847" t="inlineStr">
        <is>
          <t>GÄVLEBORGS LÄN</t>
        </is>
      </c>
      <c r="E4847" t="inlineStr">
        <is>
          <t>NORDANSTIG</t>
        </is>
      </c>
      <c r="G4847" t="n">
        <v>3.3</v>
      </c>
      <c r="H4847" t="n">
        <v>0</v>
      </c>
      <c r="I4847" t="n">
        <v>0</v>
      </c>
      <c r="J4847" t="n">
        <v>0</v>
      </c>
      <c r="K4847" t="n">
        <v>0</v>
      </c>
      <c r="L4847" t="n">
        <v>0</v>
      </c>
      <c r="M4847" t="n">
        <v>0</v>
      </c>
      <c r="N4847" t="n">
        <v>0</v>
      </c>
      <c r="O4847" t="n">
        <v>0</v>
      </c>
      <c r="P4847" t="n">
        <v>0</v>
      </c>
      <c r="Q4847" t="n">
        <v>0</v>
      </c>
      <c r="R4847" s="2" t="inlineStr"/>
    </row>
    <row r="4848" ht="15" customHeight="1">
      <c r="A4848" t="inlineStr">
        <is>
          <t>A 5701-2025</t>
        </is>
      </c>
      <c r="B4848" s="1" t="n">
        <v>45694</v>
      </c>
      <c r="C4848" s="1" t="n">
        <v>45883</v>
      </c>
      <c r="D4848" t="inlineStr">
        <is>
          <t>GÄVLEBORGS LÄN</t>
        </is>
      </c>
      <c r="E4848" t="inlineStr">
        <is>
          <t>LJUSDAL</t>
        </is>
      </c>
      <c r="F4848" t="inlineStr">
        <is>
          <t>Bergvik skog väst AB</t>
        </is>
      </c>
      <c r="G4848" t="n">
        <v>7.1</v>
      </c>
      <c r="H4848" t="n">
        <v>0</v>
      </c>
      <c r="I4848" t="n">
        <v>0</v>
      </c>
      <c r="J4848" t="n">
        <v>0</v>
      </c>
      <c r="K4848" t="n">
        <v>0</v>
      </c>
      <c r="L4848" t="n">
        <v>0</v>
      </c>
      <c r="M4848" t="n">
        <v>0</v>
      </c>
      <c r="N4848" t="n">
        <v>0</v>
      </c>
      <c r="O4848" t="n">
        <v>0</v>
      </c>
      <c r="P4848" t="n">
        <v>0</v>
      </c>
      <c r="Q4848" t="n">
        <v>0</v>
      </c>
      <c r="R4848" s="2" t="inlineStr"/>
    </row>
    <row r="4849" ht="15" customHeight="1">
      <c r="A4849" t="inlineStr">
        <is>
          <t>A 32754-2023</t>
        </is>
      </c>
      <c r="B4849" s="1" t="n">
        <v>45123</v>
      </c>
      <c r="C4849" s="1" t="n">
        <v>45883</v>
      </c>
      <c r="D4849" t="inlineStr">
        <is>
          <t>GÄVLEBORGS LÄN</t>
        </is>
      </c>
      <c r="E4849" t="inlineStr">
        <is>
          <t>BOLLNÄS</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70478-2021</t>
        </is>
      </c>
      <c r="B4850" s="1" t="n">
        <v>44536</v>
      </c>
      <c r="C4850" s="1" t="n">
        <v>45883</v>
      </c>
      <c r="D4850" t="inlineStr">
        <is>
          <t>GÄVLEBORGS LÄN</t>
        </is>
      </c>
      <c r="E4850" t="inlineStr">
        <is>
          <t>LJUSDAL</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74009-2021</t>
        </is>
      </c>
      <c r="B4851" s="1" t="n">
        <v>44557</v>
      </c>
      <c r="C4851" s="1" t="n">
        <v>45883</v>
      </c>
      <c r="D4851" t="inlineStr">
        <is>
          <t>GÄVLEBORGS LÄN</t>
        </is>
      </c>
      <c r="E4851" t="inlineStr">
        <is>
          <t>HUDIKSVALL</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69521-2021</t>
        </is>
      </c>
      <c r="B4852" s="1" t="n">
        <v>44531.86046296296</v>
      </c>
      <c r="C4852" s="1" t="n">
        <v>45883</v>
      </c>
      <c r="D4852" t="inlineStr">
        <is>
          <t>GÄVLEBORGS LÄN</t>
        </is>
      </c>
      <c r="E4852" t="inlineStr">
        <is>
          <t>SANDVIKEN</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4563-2023</t>
        </is>
      </c>
      <c r="B4853" s="1" t="n">
        <v>44956</v>
      </c>
      <c r="C4853" s="1" t="n">
        <v>45883</v>
      </c>
      <c r="D4853" t="inlineStr">
        <is>
          <t>GÄVLEBORGS LÄN</t>
        </is>
      </c>
      <c r="E4853" t="inlineStr">
        <is>
          <t>SÖDERHAMN</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58182-2023</t>
        </is>
      </c>
      <c r="B4854" s="1" t="n">
        <v>45245</v>
      </c>
      <c r="C4854" s="1" t="n">
        <v>45883</v>
      </c>
      <c r="D4854" t="inlineStr">
        <is>
          <t>GÄVLEBORGS LÄN</t>
        </is>
      </c>
      <c r="E4854" t="inlineStr">
        <is>
          <t>SANDVIKEN</t>
        </is>
      </c>
      <c r="G4854" t="n">
        <v>8.1</v>
      </c>
      <c r="H4854" t="n">
        <v>0</v>
      </c>
      <c r="I4854" t="n">
        <v>0</v>
      </c>
      <c r="J4854" t="n">
        <v>0</v>
      </c>
      <c r="K4854" t="n">
        <v>0</v>
      </c>
      <c r="L4854" t="n">
        <v>0</v>
      </c>
      <c r="M4854" t="n">
        <v>0</v>
      </c>
      <c r="N4854" t="n">
        <v>0</v>
      </c>
      <c r="O4854" t="n">
        <v>0</v>
      </c>
      <c r="P4854" t="n">
        <v>0</v>
      </c>
      <c r="Q4854" t="n">
        <v>0</v>
      </c>
      <c r="R4854" s="2" t="inlineStr"/>
    </row>
    <row r="4855" ht="15" customHeight="1">
      <c r="A4855" t="inlineStr">
        <is>
          <t>A 44344-2024</t>
        </is>
      </c>
      <c r="B4855" s="1" t="n">
        <v>45573.62100694444</v>
      </c>
      <c r="C4855" s="1" t="n">
        <v>45883</v>
      </c>
      <c r="D4855" t="inlineStr">
        <is>
          <t>GÄVLEBORGS LÄN</t>
        </is>
      </c>
      <c r="E4855" t="inlineStr">
        <is>
          <t>BOLLNÄS</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62619-2023</t>
        </is>
      </c>
      <c r="B4856" s="1" t="n">
        <v>45271.35469907407</v>
      </c>
      <c r="C4856" s="1" t="n">
        <v>45883</v>
      </c>
      <c r="D4856" t="inlineStr">
        <is>
          <t>GÄVLEBORGS LÄN</t>
        </is>
      </c>
      <c r="E4856" t="inlineStr">
        <is>
          <t>NORDANSTIG</t>
        </is>
      </c>
      <c r="F4856" t="inlineStr">
        <is>
          <t>Holmen skog AB</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147-2024</t>
        </is>
      </c>
      <c r="B4857" s="1" t="n">
        <v>45294.46956018519</v>
      </c>
      <c r="C4857" s="1" t="n">
        <v>45883</v>
      </c>
      <c r="D4857" t="inlineStr">
        <is>
          <t>GÄVLEBORGS LÄN</t>
        </is>
      </c>
      <c r="E4857" t="inlineStr">
        <is>
          <t>LJUSDAL</t>
        </is>
      </c>
      <c r="G4857" t="n">
        <v>9.9</v>
      </c>
      <c r="H4857" t="n">
        <v>0</v>
      </c>
      <c r="I4857" t="n">
        <v>0</v>
      </c>
      <c r="J4857" t="n">
        <v>0</v>
      </c>
      <c r="K4857" t="n">
        <v>0</v>
      </c>
      <c r="L4857" t="n">
        <v>0</v>
      </c>
      <c r="M4857" t="n">
        <v>0</v>
      </c>
      <c r="N4857" t="n">
        <v>0</v>
      </c>
      <c r="O4857" t="n">
        <v>0</v>
      </c>
      <c r="P4857" t="n">
        <v>0</v>
      </c>
      <c r="Q4857" t="n">
        <v>0</v>
      </c>
      <c r="R4857" s="2" t="inlineStr"/>
    </row>
    <row r="4858" ht="15" customHeight="1">
      <c r="A4858" t="inlineStr">
        <is>
          <t>A 58799-2024</t>
        </is>
      </c>
      <c r="B4858" s="1" t="n">
        <v>45636.32105324074</v>
      </c>
      <c r="C4858" s="1" t="n">
        <v>45883</v>
      </c>
      <c r="D4858" t="inlineStr">
        <is>
          <t>GÄVLEBORGS LÄN</t>
        </is>
      </c>
      <c r="E4858" t="inlineStr">
        <is>
          <t>SÖDERHAMN</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58894-2024</t>
        </is>
      </c>
      <c r="B4859" s="1" t="n">
        <v>45636.46609953704</v>
      </c>
      <c r="C4859" s="1" t="n">
        <v>45883</v>
      </c>
      <c r="D4859" t="inlineStr">
        <is>
          <t>GÄVLEBORGS LÄN</t>
        </is>
      </c>
      <c r="E4859" t="inlineStr">
        <is>
          <t>LJUSDAL</t>
        </is>
      </c>
      <c r="G4859" t="n">
        <v>4.4</v>
      </c>
      <c r="H4859" t="n">
        <v>0</v>
      </c>
      <c r="I4859" t="n">
        <v>0</v>
      </c>
      <c r="J4859" t="n">
        <v>0</v>
      </c>
      <c r="K4859" t="n">
        <v>0</v>
      </c>
      <c r="L4859" t="n">
        <v>0</v>
      </c>
      <c r="M4859" t="n">
        <v>0</v>
      </c>
      <c r="N4859" t="n">
        <v>0</v>
      </c>
      <c r="O4859" t="n">
        <v>0</v>
      </c>
      <c r="P4859" t="n">
        <v>0</v>
      </c>
      <c r="Q4859" t="n">
        <v>0</v>
      </c>
      <c r="R4859" s="2" t="inlineStr"/>
    </row>
    <row r="4860" ht="15" customHeight="1">
      <c r="A4860" t="inlineStr">
        <is>
          <t>A 14010-2022</t>
        </is>
      </c>
      <c r="B4860" s="1" t="n">
        <v>44650</v>
      </c>
      <c r="C4860" s="1" t="n">
        <v>45883</v>
      </c>
      <c r="D4860" t="inlineStr">
        <is>
          <t>GÄVLEBORGS LÄN</t>
        </is>
      </c>
      <c r="E4860" t="inlineStr">
        <is>
          <t>LJUSDAL</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26264-2023</t>
        </is>
      </c>
      <c r="B4861" s="1" t="n">
        <v>45091.60821759259</v>
      </c>
      <c r="C4861" s="1" t="n">
        <v>45883</v>
      </c>
      <c r="D4861" t="inlineStr">
        <is>
          <t>GÄVLEBORGS LÄN</t>
        </is>
      </c>
      <c r="E4861" t="inlineStr">
        <is>
          <t>LJUSDAL</t>
        </is>
      </c>
      <c r="G4861" t="n">
        <v>6.3</v>
      </c>
      <c r="H4861" t="n">
        <v>0</v>
      </c>
      <c r="I4861" t="n">
        <v>0</v>
      </c>
      <c r="J4861" t="n">
        <v>0</v>
      </c>
      <c r="K4861" t="n">
        <v>0</v>
      </c>
      <c r="L4861" t="n">
        <v>0</v>
      </c>
      <c r="M4861" t="n">
        <v>0</v>
      </c>
      <c r="N4861" t="n">
        <v>0</v>
      </c>
      <c r="O4861" t="n">
        <v>0</v>
      </c>
      <c r="P4861" t="n">
        <v>0</v>
      </c>
      <c r="Q4861" t="n">
        <v>0</v>
      </c>
      <c r="R4861" s="2" t="inlineStr"/>
    </row>
    <row r="4862" ht="15" customHeight="1">
      <c r="A4862" t="inlineStr">
        <is>
          <t>A 58077-2024</t>
        </is>
      </c>
      <c r="B4862" s="1" t="n">
        <v>45632.31140046296</v>
      </c>
      <c r="C4862" s="1" t="n">
        <v>45883</v>
      </c>
      <c r="D4862" t="inlineStr">
        <is>
          <t>GÄVLEBORGS LÄN</t>
        </is>
      </c>
      <c r="E4862" t="inlineStr">
        <is>
          <t>SÖDERHAMN</t>
        </is>
      </c>
      <c r="F4862" t="inlineStr">
        <is>
          <t>Bergvik skog väst AB</t>
        </is>
      </c>
      <c r="G4862" t="n">
        <v>4</v>
      </c>
      <c r="H4862" t="n">
        <v>0</v>
      </c>
      <c r="I4862" t="n">
        <v>0</v>
      </c>
      <c r="J4862" t="n">
        <v>0</v>
      </c>
      <c r="K4862" t="n">
        <v>0</v>
      </c>
      <c r="L4862" t="n">
        <v>0</v>
      </c>
      <c r="M4862" t="n">
        <v>0</v>
      </c>
      <c r="N4862" t="n">
        <v>0</v>
      </c>
      <c r="O4862" t="n">
        <v>0</v>
      </c>
      <c r="P4862" t="n">
        <v>0</v>
      </c>
      <c r="Q4862" t="n">
        <v>0</v>
      </c>
      <c r="R4862" s="2" t="inlineStr"/>
    </row>
    <row r="4863" ht="15" customHeight="1">
      <c r="A4863" t="inlineStr">
        <is>
          <t>A 12139-2021</t>
        </is>
      </c>
      <c r="B4863" s="1" t="n">
        <v>44266</v>
      </c>
      <c r="C4863" s="1" t="n">
        <v>45883</v>
      </c>
      <c r="D4863" t="inlineStr">
        <is>
          <t>GÄVLEBORGS LÄN</t>
        </is>
      </c>
      <c r="E4863" t="inlineStr">
        <is>
          <t>OVANÅKER</t>
        </is>
      </c>
      <c r="G4863" t="n">
        <v>3.3</v>
      </c>
      <c r="H4863" t="n">
        <v>0</v>
      </c>
      <c r="I4863" t="n">
        <v>0</v>
      </c>
      <c r="J4863" t="n">
        <v>0</v>
      </c>
      <c r="K4863" t="n">
        <v>0</v>
      </c>
      <c r="L4863" t="n">
        <v>0</v>
      </c>
      <c r="M4863" t="n">
        <v>0</v>
      </c>
      <c r="N4863" t="n">
        <v>0</v>
      </c>
      <c r="O4863" t="n">
        <v>0</v>
      </c>
      <c r="P4863" t="n">
        <v>0</v>
      </c>
      <c r="Q4863" t="n">
        <v>0</v>
      </c>
      <c r="R4863" s="2" t="inlineStr"/>
    </row>
    <row r="4864" ht="15" customHeight="1">
      <c r="A4864" t="inlineStr">
        <is>
          <t>A 28523-2024</t>
        </is>
      </c>
      <c r="B4864" s="1" t="n">
        <v>45478.31907407408</v>
      </c>
      <c r="C4864" s="1" t="n">
        <v>45883</v>
      </c>
      <c r="D4864" t="inlineStr">
        <is>
          <t>GÄVLEBORGS LÄN</t>
        </is>
      </c>
      <c r="E4864" t="inlineStr">
        <is>
          <t>SANDVIKEN</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41385-2024</t>
        </is>
      </c>
      <c r="B4865" s="1" t="n">
        <v>45560.29936342593</v>
      </c>
      <c r="C4865" s="1" t="n">
        <v>45883</v>
      </c>
      <c r="D4865" t="inlineStr">
        <is>
          <t>GÄVLEBORGS LÄN</t>
        </is>
      </c>
      <c r="E4865" t="inlineStr">
        <is>
          <t>LJUSDAL</t>
        </is>
      </c>
      <c r="G4865" t="n">
        <v>3.4</v>
      </c>
      <c r="H4865" t="n">
        <v>0</v>
      </c>
      <c r="I4865" t="n">
        <v>0</v>
      </c>
      <c r="J4865" t="n">
        <v>0</v>
      </c>
      <c r="K4865" t="n">
        <v>0</v>
      </c>
      <c r="L4865" t="n">
        <v>0</v>
      </c>
      <c r="M4865" t="n">
        <v>0</v>
      </c>
      <c r="N4865" t="n">
        <v>0</v>
      </c>
      <c r="O4865" t="n">
        <v>0</v>
      </c>
      <c r="P4865" t="n">
        <v>0</v>
      </c>
      <c r="Q4865" t="n">
        <v>0</v>
      </c>
      <c r="R4865" s="2" t="inlineStr"/>
    </row>
    <row r="4866" ht="15" customHeight="1">
      <c r="A4866" t="inlineStr">
        <is>
          <t>A 5554-2024</t>
        </is>
      </c>
      <c r="B4866" s="1" t="n">
        <v>45334</v>
      </c>
      <c r="C4866" s="1" t="n">
        <v>45883</v>
      </c>
      <c r="D4866" t="inlineStr">
        <is>
          <t>GÄVLEBORGS LÄN</t>
        </is>
      </c>
      <c r="E4866" t="inlineStr">
        <is>
          <t>HOFORS</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57806-2024</t>
        </is>
      </c>
      <c r="B4867" s="1" t="n">
        <v>45631.35064814815</v>
      </c>
      <c r="C4867" s="1" t="n">
        <v>45883</v>
      </c>
      <c r="D4867" t="inlineStr">
        <is>
          <t>GÄVLEBORGS LÄN</t>
        </is>
      </c>
      <c r="E4867" t="inlineStr">
        <is>
          <t>NORDANSTIG</t>
        </is>
      </c>
      <c r="F4867" t="inlineStr">
        <is>
          <t>Holmen skog AB</t>
        </is>
      </c>
      <c r="G4867" t="n">
        <v>2.6</v>
      </c>
      <c r="H4867" t="n">
        <v>0</v>
      </c>
      <c r="I4867" t="n">
        <v>0</v>
      </c>
      <c r="J4867" t="n">
        <v>0</v>
      </c>
      <c r="K4867" t="n">
        <v>0</v>
      </c>
      <c r="L4867" t="n">
        <v>0</v>
      </c>
      <c r="M4867" t="n">
        <v>0</v>
      </c>
      <c r="N4867" t="n">
        <v>0</v>
      </c>
      <c r="O4867" t="n">
        <v>0</v>
      </c>
      <c r="P4867" t="n">
        <v>0</v>
      </c>
      <c r="Q4867" t="n">
        <v>0</v>
      </c>
      <c r="R4867" s="2" t="inlineStr"/>
      <c r="U4867">
        <f>HYPERLINK("https://klasma.github.io/Logging_2132/knärot/A 57806-2024 karta knärot.png", "A 57806-2024")</f>
        <v/>
      </c>
      <c r="V4867">
        <f>HYPERLINK("https://klasma.github.io/Logging_2132/klagomål/A 57806-2024 FSC-klagomål.docx", "A 57806-2024")</f>
        <v/>
      </c>
      <c r="W4867">
        <f>HYPERLINK("https://klasma.github.io/Logging_2132/klagomålsmail/A 57806-2024 FSC-klagomål mail.docx", "A 57806-2024")</f>
        <v/>
      </c>
      <c r="X4867">
        <f>HYPERLINK("https://klasma.github.io/Logging_2132/tillsyn/A 57806-2024 tillsynsbegäran.docx", "A 57806-2024")</f>
        <v/>
      </c>
      <c r="Y4867">
        <f>HYPERLINK("https://klasma.github.io/Logging_2132/tillsynsmail/A 57806-2024 tillsynsbegäran mail.docx", "A 57806-2024")</f>
        <v/>
      </c>
    </row>
    <row r="4868" ht="15" customHeight="1">
      <c r="A4868" t="inlineStr">
        <is>
          <t>A 7731-2025</t>
        </is>
      </c>
      <c r="B4868" s="1" t="n">
        <v>45706.46439814815</v>
      </c>
      <c r="C4868" s="1" t="n">
        <v>45883</v>
      </c>
      <c r="D4868" t="inlineStr">
        <is>
          <t>GÄVLEBORGS LÄN</t>
        </is>
      </c>
      <c r="E4868" t="inlineStr">
        <is>
          <t>GÄVLE</t>
        </is>
      </c>
      <c r="F4868" t="inlineStr">
        <is>
          <t>Bergvik skog öst AB</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6964-2025</t>
        </is>
      </c>
      <c r="B4869" s="1" t="n">
        <v>45701</v>
      </c>
      <c r="C4869" s="1" t="n">
        <v>45883</v>
      </c>
      <c r="D4869" t="inlineStr">
        <is>
          <t>GÄVLEBORGS LÄN</t>
        </is>
      </c>
      <c r="E4869" t="inlineStr">
        <is>
          <t>LJUSDAL</t>
        </is>
      </c>
      <c r="G4869" t="n">
        <v>4.2</v>
      </c>
      <c r="H4869" t="n">
        <v>0</v>
      </c>
      <c r="I4869" t="n">
        <v>0</v>
      </c>
      <c r="J4869" t="n">
        <v>0</v>
      </c>
      <c r="K4869" t="n">
        <v>0</v>
      </c>
      <c r="L4869" t="n">
        <v>0</v>
      </c>
      <c r="M4869" t="n">
        <v>0</v>
      </c>
      <c r="N4869" t="n">
        <v>0</v>
      </c>
      <c r="O4869" t="n">
        <v>0</v>
      </c>
      <c r="P4869" t="n">
        <v>0</v>
      </c>
      <c r="Q4869" t="n">
        <v>0</v>
      </c>
      <c r="R4869" s="2" t="inlineStr"/>
    </row>
    <row r="4870" ht="15" customHeight="1">
      <c r="A4870" t="inlineStr">
        <is>
          <t>A 22134-2025</t>
        </is>
      </c>
      <c r="B4870" s="1" t="n">
        <v>45785.54400462963</v>
      </c>
      <c r="C4870" s="1" t="n">
        <v>45883</v>
      </c>
      <c r="D4870" t="inlineStr">
        <is>
          <t>GÄVLEBORGS LÄN</t>
        </is>
      </c>
      <c r="E4870" t="inlineStr">
        <is>
          <t>BOLLNÄS</t>
        </is>
      </c>
      <c r="G4870" t="n">
        <v>3.3</v>
      </c>
      <c r="H4870" t="n">
        <v>0</v>
      </c>
      <c r="I4870" t="n">
        <v>0</v>
      </c>
      <c r="J4870" t="n">
        <v>0</v>
      </c>
      <c r="K4870" t="n">
        <v>0</v>
      </c>
      <c r="L4870" t="n">
        <v>0</v>
      </c>
      <c r="M4870" t="n">
        <v>0</v>
      </c>
      <c r="N4870" t="n">
        <v>0</v>
      </c>
      <c r="O4870" t="n">
        <v>0</v>
      </c>
      <c r="P4870" t="n">
        <v>0</v>
      </c>
      <c r="Q4870" t="n">
        <v>0</v>
      </c>
      <c r="R4870" s="2" t="inlineStr"/>
    </row>
    <row r="4871" ht="15" customHeight="1">
      <c r="A4871" t="inlineStr">
        <is>
          <t>A 10042-2025</t>
        </is>
      </c>
      <c r="B4871" s="1" t="n">
        <v>45719.50333333333</v>
      </c>
      <c r="C4871" s="1" t="n">
        <v>45883</v>
      </c>
      <c r="D4871" t="inlineStr">
        <is>
          <t>GÄVLEBORGS LÄN</t>
        </is>
      </c>
      <c r="E4871" t="inlineStr">
        <is>
          <t>NORDANSTIG</t>
        </is>
      </c>
      <c r="F4871" t="inlineStr">
        <is>
          <t>Holmen skog AB</t>
        </is>
      </c>
      <c r="G4871" t="n">
        <v>6.6</v>
      </c>
      <c r="H4871" t="n">
        <v>0</v>
      </c>
      <c r="I4871" t="n">
        <v>0</v>
      </c>
      <c r="J4871" t="n">
        <v>0</v>
      </c>
      <c r="K4871" t="n">
        <v>0</v>
      </c>
      <c r="L4871" t="n">
        <v>0</v>
      </c>
      <c r="M4871" t="n">
        <v>0</v>
      </c>
      <c r="N4871" t="n">
        <v>0</v>
      </c>
      <c r="O4871" t="n">
        <v>0</v>
      </c>
      <c r="P4871" t="n">
        <v>0</v>
      </c>
      <c r="Q4871" t="n">
        <v>0</v>
      </c>
      <c r="R4871" s="2" t="inlineStr"/>
    </row>
    <row r="4872" ht="15" customHeight="1">
      <c r="A4872" t="inlineStr">
        <is>
          <t>A 8913-2025</t>
        </is>
      </c>
      <c r="B4872" s="1" t="n">
        <v>45713.42717592593</v>
      </c>
      <c r="C4872" s="1" t="n">
        <v>45883</v>
      </c>
      <c r="D4872" t="inlineStr">
        <is>
          <t>GÄVLEBORGS LÄN</t>
        </is>
      </c>
      <c r="E4872" t="inlineStr">
        <is>
          <t>OCKELBO</t>
        </is>
      </c>
      <c r="F4872" t="inlineStr">
        <is>
          <t>Bergvik skog öst AB</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22945-2023</t>
        </is>
      </c>
      <c r="B4873" s="1" t="n">
        <v>45072</v>
      </c>
      <c r="C4873" s="1" t="n">
        <v>45883</v>
      </c>
      <c r="D4873" t="inlineStr">
        <is>
          <t>GÄVLEBORGS LÄN</t>
        </is>
      </c>
      <c r="E4873" t="inlineStr">
        <is>
          <t>HUDIKSVALL</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22952-2023</t>
        </is>
      </c>
      <c r="B4874" s="1" t="n">
        <v>45072</v>
      </c>
      <c r="C4874" s="1" t="n">
        <v>45883</v>
      </c>
      <c r="D4874" t="inlineStr">
        <is>
          <t>GÄVLEBORGS LÄN</t>
        </is>
      </c>
      <c r="E4874" t="inlineStr">
        <is>
          <t>OCKELBO</t>
        </is>
      </c>
      <c r="G4874" t="n">
        <v>5.6</v>
      </c>
      <c r="H4874" t="n">
        <v>0</v>
      </c>
      <c r="I4874" t="n">
        <v>0</v>
      </c>
      <c r="J4874" t="n">
        <v>0</v>
      </c>
      <c r="K4874" t="n">
        <v>0</v>
      </c>
      <c r="L4874" t="n">
        <v>0</v>
      </c>
      <c r="M4874" t="n">
        <v>0</v>
      </c>
      <c r="N4874" t="n">
        <v>0</v>
      </c>
      <c r="O4874" t="n">
        <v>0</v>
      </c>
      <c r="P4874" t="n">
        <v>0</v>
      </c>
      <c r="Q4874" t="n">
        <v>0</v>
      </c>
      <c r="R4874" s="2" t="inlineStr"/>
    </row>
    <row r="4875" ht="15" customHeight="1">
      <c r="A4875" t="inlineStr">
        <is>
          <t>A 10107-2025</t>
        </is>
      </c>
      <c r="B4875" s="1" t="n">
        <v>45719.58622685185</v>
      </c>
      <c r="C4875" s="1" t="n">
        <v>45883</v>
      </c>
      <c r="D4875" t="inlineStr">
        <is>
          <t>GÄVLEBORGS LÄN</t>
        </is>
      </c>
      <c r="E4875" t="inlineStr">
        <is>
          <t>OVANÅKER</t>
        </is>
      </c>
      <c r="F4875" t="inlineStr">
        <is>
          <t>Bergvik skog väst AB</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22447-2025</t>
        </is>
      </c>
      <c r="B4876" s="1" t="n">
        <v>45786.59483796296</v>
      </c>
      <c r="C4876" s="1" t="n">
        <v>45883</v>
      </c>
      <c r="D4876" t="inlineStr">
        <is>
          <t>GÄVLEBORGS LÄN</t>
        </is>
      </c>
      <c r="E4876" t="inlineStr">
        <is>
          <t>HUDIKSVALL</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54454-2024</t>
        </is>
      </c>
      <c r="B4877" s="1" t="n">
        <v>45617.52900462963</v>
      </c>
      <c r="C4877" s="1" t="n">
        <v>45883</v>
      </c>
      <c r="D4877" t="inlineStr">
        <is>
          <t>GÄVLEBORGS LÄN</t>
        </is>
      </c>
      <c r="E4877" t="inlineStr">
        <is>
          <t>OCKELBO</t>
        </is>
      </c>
      <c r="F4877" t="inlineStr">
        <is>
          <t>Bergvik skog väst AB</t>
        </is>
      </c>
      <c r="G4877" t="n">
        <v>6.8</v>
      </c>
      <c r="H4877" t="n">
        <v>0</v>
      </c>
      <c r="I4877" t="n">
        <v>0</v>
      </c>
      <c r="J4877" t="n">
        <v>0</v>
      </c>
      <c r="K4877" t="n">
        <v>0</v>
      </c>
      <c r="L4877" t="n">
        <v>0</v>
      </c>
      <c r="M4877" t="n">
        <v>0</v>
      </c>
      <c r="N4877" t="n">
        <v>0</v>
      </c>
      <c r="O4877" t="n">
        <v>0</v>
      </c>
      <c r="P4877" t="n">
        <v>0</v>
      </c>
      <c r="Q4877" t="n">
        <v>0</v>
      </c>
      <c r="R4877" s="2" t="inlineStr"/>
    </row>
    <row r="4878" ht="15" customHeight="1">
      <c r="A4878" t="inlineStr">
        <is>
          <t>A 22312-2025</t>
        </is>
      </c>
      <c r="B4878" s="1" t="n">
        <v>45786.384375</v>
      </c>
      <c r="C4878" s="1" t="n">
        <v>45883</v>
      </c>
      <c r="D4878" t="inlineStr">
        <is>
          <t>GÄVLEBORGS LÄN</t>
        </is>
      </c>
      <c r="E4878" t="inlineStr">
        <is>
          <t>OVANÅKER</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31649-2024</t>
        </is>
      </c>
      <c r="B4879" s="1" t="n">
        <v>45506.62546296296</v>
      </c>
      <c r="C4879" s="1" t="n">
        <v>45883</v>
      </c>
      <c r="D4879" t="inlineStr">
        <is>
          <t>GÄVLEBORGS LÄN</t>
        </is>
      </c>
      <c r="E4879" t="inlineStr">
        <is>
          <t>BOLLNÄS</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43544-2024</t>
        </is>
      </c>
      <c r="B4880" s="1" t="n">
        <v>45569.36675925926</v>
      </c>
      <c r="C4880" s="1" t="n">
        <v>45883</v>
      </c>
      <c r="D4880" t="inlineStr">
        <is>
          <t>GÄVLEBORGS LÄN</t>
        </is>
      </c>
      <c r="E4880" t="inlineStr">
        <is>
          <t>OVANÅKER</t>
        </is>
      </c>
      <c r="G4880" t="n">
        <v>2.6</v>
      </c>
      <c r="H4880" t="n">
        <v>0</v>
      </c>
      <c r="I4880" t="n">
        <v>0</v>
      </c>
      <c r="J4880" t="n">
        <v>0</v>
      </c>
      <c r="K4880" t="n">
        <v>0</v>
      </c>
      <c r="L4880" t="n">
        <v>0</v>
      </c>
      <c r="M4880" t="n">
        <v>0</v>
      </c>
      <c r="N4880" t="n">
        <v>0</v>
      </c>
      <c r="O4880" t="n">
        <v>0</v>
      </c>
      <c r="P4880" t="n">
        <v>0</v>
      </c>
      <c r="Q4880" t="n">
        <v>0</v>
      </c>
      <c r="R4880" s="2" t="inlineStr"/>
    </row>
    <row r="4881" ht="15" customHeight="1">
      <c r="A4881" t="inlineStr">
        <is>
          <t>A 56008-2024</t>
        </is>
      </c>
      <c r="B4881" s="1" t="n">
        <v>45623.8034837963</v>
      </c>
      <c r="C4881" s="1" t="n">
        <v>45883</v>
      </c>
      <c r="D4881" t="inlineStr">
        <is>
          <t>GÄVLEBORGS LÄN</t>
        </is>
      </c>
      <c r="E4881" t="inlineStr">
        <is>
          <t>LJUSDAL</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26506-2023</t>
        </is>
      </c>
      <c r="B4882" s="1" t="n">
        <v>45092.52630787037</v>
      </c>
      <c r="C4882" s="1" t="n">
        <v>45883</v>
      </c>
      <c r="D4882" t="inlineStr">
        <is>
          <t>GÄVLEBORGS LÄN</t>
        </is>
      </c>
      <c r="E4882" t="inlineStr">
        <is>
          <t>LJUSDAL</t>
        </is>
      </c>
      <c r="F4882" t="inlineStr">
        <is>
          <t>Sveaskog</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57863-2024</t>
        </is>
      </c>
      <c r="B4883" s="1" t="n">
        <v>45631.43291666666</v>
      </c>
      <c r="C4883" s="1" t="n">
        <v>45883</v>
      </c>
      <c r="D4883" t="inlineStr">
        <is>
          <t>GÄVLEBORGS LÄN</t>
        </is>
      </c>
      <c r="E4883" t="inlineStr">
        <is>
          <t>NORDANSTIG</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57866-2024</t>
        </is>
      </c>
      <c r="B4884" s="1" t="n">
        <v>45631.43737268518</v>
      </c>
      <c r="C4884" s="1" t="n">
        <v>45883</v>
      </c>
      <c r="D4884" t="inlineStr">
        <is>
          <t>GÄVLEBORGS LÄN</t>
        </is>
      </c>
      <c r="E4884" t="inlineStr">
        <is>
          <t>NORDANSTIG</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28905-2023</t>
        </is>
      </c>
      <c r="B4885" s="1" t="n">
        <v>45104.50863425926</v>
      </c>
      <c r="C4885" s="1" t="n">
        <v>45883</v>
      </c>
      <c r="D4885" t="inlineStr">
        <is>
          <t>GÄVLEBORGS LÄN</t>
        </is>
      </c>
      <c r="E4885" t="inlineStr">
        <is>
          <t>GÄVLE</t>
        </is>
      </c>
      <c r="F4885" t="inlineStr">
        <is>
          <t>Bergvik skog väst AB</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49948-2024</t>
        </is>
      </c>
      <c r="B4886" s="1" t="n">
        <v>45597.6052662037</v>
      </c>
      <c r="C4886" s="1" t="n">
        <v>45883</v>
      </c>
      <c r="D4886" t="inlineStr">
        <is>
          <t>GÄVLEBORGS LÄN</t>
        </is>
      </c>
      <c r="E4886" t="inlineStr">
        <is>
          <t>SÖDERHAMN</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20386-2024</t>
        </is>
      </c>
      <c r="B4887" s="1" t="n">
        <v>45435.50869212963</v>
      </c>
      <c r="C4887" s="1" t="n">
        <v>45883</v>
      </c>
      <c r="D4887" t="inlineStr">
        <is>
          <t>GÄVLEBORGS LÄN</t>
        </is>
      </c>
      <c r="E4887" t="inlineStr">
        <is>
          <t>NORDANSTIG</t>
        </is>
      </c>
      <c r="F4887" t="inlineStr">
        <is>
          <t>Holmen skog AB</t>
        </is>
      </c>
      <c r="G4887" t="n">
        <v>6.5</v>
      </c>
      <c r="H4887" t="n">
        <v>0</v>
      </c>
      <c r="I4887" t="n">
        <v>0</v>
      </c>
      <c r="J4887" t="n">
        <v>0</v>
      </c>
      <c r="K4887" t="n">
        <v>0</v>
      </c>
      <c r="L4887" t="n">
        <v>0</v>
      </c>
      <c r="M4887" t="n">
        <v>0</v>
      </c>
      <c r="N4887" t="n">
        <v>0</v>
      </c>
      <c r="O4887" t="n">
        <v>0</v>
      </c>
      <c r="P4887" t="n">
        <v>0</v>
      </c>
      <c r="Q4887" t="n">
        <v>0</v>
      </c>
      <c r="R4887" s="2" t="inlineStr"/>
    </row>
    <row r="4888" ht="15" customHeight="1">
      <c r="A4888" t="inlineStr">
        <is>
          <t>A 46376-2024</t>
        </is>
      </c>
      <c r="B4888" s="1" t="n">
        <v>45582.3827662037</v>
      </c>
      <c r="C4888" s="1" t="n">
        <v>45883</v>
      </c>
      <c r="D4888" t="inlineStr">
        <is>
          <t>GÄVLEBORGS LÄN</t>
        </is>
      </c>
      <c r="E4888" t="inlineStr">
        <is>
          <t>NORDANSTIG</t>
        </is>
      </c>
      <c r="F4888" t="inlineStr">
        <is>
          <t>Holmen skog AB</t>
        </is>
      </c>
      <c r="G4888" t="n">
        <v>5.3</v>
      </c>
      <c r="H4888" t="n">
        <v>0</v>
      </c>
      <c r="I4888" t="n">
        <v>0</v>
      </c>
      <c r="J4888" t="n">
        <v>0</v>
      </c>
      <c r="K4888" t="n">
        <v>0</v>
      </c>
      <c r="L4888" t="n">
        <v>0</v>
      </c>
      <c r="M4888" t="n">
        <v>0</v>
      </c>
      <c r="N4888" t="n">
        <v>0</v>
      </c>
      <c r="O4888" t="n">
        <v>0</v>
      </c>
      <c r="P4888" t="n">
        <v>0</v>
      </c>
      <c r="Q4888" t="n">
        <v>0</v>
      </c>
      <c r="R4888" s="2" t="inlineStr"/>
    </row>
    <row r="4889" ht="15" customHeight="1">
      <c r="A4889" t="inlineStr">
        <is>
          <t>A 46401-2024</t>
        </is>
      </c>
      <c r="B4889" s="1" t="n">
        <v>45582.42407407407</v>
      </c>
      <c r="C4889" s="1" t="n">
        <v>45883</v>
      </c>
      <c r="D4889" t="inlineStr">
        <is>
          <t>GÄVLEBORGS LÄN</t>
        </is>
      </c>
      <c r="E4889" t="inlineStr">
        <is>
          <t>HUDIKSVALL</t>
        </is>
      </c>
      <c r="G4889" t="n">
        <v>12.2</v>
      </c>
      <c r="H4889" t="n">
        <v>0</v>
      </c>
      <c r="I4889" t="n">
        <v>0</v>
      </c>
      <c r="J4889" t="n">
        <v>0</v>
      </c>
      <c r="K4889" t="n">
        <v>0</v>
      </c>
      <c r="L4889" t="n">
        <v>0</v>
      </c>
      <c r="M4889" t="n">
        <v>0</v>
      </c>
      <c r="N4889" t="n">
        <v>0</v>
      </c>
      <c r="O4889" t="n">
        <v>0</v>
      </c>
      <c r="P4889" t="n">
        <v>0</v>
      </c>
      <c r="Q4889" t="n">
        <v>0</v>
      </c>
      <c r="R4889" s="2" t="inlineStr"/>
    </row>
    <row r="4890" ht="15" customHeight="1">
      <c r="A4890" t="inlineStr">
        <is>
          <t>A 45549-2024</t>
        </is>
      </c>
      <c r="B4890" s="1" t="n">
        <v>45579.34450231482</v>
      </c>
      <c r="C4890" s="1" t="n">
        <v>45883</v>
      </c>
      <c r="D4890" t="inlineStr">
        <is>
          <t>GÄVLEBORGS LÄN</t>
        </is>
      </c>
      <c r="E4890" t="inlineStr">
        <is>
          <t>NORDANSTIG</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18800-2024</t>
        </is>
      </c>
      <c r="B4891" s="1" t="n">
        <v>45426</v>
      </c>
      <c r="C4891" s="1" t="n">
        <v>45883</v>
      </c>
      <c r="D4891" t="inlineStr">
        <is>
          <t>GÄVLEBORGS LÄN</t>
        </is>
      </c>
      <c r="E4891" t="inlineStr">
        <is>
          <t>SÖDERHAMN</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18300-2025</t>
        </is>
      </c>
      <c r="B4892" s="1" t="n">
        <v>45762.42745370371</v>
      </c>
      <c r="C4892" s="1" t="n">
        <v>45883</v>
      </c>
      <c r="D4892" t="inlineStr">
        <is>
          <t>GÄVLEBORGS LÄN</t>
        </is>
      </c>
      <c r="E4892" t="inlineStr">
        <is>
          <t>HUDIKSVALL</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18357-2025</t>
        </is>
      </c>
      <c r="B4893" s="1" t="n">
        <v>45762.55353009259</v>
      </c>
      <c r="C4893" s="1" t="n">
        <v>45883</v>
      </c>
      <c r="D4893" t="inlineStr">
        <is>
          <t>GÄVLEBORGS LÄN</t>
        </is>
      </c>
      <c r="E4893" t="inlineStr">
        <is>
          <t>SANDVIKEN</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3256-2025</t>
        </is>
      </c>
      <c r="B4894" s="1" t="n">
        <v>45679.55258101852</v>
      </c>
      <c r="C4894" s="1" t="n">
        <v>45883</v>
      </c>
      <c r="D4894" t="inlineStr">
        <is>
          <t>GÄVLEBORGS LÄN</t>
        </is>
      </c>
      <c r="E4894" t="inlineStr">
        <is>
          <t>SANDVIKEN</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15775-2025</t>
        </is>
      </c>
      <c r="B4895" s="1" t="n">
        <v>45748.59644675926</v>
      </c>
      <c r="C4895" s="1" t="n">
        <v>45883</v>
      </c>
      <c r="D4895" t="inlineStr">
        <is>
          <t>GÄVLEBORGS LÄN</t>
        </is>
      </c>
      <c r="E4895" t="inlineStr">
        <is>
          <t>HUDIKSVALL</t>
        </is>
      </c>
      <c r="F4895" t="inlineStr">
        <is>
          <t>Kommuner</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28114-2023</t>
        </is>
      </c>
      <c r="B4896" s="1" t="n">
        <v>45099</v>
      </c>
      <c r="C4896" s="1" t="n">
        <v>45883</v>
      </c>
      <c r="D4896" t="inlineStr">
        <is>
          <t>GÄVLEBORGS LÄN</t>
        </is>
      </c>
      <c r="E4896" t="inlineStr">
        <is>
          <t>LJUSDAL</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55642-2024</t>
        </is>
      </c>
      <c r="B4897" s="1" t="n">
        <v>45622.61861111111</v>
      </c>
      <c r="C4897" s="1" t="n">
        <v>45883</v>
      </c>
      <c r="D4897" t="inlineStr">
        <is>
          <t>GÄVLEBORGS LÄN</t>
        </is>
      </c>
      <c r="E4897" t="inlineStr">
        <is>
          <t>OVANÅKER</t>
        </is>
      </c>
      <c r="G4897" t="n">
        <v>4.7</v>
      </c>
      <c r="H4897" t="n">
        <v>0</v>
      </c>
      <c r="I4897" t="n">
        <v>0</v>
      </c>
      <c r="J4897" t="n">
        <v>0</v>
      </c>
      <c r="K4897" t="n">
        <v>0</v>
      </c>
      <c r="L4897" t="n">
        <v>0</v>
      </c>
      <c r="M4897" t="n">
        <v>0</v>
      </c>
      <c r="N4897" t="n">
        <v>0</v>
      </c>
      <c r="O4897" t="n">
        <v>0</v>
      </c>
      <c r="P4897" t="n">
        <v>0</v>
      </c>
      <c r="Q4897" t="n">
        <v>0</v>
      </c>
      <c r="R4897" s="2" t="inlineStr"/>
    </row>
    <row r="4898" ht="15" customHeight="1">
      <c r="A4898" t="inlineStr">
        <is>
          <t>A 55672-2024</t>
        </is>
      </c>
      <c r="B4898" s="1" t="n">
        <v>45622.65292824074</v>
      </c>
      <c r="C4898" s="1" t="n">
        <v>45883</v>
      </c>
      <c r="D4898" t="inlineStr">
        <is>
          <t>GÄVLEBORGS LÄN</t>
        </is>
      </c>
      <c r="E4898" t="inlineStr">
        <is>
          <t>OVANÅKER</t>
        </is>
      </c>
      <c r="G4898" t="n">
        <v>4.9</v>
      </c>
      <c r="H4898" t="n">
        <v>0</v>
      </c>
      <c r="I4898" t="n">
        <v>0</v>
      </c>
      <c r="J4898" t="n">
        <v>0</v>
      </c>
      <c r="K4898" t="n">
        <v>0</v>
      </c>
      <c r="L4898" t="n">
        <v>0</v>
      </c>
      <c r="M4898" t="n">
        <v>0</v>
      </c>
      <c r="N4898" t="n">
        <v>0</v>
      </c>
      <c r="O4898" t="n">
        <v>0</v>
      </c>
      <c r="P4898" t="n">
        <v>0</v>
      </c>
      <c r="Q4898" t="n">
        <v>0</v>
      </c>
      <c r="R4898" s="2" t="inlineStr"/>
    </row>
    <row r="4899" ht="15" customHeight="1">
      <c r="A4899" t="inlineStr">
        <is>
          <t>A 33384-2024</t>
        </is>
      </c>
      <c r="B4899" s="1" t="n">
        <v>45519.47035879629</v>
      </c>
      <c r="C4899" s="1" t="n">
        <v>45883</v>
      </c>
      <c r="D4899" t="inlineStr">
        <is>
          <t>GÄVLEBORGS LÄN</t>
        </is>
      </c>
      <c r="E4899" t="inlineStr">
        <is>
          <t>OCKELBO</t>
        </is>
      </c>
      <c r="G4899" t="n">
        <v>3.8</v>
      </c>
      <c r="H4899" t="n">
        <v>0</v>
      </c>
      <c r="I4899" t="n">
        <v>0</v>
      </c>
      <c r="J4899" t="n">
        <v>0</v>
      </c>
      <c r="K4899" t="n">
        <v>0</v>
      </c>
      <c r="L4899" t="n">
        <v>0</v>
      </c>
      <c r="M4899" t="n">
        <v>0</v>
      </c>
      <c r="N4899" t="n">
        <v>0</v>
      </c>
      <c r="O4899" t="n">
        <v>0</v>
      </c>
      <c r="P4899" t="n">
        <v>0</v>
      </c>
      <c r="Q4899" t="n">
        <v>0</v>
      </c>
      <c r="R4899" s="2" t="inlineStr"/>
    </row>
    <row r="4900" ht="15" customHeight="1">
      <c r="A4900" t="inlineStr">
        <is>
          <t>A 44703-2024</t>
        </is>
      </c>
      <c r="B4900" s="1" t="n">
        <v>45574</v>
      </c>
      <c r="C4900" s="1" t="n">
        <v>45883</v>
      </c>
      <c r="D4900" t="inlineStr">
        <is>
          <t>GÄVLEBORGS LÄN</t>
        </is>
      </c>
      <c r="E4900" t="inlineStr">
        <is>
          <t>SÖDERHAMN</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44720-2024</t>
        </is>
      </c>
      <c r="B4901" s="1" t="n">
        <v>45574.57549768518</v>
      </c>
      <c r="C4901" s="1" t="n">
        <v>45883</v>
      </c>
      <c r="D4901" t="inlineStr">
        <is>
          <t>GÄVLEBORGS LÄN</t>
        </is>
      </c>
      <c r="E4901" t="inlineStr">
        <is>
          <t>HUDIKSVALL</t>
        </is>
      </c>
      <c r="F4901" t="inlineStr">
        <is>
          <t>Holmen skog AB</t>
        </is>
      </c>
      <c r="G4901" t="n">
        <v>9.1</v>
      </c>
      <c r="H4901" t="n">
        <v>0</v>
      </c>
      <c r="I4901" t="n">
        <v>0</v>
      </c>
      <c r="J4901" t="n">
        <v>0</v>
      </c>
      <c r="K4901" t="n">
        <v>0</v>
      </c>
      <c r="L4901" t="n">
        <v>0</v>
      </c>
      <c r="M4901" t="n">
        <v>0</v>
      </c>
      <c r="N4901" t="n">
        <v>0</v>
      </c>
      <c r="O4901" t="n">
        <v>0</v>
      </c>
      <c r="P4901" t="n">
        <v>0</v>
      </c>
      <c r="Q4901" t="n">
        <v>0</v>
      </c>
      <c r="R4901" s="2" t="inlineStr"/>
    </row>
    <row r="4902" ht="15" customHeight="1">
      <c r="A4902" t="inlineStr">
        <is>
          <t>A 28645-2024</t>
        </is>
      </c>
      <c r="B4902" s="1" t="n">
        <v>45478.46400462963</v>
      </c>
      <c r="C4902" s="1" t="n">
        <v>45883</v>
      </c>
      <c r="D4902" t="inlineStr">
        <is>
          <t>GÄVLEBORGS LÄN</t>
        </is>
      </c>
      <c r="E4902" t="inlineStr">
        <is>
          <t>BOLLNÄS</t>
        </is>
      </c>
      <c r="F4902" t="inlineStr">
        <is>
          <t>Bergvik skog väst AB</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35789-2024</t>
        </is>
      </c>
      <c r="B4903" s="1" t="n">
        <v>45532</v>
      </c>
      <c r="C4903" s="1" t="n">
        <v>45883</v>
      </c>
      <c r="D4903" t="inlineStr">
        <is>
          <t>GÄVLEBORGS LÄN</t>
        </is>
      </c>
      <c r="E4903" t="inlineStr">
        <is>
          <t>LJUSDAL</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37848-2024</t>
        </is>
      </c>
      <c r="B4904" s="1" t="n">
        <v>45544.3709837963</v>
      </c>
      <c r="C4904" s="1" t="n">
        <v>45883</v>
      </c>
      <c r="D4904" t="inlineStr">
        <is>
          <t>GÄVLEBORGS LÄN</t>
        </is>
      </c>
      <c r="E4904" t="inlineStr">
        <is>
          <t>OCKELBO</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22163-2025</t>
        </is>
      </c>
      <c r="B4905" s="1" t="n">
        <v>45785.59113425926</v>
      </c>
      <c r="C4905" s="1" t="n">
        <v>45883</v>
      </c>
      <c r="D4905" t="inlineStr">
        <is>
          <t>GÄVLEBORGS LÄN</t>
        </is>
      </c>
      <c r="E4905" t="inlineStr">
        <is>
          <t>LJUSDAL</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56148-2024</t>
        </is>
      </c>
      <c r="B4906" s="1" t="n">
        <v>45624.51108796296</v>
      </c>
      <c r="C4906" s="1" t="n">
        <v>45883</v>
      </c>
      <c r="D4906" t="inlineStr">
        <is>
          <t>GÄVLEBORGS LÄN</t>
        </is>
      </c>
      <c r="E4906" t="inlineStr">
        <is>
          <t>SANDVIKEN</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35184-2022</t>
        </is>
      </c>
      <c r="B4907" s="1" t="n">
        <v>44797.63581018519</v>
      </c>
      <c r="C4907" s="1" t="n">
        <v>45883</v>
      </c>
      <c r="D4907" t="inlineStr">
        <is>
          <t>GÄVLEBORGS LÄN</t>
        </is>
      </c>
      <c r="E4907" t="inlineStr">
        <is>
          <t>SANDVIKEN</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6882-2023</t>
        </is>
      </c>
      <c r="B4908" s="1" t="n">
        <v>44967.48270833334</v>
      </c>
      <c r="C4908" s="1" t="n">
        <v>45883</v>
      </c>
      <c r="D4908" t="inlineStr">
        <is>
          <t>GÄVLEBORGS LÄN</t>
        </is>
      </c>
      <c r="E4908" t="inlineStr">
        <is>
          <t>BOLLNÄS</t>
        </is>
      </c>
      <c r="G4908" t="n">
        <v>4.1</v>
      </c>
      <c r="H4908" t="n">
        <v>0</v>
      </c>
      <c r="I4908" t="n">
        <v>0</v>
      </c>
      <c r="J4908" t="n">
        <v>0</v>
      </c>
      <c r="K4908" t="n">
        <v>0</v>
      </c>
      <c r="L4908" t="n">
        <v>0</v>
      </c>
      <c r="M4908" t="n">
        <v>0</v>
      </c>
      <c r="N4908" t="n">
        <v>0</v>
      </c>
      <c r="O4908" t="n">
        <v>0</v>
      </c>
      <c r="P4908" t="n">
        <v>0</v>
      </c>
      <c r="Q4908" t="n">
        <v>0</v>
      </c>
      <c r="R4908" s="2" t="inlineStr"/>
    </row>
    <row r="4909" ht="15" customHeight="1">
      <c r="A4909" t="inlineStr">
        <is>
          <t>A 22062-2025</t>
        </is>
      </c>
      <c r="B4909" s="1" t="n">
        <v>45785.37479166667</v>
      </c>
      <c r="C4909" s="1" t="n">
        <v>45883</v>
      </c>
      <c r="D4909" t="inlineStr">
        <is>
          <t>GÄVLEBORGS LÄN</t>
        </is>
      </c>
      <c r="E4909" t="inlineStr">
        <is>
          <t>LJUSDAL</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35433-2022</t>
        </is>
      </c>
      <c r="B4910" s="1" t="n">
        <v>44798</v>
      </c>
      <c r="C4910" s="1" t="n">
        <v>45883</v>
      </c>
      <c r="D4910" t="inlineStr">
        <is>
          <t>GÄVLEBORGS LÄN</t>
        </is>
      </c>
      <c r="E4910" t="inlineStr">
        <is>
          <t>HUDIKSVALL</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1892-2024</t>
        </is>
      </c>
      <c r="B4911" s="1" t="n">
        <v>45308.30474537037</v>
      </c>
      <c r="C4911" s="1" t="n">
        <v>45883</v>
      </c>
      <c r="D4911" t="inlineStr">
        <is>
          <t>GÄVLEBORGS LÄN</t>
        </is>
      </c>
      <c r="E4911" t="inlineStr">
        <is>
          <t>OVANÅKER</t>
        </is>
      </c>
      <c r="G4911" t="n">
        <v>0.3</v>
      </c>
      <c r="H4911" t="n">
        <v>0</v>
      </c>
      <c r="I4911" t="n">
        <v>0</v>
      </c>
      <c r="J4911" t="n">
        <v>0</v>
      </c>
      <c r="K4911" t="n">
        <v>0</v>
      </c>
      <c r="L4911" t="n">
        <v>0</v>
      </c>
      <c r="M4911" t="n">
        <v>0</v>
      </c>
      <c r="N4911" t="n">
        <v>0</v>
      </c>
      <c r="O4911" t="n">
        <v>0</v>
      </c>
      <c r="P4911" t="n">
        <v>0</v>
      </c>
      <c r="Q4911" t="n">
        <v>0</v>
      </c>
      <c r="R4911" s="2" t="inlineStr"/>
    </row>
    <row r="4912" ht="15" customHeight="1">
      <c r="A4912" t="inlineStr">
        <is>
          <t>A 12825-2021</t>
        </is>
      </c>
      <c r="B4912" s="1" t="n">
        <v>44270</v>
      </c>
      <c r="C4912" s="1" t="n">
        <v>45883</v>
      </c>
      <c r="D4912" t="inlineStr">
        <is>
          <t>GÄVLEBORGS LÄN</t>
        </is>
      </c>
      <c r="E4912" t="inlineStr">
        <is>
          <t>OVANÅKER</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19855-2025</t>
        </is>
      </c>
      <c r="B4913" s="1" t="n">
        <v>45771</v>
      </c>
      <c r="C4913" s="1" t="n">
        <v>45883</v>
      </c>
      <c r="D4913" t="inlineStr">
        <is>
          <t>GÄVLEBORGS LÄN</t>
        </is>
      </c>
      <c r="E4913" t="inlineStr">
        <is>
          <t>LJUSDAL</t>
        </is>
      </c>
      <c r="F4913" t="inlineStr">
        <is>
          <t>Bergvik skog väst AB</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19884-2025</t>
        </is>
      </c>
      <c r="B4914" s="1" t="n">
        <v>45771.56451388889</v>
      </c>
      <c r="C4914" s="1" t="n">
        <v>45883</v>
      </c>
      <c r="D4914" t="inlineStr">
        <is>
          <t>GÄVLEBORGS LÄN</t>
        </is>
      </c>
      <c r="E4914" t="inlineStr">
        <is>
          <t>OVANÅKER</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19886-2025</t>
        </is>
      </c>
      <c r="B4915" s="1" t="n">
        <v>45771.5715162037</v>
      </c>
      <c r="C4915" s="1" t="n">
        <v>45883</v>
      </c>
      <c r="D4915" t="inlineStr">
        <is>
          <t>GÄVLEBORGS LÄN</t>
        </is>
      </c>
      <c r="E4915" t="inlineStr">
        <is>
          <t>HUDIKSVALL</t>
        </is>
      </c>
      <c r="G4915" t="n">
        <v>4.3</v>
      </c>
      <c r="H4915" t="n">
        <v>0</v>
      </c>
      <c r="I4915" t="n">
        <v>0</v>
      </c>
      <c r="J4915" t="n">
        <v>0</v>
      </c>
      <c r="K4915" t="n">
        <v>0</v>
      </c>
      <c r="L4915" t="n">
        <v>0</v>
      </c>
      <c r="M4915" t="n">
        <v>0</v>
      </c>
      <c r="N4915" t="n">
        <v>0</v>
      </c>
      <c r="O4915" t="n">
        <v>0</v>
      </c>
      <c r="P4915" t="n">
        <v>0</v>
      </c>
      <c r="Q4915" t="n">
        <v>0</v>
      </c>
      <c r="R4915" s="2" t="inlineStr"/>
    </row>
    <row r="4916" ht="15" customHeight="1">
      <c r="A4916" t="inlineStr">
        <is>
          <t>A 19887-2025</t>
        </is>
      </c>
      <c r="B4916" s="1" t="n">
        <v>45771.57215277778</v>
      </c>
      <c r="C4916" s="1" t="n">
        <v>45883</v>
      </c>
      <c r="D4916" t="inlineStr">
        <is>
          <t>GÄVLEBORGS LÄN</t>
        </is>
      </c>
      <c r="E4916" t="inlineStr">
        <is>
          <t>HUDIKSVALL</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38175-2022</t>
        </is>
      </c>
      <c r="B4917" s="1" t="n">
        <v>44812</v>
      </c>
      <c r="C4917" s="1" t="n">
        <v>45883</v>
      </c>
      <c r="D4917" t="inlineStr">
        <is>
          <t>GÄVLEBORGS LÄN</t>
        </is>
      </c>
      <c r="E4917" t="inlineStr">
        <is>
          <t>SANDVIKEN</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846-2023</t>
        </is>
      </c>
      <c r="B4918" s="1" t="n">
        <v>44931.56439814815</v>
      </c>
      <c r="C4918" s="1" t="n">
        <v>45883</v>
      </c>
      <c r="D4918" t="inlineStr">
        <is>
          <t>GÄVLEBORGS LÄN</t>
        </is>
      </c>
      <c r="E4918" t="inlineStr">
        <is>
          <t>LJUSDAL</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55910-2024</t>
        </is>
      </c>
      <c r="B4919" s="1" t="n">
        <v>45623.58634259259</v>
      </c>
      <c r="C4919" s="1" t="n">
        <v>45883</v>
      </c>
      <c r="D4919" t="inlineStr">
        <is>
          <t>GÄVLEBORGS LÄN</t>
        </is>
      </c>
      <c r="E4919" t="inlineStr">
        <is>
          <t>OVANÅKER</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57164-2024</t>
        </is>
      </c>
      <c r="B4920" s="1" t="n">
        <v>45629.41516203704</v>
      </c>
      <c r="C4920" s="1" t="n">
        <v>45883</v>
      </c>
      <c r="D4920" t="inlineStr">
        <is>
          <t>GÄVLEBORGS LÄN</t>
        </is>
      </c>
      <c r="E4920" t="inlineStr">
        <is>
          <t>LJUSDAL</t>
        </is>
      </c>
      <c r="F4920" t="inlineStr">
        <is>
          <t>Naturvårdsverket</t>
        </is>
      </c>
      <c r="G4920" t="n">
        <v>18.5</v>
      </c>
      <c r="H4920" t="n">
        <v>0</v>
      </c>
      <c r="I4920" t="n">
        <v>0</v>
      </c>
      <c r="J4920" t="n">
        <v>0</v>
      </c>
      <c r="K4920" t="n">
        <v>0</v>
      </c>
      <c r="L4920" t="n">
        <v>0</v>
      </c>
      <c r="M4920" t="n">
        <v>0</v>
      </c>
      <c r="N4920" t="n">
        <v>0</v>
      </c>
      <c r="O4920" t="n">
        <v>0</v>
      </c>
      <c r="P4920" t="n">
        <v>0</v>
      </c>
      <c r="Q4920" t="n">
        <v>0</v>
      </c>
      <c r="R4920" s="2" t="inlineStr"/>
    </row>
    <row r="4921" ht="15" customHeight="1">
      <c r="A4921" t="inlineStr">
        <is>
          <t>A 22199-2025</t>
        </is>
      </c>
      <c r="B4921" s="1" t="n">
        <v>45785.64877314815</v>
      </c>
      <c r="C4921" s="1" t="n">
        <v>45883</v>
      </c>
      <c r="D4921" t="inlineStr">
        <is>
          <t>GÄVLEBORGS LÄN</t>
        </is>
      </c>
      <c r="E4921" t="inlineStr">
        <is>
          <t>OVANÅKER</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22387-2025</t>
        </is>
      </c>
      <c r="B4922" s="1" t="n">
        <v>45786.50910879629</v>
      </c>
      <c r="C4922" s="1" t="n">
        <v>45883</v>
      </c>
      <c r="D4922" t="inlineStr">
        <is>
          <t>GÄVLEBORGS LÄN</t>
        </is>
      </c>
      <c r="E4922" t="inlineStr">
        <is>
          <t>OCKELBO</t>
        </is>
      </c>
      <c r="F4922" t="inlineStr">
        <is>
          <t>Bergvik skog väst AB</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37916-2024</t>
        </is>
      </c>
      <c r="B4923" s="1" t="n">
        <v>45544.46974537037</v>
      </c>
      <c r="C4923" s="1" t="n">
        <v>45883</v>
      </c>
      <c r="D4923" t="inlineStr">
        <is>
          <t>GÄVLEBORGS LÄN</t>
        </is>
      </c>
      <c r="E4923" t="inlineStr">
        <is>
          <t>SÖDERHAMN</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13630-2024</t>
        </is>
      </c>
      <c r="B4924" s="1" t="n">
        <v>45390.40768518519</v>
      </c>
      <c r="C4924" s="1" t="n">
        <v>45883</v>
      </c>
      <c r="D4924" t="inlineStr">
        <is>
          <t>GÄVLEBORGS LÄN</t>
        </is>
      </c>
      <c r="E4924" t="inlineStr">
        <is>
          <t>BOLLNÄS</t>
        </is>
      </c>
      <c r="F4924" t="inlineStr">
        <is>
          <t>Holmen skog AB</t>
        </is>
      </c>
      <c r="G4924" t="n">
        <v>6.4</v>
      </c>
      <c r="H4924" t="n">
        <v>0</v>
      </c>
      <c r="I4924" t="n">
        <v>0</v>
      </c>
      <c r="J4924" t="n">
        <v>0</v>
      </c>
      <c r="K4924" t="n">
        <v>0</v>
      </c>
      <c r="L4924" t="n">
        <v>0</v>
      </c>
      <c r="M4924" t="n">
        <v>0</v>
      </c>
      <c r="N4924" t="n">
        <v>0</v>
      </c>
      <c r="O4924" t="n">
        <v>0</v>
      </c>
      <c r="P4924" t="n">
        <v>0</v>
      </c>
      <c r="Q4924" t="n">
        <v>0</v>
      </c>
      <c r="R4924" s="2" t="inlineStr"/>
    </row>
    <row r="4925" ht="15" customHeight="1">
      <c r="A4925" t="inlineStr">
        <is>
          <t>A 42541-2024</t>
        </is>
      </c>
      <c r="B4925" s="1" t="n">
        <v>45565.58790509259</v>
      </c>
      <c r="C4925" s="1" t="n">
        <v>45883</v>
      </c>
      <c r="D4925" t="inlineStr">
        <is>
          <t>GÄVLEBORGS LÄN</t>
        </is>
      </c>
      <c r="E4925" t="inlineStr">
        <is>
          <t>BOLLNÄS</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36059-2023</t>
        </is>
      </c>
      <c r="B4926" s="1" t="n">
        <v>45149.45503472222</v>
      </c>
      <c r="C4926" s="1" t="n">
        <v>45883</v>
      </c>
      <c r="D4926" t="inlineStr">
        <is>
          <t>GÄVLEBORGS LÄN</t>
        </is>
      </c>
      <c r="E4926" t="inlineStr">
        <is>
          <t>SÖDERHAMN</t>
        </is>
      </c>
      <c r="G4926" t="n">
        <v>6.2</v>
      </c>
      <c r="H4926" t="n">
        <v>0</v>
      </c>
      <c r="I4926" t="n">
        <v>0</v>
      </c>
      <c r="J4926" t="n">
        <v>0</v>
      </c>
      <c r="K4926" t="n">
        <v>0</v>
      </c>
      <c r="L4926" t="n">
        <v>0</v>
      </c>
      <c r="M4926" t="n">
        <v>0</v>
      </c>
      <c r="N4926" t="n">
        <v>0</v>
      </c>
      <c r="O4926" t="n">
        <v>0</v>
      </c>
      <c r="P4926" t="n">
        <v>0</v>
      </c>
      <c r="Q4926" t="n">
        <v>0</v>
      </c>
      <c r="R4926" s="2" t="inlineStr"/>
    </row>
    <row r="4927" ht="15" customHeight="1">
      <c r="A4927" t="inlineStr">
        <is>
          <t>A 60188-2023</t>
        </is>
      </c>
      <c r="B4927" s="1" t="n">
        <v>45258.57871527778</v>
      </c>
      <c r="C4927" s="1" t="n">
        <v>45883</v>
      </c>
      <c r="D4927" t="inlineStr">
        <is>
          <t>GÄVLEBORGS LÄN</t>
        </is>
      </c>
      <c r="E4927" t="inlineStr">
        <is>
          <t>HUDIKSVALL</t>
        </is>
      </c>
      <c r="F4927" t="inlineStr">
        <is>
          <t>Holmen skog AB</t>
        </is>
      </c>
      <c r="G4927" t="n">
        <v>0.2</v>
      </c>
      <c r="H4927" t="n">
        <v>0</v>
      </c>
      <c r="I4927" t="n">
        <v>0</v>
      </c>
      <c r="J4927" t="n">
        <v>0</v>
      </c>
      <c r="K4927" t="n">
        <v>0</v>
      </c>
      <c r="L4927" t="n">
        <v>0</v>
      </c>
      <c r="M4927" t="n">
        <v>0</v>
      </c>
      <c r="N4927" t="n">
        <v>0</v>
      </c>
      <c r="O4927" t="n">
        <v>0</v>
      </c>
      <c r="P4927" t="n">
        <v>0</v>
      </c>
      <c r="Q4927" t="n">
        <v>0</v>
      </c>
      <c r="R4927" s="2" t="inlineStr"/>
    </row>
    <row r="4928" ht="15" customHeight="1">
      <c r="A4928" t="inlineStr">
        <is>
          <t>A 44120-2022</t>
        </is>
      </c>
      <c r="B4928" s="1" t="n">
        <v>44839.39199074074</v>
      </c>
      <c r="C4928" s="1" t="n">
        <v>45883</v>
      </c>
      <c r="D4928" t="inlineStr">
        <is>
          <t>GÄVLEBORGS LÄN</t>
        </is>
      </c>
      <c r="E4928" t="inlineStr">
        <is>
          <t>BOLLNÄS</t>
        </is>
      </c>
      <c r="G4928" t="n">
        <v>10.3</v>
      </c>
      <c r="H4928" t="n">
        <v>0</v>
      </c>
      <c r="I4928" t="n">
        <v>0</v>
      </c>
      <c r="J4928" t="n">
        <v>0</v>
      </c>
      <c r="K4928" t="n">
        <v>0</v>
      </c>
      <c r="L4928" t="n">
        <v>0</v>
      </c>
      <c r="M4928" t="n">
        <v>0</v>
      </c>
      <c r="N4928" t="n">
        <v>0</v>
      </c>
      <c r="O4928" t="n">
        <v>0</v>
      </c>
      <c r="P4928" t="n">
        <v>0</v>
      </c>
      <c r="Q4928" t="n">
        <v>0</v>
      </c>
      <c r="R4928" s="2" t="inlineStr"/>
    </row>
    <row r="4929" ht="15" customHeight="1">
      <c r="A4929" t="inlineStr">
        <is>
          <t>A 22454-2025</t>
        </is>
      </c>
      <c r="B4929" s="1" t="n">
        <v>45786.60467592593</v>
      </c>
      <c r="C4929" s="1" t="n">
        <v>45883</v>
      </c>
      <c r="D4929" t="inlineStr">
        <is>
          <t>GÄVLEBORGS LÄN</t>
        </is>
      </c>
      <c r="E4929" t="inlineStr">
        <is>
          <t>HUDIKSVALL</t>
        </is>
      </c>
      <c r="F4929" t="inlineStr">
        <is>
          <t>Holmen skog AB</t>
        </is>
      </c>
      <c r="G4929" t="n">
        <v>5.3</v>
      </c>
      <c r="H4929" t="n">
        <v>0</v>
      </c>
      <c r="I4929" t="n">
        <v>0</v>
      </c>
      <c r="J4929" t="n">
        <v>0</v>
      </c>
      <c r="K4929" t="n">
        <v>0</v>
      </c>
      <c r="L4929" t="n">
        <v>0</v>
      </c>
      <c r="M4929" t="n">
        <v>0</v>
      </c>
      <c r="N4929" t="n">
        <v>0</v>
      </c>
      <c r="O4929" t="n">
        <v>0</v>
      </c>
      <c r="P4929" t="n">
        <v>0</v>
      </c>
      <c r="Q4929" t="n">
        <v>0</v>
      </c>
      <c r="R4929" s="2" t="inlineStr"/>
    </row>
    <row r="4930" ht="15" customHeight="1">
      <c r="A4930" t="inlineStr">
        <is>
          <t>A 23780-2024</t>
        </is>
      </c>
      <c r="B4930" s="1" t="n">
        <v>45455.39258101852</v>
      </c>
      <c r="C4930" s="1" t="n">
        <v>45883</v>
      </c>
      <c r="D4930" t="inlineStr">
        <is>
          <t>GÄVLEBORGS LÄN</t>
        </is>
      </c>
      <c r="E4930" t="inlineStr">
        <is>
          <t>OCKELBO</t>
        </is>
      </c>
      <c r="G4930" t="n">
        <v>3.2</v>
      </c>
      <c r="H4930" t="n">
        <v>0</v>
      </c>
      <c r="I4930" t="n">
        <v>0</v>
      </c>
      <c r="J4930" t="n">
        <v>0</v>
      </c>
      <c r="K4930" t="n">
        <v>0</v>
      </c>
      <c r="L4930" t="n">
        <v>0</v>
      </c>
      <c r="M4930" t="n">
        <v>0</v>
      </c>
      <c r="N4930" t="n">
        <v>0</v>
      </c>
      <c r="O4930" t="n">
        <v>0</v>
      </c>
      <c r="P4930" t="n">
        <v>0</v>
      </c>
      <c r="Q4930" t="n">
        <v>0</v>
      </c>
      <c r="R4930" s="2" t="inlineStr"/>
    </row>
    <row r="4931" ht="15" customHeight="1">
      <c r="A4931" t="inlineStr">
        <is>
          <t>A 22385-2025</t>
        </is>
      </c>
      <c r="B4931" s="1" t="n">
        <v>45786.50641203704</v>
      </c>
      <c r="C4931" s="1" t="n">
        <v>45883</v>
      </c>
      <c r="D4931" t="inlineStr">
        <is>
          <t>GÄVLEBORGS LÄN</t>
        </is>
      </c>
      <c r="E4931" t="inlineStr">
        <is>
          <t>OCKELBO</t>
        </is>
      </c>
      <c r="F4931" t="inlineStr">
        <is>
          <t>Bergvik skog väst AB</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33623-2024</t>
        </is>
      </c>
      <c r="B4932" s="1" t="n">
        <v>45520.41766203703</v>
      </c>
      <c r="C4932" s="1" t="n">
        <v>45883</v>
      </c>
      <c r="D4932" t="inlineStr">
        <is>
          <t>GÄVLEBORGS LÄN</t>
        </is>
      </c>
      <c r="E4932" t="inlineStr">
        <is>
          <t>SANDVIKEN</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52518-2024</t>
        </is>
      </c>
      <c r="B4933" s="1" t="n">
        <v>45609</v>
      </c>
      <c r="C4933" s="1" t="n">
        <v>45883</v>
      </c>
      <c r="D4933" t="inlineStr">
        <is>
          <t>GÄVLEBORGS LÄN</t>
        </is>
      </c>
      <c r="E4933" t="inlineStr">
        <is>
          <t>SÖDERHAMN</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18680-2025</t>
        </is>
      </c>
      <c r="B4934" s="1" t="n">
        <v>45763.60581018519</v>
      </c>
      <c r="C4934" s="1" t="n">
        <v>45883</v>
      </c>
      <c r="D4934" t="inlineStr">
        <is>
          <t>GÄVLEBORGS LÄN</t>
        </is>
      </c>
      <c r="E4934" t="inlineStr">
        <is>
          <t>NORDANSTIG</t>
        </is>
      </c>
      <c r="G4934" t="n">
        <v>9.4</v>
      </c>
      <c r="H4934" t="n">
        <v>0</v>
      </c>
      <c r="I4934" t="n">
        <v>0</v>
      </c>
      <c r="J4934" t="n">
        <v>0</v>
      </c>
      <c r="K4934" t="n">
        <v>0</v>
      </c>
      <c r="L4934" t="n">
        <v>0</v>
      </c>
      <c r="M4934" t="n">
        <v>0</v>
      </c>
      <c r="N4934" t="n">
        <v>0</v>
      </c>
      <c r="O4934" t="n">
        <v>0</v>
      </c>
      <c r="P4934" t="n">
        <v>0</v>
      </c>
      <c r="Q4934" t="n">
        <v>0</v>
      </c>
      <c r="R4934" s="2" t="inlineStr"/>
    </row>
    <row r="4935" ht="15" customHeight="1">
      <c r="A4935" t="inlineStr">
        <is>
          <t>A 28584-2024</t>
        </is>
      </c>
      <c r="B4935" s="1" t="n">
        <v>45478</v>
      </c>
      <c r="C4935" s="1" t="n">
        <v>45883</v>
      </c>
      <c r="D4935" t="inlineStr">
        <is>
          <t>GÄVLEBORGS LÄN</t>
        </is>
      </c>
      <c r="E4935" t="inlineStr">
        <is>
          <t>OCKELBO</t>
        </is>
      </c>
      <c r="F4935" t="inlineStr">
        <is>
          <t>Bergvik skog väst AB</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36256-2024</t>
        </is>
      </c>
      <c r="B4936" s="1" t="n">
        <v>45534</v>
      </c>
      <c r="C4936" s="1" t="n">
        <v>45883</v>
      </c>
      <c r="D4936" t="inlineStr">
        <is>
          <t>GÄVLEBORGS LÄN</t>
        </is>
      </c>
      <c r="E4936" t="inlineStr">
        <is>
          <t>BOLLNÄS</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52519-2024</t>
        </is>
      </c>
      <c r="B4937" s="1" t="n">
        <v>45609.5986574074</v>
      </c>
      <c r="C4937" s="1" t="n">
        <v>45883</v>
      </c>
      <c r="D4937" t="inlineStr">
        <is>
          <t>GÄVLEBORGS LÄN</t>
        </is>
      </c>
      <c r="E4937" t="inlineStr">
        <is>
          <t>SÖDERHAMN</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43504-2024</t>
        </is>
      </c>
      <c r="B4938" s="1" t="n">
        <v>45569.30541666667</v>
      </c>
      <c r="C4938" s="1" t="n">
        <v>45883</v>
      </c>
      <c r="D4938" t="inlineStr">
        <is>
          <t>GÄVLEBORGS LÄN</t>
        </is>
      </c>
      <c r="E4938" t="inlineStr">
        <is>
          <t>OVANÅKER</t>
        </is>
      </c>
      <c r="G4938" t="n">
        <v>6.5</v>
      </c>
      <c r="H4938" t="n">
        <v>0</v>
      </c>
      <c r="I4938" t="n">
        <v>0</v>
      </c>
      <c r="J4938" t="n">
        <v>0</v>
      </c>
      <c r="K4938" t="n">
        <v>0</v>
      </c>
      <c r="L4938" t="n">
        <v>0</v>
      </c>
      <c r="M4938" t="n">
        <v>0</v>
      </c>
      <c r="N4938" t="n">
        <v>0</v>
      </c>
      <c r="O4938" t="n">
        <v>0</v>
      </c>
      <c r="P4938" t="n">
        <v>0</v>
      </c>
      <c r="Q4938" t="n">
        <v>0</v>
      </c>
      <c r="R4938" s="2" t="inlineStr"/>
    </row>
    <row r="4939" ht="15" customHeight="1">
      <c r="A4939" t="inlineStr">
        <is>
          <t>A 22310-2025</t>
        </is>
      </c>
      <c r="B4939" s="1" t="n">
        <v>45786.36578703704</v>
      </c>
      <c r="C4939" s="1" t="n">
        <v>45883</v>
      </c>
      <c r="D4939" t="inlineStr">
        <is>
          <t>GÄVLEBORGS LÄN</t>
        </is>
      </c>
      <c r="E4939" t="inlineStr">
        <is>
          <t>NORDANSTIG</t>
        </is>
      </c>
      <c r="F4939" t="inlineStr">
        <is>
          <t>Holmen skog AB</t>
        </is>
      </c>
      <c r="G4939" t="n">
        <v>27.9</v>
      </c>
      <c r="H4939" t="n">
        <v>0</v>
      </c>
      <c r="I4939" t="n">
        <v>0</v>
      </c>
      <c r="J4939" t="n">
        <v>0</v>
      </c>
      <c r="K4939" t="n">
        <v>0</v>
      </c>
      <c r="L4939" t="n">
        <v>0</v>
      </c>
      <c r="M4939" t="n">
        <v>0</v>
      </c>
      <c r="N4939" t="n">
        <v>0</v>
      </c>
      <c r="O4939" t="n">
        <v>0</v>
      </c>
      <c r="P4939" t="n">
        <v>0</v>
      </c>
      <c r="Q4939" t="n">
        <v>0</v>
      </c>
      <c r="R4939" s="2" t="inlineStr"/>
    </row>
    <row r="4940" ht="15" customHeight="1">
      <c r="A4940" t="inlineStr">
        <is>
          <t>A 42540-2024</t>
        </is>
      </c>
      <c r="B4940" s="1" t="n">
        <v>45565.58765046296</v>
      </c>
      <c r="C4940" s="1" t="n">
        <v>45883</v>
      </c>
      <c r="D4940" t="inlineStr">
        <is>
          <t>GÄVLEBORGS LÄN</t>
        </is>
      </c>
      <c r="E4940" t="inlineStr">
        <is>
          <t>LJUSDAL</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42575-2024</t>
        </is>
      </c>
      <c r="B4941" s="1" t="n">
        <v>45565.64587962963</v>
      </c>
      <c r="C4941" s="1" t="n">
        <v>45883</v>
      </c>
      <c r="D4941" t="inlineStr">
        <is>
          <t>GÄVLEBORGS LÄN</t>
        </is>
      </c>
      <c r="E4941" t="inlineStr">
        <is>
          <t>BOLLNÄS</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22084-2025</t>
        </is>
      </c>
      <c r="B4942" s="1" t="n">
        <v>45785</v>
      </c>
      <c r="C4942" s="1" t="n">
        <v>45883</v>
      </c>
      <c r="D4942" t="inlineStr">
        <is>
          <t>GÄVLEBORGS LÄN</t>
        </is>
      </c>
      <c r="E4942" t="inlineStr">
        <is>
          <t>OCKELBO</t>
        </is>
      </c>
      <c r="F4942" t="inlineStr">
        <is>
          <t>Bergvik skog väst AB</t>
        </is>
      </c>
      <c r="G4942" t="n">
        <v>6.8</v>
      </c>
      <c r="H4942" t="n">
        <v>0</v>
      </c>
      <c r="I4942" t="n">
        <v>0</v>
      </c>
      <c r="J4942" t="n">
        <v>0</v>
      </c>
      <c r="K4942" t="n">
        <v>0</v>
      </c>
      <c r="L4942" t="n">
        <v>0</v>
      </c>
      <c r="M4942" t="n">
        <v>0</v>
      </c>
      <c r="N4942" t="n">
        <v>0</v>
      </c>
      <c r="O4942" t="n">
        <v>0</v>
      </c>
      <c r="P4942" t="n">
        <v>0</v>
      </c>
      <c r="Q4942" t="n">
        <v>0</v>
      </c>
      <c r="R4942" s="2" t="inlineStr"/>
    </row>
    <row r="4943" ht="15" customHeight="1">
      <c r="A4943" t="inlineStr">
        <is>
          <t>A 22495-2025</t>
        </is>
      </c>
      <c r="B4943" s="1" t="n">
        <v>45786.65537037037</v>
      </c>
      <c r="C4943" s="1" t="n">
        <v>45883</v>
      </c>
      <c r="D4943" t="inlineStr">
        <is>
          <t>GÄVLEBORGS LÄN</t>
        </is>
      </c>
      <c r="E4943" t="inlineStr">
        <is>
          <t>SANDVIKEN</t>
        </is>
      </c>
      <c r="F4943" t="inlineStr">
        <is>
          <t>Sveaskog</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22600-2025</t>
        </is>
      </c>
      <c r="B4944" s="1" t="n">
        <v>45789.41515046296</v>
      </c>
      <c r="C4944" s="1" t="n">
        <v>45883</v>
      </c>
      <c r="D4944" t="inlineStr">
        <is>
          <t>GÄVLEBORGS LÄN</t>
        </is>
      </c>
      <c r="E4944" t="inlineStr">
        <is>
          <t>HUDIKSVALL</t>
        </is>
      </c>
      <c r="F4944" t="inlineStr">
        <is>
          <t>Holmen skog AB</t>
        </is>
      </c>
      <c r="G4944" t="n">
        <v>4.9</v>
      </c>
      <c r="H4944" t="n">
        <v>0</v>
      </c>
      <c r="I4944" t="n">
        <v>0</v>
      </c>
      <c r="J4944" t="n">
        <v>0</v>
      </c>
      <c r="K4944" t="n">
        <v>0</v>
      </c>
      <c r="L4944" t="n">
        <v>0</v>
      </c>
      <c r="M4944" t="n">
        <v>0</v>
      </c>
      <c r="N4944" t="n">
        <v>0</v>
      </c>
      <c r="O4944" t="n">
        <v>0</v>
      </c>
      <c r="P4944" t="n">
        <v>0</v>
      </c>
      <c r="Q4944" t="n">
        <v>0</v>
      </c>
      <c r="R4944" s="2" t="inlineStr"/>
    </row>
    <row r="4945" ht="15" customHeight="1">
      <c r="A4945" t="inlineStr">
        <is>
          <t>A 22645-2025</t>
        </is>
      </c>
      <c r="B4945" s="1" t="n">
        <v>45789.4640162037</v>
      </c>
      <c r="C4945" s="1" t="n">
        <v>45883</v>
      </c>
      <c r="D4945" t="inlineStr">
        <is>
          <t>GÄVLEBORGS LÄN</t>
        </is>
      </c>
      <c r="E4945" t="inlineStr">
        <is>
          <t>GÄVLE</t>
        </is>
      </c>
      <c r="F4945" t="inlineStr">
        <is>
          <t>Bergvik skog väst AB</t>
        </is>
      </c>
      <c r="G4945" t="n">
        <v>5</v>
      </c>
      <c r="H4945" t="n">
        <v>0</v>
      </c>
      <c r="I4945" t="n">
        <v>0</v>
      </c>
      <c r="J4945" t="n">
        <v>0</v>
      </c>
      <c r="K4945" t="n">
        <v>0</v>
      </c>
      <c r="L4945" t="n">
        <v>0</v>
      </c>
      <c r="M4945" t="n">
        <v>0</v>
      </c>
      <c r="N4945" t="n">
        <v>0</v>
      </c>
      <c r="O4945" t="n">
        <v>0</v>
      </c>
      <c r="P4945" t="n">
        <v>0</v>
      </c>
      <c r="Q4945" t="n">
        <v>0</v>
      </c>
      <c r="R4945" s="2" t="inlineStr"/>
    </row>
    <row r="4946" ht="15" customHeight="1">
      <c r="A4946" t="inlineStr">
        <is>
          <t>A 55216-2024</t>
        </is>
      </c>
      <c r="B4946" s="1" t="n">
        <v>45621.57118055555</v>
      </c>
      <c r="C4946" s="1" t="n">
        <v>45883</v>
      </c>
      <c r="D4946" t="inlineStr">
        <is>
          <t>GÄVLEBORGS LÄN</t>
        </is>
      </c>
      <c r="E4946" t="inlineStr">
        <is>
          <t>OCKELBO</t>
        </is>
      </c>
      <c r="F4946" t="inlineStr">
        <is>
          <t>Bergvik skog väst AB</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55240-2024</t>
        </is>
      </c>
      <c r="B4947" s="1" t="n">
        <v>45621</v>
      </c>
      <c r="C4947" s="1" t="n">
        <v>45883</v>
      </c>
      <c r="D4947" t="inlineStr">
        <is>
          <t>GÄVLEBORGS LÄN</t>
        </is>
      </c>
      <c r="E4947" t="inlineStr">
        <is>
          <t>SÖDERHAMN</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22689-2025</t>
        </is>
      </c>
      <c r="B4948" s="1" t="n">
        <v>45789.52925925926</v>
      </c>
      <c r="C4948" s="1" t="n">
        <v>45883</v>
      </c>
      <c r="D4948" t="inlineStr">
        <is>
          <t>GÄVLEBORGS LÄN</t>
        </is>
      </c>
      <c r="E4948" t="inlineStr">
        <is>
          <t>NORDANSTIG</t>
        </is>
      </c>
      <c r="F4948" t="inlineStr">
        <is>
          <t>Holmen skog AB</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22041-2022</t>
        </is>
      </c>
      <c r="B4949" s="1" t="n">
        <v>44711.65472222222</v>
      </c>
      <c r="C4949" s="1" t="n">
        <v>45883</v>
      </c>
      <c r="D4949" t="inlineStr">
        <is>
          <t>GÄVLEBORGS LÄN</t>
        </is>
      </c>
      <c r="E4949" t="inlineStr">
        <is>
          <t>NORDANSTIG</t>
        </is>
      </c>
      <c r="F4949" t="inlineStr">
        <is>
          <t>Holmen skog AB</t>
        </is>
      </c>
      <c r="G4949" t="n">
        <v>6.2</v>
      </c>
      <c r="H4949" t="n">
        <v>0</v>
      </c>
      <c r="I4949" t="n">
        <v>0</v>
      </c>
      <c r="J4949" t="n">
        <v>0</v>
      </c>
      <c r="K4949" t="n">
        <v>0</v>
      </c>
      <c r="L4949" t="n">
        <v>0</v>
      </c>
      <c r="M4949" t="n">
        <v>0</v>
      </c>
      <c r="N4949" t="n">
        <v>0</v>
      </c>
      <c r="O4949" t="n">
        <v>0</v>
      </c>
      <c r="P4949" t="n">
        <v>0</v>
      </c>
      <c r="Q4949" t="n">
        <v>0</v>
      </c>
      <c r="R4949" s="2" t="inlineStr"/>
    </row>
    <row r="4950" ht="15" customHeight="1">
      <c r="A4950" t="inlineStr">
        <is>
          <t>A 22903-2025</t>
        </is>
      </c>
      <c r="B4950" s="1" t="n">
        <v>45790.41447916667</v>
      </c>
      <c r="C4950" s="1" t="n">
        <v>45883</v>
      </c>
      <c r="D4950" t="inlineStr">
        <is>
          <t>GÄVLEBORGS LÄN</t>
        </is>
      </c>
      <c r="E4950" t="inlineStr">
        <is>
          <t>HUDIKSVALL</t>
        </is>
      </c>
      <c r="F4950" t="inlineStr">
        <is>
          <t>Holmen skog AB</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59973-2022</t>
        </is>
      </c>
      <c r="B4951" s="1" t="n">
        <v>44909.43164351852</v>
      </c>
      <c r="C4951" s="1" t="n">
        <v>45883</v>
      </c>
      <c r="D4951" t="inlineStr">
        <is>
          <t>GÄVLEBORGS LÄN</t>
        </is>
      </c>
      <c r="E4951" t="inlineStr">
        <is>
          <t>HUDIKSVALL</t>
        </is>
      </c>
      <c r="F4951" t="inlineStr">
        <is>
          <t>Kyrkan</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41616-2023</t>
        </is>
      </c>
      <c r="B4952" s="1" t="n">
        <v>45175.67030092593</v>
      </c>
      <c r="C4952" s="1" t="n">
        <v>45883</v>
      </c>
      <c r="D4952" t="inlineStr">
        <is>
          <t>GÄVLEBORGS LÄN</t>
        </is>
      </c>
      <c r="E4952" t="inlineStr">
        <is>
          <t>NORDANSTIG</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5479-2023</t>
        </is>
      </c>
      <c r="B4953" s="1" t="n">
        <v>44960</v>
      </c>
      <c r="C4953" s="1" t="n">
        <v>45883</v>
      </c>
      <c r="D4953" t="inlineStr">
        <is>
          <t>GÄVLEBORGS LÄN</t>
        </is>
      </c>
      <c r="E4953" t="inlineStr">
        <is>
          <t>NORDANSTIG</t>
        </is>
      </c>
      <c r="G4953" t="n">
        <v>17.6</v>
      </c>
      <c r="H4953" t="n">
        <v>0</v>
      </c>
      <c r="I4953" t="n">
        <v>0</v>
      </c>
      <c r="J4953" t="n">
        <v>0</v>
      </c>
      <c r="K4953" t="n">
        <v>0</v>
      </c>
      <c r="L4953" t="n">
        <v>0</v>
      </c>
      <c r="M4953" t="n">
        <v>0</v>
      </c>
      <c r="N4953" t="n">
        <v>0</v>
      </c>
      <c r="O4953" t="n">
        <v>0</v>
      </c>
      <c r="P4953" t="n">
        <v>0</v>
      </c>
      <c r="Q4953" t="n">
        <v>0</v>
      </c>
      <c r="R4953" s="2" t="inlineStr"/>
    </row>
    <row r="4954" ht="15" customHeight="1">
      <c r="A4954" t="inlineStr">
        <is>
          <t>A 59297-2024</t>
        </is>
      </c>
      <c r="B4954" s="1" t="n">
        <v>45637</v>
      </c>
      <c r="C4954" s="1" t="n">
        <v>45883</v>
      </c>
      <c r="D4954" t="inlineStr">
        <is>
          <t>GÄVLEBORGS LÄN</t>
        </is>
      </c>
      <c r="E4954" t="inlineStr">
        <is>
          <t>NORDANSTIG</t>
        </is>
      </c>
      <c r="G4954" t="n">
        <v>3.8</v>
      </c>
      <c r="H4954" t="n">
        <v>0</v>
      </c>
      <c r="I4954" t="n">
        <v>0</v>
      </c>
      <c r="J4954" t="n">
        <v>0</v>
      </c>
      <c r="K4954" t="n">
        <v>0</v>
      </c>
      <c r="L4954" t="n">
        <v>0</v>
      </c>
      <c r="M4954" t="n">
        <v>0</v>
      </c>
      <c r="N4954" t="n">
        <v>0</v>
      </c>
      <c r="O4954" t="n">
        <v>0</v>
      </c>
      <c r="P4954" t="n">
        <v>0</v>
      </c>
      <c r="Q4954" t="n">
        <v>0</v>
      </c>
      <c r="R4954" s="2" t="inlineStr"/>
    </row>
    <row r="4955" ht="15" customHeight="1">
      <c r="A4955" t="inlineStr">
        <is>
          <t>A 59451-2024</t>
        </is>
      </c>
      <c r="B4955" s="1" t="n">
        <v>45638</v>
      </c>
      <c r="C4955" s="1" t="n">
        <v>45883</v>
      </c>
      <c r="D4955" t="inlineStr">
        <is>
          <t>GÄVLEBORGS LÄN</t>
        </is>
      </c>
      <c r="E4955" t="inlineStr">
        <is>
          <t>OCKELBO</t>
        </is>
      </c>
      <c r="G4955" t="n">
        <v>4.6</v>
      </c>
      <c r="H4955" t="n">
        <v>0</v>
      </c>
      <c r="I4955" t="n">
        <v>0</v>
      </c>
      <c r="J4955" t="n">
        <v>0</v>
      </c>
      <c r="K4955" t="n">
        <v>0</v>
      </c>
      <c r="L4955" t="n">
        <v>0</v>
      </c>
      <c r="M4955" t="n">
        <v>0</v>
      </c>
      <c r="N4955" t="n">
        <v>0</v>
      </c>
      <c r="O4955" t="n">
        <v>0</v>
      </c>
      <c r="P4955" t="n">
        <v>0</v>
      </c>
      <c r="Q4955" t="n">
        <v>0</v>
      </c>
      <c r="R4955" s="2" t="inlineStr"/>
    </row>
    <row r="4956" ht="15" customHeight="1">
      <c r="A4956" t="inlineStr">
        <is>
          <t>A 58810-2024</t>
        </is>
      </c>
      <c r="B4956" s="1" t="n">
        <v>45636.34581018519</v>
      </c>
      <c r="C4956" s="1" t="n">
        <v>45883</v>
      </c>
      <c r="D4956" t="inlineStr">
        <is>
          <t>GÄVLEBORGS LÄN</t>
        </is>
      </c>
      <c r="E4956" t="inlineStr">
        <is>
          <t>SÖDERHAMN</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58870-2024</t>
        </is>
      </c>
      <c r="B4957" s="1" t="n">
        <v>45636.43966435185</v>
      </c>
      <c r="C4957" s="1" t="n">
        <v>45883</v>
      </c>
      <c r="D4957" t="inlineStr">
        <is>
          <t>GÄVLEBORGS LÄN</t>
        </is>
      </c>
      <c r="E4957" t="inlineStr">
        <is>
          <t>SÖDERHAMN</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19405-2021</t>
        </is>
      </c>
      <c r="B4958" s="1" t="n">
        <v>44309</v>
      </c>
      <c r="C4958" s="1" t="n">
        <v>45883</v>
      </c>
      <c r="D4958" t="inlineStr">
        <is>
          <t>GÄVLEBORGS LÄN</t>
        </is>
      </c>
      <c r="E4958" t="inlineStr">
        <is>
          <t>LJUSDAL</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15494-2023</t>
        </is>
      </c>
      <c r="B4959" s="1" t="n">
        <v>45020.47074074074</v>
      </c>
      <c r="C4959" s="1" t="n">
        <v>45883</v>
      </c>
      <c r="D4959" t="inlineStr">
        <is>
          <t>GÄVLEBORGS LÄN</t>
        </is>
      </c>
      <c r="E4959" t="inlineStr">
        <is>
          <t>NORDANSTIG</t>
        </is>
      </c>
      <c r="F4959" t="inlineStr">
        <is>
          <t>Holmen skog AB</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15496-2023</t>
        </is>
      </c>
      <c r="B4960" s="1" t="n">
        <v>45020.47482638889</v>
      </c>
      <c r="C4960" s="1" t="n">
        <v>45883</v>
      </c>
      <c r="D4960" t="inlineStr">
        <is>
          <t>GÄVLEBORGS LÄN</t>
        </is>
      </c>
      <c r="E4960" t="inlineStr">
        <is>
          <t>NORDANSTIG</t>
        </is>
      </c>
      <c r="F4960" t="inlineStr">
        <is>
          <t>Holmen skog AB</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52140-2024</t>
        </is>
      </c>
      <c r="B4961" s="1" t="n">
        <v>45608.50689814815</v>
      </c>
      <c r="C4961" s="1" t="n">
        <v>45883</v>
      </c>
      <c r="D4961" t="inlineStr">
        <is>
          <t>GÄVLEBORGS LÄN</t>
        </is>
      </c>
      <c r="E4961" t="inlineStr">
        <is>
          <t>OCKELBO</t>
        </is>
      </c>
      <c r="F4961" t="inlineStr">
        <is>
          <t>Bergvik skog väst AB</t>
        </is>
      </c>
      <c r="G4961" t="n">
        <v>9.800000000000001</v>
      </c>
      <c r="H4961" t="n">
        <v>0</v>
      </c>
      <c r="I4961" t="n">
        <v>0</v>
      </c>
      <c r="J4961" t="n">
        <v>0</v>
      </c>
      <c r="K4961" t="n">
        <v>0</v>
      </c>
      <c r="L4961" t="n">
        <v>0</v>
      </c>
      <c r="M4961" t="n">
        <v>0</v>
      </c>
      <c r="N4961" t="n">
        <v>0</v>
      </c>
      <c r="O4961" t="n">
        <v>0</v>
      </c>
      <c r="P4961" t="n">
        <v>0</v>
      </c>
      <c r="Q4961" t="n">
        <v>0</v>
      </c>
      <c r="R4961" s="2" t="inlineStr"/>
    </row>
    <row r="4962" ht="15" customHeight="1">
      <c r="A4962" t="inlineStr">
        <is>
          <t>A 49959-2024</t>
        </is>
      </c>
      <c r="B4962" s="1" t="n">
        <v>45597.62274305556</v>
      </c>
      <c r="C4962" s="1" t="n">
        <v>45883</v>
      </c>
      <c r="D4962" t="inlineStr">
        <is>
          <t>GÄVLEBORGS LÄN</t>
        </is>
      </c>
      <c r="E4962" t="inlineStr">
        <is>
          <t>SÖDERHAMN</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22832-2025</t>
        </is>
      </c>
      <c r="B4963" s="1" t="n">
        <v>45789.88387731482</v>
      </c>
      <c r="C4963" s="1" t="n">
        <v>45883</v>
      </c>
      <c r="D4963" t="inlineStr">
        <is>
          <t>GÄVLEBORGS LÄN</t>
        </is>
      </c>
      <c r="E4963" t="inlineStr">
        <is>
          <t>HUDIKSVALL</t>
        </is>
      </c>
      <c r="F4963" t="inlineStr">
        <is>
          <t>Holmen skog AB</t>
        </is>
      </c>
      <c r="G4963" t="n">
        <v>82.3</v>
      </c>
      <c r="H4963" t="n">
        <v>0</v>
      </c>
      <c r="I4963" t="n">
        <v>0</v>
      </c>
      <c r="J4963" t="n">
        <v>0</v>
      </c>
      <c r="K4963" t="n">
        <v>0</v>
      </c>
      <c r="L4963" t="n">
        <v>0</v>
      </c>
      <c r="M4963" t="n">
        <v>0</v>
      </c>
      <c r="N4963" t="n">
        <v>0</v>
      </c>
      <c r="O4963" t="n">
        <v>0</v>
      </c>
      <c r="P4963" t="n">
        <v>0</v>
      </c>
      <c r="Q4963" t="n">
        <v>0</v>
      </c>
      <c r="R4963" s="2" t="inlineStr"/>
    </row>
    <row r="4964" ht="15" customHeight="1">
      <c r="A4964" t="inlineStr">
        <is>
          <t>A 21004-2021</t>
        </is>
      </c>
      <c r="B4964" s="1" t="n">
        <v>44319</v>
      </c>
      <c r="C4964" s="1" t="n">
        <v>45883</v>
      </c>
      <c r="D4964" t="inlineStr">
        <is>
          <t>GÄVLEBORGS LÄN</t>
        </is>
      </c>
      <c r="E4964" t="inlineStr">
        <is>
          <t>GÄVLE</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52221-2024</t>
        </is>
      </c>
      <c r="B4965" s="1" t="n">
        <v>45608.6054050926</v>
      </c>
      <c r="C4965" s="1" t="n">
        <v>45883</v>
      </c>
      <c r="D4965" t="inlineStr">
        <is>
          <t>GÄVLEBORGS LÄN</t>
        </is>
      </c>
      <c r="E4965" t="inlineStr">
        <is>
          <t>HUDIKSVALL</t>
        </is>
      </c>
      <c r="G4965" t="n">
        <v>4.5</v>
      </c>
      <c r="H4965" t="n">
        <v>0</v>
      </c>
      <c r="I4965" t="n">
        <v>0</v>
      </c>
      <c r="J4965" t="n">
        <v>0</v>
      </c>
      <c r="K4965" t="n">
        <v>0</v>
      </c>
      <c r="L4965" t="n">
        <v>0</v>
      </c>
      <c r="M4965" t="n">
        <v>0</v>
      </c>
      <c r="N4965" t="n">
        <v>0</v>
      </c>
      <c r="O4965" t="n">
        <v>0</v>
      </c>
      <c r="P4965" t="n">
        <v>0</v>
      </c>
      <c r="Q4965" t="n">
        <v>0</v>
      </c>
      <c r="R4965" s="2" t="inlineStr"/>
    </row>
    <row r="4966" ht="15" customHeight="1">
      <c r="A4966" t="inlineStr">
        <is>
          <t>A 22664-2025</t>
        </is>
      </c>
      <c r="B4966" s="1" t="n">
        <v>45789.48466435185</v>
      </c>
      <c r="C4966" s="1" t="n">
        <v>45883</v>
      </c>
      <c r="D4966" t="inlineStr">
        <is>
          <t>GÄVLEBORGS LÄN</t>
        </is>
      </c>
      <c r="E4966" t="inlineStr">
        <is>
          <t>GÄVLE</t>
        </is>
      </c>
      <c r="F4966" t="inlineStr">
        <is>
          <t>Bergvik skog väst AB</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22611-2025</t>
        </is>
      </c>
      <c r="B4967" s="1" t="n">
        <v>45789.42327546296</v>
      </c>
      <c r="C4967" s="1" t="n">
        <v>45883</v>
      </c>
      <c r="D4967" t="inlineStr">
        <is>
          <t>GÄVLEBORGS LÄN</t>
        </is>
      </c>
      <c r="E4967" t="inlineStr">
        <is>
          <t>HUDIKSVALL</t>
        </is>
      </c>
      <c r="F4967" t="inlineStr">
        <is>
          <t>Holmen skog AB</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23016-2025</t>
        </is>
      </c>
      <c r="B4968" s="1" t="n">
        <v>45790.6394212963</v>
      </c>
      <c r="C4968" s="1" t="n">
        <v>45883</v>
      </c>
      <c r="D4968" t="inlineStr">
        <is>
          <t>GÄVLEBORGS LÄN</t>
        </is>
      </c>
      <c r="E4968" t="inlineStr">
        <is>
          <t>LJUSDAL</t>
        </is>
      </c>
      <c r="G4968" t="n">
        <v>3.7</v>
      </c>
      <c r="H4968" t="n">
        <v>0</v>
      </c>
      <c r="I4968" t="n">
        <v>0</v>
      </c>
      <c r="J4968" t="n">
        <v>0</v>
      </c>
      <c r="K4968" t="n">
        <v>0</v>
      </c>
      <c r="L4968" t="n">
        <v>0</v>
      </c>
      <c r="M4968" t="n">
        <v>0</v>
      </c>
      <c r="N4968" t="n">
        <v>0</v>
      </c>
      <c r="O4968" t="n">
        <v>0</v>
      </c>
      <c r="P4968" t="n">
        <v>0</v>
      </c>
      <c r="Q4968" t="n">
        <v>0</v>
      </c>
      <c r="R4968" s="2" t="inlineStr"/>
    </row>
    <row r="4969" ht="15" customHeight="1">
      <c r="A4969" t="inlineStr">
        <is>
          <t>A 67879-2021</t>
        </is>
      </c>
      <c r="B4969" s="1" t="n">
        <v>44525.53486111111</v>
      </c>
      <c r="C4969" s="1" t="n">
        <v>45883</v>
      </c>
      <c r="D4969" t="inlineStr">
        <is>
          <t>GÄVLEBORGS LÄN</t>
        </is>
      </c>
      <c r="E4969" t="inlineStr">
        <is>
          <t>NORDANSTIG</t>
        </is>
      </c>
      <c r="F4969" t="inlineStr">
        <is>
          <t>Holmen skog AB</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56120-2024</t>
        </is>
      </c>
      <c r="B4970" s="1" t="n">
        <v>45624.46519675926</v>
      </c>
      <c r="C4970" s="1" t="n">
        <v>45883</v>
      </c>
      <c r="D4970" t="inlineStr">
        <is>
          <t>GÄVLEBORGS LÄN</t>
        </is>
      </c>
      <c r="E4970" t="inlineStr">
        <is>
          <t>BOLLNÄS</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53036-2024</t>
        </is>
      </c>
      <c r="B4971" s="1" t="n">
        <v>45611.43383101852</v>
      </c>
      <c r="C4971" s="1" t="n">
        <v>45883</v>
      </c>
      <c r="D4971" t="inlineStr">
        <is>
          <t>GÄVLEBORGS LÄN</t>
        </is>
      </c>
      <c r="E4971" t="inlineStr">
        <is>
          <t>BOLLNÄS</t>
        </is>
      </c>
      <c r="G4971" t="n">
        <v>6.1</v>
      </c>
      <c r="H4971" t="n">
        <v>0</v>
      </c>
      <c r="I4971" t="n">
        <v>0</v>
      </c>
      <c r="J4971" t="n">
        <v>0</v>
      </c>
      <c r="K4971" t="n">
        <v>0</v>
      </c>
      <c r="L4971" t="n">
        <v>0</v>
      </c>
      <c r="M4971" t="n">
        <v>0</v>
      </c>
      <c r="N4971" t="n">
        <v>0</v>
      </c>
      <c r="O4971" t="n">
        <v>0</v>
      </c>
      <c r="P4971" t="n">
        <v>0</v>
      </c>
      <c r="Q4971" t="n">
        <v>0</v>
      </c>
      <c r="R4971" s="2" t="inlineStr"/>
    </row>
    <row r="4972" ht="15" customHeight="1">
      <c r="A4972" t="inlineStr">
        <is>
          <t>A 43075-2024</t>
        </is>
      </c>
      <c r="B4972" s="1" t="n">
        <v>45567.4943287037</v>
      </c>
      <c r="C4972" s="1" t="n">
        <v>45883</v>
      </c>
      <c r="D4972" t="inlineStr">
        <is>
          <t>GÄVLEBORGS LÄN</t>
        </is>
      </c>
      <c r="E4972" t="inlineStr">
        <is>
          <t>NORDANSTIG</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29534-2023</t>
        </is>
      </c>
      <c r="B4973" s="1" t="n">
        <v>45106.63590277778</v>
      </c>
      <c r="C4973" s="1" t="n">
        <v>45883</v>
      </c>
      <c r="D4973" t="inlineStr">
        <is>
          <t>GÄVLEBORGS LÄN</t>
        </is>
      </c>
      <c r="E4973" t="inlineStr">
        <is>
          <t>OCKELBO</t>
        </is>
      </c>
      <c r="F4973" t="inlineStr">
        <is>
          <t>Bergvik skog väst AB</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24119-2024</t>
        </is>
      </c>
      <c r="B4974" s="1" t="n">
        <v>45456.62002314815</v>
      </c>
      <c r="C4974" s="1" t="n">
        <v>45883</v>
      </c>
      <c r="D4974" t="inlineStr">
        <is>
          <t>GÄVLEBORGS LÄN</t>
        </is>
      </c>
      <c r="E4974" t="inlineStr">
        <is>
          <t>HUDIKSVALL</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50689-2024</t>
        </is>
      </c>
      <c r="B4975" s="1" t="n">
        <v>45602</v>
      </c>
      <c r="C4975" s="1" t="n">
        <v>45883</v>
      </c>
      <c r="D4975" t="inlineStr">
        <is>
          <t>GÄVLEBORGS LÄN</t>
        </is>
      </c>
      <c r="E4975" t="inlineStr">
        <is>
          <t>OCKELBO</t>
        </is>
      </c>
      <c r="F4975" t="inlineStr">
        <is>
          <t>Bergvik skog väst AB</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53167-2024</t>
        </is>
      </c>
      <c r="B4976" s="1" t="n">
        <v>45611.65372685185</v>
      </c>
      <c r="C4976" s="1" t="n">
        <v>45883</v>
      </c>
      <c r="D4976" t="inlineStr">
        <is>
          <t>GÄVLEBORGS LÄN</t>
        </is>
      </c>
      <c r="E4976" t="inlineStr">
        <is>
          <t>NORDANSTIG</t>
        </is>
      </c>
      <c r="F4976" t="inlineStr">
        <is>
          <t>Holmen skog AB</t>
        </is>
      </c>
      <c r="G4976" t="n">
        <v>3.4</v>
      </c>
      <c r="H4976" t="n">
        <v>0</v>
      </c>
      <c r="I4976" t="n">
        <v>0</v>
      </c>
      <c r="J4976" t="n">
        <v>0</v>
      </c>
      <c r="K4976" t="n">
        <v>0</v>
      </c>
      <c r="L4976" t="n">
        <v>0</v>
      </c>
      <c r="M4976" t="n">
        <v>0</v>
      </c>
      <c r="N4976" t="n">
        <v>0</v>
      </c>
      <c r="O4976" t="n">
        <v>0</v>
      </c>
      <c r="P4976" t="n">
        <v>0</v>
      </c>
      <c r="Q4976" t="n">
        <v>0</v>
      </c>
      <c r="R4976" s="2" t="inlineStr"/>
    </row>
    <row r="4977" ht="15" customHeight="1">
      <c r="A4977" t="inlineStr">
        <is>
          <t>A 52335-2024</t>
        </is>
      </c>
      <c r="B4977" s="1" t="n">
        <v>45609</v>
      </c>
      <c r="C4977" s="1" t="n">
        <v>45883</v>
      </c>
      <c r="D4977" t="inlineStr">
        <is>
          <t>GÄVLEBORGS LÄN</t>
        </is>
      </c>
      <c r="E4977" t="inlineStr">
        <is>
          <t>OCKELBO</t>
        </is>
      </c>
      <c r="F4977" t="inlineStr">
        <is>
          <t>Bergvik skog väst AB</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52339-2024</t>
        </is>
      </c>
      <c r="B4978" s="1" t="n">
        <v>45609.33740740741</v>
      </c>
      <c r="C4978" s="1" t="n">
        <v>45883</v>
      </c>
      <c r="D4978" t="inlineStr">
        <is>
          <t>GÄVLEBORGS LÄN</t>
        </is>
      </c>
      <c r="E4978" t="inlineStr">
        <is>
          <t>LJUSDAL</t>
        </is>
      </c>
      <c r="G4978" t="n">
        <v>5.1</v>
      </c>
      <c r="H4978" t="n">
        <v>0</v>
      </c>
      <c r="I4978" t="n">
        <v>0</v>
      </c>
      <c r="J4978" t="n">
        <v>0</v>
      </c>
      <c r="K4978" t="n">
        <v>0</v>
      </c>
      <c r="L4978" t="n">
        <v>0</v>
      </c>
      <c r="M4978" t="n">
        <v>0</v>
      </c>
      <c r="N4978" t="n">
        <v>0</v>
      </c>
      <c r="O4978" t="n">
        <v>0</v>
      </c>
      <c r="P4978" t="n">
        <v>0</v>
      </c>
      <c r="Q4978" t="n">
        <v>0</v>
      </c>
      <c r="R4978" s="2" t="inlineStr"/>
    </row>
    <row r="4979" ht="15" customHeight="1">
      <c r="A4979" t="inlineStr">
        <is>
          <t>A 3976-2023</t>
        </is>
      </c>
      <c r="B4979" s="1" t="n">
        <v>44952</v>
      </c>
      <c r="C4979" s="1" t="n">
        <v>45883</v>
      </c>
      <c r="D4979" t="inlineStr">
        <is>
          <t>GÄVLEBORGS LÄN</t>
        </is>
      </c>
      <c r="E4979" t="inlineStr">
        <is>
          <t>BOLLNÄS</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4001-2023</t>
        </is>
      </c>
      <c r="B4980" s="1" t="n">
        <v>44952.50115740741</v>
      </c>
      <c r="C4980" s="1" t="n">
        <v>45883</v>
      </c>
      <c r="D4980" t="inlineStr">
        <is>
          <t>GÄVLEBORGS LÄN</t>
        </is>
      </c>
      <c r="E4980" t="inlineStr">
        <is>
          <t>NORDANSTIG</t>
        </is>
      </c>
      <c r="F4980" t="inlineStr">
        <is>
          <t>Holmen skog AB</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4024-2023</t>
        </is>
      </c>
      <c r="B4981" s="1" t="n">
        <v>44952.55783564815</v>
      </c>
      <c r="C4981" s="1" t="n">
        <v>45883</v>
      </c>
      <c r="D4981" t="inlineStr">
        <is>
          <t>GÄVLEBORGS LÄN</t>
        </is>
      </c>
      <c r="E4981" t="inlineStr">
        <is>
          <t>NORDANSTIG</t>
        </is>
      </c>
      <c r="F4981" t="inlineStr">
        <is>
          <t>Holmen skog AB</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49105-2024</t>
        </is>
      </c>
      <c r="B4982" s="1" t="n">
        <v>45594.65056712963</v>
      </c>
      <c r="C4982" s="1" t="n">
        <v>45883</v>
      </c>
      <c r="D4982" t="inlineStr">
        <is>
          <t>GÄVLEBORGS LÄN</t>
        </is>
      </c>
      <c r="E4982" t="inlineStr">
        <is>
          <t>HUDIKSVALL</t>
        </is>
      </c>
      <c r="G4982" t="n">
        <v>25.3</v>
      </c>
      <c r="H4982" t="n">
        <v>0</v>
      </c>
      <c r="I4982" t="n">
        <v>0</v>
      </c>
      <c r="J4982" t="n">
        <v>0</v>
      </c>
      <c r="K4982" t="n">
        <v>0</v>
      </c>
      <c r="L4982" t="n">
        <v>0</v>
      </c>
      <c r="M4982" t="n">
        <v>0</v>
      </c>
      <c r="N4982" t="n">
        <v>0</v>
      </c>
      <c r="O4982" t="n">
        <v>0</v>
      </c>
      <c r="P4982" t="n">
        <v>0</v>
      </c>
      <c r="Q4982" t="n">
        <v>0</v>
      </c>
      <c r="R4982" s="2" t="inlineStr"/>
    </row>
    <row r="4983" ht="15" customHeight="1">
      <c r="A4983" t="inlineStr">
        <is>
          <t>A 60307-2024</t>
        </is>
      </c>
      <c r="B4983" s="1" t="n">
        <v>45643.34199074074</v>
      </c>
      <c r="C4983" s="1" t="n">
        <v>45883</v>
      </c>
      <c r="D4983" t="inlineStr">
        <is>
          <t>GÄVLEBORGS LÄN</t>
        </is>
      </c>
      <c r="E4983" t="inlineStr">
        <is>
          <t>GÄVLE</t>
        </is>
      </c>
      <c r="F4983" t="inlineStr">
        <is>
          <t>Kyrkan</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61514-2024</t>
        </is>
      </c>
      <c r="B4984" s="1" t="n">
        <v>45646.57283564815</v>
      </c>
      <c r="C4984" s="1" t="n">
        <v>45883</v>
      </c>
      <c r="D4984" t="inlineStr">
        <is>
          <t>GÄVLEBORGS LÄN</t>
        </is>
      </c>
      <c r="E4984" t="inlineStr">
        <is>
          <t>BOLLNÄS</t>
        </is>
      </c>
      <c r="G4984" t="n">
        <v>4.7</v>
      </c>
      <c r="H4984" t="n">
        <v>0</v>
      </c>
      <c r="I4984" t="n">
        <v>0</v>
      </c>
      <c r="J4984" t="n">
        <v>0</v>
      </c>
      <c r="K4984" t="n">
        <v>0</v>
      </c>
      <c r="L4984" t="n">
        <v>0</v>
      </c>
      <c r="M4984" t="n">
        <v>0</v>
      </c>
      <c r="N4984" t="n">
        <v>0</v>
      </c>
      <c r="O4984" t="n">
        <v>0</v>
      </c>
      <c r="P4984" t="n">
        <v>0</v>
      </c>
      <c r="Q4984" t="n">
        <v>0</v>
      </c>
      <c r="R4984" s="2" t="inlineStr"/>
    </row>
    <row r="4985" ht="15" customHeight="1">
      <c r="A4985" t="inlineStr">
        <is>
          <t>A 25946-2023</t>
        </is>
      </c>
      <c r="B4985" s="1" t="n">
        <v>45090.7058912037</v>
      </c>
      <c r="C4985" s="1" t="n">
        <v>45883</v>
      </c>
      <c r="D4985" t="inlineStr">
        <is>
          <t>GÄVLEBORGS LÄN</t>
        </is>
      </c>
      <c r="E4985" t="inlineStr">
        <is>
          <t>NORDANSTIG</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19909-2023</t>
        </is>
      </c>
      <c r="B4986" s="1" t="n">
        <v>45054.4237037037</v>
      </c>
      <c r="C4986" s="1" t="n">
        <v>45883</v>
      </c>
      <c r="D4986" t="inlineStr">
        <is>
          <t>GÄVLEBORGS LÄN</t>
        </is>
      </c>
      <c r="E4986" t="inlineStr">
        <is>
          <t>OCKELBO</t>
        </is>
      </c>
      <c r="F4986" t="inlineStr">
        <is>
          <t>Bergvik skog väst AB</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28181-2022</t>
        </is>
      </c>
      <c r="B4987" s="1" t="n">
        <v>44746.58283564815</v>
      </c>
      <c r="C4987" s="1" t="n">
        <v>45883</v>
      </c>
      <c r="D4987" t="inlineStr">
        <is>
          <t>GÄVLEBORGS LÄN</t>
        </is>
      </c>
      <c r="E4987" t="inlineStr">
        <is>
          <t>OCKELBO</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11607-2023</t>
        </is>
      </c>
      <c r="B4988" s="1" t="n">
        <v>44994</v>
      </c>
      <c r="C4988" s="1" t="n">
        <v>45883</v>
      </c>
      <c r="D4988" t="inlineStr">
        <is>
          <t>GÄVLEBORGS LÄN</t>
        </is>
      </c>
      <c r="E4988" t="inlineStr">
        <is>
          <t>HOFORS</t>
        </is>
      </c>
      <c r="F4988" t="inlineStr">
        <is>
          <t>Övriga statliga verk och myndigheter</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48888-2024</t>
        </is>
      </c>
      <c r="B4989" s="1" t="n">
        <v>45594.33530092592</v>
      </c>
      <c r="C4989" s="1" t="n">
        <v>45883</v>
      </c>
      <c r="D4989" t="inlineStr">
        <is>
          <t>GÄVLEBORGS LÄN</t>
        </is>
      </c>
      <c r="E4989" t="inlineStr">
        <is>
          <t>HUDIKSVALL</t>
        </is>
      </c>
      <c r="F4989" t="inlineStr">
        <is>
          <t>Holmen skog AB</t>
        </is>
      </c>
      <c r="G4989" t="n">
        <v>6.6</v>
      </c>
      <c r="H4989" t="n">
        <v>0</v>
      </c>
      <c r="I4989" t="n">
        <v>0</v>
      </c>
      <c r="J4989" t="n">
        <v>0</v>
      </c>
      <c r="K4989" t="n">
        <v>0</v>
      </c>
      <c r="L4989" t="n">
        <v>0</v>
      </c>
      <c r="M4989" t="n">
        <v>0</v>
      </c>
      <c r="N4989" t="n">
        <v>0</v>
      </c>
      <c r="O4989" t="n">
        <v>0</v>
      </c>
      <c r="P4989" t="n">
        <v>0</v>
      </c>
      <c r="Q4989" t="n">
        <v>0</v>
      </c>
      <c r="R4989" s="2" t="inlineStr"/>
    </row>
    <row r="4990" ht="15" customHeight="1">
      <c r="A4990" t="inlineStr">
        <is>
          <t>A 19919-2023</t>
        </is>
      </c>
      <c r="B4990" s="1" t="n">
        <v>45054.44943287037</v>
      </c>
      <c r="C4990" s="1" t="n">
        <v>45883</v>
      </c>
      <c r="D4990" t="inlineStr">
        <is>
          <t>GÄVLEBORGS LÄN</t>
        </is>
      </c>
      <c r="E4990" t="inlineStr">
        <is>
          <t>OCKELBO</t>
        </is>
      </c>
      <c r="F4990" t="inlineStr">
        <is>
          <t>Bergvik skog väst AB</t>
        </is>
      </c>
      <c r="G4990" t="n">
        <v>8</v>
      </c>
      <c r="H4990" t="n">
        <v>0</v>
      </c>
      <c r="I4990" t="n">
        <v>0</v>
      </c>
      <c r="J4990" t="n">
        <v>0</v>
      </c>
      <c r="K4990" t="n">
        <v>0</v>
      </c>
      <c r="L4990" t="n">
        <v>0</v>
      </c>
      <c r="M4990" t="n">
        <v>0</v>
      </c>
      <c r="N4990" t="n">
        <v>0</v>
      </c>
      <c r="O4990" t="n">
        <v>0</v>
      </c>
      <c r="P4990" t="n">
        <v>0</v>
      </c>
      <c r="Q4990" t="n">
        <v>0</v>
      </c>
      <c r="R4990" s="2" t="inlineStr"/>
    </row>
    <row r="4991" ht="15" customHeight="1">
      <c r="A4991" t="inlineStr">
        <is>
          <t>A 8153-2022</t>
        </is>
      </c>
      <c r="B4991" s="1" t="n">
        <v>44609.62958333334</v>
      </c>
      <c r="C4991" s="1" t="n">
        <v>45883</v>
      </c>
      <c r="D4991" t="inlineStr">
        <is>
          <t>GÄVLEBORGS LÄN</t>
        </is>
      </c>
      <c r="E4991" t="inlineStr">
        <is>
          <t>LJUSDAL</t>
        </is>
      </c>
      <c r="F4991" t="inlineStr">
        <is>
          <t>Holmen skog AB</t>
        </is>
      </c>
      <c r="G4991" t="n">
        <v>3.8</v>
      </c>
      <c r="H4991" t="n">
        <v>0</v>
      </c>
      <c r="I4991" t="n">
        <v>0</v>
      </c>
      <c r="J4991" t="n">
        <v>0</v>
      </c>
      <c r="K4991" t="n">
        <v>0</v>
      </c>
      <c r="L4991" t="n">
        <v>0</v>
      </c>
      <c r="M4991" t="n">
        <v>0</v>
      </c>
      <c r="N4991" t="n">
        <v>0</v>
      </c>
      <c r="O4991" t="n">
        <v>0</v>
      </c>
      <c r="P4991" t="n">
        <v>0</v>
      </c>
      <c r="Q4991" t="n">
        <v>0</v>
      </c>
      <c r="R4991" s="2" t="inlineStr"/>
    </row>
    <row r="4992" ht="15" customHeight="1">
      <c r="A4992" t="inlineStr">
        <is>
          <t>A 41074-2023</t>
        </is>
      </c>
      <c r="B4992" s="1" t="n">
        <v>45173</v>
      </c>
      <c r="C4992" s="1" t="n">
        <v>45883</v>
      </c>
      <c r="D4992" t="inlineStr">
        <is>
          <t>GÄVLEBORGS LÄN</t>
        </is>
      </c>
      <c r="E4992" t="inlineStr">
        <is>
          <t>NORDANSTIG</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22932-2025</t>
        </is>
      </c>
      <c r="B4993" s="1" t="n">
        <v>45790.45025462963</v>
      </c>
      <c r="C4993" s="1" t="n">
        <v>45883</v>
      </c>
      <c r="D4993" t="inlineStr">
        <is>
          <t>GÄVLEBORGS LÄN</t>
        </is>
      </c>
      <c r="E4993" t="inlineStr">
        <is>
          <t>OVANÅKER</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22579-2025</t>
        </is>
      </c>
      <c r="B4994" s="1" t="n">
        <v>45789.37967592593</v>
      </c>
      <c r="C4994" s="1" t="n">
        <v>45883</v>
      </c>
      <c r="D4994" t="inlineStr">
        <is>
          <t>GÄVLEBORGS LÄN</t>
        </is>
      </c>
      <c r="E4994" t="inlineStr">
        <is>
          <t>HUDIKSVALL</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40318-2024</t>
        </is>
      </c>
      <c r="B4995" s="1" t="n">
        <v>45554.79619212963</v>
      </c>
      <c r="C4995" s="1" t="n">
        <v>45883</v>
      </c>
      <c r="D4995" t="inlineStr">
        <is>
          <t>GÄVLEBORGS LÄN</t>
        </is>
      </c>
      <c r="E4995" t="inlineStr">
        <is>
          <t>LJUSDAL</t>
        </is>
      </c>
      <c r="G4995" t="n">
        <v>7.1</v>
      </c>
      <c r="H4995" t="n">
        <v>0</v>
      </c>
      <c r="I4995" t="n">
        <v>0</v>
      </c>
      <c r="J4995" t="n">
        <v>0</v>
      </c>
      <c r="K4995" t="n">
        <v>0</v>
      </c>
      <c r="L4995" t="n">
        <v>0</v>
      </c>
      <c r="M4995" t="n">
        <v>0</v>
      </c>
      <c r="N4995" t="n">
        <v>0</v>
      </c>
      <c r="O4995" t="n">
        <v>0</v>
      </c>
      <c r="P4995" t="n">
        <v>0</v>
      </c>
      <c r="Q4995" t="n">
        <v>0</v>
      </c>
      <c r="R4995" s="2" t="inlineStr"/>
    </row>
    <row r="4996" ht="15" customHeight="1">
      <c r="A4996" t="inlineStr">
        <is>
          <t>A 40321-2024</t>
        </is>
      </c>
      <c r="B4996" s="1" t="n">
        <v>45554.80881944444</v>
      </c>
      <c r="C4996" s="1" t="n">
        <v>45883</v>
      </c>
      <c r="D4996" t="inlineStr">
        <is>
          <t>GÄVLEBORGS LÄN</t>
        </is>
      </c>
      <c r="E4996" t="inlineStr">
        <is>
          <t>HUDIKSVALL</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40336-2024</t>
        </is>
      </c>
      <c r="B4997" s="1" t="n">
        <v>45555.32482638889</v>
      </c>
      <c r="C4997" s="1" t="n">
        <v>45883</v>
      </c>
      <c r="D4997" t="inlineStr">
        <is>
          <t>GÄVLEBORGS LÄN</t>
        </is>
      </c>
      <c r="E4997" t="inlineStr">
        <is>
          <t>BOLLNÄS</t>
        </is>
      </c>
      <c r="F4997" t="inlineStr">
        <is>
          <t>Bergvik skog väst AB</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38609-2022</t>
        </is>
      </c>
      <c r="B4998" s="1" t="n">
        <v>44813</v>
      </c>
      <c r="C4998" s="1" t="n">
        <v>45883</v>
      </c>
      <c r="D4998" t="inlineStr">
        <is>
          <t>GÄVLEBORGS LÄN</t>
        </is>
      </c>
      <c r="E4998" t="inlineStr">
        <is>
          <t>SANDVIKEN</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40928-2024</t>
        </is>
      </c>
      <c r="B4999" s="1" t="n">
        <v>45558.64020833333</v>
      </c>
      <c r="C4999" s="1" t="n">
        <v>45883</v>
      </c>
      <c r="D4999" t="inlineStr">
        <is>
          <t>GÄVLEBORGS LÄN</t>
        </is>
      </c>
      <c r="E4999" t="inlineStr">
        <is>
          <t>BOLLNÄS</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40613-2023</t>
        </is>
      </c>
      <c r="B5000" s="1" t="n">
        <v>45170.51297453704</v>
      </c>
      <c r="C5000" s="1" t="n">
        <v>45883</v>
      </c>
      <c r="D5000" t="inlineStr">
        <is>
          <t>GÄVLEBORGS LÄN</t>
        </is>
      </c>
      <c r="E5000" t="inlineStr">
        <is>
          <t>NORDANSTIG</t>
        </is>
      </c>
      <c r="F5000" t="inlineStr">
        <is>
          <t>Holmen skog AB</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48607-2023</t>
        </is>
      </c>
      <c r="B5001" s="1" t="n">
        <v>45208.53420138889</v>
      </c>
      <c r="C5001" s="1" t="n">
        <v>45883</v>
      </c>
      <c r="D5001" t="inlineStr">
        <is>
          <t>GÄVLEBORGS LÄN</t>
        </is>
      </c>
      <c r="E5001" t="inlineStr">
        <is>
          <t>NORDANSTIG</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23255-2024</t>
        </is>
      </c>
      <c r="B5002" s="1" t="n">
        <v>45453.36412037037</v>
      </c>
      <c r="C5002" s="1" t="n">
        <v>45883</v>
      </c>
      <c r="D5002" t="inlineStr">
        <is>
          <t>GÄVLEBORGS LÄN</t>
        </is>
      </c>
      <c r="E5002" t="inlineStr">
        <is>
          <t>OCKELBO</t>
        </is>
      </c>
      <c r="G5002" t="n">
        <v>4.5</v>
      </c>
      <c r="H5002" t="n">
        <v>0</v>
      </c>
      <c r="I5002" t="n">
        <v>0</v>
      </c>
      <c r="J5002" t="n">
        <v>0</v>
      </c>
      <c r="K5002" t="n">
        <v>0</v>
      </c>
      <c r="L5002" t="n">
        <v>0</v>
      </c>
      <c r="M5002" t="n">
        <v>0</v>
      </c>
      <c r="N5002" t="n">
        <v>0</v>
      </c>
      <c r="O5002" t="n">
        <v>0</v>
      </c>
      <c r="P5002" t="n">
        <v>0</v>
      </c>
      <c r="Q5002" t="n">
        <v>0</v>
      </c>
      <c r="R5002" s="2" t="inlineStr"/>
    </row>
    <row r="5003" ht="15" customHeight="1">
      <c r="A5003" t="inlineStr">
        <is>
          <t>A 16616-2025</t>
        </is>
      </c>
      <c r="B5003" s="1" t="n">
        <v>45754</v>
      </c>
      <c r="C5003" s="1" t="n">
        <v>45883</v>
      </c>
      <c r="D5003" t="inlineStr">
        <is>
          <t>GÄVLEBORGS LÄN</t>
        </is>
      </c>
      <c r="E5003" t="inlineStr">
        <is>
          <t>NORDANSTIG</t>
        </is>
      </c>
      <c r="F5003" t="inlineStr">
        <is>
          <t>Holmen skog AB</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1190-2021</t>
        </is>
      </c>
      <c r="B5004" s="1" t="n">
        <v>44208.30796296296</v>
      </c>
      <c r="C5004" s="1" t="n">
        <v>45883</v>
      </c>
      <c r="D5004" t="inlineStr">
        <is>
          <t>GÄVLEBORGS LÄN</t>
        </is>
      </c>
      <c r="E5004" t="inlineStr">
        <is>
          <t>NORDANSTIG</t>
        </is>
      </c>
      <c r="F5004" t="inlineStr">
        <is>
          <t>Holmen skog AB</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22923-2025</t>
        </is>
      </c>
      <c r="B5005" s="1" t="n">
        <v>45790.44008101852</v>
      </c>
      <c r="C5005" s="1" t="n">
        <v>45883</v>
      </c>
      <c r="D5005" t="inlineStr">
        <is>
          <t>GÄVLEBORGS LÄN</t>
        </is>
      </c>
      <c r="E5005" t="inlineStr">
        <is>
          <t>GÄVLE</t>
        </is>
      </c>
      <c r="G5005" t="n">
        <v>20.8</v>
      </c>
      <c r="H5005" t="n">
        <v>0</v>
      </c>
      <c r="I5005" t="n">
        <v>0</v>
      </c>
      <c r="J5005" t="n">
        <v>0</v>
      </c>
      <c r="K5005" t="n">
        <v>0</v>
      </c>
      <c r="L5005" t="n">
        <v>0</v>
      </c>
      <c r="M5005" t="n">
        <v>0</v>
      </c>
      <c r="N5005" t="n">
        <v>0</v>
      </c>
      <c r="O5005" t="n">
        <v>0</v>
      </c>
      <c r="P5005" t="n">
        <v>0</v>
      </c>
      <c r="Q5005" t="n">
        <v>0</v>
      </c>
      <c r="R5005" s="2" t="inlineStr"/>
    </row>
    <row r="5006" ht="15" customHeight="1">
      <c r="A5006" t="inlineStr">
        <is>
          <t>A 22935-2025</t>
        </is>
      </c>
      <c r="B5006" s="1" t="n">
        <v>45790.45569444444</v>
      </c>
      <c r="C5006" s="1" t="n">
        <v>45883</v>
      </c>
      <c r="D5006" t="inlineStr">
        <is>
          <t>GÄVLEBORGS LÄN</t>
        </is>
      </c>
      <c r="E5006" t="inlineStr">
        <is>
          <t>HUDIKSVALL</t>
        </is>
      </c>
      <c r="F5006" t="inlineStr">
        <is>
          <t>Holmen skog AB</t>
        </is>
      </c>
      <c r="G5006" t="n">
        <v>11.5</v>
      </c>
      <c r="H5006" t="n">
        <v>0</v>
      </c>
      <c r="I5006" t="n">
        <v>0</v>
      </c>
      <c r="J5006" t="n">
        <v>0</v>
      </c>
      <c r="K5006" t="n">
        <v>0</v>
      </c>
      <c r="L5006" t="n">
        <v>0</v>
      </c>
      <c r="M5006" t="n">
        <v>0</v>
      </c>
      <c r="N5006" t="n">
        <v>0</v>
      </c>
      <c r="O5006" t="n">
        <v>0</v>
      </c>
      <c r="P5006" t="n">
        <v>0</v>
      </c>
      <c r="Q5006" t="n">
        <v>0</v>
      </c>
      <c r="R5006" s="2" t="inlineStr"/>
    </row>
    <row r="5007" ht="15" customHeight="1">
      <c r="A5007" t="inlineStr">
        <is>
          <t>A 11645-2022</t>
        </is>
      </c>
      <c r="B5007" s="1" t="n">
        <v>44631</v>
      </c>
      <c r="C5007" s="1" t="n">
        <v>45883</v>
      </c>
      <c r="D5007" t="inlineStr">
        <is>
          <t>GÄVLEBORGS LÄN</t>
        </is>
      </c>
      <c r="E5007" t="inlineStr">
        <is>
          <t>BOLLNÄS</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21157-2022</t>
        </is>
      </c>
      <c r="B5008" s="1" t="n">
        <v>44704</v>
      </c>
      <c r="C5008" s="1" t="n">
        <v>45883</v>
      </c>
      <c r="D5008" t="inlineStr">
        <is>
          <t>GÄVLEBORGS LÄN</t>
        </is>
      </c>
      <c r="E5008" t="inlineStr">
        <is>
          <t>NORDANSTIG</t>
        </is>
      </c>
      <c r="F5008" t="inlineStr">
        <is>
          <t>Holmen skog AB</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51273-2021</t>
        </is>
      </c>
      <c r="B5009" s="1" t="n">
        <v>44460</v>
      </c>
      <c r="C5009" s="1" t="n">
        <v>45883</v>
      </c>
      <c r="D5009" t="inlineStr">
        <is>
          <t>GÄVLEBORGS LÄN</t>
        </is>
      </c>
      <c r="E5009" t="inlineStr">
        <is>
          <t>SÖDERHAMN</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11956-2023</t>
        </is>
      </c>
      <c r="B5010" s="1" t="n">
        <v>44995.54887731482</v>
      </c>
      <c r="C5010" s="1" t="n">
        <v>45883</v>
      </c>
      <c r="D5010" t="inlineStr">
        <is>
          <t>GÄVLEBORGS LÄN</t>
        </is>
      </c>
      <c r="E5010" t="inlineStr">
        <is>
          <t>BOLLNÄS</t>
        </is>
      </c>
      <c r="G5010" t="n">
        <v>3.2</v>
      </c>
      <c r="H5010" t="n">
        <v>0</v>
      </c>
      <c r="I5010" t="n">
        <v>0</v>
      </c>
      <c r="J5010" t="n">
        <v>0</v>
      </c>
      <c r="K5010" t="n">
        <v>0</v>
      </c>
      <c r="L5010" t="n">
        <v>0</v>
      </c>
      <c r="M5010" t="n">
        <v>0</v>
      </c>
      <c r="N5010" t="n">
        <v>0</v>
      </c>
      <c r="O5010" t="n">
        <v>0</v>
      </c>
      <c r="P5010" t="n">
        <v>0</v>
      </c>
      <c r="Q5010" t="n">
        <v>0</v>
      </c>
      <c r="R5010" s="2" t="inlineStr"/>
    </row>
    <row r="5011" ht="15" customHeight="1">
      <c r="A5011" t="inlineStr">
        <is>
          <t>A 4573-2024</t>
        </is>
      </c>
      <c r="B5011" s="1" t="n">
        <v>45327</v>
      </c>
      <c r="C5011" s="1" t="n">
        <v>45883</v>
      </c>
      <c r="D5011" t="inlineStr">
        <is>
          <t>GÄVLEBORGS LÄN</t>
        </is>
      </c>
      <c r="E5011" t="inlineStr">
        <is>
          <t>HUDIKSVALL</t>
        </is>
      </c>
      <c r="F5011" t="inlineStr">
        <is>
          <t>Holmen skog AB</t>
        </is>
      </c>
      <c r="G5011" t="n">
        <v>7.5</v>
      </c>
      <c r="H5011" t="n">
        <v>0</v>
      </c>
      <c r="I5011" t="n">
        <v>0</v>
      </c>
      <c r="J5011" t="n">
        <v>0</v>
      </c>
      <c r="K5011" t="n">
        <v>0</v>
      </c>
      <c r="L5011" t="n">
        <v>0</v>
      </c>
      <c r="M5011" t="n">
        <v>0</v>
      </c>
      <c r="N5011" t="n">
        <v>0</v>
      </c>
      <c r="O5011" t="n">
        <v>0</v>
      </c>
      <c r="P5011" t="n">
        <v>0</v>
      </c>
      <c r="Q5011" t="n">
        <v>0</v>
      </c>
      <c r="R5011" s="2" t="inlineStr"/>
    </row>
    <row r="5012" ht="15" customHeight="1">
      <c r="A5012" t="inlineStr">
        <is>
          <t>A 23014-2025</t>
        </is>
      </c>
      <c r="B5012" s="1" t="n">
        <v>45790.63721064815</v>
      </c>
      <c r="C5012" s="1" t="n">
        <v>45883</v>
      </c>
      <c r="D5012" t="inlineStr">
        <is>
          <t>GÄVLEBORGS LÄN</t>
        </is>
      </c>
      <c r="E5012" t="inlineStr">
        <is>
          <t>HUDIKSVALL</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47551-2021</t>
        </is>
      </c>
      <c r="B5013" s="1" t="n">
        <v>44447.92180555555</v>
      </c>
      <c r="C5013" s="1" t="n">
        <v>45883</v>
      </c>
      <c r="D5013" t="inlineStr">
        <is>
          <t>GÄVLEBORGS LÄN</t>
        </is>
      </c>
      <c r="E5013" t="inlineStr">
        <is>
          <t>LJUSDAL</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56805-2022</t>
        </is>
      </c>
      <c r="B5014" s="1" t="n">
        <v>44894.43539351852</v>
      </c>
      <c r="C5014" s="1" t="n">
        <v>45883</v>
      </c>
      <c r="D5014" t="inlineStr">
        <is>
          <t>GÄVLEBORGS LÄN</t>
        </is>
      </c>
      <c r="E5014" t="inlineStr">
        <is>
          <t>HUDIKSVALL</t>
        </is>
      </c>
      <c r="F5014" t="inlineStr">
        <is>
          <t>Holmen skog AB</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38146-2023</t>
        </is>
      </c>
      <c r="B5015" s="1" t="n">
        <v>45161</v>
      </c>
      <c r="C5015" s="1" t="n">
        <v>45883</v>
      </c>
      <c r="D5015" t="inlineStr">
        <is>
          <t>GÄVLEBORGS LÄN</t>
        </is>
      </c>
      <c r="E5015" t="inlineStr">
        <is>
          <t>BOLLNÄS</t>
        </is>
      </c>
      <c r="F5015" t="inlineStr">
        <is>
          <t>Bergvik skog väst AB</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15907-2023</t>
        </is>
      </c>
      <c r="B5016" s="1" t="n">
        <v>45022.49149305555</v>
      </c>
      <c r="C5016" s="1" t="n">
        <v>45883</v>
      </c>
      <c r="D5016" t="inlineStr">
        <is>
          <t>GÄVLEBORGS LÄN</t>
        </is>
      </c>
      <c r="E5016" t="inlineStr">
        <is>
          <t>SANDVIKEN</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17781-2025</t>
        </is>
      </c>
      <c r="B5017" s="1" t="n">
        <v>45758.52923611111</v>
      </c>
      <c r="C5017" s="1" t="n">
        <v>45883</v>
      </c>
      <c r="D5017" t="inlineStr">
        <is>
          <t>GÄVLEBORGS LÄN</t>
        </is>
      </c>
      <c r="E5017" t="inlineStr">
        <is>
          <t>BOLLNÄS</t>
        </is>
      </c>
      <c r="G5017" t="n">
        <v>10.1</v>
      </c>
      <c r="H5017" t="n">
        <v>0</v>
      </c>
      <c r="I5017" t="n">
        <v>0</v>
      </c>
      <c r="J5017" t="n">
        <v>0</v>
      </c>
      <c r="K5017" t="n">
        <v>0</v>
      </c>
      <c r="L5017" t="n">
        <v>0</v>
      </c>
      <c r="M5017" t="n">
        <v>0</v>
      </c>
      <c r="N5017" t="n">
        <v>0</v>
      </c>
      <c r="O5017" t="n">
        <v>0</v>
      </c>
      <c r="P5017" t="n">
        <v>0</v>
      </c>
      <c r="Q5017" t="n">
        <v>0</v>
      </c>
      <c r="R5017" s="2" t="inlineStr"/>
    </row>
    <row r="5018" ht="15" customHeight="1">
      <c r="A5018" t="inlineStr">
        <is>
          <t>A 22722-2025</t>
        </is>
      </c>
      <c r="B5018" s="1" t="n">
        <v>45789.57319444444</v>
      </c>
      <c r="C5018" s="1" t="n">
        <v>45883</v>
      </c>
      <c r="D5018" t="inlineStr">
        <is>
          <t>GÄVLEBORGS LÄN</t>
        </is>
      </c>
      <c r="E5018" t="inlineStr">
        <is>
          <t>HUDIKSVALL</t>
        </is>
      </c>
      <c r="G5018" t="n">
        <v>5</v>
      </c>
      <c r="H5018" t="n">
        <v>0</v>
      </c>
      <c r="I5018" t="n">
        <v>0</v>
      </c>
      <c r="J5018" t="n">
        <v>0</v>
      </c>
      <c r="K5018" t="n">
        <v>0</v>
      </c>
      <c r="L5018" t="n">
        <v>0</v>
      </c>
      <c r="M5018" t="n">
        <v>0</v>
      </c>
      <c r="N5018" t="n">
        <v>0</v>
      </c>
      <c r="O5018" t="n">
        <v>0</v>
      </c>
      <c r="P5018" t="n">
        <v>0</v>
      </c>
      <c r="Q5018" t="n">
        <v>0</v>
      </c>
      <c r="R5018" s="2" t="inlineStr"/>
    </row>
    <row r="5019" ht="15" customHeight="1">
      <c r="A5019" t="inlineStr">
        <is>
          <t>A 58753-2021</t>
        </is>
      </c>
      <c r="B5019" s="1" t="n">
        <v>44489</v>
      </c>
      <c r="C5019" s="1" t="n">
        <v>45883</v>
      </c>
      <c r="D5019" t="inlineStr">
        <is>
          <t>GÄVLEBORGS LÄN</t>
        </is>
      </c>
      <c r="E5019" t="inlineStr">
        <is>
          <t>BOLLNÄS</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61711-2023</t>
        </is>
      </c>
      <c r="B5020" s="1" t="n">
        <v>45265.66679398148</v>
      </c>
      <c r="C5020" s="1" t="n">
        <v>45883</v>
      </c>
      <c r="D5020" t="inlineStr">
        <is>
          <t>GÄVLEBORGS LÄN</t>
        </is>
      </c>
      <c r="E5020" t="inlineStr">
        <is>
          <t>BOLLNÄS</t>
        </is>
      </c>
      <c r="G5020" t="n">
        <v>7.1</v>
      </c>
      <c r="H5020" t="n">
        <v>0</v>
      </c>
      <c r="I5020" t="n">
        <v>0</v>
      </c>
      <c r="J5020" t="n">
        <v>0</v>
      </c>
      <c r="K5020" t="n">
        <v>0</v>
      </c>
      <c r="L5020" t="n">
        <v>0</v>
      </c>
      <c r="M5020" t="n">
        <v>0</v>
      </c>
      <c r="N5020" t="n">
        <v>0</v>
      </c>
      <c r="O5020" t="n">
        <v>0</v>
      </c>
      <c r="P5020" t="n">
        <v>0</v>
      </c>
      <c r="Q5020" t="n">
        <v>0</v>
      </c>
      <c r="R5020" s="2" t="inlineStr"/>
    </row>
    <row r="5021" ht="15" customHeight="1">
      <c r="A5021" t="inlineStr">
        <is>
          <t>A 22695-2025</t>
        </is>
      </c>
      <c r="B5021" s="1" t="n">
        <v>45789.54197916666</v>
      </c>
      <c r="C5021" s="1" t="n">
        <v>45883</v>
      </c>
      <c r="D5021" t="inlineStr">
        <is>
          <t>GÄVLEBORGS LÄN</t>
        </is>
      </c>
      <c r="E5021" t="inlineStr">
        <is>
          <t>NORDANSTIG</t>
        </is>
      </c>
      <c r="F5021" t="inlineStr">
        <is>
          <t>Holmen skog AB</t>
        </is>
      </c>
      <c r="G5021" t="n">
        <v>9.6</v>
      </c>
      <c r="H5021" t="n">
        <v>0</v>
      </c>
      <c r="I5021" t="n">
        <v>0</v>
      </c>
      <c r="J5021" t="n">
        <v>0</v>
      </c>
      <c r="K5021" t="n">
        <v>0</v>
      </c>
      <c r="L5021" t="n">
        <v>0</v>
      </c>
      <c r="M5021" t="n">
        <v>0</v>
      </c>
      <c r="N5021" t="n">
        <v>0</v>
      </c>
      <c r="O5021" t="n">
        <v>0</v>
      </c>
      <c r="P5021" t="n">
        <v>0</v>
      </c>
      <c r="Q5021" t="n">
        <v>0</v>
      </c>
      <c r="R5021" s="2" t="inlineStr"/>
    </row>
    <row r="5022" ht="15" customHeight="1">
      <c r="A5022" t="inlineStr">
        <is>
          <t>A 46664-2024</t>
        </is>
      </c>
      <c r="B5022" s="1" t="n">
        <v>45583.36581018518</v>
      </c>
      <c r="C5022" s="1" t="n">
        <v>45883</v>
      </c>
      <c r="D5022" t="inlineStr">
        <is>
          <t>GÄVLEBORGS LÄN</t>
        </is>
      </c>
      <c r="E5022" t="inlineStr">
        <is>
          <t>BOLLNÄS</t>
        </is>
      </c>
      <c r="G5022" t="n">
        <v>3.8</v>
      </c>
      <c r="H5022" t="n">
        <v>0</v>
      </c>
      <c r="I5022" t="n">
        <v>0</v>
      </c>
      <c r="J5022" t="n">
        <v>0</v>
      </c>
      <c r="K5022" t="n">
        <v>0</v>
      </c>
      <c r="L5022" t="n">
        <v>0</v>
      </c>
      <c r="M5022" t="n">
        <v>0</v>
      </c>
      <c r="N5022" t="n">
        <v>0</v>
      </c>
      <c r="O5022" t="n">
        <v>0</v>
      </c>
      <c r="P5022" t="n">
        <v>0</v>
      </c>
      <c r="Q5022" t="n">
        <v>0</v>
      </c>
      <c r="R5022" s="2" t="inlineStr"/>
    </row>
    <row r="5023" ht="15" customHeight="1">
      <c r="A5023" t="inlineStr">
        <is>
          <t>A 25466-2023</t>
        </is>
      </c>
      <c r="B5023" s="1" t="n">
        <v>45089.45114583334</v>
      </c>
      <c r="C5023" s="1" t="n">
        <v>45883</v>
      </c>
      <c r="D5023" t="inlineStr">
        <is>
          <t>GÄVLEBORGS LÄN</t>
        </is>
      </c>
      <c r="E5023" t="inlineStr">
        <is>
          <t>GÄVLE</t>
        </is>
      </c>
      <c r="G5023" t="n">
        <v>5.5</v>
      </c>
      <c r="H5023" t="n">
        <v>0</v>
      </c>
      <c r="I5023" t="n">
        <v>0</v>
      </c>
      <c r="J5023" t="n">
        <v>0</v>
      </c>
      <c r="K5023" t="n">
        <v>0</v>
      </c>
      <c r="L5023" t="n">
        <v>0</v>
      </c>
      <c r="M5023" t="n">
        <v>0</v>
      </c>
      <c r="N5023" t="n">
        <v>0</v>
      </c>
      <c r="O5023" t="n">
        <v>0</v>
      </c>
      <c r="P5023" t="n">
        <v>0</v>
      </c>
      <c r="Q5023" t="n">
        <v>0</v>
      </c>
      <c r="R5023" s="2" t="inlineStr"/>
    </row>
    <row r="5024" ht="15" customHeight="1">
      <c r="A5024" t="inlineStr">
        <is>
          <t>A 64538-2021</t>
        </is>
      </c>
      <c r="B5024" s="1" t="n">
        <v>44511</v>
      </c>
      <c r="C5024" s="1" t="n">
        <v>45883</v>
      </c>
      <c r="D5024" t="inlineStr">
        <is>
          <t>GÄVLEBORGS LÄN</t>
        </is>
      </c>
      <c r="E5024" t="inlineStr">
        <is>
          <t>BOLLNÄS</t>
        </is>
      </c>
      <c r="F5024" t="inlineStr">
        <is>
          <t>Bergvik skog väst AB</t>
        </is>
      </c>
      <c r="G5024" t="n">
        <v>5.2</v>
      </c>
      <c r="H5024" t="n">
        <v>0</v>
      </c>
      <c r="I5024" t="n">
        <v>0</v>
      </c>
      <c r="J5024" t="n">
        <v>0</v>
      </c>
      <c r="K5024" t="n">
        <v>0</v>
      </c>
      <c r="L5024" t="n">
        <v>0</v>
      </c>
      <c r="M5024" t="n">
        <v>0</v>
      </c>
      <c r="N5024" t="n">
        <v>0</v>
      </c>
      <c r="O5024" t="n">
        <v>0</v>
      </c>
      <c r="P5024" t="n">
        <v>0</v>
      </c>
      <c r="Q5024" t="n">
        <v>0</v>
      </c>
      <c r="R5024" s="2" t="inlineStr"/>
    </row>
    <row r="5025" ht="15" customHeight="1">
      <c r="A5025" t="inlineStr">
        <is>
          <t>A 64632-2021</t>
        </is>
      </c>
      <c r="B5025" s="1" t="n">
        <v>44511.92248842592</v>
      </c>
      <c r="C5025" s="1" t="n">
        <v>45883</v>
      </c>
      <c r="D5025" t="inlineStr">
        <is>
          <t>GÄVLEBORGS LÄN</t>
        </is>
      </c>
      <c r="E5025" t="inlineStr">
        <is>
          <t>HUDIKSVALL</t>
        </is>
      </c>
      <c r="G5025" t="n">
        <v>4.2</v>
      </c>
      <c r="H5025" t="n">
        <v>0</v>
      </c>
      <c r="I5025" t="n">
        <v>0</v>
      </c>
      <c r="J5025" t="n">
        <v>0</v>
      </c>
      <c r="K5025" t="n">
        <v>0</v>
      </c>
      <c r="L5025" t="n">
        <v>0</v>
      </c>
      <c r="M5025" t="n">
        <v>0</v>
      </c>
      <c r="N5025" t="n">
        <v>0</v>
      </c>
      <c r="O5025" t="n">
        <v>0</v>
      </c>
      <c r="P5025" t="n">
        <v>0</v>
      </c>
      <c r="Q5025" t="n">
        <v>0</v>
      </c>
      <c r="R5025" s="2" t="inlineStr"/>
    </row>
    <row r="5026" ht="15" customHeight="1">
      <c r="A5026" t="inlineStr">
        <is>
          <t>A 26413-2023</t>
        </is>
      </c>
      <c r="B5026" s="1" t="n">
        <v>45092.3786574074</v>
      </c>
      <c r="C5026" s="1" t="n">
        <v>45883</v>
      </c>
      <c r="D5026" t="inlineStr">
        <is>
          <t>GÄVLEBORGS LÄN</t>
        </is>
      </c>
      <c r="E5026" t="inlineStr">
        <is>
          <t>SANDVIKEN</t>
        </is>
      </c>
      <c r="G5026" t="n">
        <v>4.8</v>
      </c>
      <c r="H5026" t="n">
        <v>0</v>
      </c>
      <c r="I5026" t="n">
        <v>0</v>
      </c>
      <c r="J5026" t="n">
        <v>0</v>
      </c>
      <c r="K5026" t="n">
        <v>0</v>
      </c>
      <c r="L5026" t="n">
        <v>0</v>
      </c>
      <c r="M5026" t="n">
        <v>0</v>
      </c>
      <c r="N5026" t="n">
        <v>0</v>
      </c>
      <c r="O5026" t="n">
        <v>0</v>
      </c>
      <c r="P5026" t="n">
        <v>0</v>
      </c>
      <c r="Q5026" t="n">
        <v>0</v>
      </c>
      <c r="R5026" s="2" t="inlineStr"/>
    </row>
    <row r="5027" ht="15" customHeight="1">
      <c r="A5027" t="inlineStr">
        <is>
          <t>A 34557-2023</t>
        </is>
      </c>
      <c r="B5027" s="1" t="n">
        <v>45140.50714120371</v>
      </c>
      <c r="C5027" s="1" t="n">
        <v>45883</v>
      </c>
      <c r="D5027" t="inlineStr">
        <is>
          <t>GÄVLEBORGS LÄN</t>
        </is>
      </c>
      <c r="E5027" t="inlineStr">
        <is>
          <t>NORDANSTIG</t>
        </is>
      </c>
      <c r="G5027" t="n">
        <v>3.2</v>
      </c>
      <c r="H5027" t="n">
        <v>0</v>
      </c>
      <c r="I5027" t="n">
        <v>0</v>
      </c>
      <c r="J5027" t="n">
        <v>0</v>
      </c>
      <c r="K5027" t="n">
        <v>0</v>
      </c>
      <c r="L5027" t="n">
        <v>0</v>
      </c>
      <c r="M5027" t="n">
        <v>0</v>
      </c>
      <c r="N5027" t="n">
        <v>0</v>
      </c>
      <c r="O5027" t="n">
        <v>0</v>
      </c>
      <c r="P5027" t="n">
        <v>0</v>
      </c>
      <c r="Q5027" t="n">
        <v>0</v>
      </c>
      <c r="R5027" s="2" t="inlineStr"/>
    </row>
    <row r="5028" ht="15" customHeight="1">
      <c r="A5028" t="inlineStr">
        <is>
          <t>A 53139-2024</t>
        </is>
      </c>
      <c r="B5028" s="1" t="n">
        <v>45611.59930555556</v>
      </c>
      <c r="C5028" s="1" t="n">
        <v>45883</v>
      </c>
      <c r="D5028" t="inlineStr">
        <is>
          <t>GÄVLEBORGS LÄN</t>
        </is>
      </c>
      <c r="E5028" t="inlineStr">
        <is>
          <t>OCKELBO</t>
        </is>
      </c>
      <c r="F5028" t="inlineStr">
        <is>
          <t>Bergvik skog väst AB</t>
        </is>
      </c>
      <c r="G5028" t="n">
        <v>4.1</v>
      </c>
      <c r="H5028" t="n">
        <v>0</v>
      </c>
      <c r="I5028" t="n">
        <v>0</v>
      </c>
      <c r="J5028" t="n">
        <v>0</v>
      </c>
      <c r="K5028" t="n">
        <v>0</v>
      </c>
      <c r="L5028" t="n">
        <v>0</v>
      </c>
      <c r="M5028" t="n">
        <v>0</v>
      </c>
      <c r="N5028" t="n">
        <v>0</v>
      </c>
      <c r="O5028" t="n">
        <v>0</v>
      </c>
      <c r="P5028" t="n">
        <v>0</v>
      </c>
      <c r="Q5028" t="n">
        <v>0</v>
      </c>
      <c r="R5028" s="2" t="inlineStr"/>
    </row>
    <row r="5029" ht="15" customHeight="1">
      <c r="A5029" t="inlineStr">
        <is>
          <t>A 33354-2024</t>
        </is>
      </c>
      <c r="B5029" s="1" t="n">
        <v>45519</v>
      </c>
      <c r="C5029" s="1" t="n">
        <v>45883</v>
      </c>
      <c r="D5029" t="inlineStr">
        <is>
          <t>GÄVLEBORGS LÄN</t>
        </is>
      </c>
      <c r="E5029" t="inlineStr">
        <is>
          <t>LJUSDAL</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405-2025</t>
        </is>
      </c>
      <c r="B5030" s="1" t="n">
        <v>45663.625</v>
      </c>
      <c r="C5030" s="1" t="n">
        <v>45883</v>
      </c>
      <c r="D5030" t="inlineStr">
        <is>
          <t>GÄVLEBORGS LÄN</t>
        </is>
      </c>
      <c r="E5030" t="inlineStr">
        <is>
          <t>HUDIKSVALL</t>
        </is>
      </c>
      <c r="G5030" t="n">
        <v>0.3</v>
      </c>
      <c r="H5030" t="n">
        <v>0</v>
      </c>
      <c r="I5030" t="n">
        <v>0</v>
      </c>
      <c r="J5030" t="n">
        <v>0</v>
      </c>
      <c r="K5030" t="n">
        <v>0</v>
      </c>
      <c r="L5030" t="n">
        <v>0</v>
      </c>
      <c r="M5030" t="n">
        <v>0</v>
      </c>
      <c r="N5030" t="n">
        <v>0</v>
      </c>
      <c r="O5030" t="n">
        <v>0</v>
      </c>
      <c r="P5030" t="n">
        <v>0</v>
      </c>
      <c r="Q5030" t="n">
        <v>0</v>
      </c>
      <c r="R5030" s="2" t="inlineStr"/>
    </row>
    <row r="5031" ht="15" customHeight="1">
      <c r="A5031" t="inlineStr">
        <is>
          <t>A 9359-2024</t>
        </is>
      </c>
      <c r="B5031" s="1" t="n">
        <v>45359.32847222222</v>
      </c>
      <c r="C5031" s="1" t="n">
        <v>45883</v>
      </c>
      <c r="D5031" t="inlineStr">
        <is>
          <t>GÄVLEBORGS LÄN</t>
        </is>
      </c>
      <c r="E5031" t="inlineStr">
        <is>
          <t>LJUSDAL</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2555-2025</t>
        </is>
      </c>
      <c r="B5032" s="1" t="n">
        <v>45674.64806712963</v>
      </c>
      <c r="C5032" s="1" t="n">
        <v>45883</v>
      </c>
      <c r="D5032" t="inlineStr">
        <is>
          <t>GÄVLEBORGS LÄN</t>
        </is>
      </c>
      <c r="E5032" t="inlineStr">
        <is>
          <t>OCKELBO</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22608-2025</t>
        </is>
      </c>
      <c r="B5033" s="1" t="n">
        <v>45789.42083333333</v>
      </c>
      <c r="C5033" s="1" t="n">
        <v>45883</v>
      </c>
      <c r="D5033" t="inlineStr">
        <is>
          <t>GÄVLEBORGS LÄN</t>
        </is>
      </c>
      <c r="E5033" t="inlineStr">
        <is>
          <t>HUDIKSVALL</t>
        </is>
      </c>
      <c r="F5033" t="inlineStr">
        <is>
          <t>Holmen skog AB</t>
        </is>
      </c>
      <c r="G5033" t="n">
        <v>6.2</v>
      </c>
      <c r="H5033" t="n">
        <v>0</v>
      </c>
      <c r="I5033" t="n">
        <v>0</v>
      </c>
      <c r="J5033" t="n">
        <v>0</v>
      </c>
      <c r="K5033" t="n">
        <v>0</v>
      </c>
      <c r="L5033" t="n">
        <v>0</v>
      </c>
      <c r="M5033" t="n">
        <v>0</v>
      </c>
      <c r="N5033" t="n">
        <v>0</v>
      </c>
      <c r="O5033" t="n">
        <v>0</v>
      </c>
      <c r="P5033" t="n">
        <v>0</v>
      </c>
      <c r="Q5033" t="n">
        <v>0</v>
      </c>
      <c r="R5033" s="2" t="inlineStr"/>
    </row>
    <row r="5034" ht="15" customHeight="1">
      <c r="A5034" t="inlineStr">
        <is>
          <t>A 22844-2025</t>
        </is>
      </c>
      <c r="B5034" s="1" t="n">
        <v>45790.32160879629</v>
      </c>
      <c r="C5034" s="1" t="n">
        <v>45883</v>
      </c>
      <c r="D5034" t="inlineStr">
        <is>
          <t>GÄVLEBORGS LÄN</t>
        </is>
      </c>
      <c r="E5034" t="inlineStr">
        <is>
          <t>HOFORS</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48765-2024</t>
        </is>
      </c>
      <c r="B5035" s="1" t="n">
        <v>45593.60655092593</v>
      </c>
      <c r="C5035" s="1" t="n">
        <v>45883</v>
      </c>
      <c r="D5035" t="inlineStr">
        <is>
          <t>GÄVLEBORGS LÄN</t>
        </is>
      </c>
      <c r="E5035" t="inlineStr">
        <is>
          <t>SÖDERHAMN</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22859-2025</t>
        </is>
      </c>
      <c r="B5036" s="1" t="n">
        <v>45790</v>
      </c>
      <c r="C5036" s="1" t="n">
        <v>45883</v>
      </c>
      <c r="D5036" t="inlineStr">
        <is>
          <t>GÄVLEBORGS LÄN</t>
        </is>
      </c>
      <c r="E5036" t="inlineStr">
        <is>
          <t>HUDIKSVALL</t>
        </is>
      </c>
      <c r="F5036" t="inlineStr">
        <is>
          <t>Holmen skog AB</t>
        </is>
      </c>
      <c r="G5036" t="n">
        <v>14.7</v>
      </c>
      <c r="H5036" t="n">
        <v>0</v>
      </c>
      <c r="I5036" t="n">
        <v>0</v>
      </c>
      <c r="J5036" t="n">
        <v>0</v>
      </c>
      <c r="K5036" t="n">
        <v>0</v>
      </c>
      <c r="L5036" t="n">
        <v>0</v>
      </c>
      <c r="M5036" t="n">
        <v>0</v>
      </c>
      <c r="N5036" t="n">
        <v>0</v>
      </c>
      <c r="O5036" t="n">
        <v>0</v>
      </c>
      <c r="P5036" t="n">
        <v>0</v>
      </c>
      <c r="Q5036" t="n">
        <v>0</v>
      </c>
      <c r="R5036" s="2" t="inlineStr"/>
      <c r="U5036">
        <f>HYPERLINK("https://klasma.github.io/Logging_2184/knärot/A 22859-2025 karta knärot.png", "A 22859-2025")</f>
        <v/>
      </c>
      <c r="V5036">
        <f>HYPERLINK("https://klasma.github.io/Logging_2184/klagomål/A 22859-2025 FSC-klagomål.docx", "A 22859-2025")</f>
        <v/>
      </c>
      <c r="W5036">
        <f>HYPERLINK("https://klasma.github.io/Logging_2184/klagomålsmail/A 22859-2025 FSC-klagomål mail.docx", "A 22859-2025")</f>
        <v/>
      </c>
      <c r="X5036">
        <f>HYPERLINK("https://klasma.github.io/Logging_2184/tillsyn/A 22859-2025 tillsynsbegäran.docx", "A 22859-2025")</f>
        <v/>
      </c>
      <c r="Y5036">
        <f>HYPERLINK("https://klasma.github.io/Logging_2184/tillsynsmail/A 22859-2025 tillsynsbegäran mail.docx", "A 22859-2025")</f>
        <v/>
      </c>
    </row>
    <row r="5037" ht="15" customHeight="1">
      <c r="A5037" t="inlineStr">
        <is>
          <t>A 57100-2024</t>
        </is>
      </c>
      <c r="B5037" s="1" t="n">
        <v>45629</v>
      </c>
      <c r="C5037" s="1" t="n">
        <v>45883</v>
      </c>
      <c r="D5037" t="inlineStr">
        <is>
          <t>GÄVLEBORGS LÄN</t>
        </is>
      </c>
      <c r="E5037" t="inlineStr">
        <is>
          <t>OVANÅKER</t>
        </is>
      </c>
      <c r="F5037" t="inlineStr">
        <is>
          <t>Bergvik skog väst AB</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22251-2023</t>
        </is>
      </c>
      <c r="B5038" s="1" t="n">
        <v>45070</v>
      </c>
      <c r="C5038" s="1" t="n">
        <v>45883</v>
      </c>
      <c r="D5038" t="inlineStr">
        <is>
          <t>GÄVLEBORGS LÄN</t>
        </is>
      </c>
      <c r="E5038" t="inlineStr">
        <is>
          <t>LJUSDAL</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1712-2025</t>
        </is>
      </c>
      <c r="B5039" s="1" t="n">
        <v>45671.31266203704</v>
      </c>
      <c r="C5039" s="1" t="n">
        <v>45883</v>
      </c>
      <c r="D5039" t="inlineStr">
        <is>
          <t>GÄVLEBORGS LÄN</t>
        </is>
      </c>
      <c r="E5039" t="inlineStr">
        <is>
          <t>SANDVIKEN</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48757-2024</t>
        </is>
      </c>
      <c r="B5040" s="1" t="n">
        <v>45593.5981712963</v>
      </c>
      <c r="C5040" s="1" t="n">
        <v>45883</v>
      </c>
      <c r="D5040" t="inlineStr">
        <is>
          <t>GÄVLEBORGS LÄN</t>
        </is>
      </c>
      <c r="E5040" t="inlineStr">
        <is>
          <t>OVANÅKER</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22319-2025</t>
        </is>
      </c>
      <c r="B5041" s="1" t="n">
        <v>45786.39515046297</v>
      </c>
      <c r="C5041" s="1" t="n">
        <v>45883</v>
      </c>
      <c r="D5041" t="inlineStr">
        <is>
          <t>GÄVLEBORGS LÄN</t>
        </is>
      </c>
      <c r="E5041" t="inlineStr">
        <is>
          <t>NORDANSTIG</t>
        </is>
      </c>
      <c r="F5041" t="inlineStr">
        <is>
          <t>Holmen skog AB</t>
        </is>
      </c>
      <c r="G5041" t="n">
        <v>4.3</v>
      </c>
      <c r="H5041" t="n">
        <v>0</v>
      </c>
      <c r="I5041" t="n">
        <v>0</v>
      </c>
      <c r="J5041" t="n">
        <v>0</v>
      </c>
      <c r="K5041" t="n">
        <v>0</v>
      </c>
      <c r="L5041" t="n">
        <v>0</v>
      </c>
      <c r="M5041" t="n">
        <v>0</v>
      </c>
      <c r="N5041" t="n">
        <v>0</v>
      </c>
      <c r="O5041" t="n">
        <v>0</v>
      </c>
      <c r="P5041" t="n">
        <v>0</v>
      </c>
      <c r="Q5041" t="n">
        <v>0</v>
      </c>
      <c r="R5041" s="2" t="inlineStr"/>
    </row>
    <row r="5042" ht="15" customHeight="1">
      <c r="A5042" t="inlineStr">
        <is>
          <t>A 7260-2025</t>
        </is>
      </c>
      <c r="B5042" s="1" t="n">
        <v>45702</v>
      </c>
      <c r="C5042" s="1" t="n">
        <v>45883</v>
      </c>
      <c r="D5042" t="inlineStr">
        <is>
          <t>GÄVLEBORGS LÄN</t>
        </is>
      </c>
      <c r="E5042" t="inlineStr">
        <is>
          <t>GÄVLE</t>
        </is>
      </c>
      <c r="F5042" t="inlineStr">
        <is>
          <t>Bergvik skog öst AB</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22597-2025</t>
        </is>
      </c>
      <c r="B5043" s="1" t="n">
        <v>45789.41380787037</v>
      </c>
      <c r="C5043" s="1" t="n">
        <v>45883</v>
      </c>
      <c r="D5043" t="inlineStr">
        <is>
          <t>GÄVLEBORGS LÄN</t>
        </is>
      </c>
      <c r="E5043" t="inlineStr">
        <is>
          <t>OCKELBO</t>
        </is>
      </c>
      <c r="G5043" t="n">
        <v>8.9</v>
      </c>
      <c r="H5043" t="n">
        <v>0</v>
      </c>
      <c r="I5043" t="n">
        <v>0</v>
      </c>
      <c r="J5043" t="n">
        <v>0</v>
      </c>
      <c r="K5043" t="n">
        <v>0</v>
      </c>
      <c r="L5043" t="n">
        <v>0</v>
      </c>
      <c r="M5043" t="n">
        <v>0</v>
      </c>
      <c r="N5043" t="n">
        <v>0</v>
      </c>
      <c r="O5043" t="n">
        <v>0</v>
      </c>
      <c r="P5043" t="n">
        <v>0</v>
      </c>
      <c r="Q5043" t="n">
        <v>0</v>
      </c>
      <c r="R5043" s="2" t="inlineStr"/>
    </row>
    <row r="5044" ht="15" customHeight="1">
      <c r="A5044" t="inlineStr">
        <is>
          <t>A 22598-2025</t>
        </is>
      </c>
      <c r="B5044" s="1" t="n">
        <v>45789.41481481482</v>
      </c>
      <c r="C5044" s="1" t="n">
        <v>45883</v>
      </c>
      <c r="D5044" t="inlineStr">
        <is>
          <t>GÄVLEBORGS LÄN</t>
        </is>
      </c>
      <c r="E5044" t="inlineStr">
        <is>
          <t>LJUSDAL</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22784-2025</t>
        </is>
      </c>
      <c r="B5045" s="1" t="n">
        <v>45789.63913194444</v>
      </c>
      <c r="C5045" s="1" t="n">
        <v>45883</v>
      </c>
      <c r="D5045" t="inlineStr">
        <is>
          <t>GÄVLEBORGS LÄN</t>
        </is>
      </c>
      <c r="E5045" t="inlineStr">
        <is>
          <t>NORDANSTIG</t>
        </is>
      </c>
      <c r="F5045" t="inlineStr">
        <is>
          <t>Holmen skog AB</t>
        </is>
      </c>
      <c r="G5045" t="n">
        <v>55.6</v>
      </c>
      <c r="H5045" t="n">
        <v>0</v>
      </c>
      <c r="I5045" t="n">
        <v>0</v>
      </c>
      <c r="J5045" t="n">
        <v>0</v>
      </c>
      <c r="K5045" t="n">
        <v>0</v>
      </c>
      <c r="L5045" t="n">
        <v>0</v>
      </c>
      <c r="M5045" t="n">
        <v>0</v>
      </c>
      <c r="N5045" t="n">
        <v>0</v>
      </c>
      <c r="O5045" t="n">
        <v>0</v>
      </c>
      <c r="P5045" t="n">
        <v>0</v>
      </c>
      <c r="Q5045" t="n">
        <v>0</v>
      </c>
      <c r="R5045" s="2" t="inlineStr"/>
    </row>
    <row r="5046" ht="15" customHeight="1">
      <c r="A5046" t="inlineStr">
        <is>
          <t>A 53007-2024</t>
        </is>
      </c>
      <c r="B5046" s="1" t="n">
        <v>45611.39570601852</v>
      </c>
      <c r="C5046" s="1" t="n">
        <v>45883</v>
      </c>
      <c r="D5046" t="inlineStr">
        <is>
          <t>GÄVLEBORGS LÄN</t>
        </is>
      </c>
      <c r="E5046" t="inlineStr">
        <is>
          <t>LJUSDAL</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1974-2025</t>
        </is>
      </c>
      <c r="B5047" s="1" t="n">
        <v>45672.39145833333</v>
      </c>
      <c r="C5047" s="1" t="n">
        <v>45883</v>
      </c>
      <c r="D5047" t="inlineStr">
        <is>
          <t>GÄVLEBORGS LÄN</t>
        </is>
      </c>
      <c r="E5047" t="inlineStr">
        <is>
          <t>GÄVLE</t>
        </is>
      </c>
      <c r="F5047" t="inlineStr">
        <is>
          <t>Kyrkan</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22927-2025</t>
        </is>
      </c>
      <c r="B5048" s="1" t="n">
        <v>45790.4482175926</v>
      </c>
      <c r="C5048" s="1" t="n">
        <v>45883</v>
      </c>
      <c r="D5048" t="inlineStr">
        <is>
          <t>GÄVLEBORGS LÄN</t>
        </is>
      </c>
      <c r="E5048" t="inlineStr">
        <is>
          <t>BOLLNÄS</t>
        </is>
      </c>
      <c r="F5048" t="inlineStr">
        <is>
          <t>Bergvik skog väst AB</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1988-2025</t>
        </is>
      </c>
      <c r="B5049" s="1" t="n">
        <v>45672.40888888889</v>
      </c>
      <c r="C5049" s="1" t="n">
        <v>45883</v>
      </c>
      <c r="D5049" t="inlineStr">
        <is>
          <t>GÄVLEBORGS LÄN</t>
        </is>
      </c>
      <c r="E5049" t="inlineStr">
        <is>
          <t>BOLLNÄS</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2006-2025</t>
        </is>
      </c>
      <c r="B5050" s="1" t="n">
        <v>45672.45166666667</v>
      </c>
      <c r="C5050" s="1" t="n">
        <v>45883</v>
      </c>
      <c r="D5050" t="inlineStr">
        <is>
          <t>GÄVLEBORGS LÄN</t>
        </is>
      </c>
      <c r="E5050" t="inlineStr">
        <is>
          <t>BOLLNÄS</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22458-2025</t>
        </is>
      </c>
      <c r="B5051" s="1" t="n">
        <v>45786.60678240741</v>
      </c>
      <c r="C5051" s="1" t="n">
        <v>45883</v>
      </c>
      <c r="D5051" t="inlineStr">
        <is>
          <t>GÄVLEBORGS LÄN</t>
        </is>
      </c>
      <c r="E5051" t="inlineStr">
        <is>
          <t>BOLLNÄS</t>
        </is>
      </c>
      <c r="G5051" t="n">
        <v>4.2</v>
      </c>
      <c r="H5051" t="n">
        <v>0</v>
      </c>
      <c r="I5051" t="n">
        <v>0</v>
      </c>
      <c r="J5051" t="n">
        <v>0</v>
      </c>
      <c r="K5051" t="n">
        <v>0</v>
      </c>
      <c r="L5051" t="n">
        <v>0</v>
      </c>
      <c r="M5051" t="n">
        <v>0</v>
      </c>
      <c r="N5051" t="n">
        <v>0</v>
      </c>
      <c r="O5051" t="n">
        <v>0</v>
      </c>
      <c r="P5051" t="n">
        <v>0</v>
      </c>
      <c r="Q5051" t="n">
        <v>0</v>
      </c>
      <c r="R5051" s="2" t="inlineStr"/>
    </row>
    <row r="5052" ht="15" customHeight="1">
      <c r="A5052" t="inlineStr">
        <is>
          <t>A 22622-2025</t>
        </is>
      </c>
      <c r="B5052" s="1" t="n">
        <v>45789.43271990741</v>
      </c>
      <c r="C5052" s="1" t="n">
        <v>45883</v>
      </c>
      <c r="D5052" t="inlineStr">
        <is>
          <t>GÄVLEBORGS LÄN</t>
        </is>
      </c>
      <c r="E5052" t="inlineStr">
        <is>
          <t>BOLLNÄS</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34429-2024</t>
        </is>
      </c>
      <c r="B5053" s="1" t="n">
        <v>45525.51678240741</v>
      </c>
      <c r="C5053" s="1" t="n">
        <v>45883</v>
      </c>
      <c r="D5053" t="inlineStr">
        <is>
          <t>GÄVLEBORGS LÄN</t>
        </is>
      </c>
      <c r="E5053" t="inlineStr">
        <is>
          <t>SANDVIKEN</t>
        </is>
      </c>
      <c r="F5053" t="inlineStr">
        <is>
          <t>Bergvik skog öst AB</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47292-2023</t>
        </is>
      </c>
      <c r="B5054" s="1" t="n">
        <v>45202.47064814815</v>
      </c>
      <c r="C5054" s="1" t="n">
        <v>45883</v>
      </c>
      <c r="D5054" t="inlineStr">
        <is>
          <t>GÄVLEBORGS LÄN</t>
        </is>
      </c>
      <c r="E5054" t="inlineStr">
        <is>
          <t>LJUSDAL</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59251-2024</t>
        </is>
      </c>
      <c r="B5055" s="1" t="n">
        <v>45637.59612268519</v>
      </c>
      <c r="C5055" s="1" t="n">
        <v>45883</v>
      </c>
      <c r="D5055" t="inlineStr">
        <is>
          <t>GÄVLEBORGS LÄN</t>
        </is>
      </c>
      <c r="E5055" t="inlineStr">
        <is>
          <t>LJUSDAL</t>
        </is>
      </c>
      <c r="G5055" t="n">
        <v>0.4</v>
      </c>
      <c r="H5055" t="n">
        <v>0</v>
      </c>
      <c r="I5055" t="n">
        <v>0</v>
      </c>
      <c r="J5055" t="n">
        <v>0</v>
      </c>
      <c r="K5055" t="n">
        <v>0</v>
      </c>
      <c r="L5055" t="n">
        <v>0</v>
      </c>
      <c r="M5055" t="n">
        <v>0</v>
      </c>
      <c r="N5055" t="n">
        <v>0</v>
      </c>
      <c r="O5055" t="n">
        <v>0</v>
      </c>
      <c r="P5055" t="n">
        <v>0</v>
      </c>
      <c r="Q5055" t="n">
        <v>0</v>
      </c>
      <c r="R5055" s="2" t="inlineStr"/>
    </row>
    <row r="5056" ht="15" customHeight="1">
      <c r="A5056" t="inlineStr">
        <is>
          <t>A 48267-2023</t>
        </is>
      </c>
      <c r="B5056" s="1" t="n">
        <v>45205.54505787037</v>
      </c>
      <c r="C5056" s="1" t="n">
        <v>45883</v>
      </c>
      <c r="D5056" t="inlineStr">
        <is>
          <t>GÄVLEBORGS LÄN</t>
        </is>
      </c>
      <c r="E5056" t="inlineStr">
        <is>
          <t>OVANÅKER</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23004-2025</t>
        </is>
      </c>
      <c r="B5057" s="1" t="n">
        <v>45790.60747685185</v>
      </c>
      <c r="C5057" s="1" t="n">
        <v>45883</v>
      </c>
      <c r="D5057" t="inlineStr">
        <is>
          <t>GÄVLEBORGS LÄN</t>
        </is>
      </c>
      <c r="E5057" t="inlineStr">
        <is>
          <t>OCKELBO</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23036-2025</t>
        </is>
      </c>
      <c r="B5058" s="1" t="n">
        <v>45790.66123842593</v>
      </c>
      <c r="C5058" s="1" t="n">
        <v>45883</v>
      </c>
      <c r="D5058" t="inlineStr">
        <is>
          <t>GÄVLEBORGS LÄN</t>
        </is>
      </c>
      <c r="E5058" t="inlineStr">
        <is>
          <t>LJUSDAL</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21187-2022</t>
        </is>
      </c>
      <c r="B5059" s="1" t="n">
        <v>44704.92609953704</v>
      </c>
      <c r="C5059" s="1" t="n">
        <v>45883</v>
      </c>
      <c r="D5059" t="inlineStr">
        <is>
          <t>GÄVLEBORGS LÄN</t>
        </is>
      </c>
      <c r="E5059" t="inlineStr">
        <is>
          <t>NORDANSTIG</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22938-2025</t>
        </is>
      </c>
      <c r="B5060" s="1" t="n">
        <v>45790.46480324074</v>
      </c>
      <c r="C5060" s="1" t="n">
        <v>45883</v>
      </c>
      <c r="D5060" t="inlineStr">
        <is>
          <t>GÄVLEBORGS LÄN</t>
        </is>
      </c>
      <c r="E5060" t="inlineStr">
        <is>
          <t>OVANÅKER</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50791-2024</t>
        </is>
      </c>
      <c r="B5061" s="1" t="n">
        <v>45602.47328703704</v>
      </c>
      <c r="C5061" s="1" t="n">
        <v>45883</v>
      </c>
      <c r="D5061" t="inlineStr">
        <is>
          <t>GÄVLEBORGS LÄN</t>
        </is>
      </c>
      <c r="E5061" t="inlineStr">
        <is>
          <t>OVANÅKER</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50830-2024</t>
        </is>
      </c>
      <c r="B5062" s="1" t="n">
        <v>45602.58806712963</v>
      </c>
      <c r="C5062" s="1" t="n">
        <v>45883</v>
      </c>
      <c r="D5062" t="inlineStr">
        <is>
          <t>GÄVLEBORGS LÄN</t>
        </is>
      </c>
      <c r="E5062" t="inlineStr">
        <is>
          <t>LJUSDAL</t>
        </is>
      </c>
      <c r="F5062" t="inlineStr">
        <is>
          <t>Holmen skog AB</t>
        </is>
      </c>
      <c r="G5062" t="n">
        <v>16.9</v>
      </c>
      <c r="H5062" t="n">
        <v>0</v>
      </c>
      <c r="I5062" t="n">
        <v>0</v>
      </c>
      <c r="J5062" t="n">
        <v>0</v>
      </c>
      <c r="K5062" t="n">
        <v>0</v>
      </c>
      <c r="L5062" t="n">
        <v>0</v>
      </c>
      <c r="M5062" t="n">
        <v>0</v>
      </c>
      <c r="N5062" t="n">
        <v>0</v>
      </c>
      <c r="O5062" t="n">
        <v>0</v>
      </c>
      <c r="P5062" t="n">
        <v>0</v>
      </c>
      <c r="Q5062" t="n">
        <v>0</v>
      </c>
      <c r="R5062" s="2" t="inlineStr"/>
    </row>
    <row r="5063" ht="15" customHeight="1">
      <c r="A5063" t="inlineStr">
        <is>
          <t>A 45289-2023</t>
        </is>
      </c>
      <c r="B5063" s="1" t="n">
        <v>45191.65313657407</v>
      </c>
      <c r="C5063" s="1" t="n">
        <v>45883</v>
      </c>
      <c r="D5063" t="inlineStr">
        <is>
          <t>GÄVLEBORGS LÄN</t>
        </is>
      </c>
      <c r="E5063" t="inlineStr">
        <is>
          <t>LJUSDAL</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22879-2025</t>
        </is>
      </c>
      <c r="B5064" s="1" t="n">
        <v>45790.38057870371</v>
      </c>
      <c r="C5064" s="1" t="n">
        <v>45883</v>
      </c>
      <c r="D5064" t="inlineStr">
        <is>
          <t>GÄVLEBORGS LÄN</t>
        </is>
      </c>
      <c r="E5064" t="inlineStr">
        <is>
          <t>GÄVLE</t>
        </is>
      </c>
      <c r="G5064" t="n">
        <v>3.9</v>
      </c>
      <c r="H5064" t="n">
        <v>0</v>
      </c>
      <c r="I5064" t="n">
        <v>0</v>
      </c>
      <c r="J5064" t="n">
        <v>0</v>
      </c>
      <c r="K5064" t="n">
        <v>0</v>
      </c>
      <c r="L5064" t="n">
        <v>0</v>
      </c>
      <c r="M5064" t="n">
        <v>0</v>
      </c>
      <c r="N5064" t="n">
        <v>0</v>
      </c>
      <c r="O5064" t="n">
        <v>0</v>
      </c>
      <c r="P5064" t="n">
        <v>0</v>
      </c>
      <c r="Q5064" t="n">
        <v>0</v>
      </c>
      <c r="R5064" s="2" t="inlineStr"/>
    </row>
    <row r="5065" ht="15" customHeight="1">
      <c r="A5065" t="inlineStr">
        <is>
          <t>A 22916-2025</t>
        </is>
      </c>
      <c r="B5065" s="1" t="n">
        <v>45790.43091435185</v>
      </c>
      <c r="C5065" s="1" t="n">
        <v>45883</v>
      </c>
      <c r="D5065" t="inlineStr">
        <is>
          <t>GÄVLEBORGS LÄN</t>
        </is>
      </c>
      <c r="E5065" t="inlineStr">
        <is>
          <t>HUDIKSVALL</t>
        </is>
      </c>
      <c r="F5065" t="inlineStr">
        <is>
          <t>Holmen skog AB</t>
        </is>
      </c>
      <c r="G5065" t="n">
        <v>15.8</v>
      </c>
      <c r="H5065" t="n">
        <v>0</v>
      </c>
      <c r="I5065" t="n">
        <v>0</v>
      </c>
      <c r="J5065" t="n">
        <v>0</v>
      </c>
      <c r="K5065" t="n">
        <v>0</v>
      </c>
      <c r="L5065" t="n">
        <v>0</v>
      </c>
      <c r="M5065" t="n">
        <v>0</v>
      </c>
      <c r="N5065" t="n">
        <v>0</v>
      </c>
      <c r="O5065" t="n">
        <v>0</v>
      </c>
      <c r="P5065" t="n">
        <v>0</v>
      </c>
      <c r="Q5065" t="n">
        <v>0</v>
      </c>
      <c r="R5065" s="2" t="inlineStr"/>
    </row>
    <row r="5066" ht="15" customHeight="1">
      <c r="A5066" t="inlineStr">
        <is>
          <t>A 20657-2021</t>
        </is>
      </c>
      <c r="B5066" s="1" t="n">
        <v>44316</v>
      </c>
      <c r="C5066" s="1" t="n">
        <v>45883</v>
      </c>
      <c r="D5066" t="inlineStr">
        <is>
          <t>GÄVLEBORGS LÄN</t>
        </is>
      </c>
      <c r="E5066" t="inlineStr">
        <is>
          <t>GÄVLE</t>
        </is>
      </c>
      <c r="F5066" t="inlineStr">
        <is>
          <t>Kyrkan</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15464-2023</t>
        </is>
      </c>
      <c r="B5067" s="1" t="n">
        <v>45020.4343287037</v>
      </c>
      <c r="C5067" s="1" t="n">
        <v>45883</v>
      </c>
      <c r="D5067" t="inlineStr">
        <is>
          <t>GÄVLEBORGS LÄN</t>
        </is>
      </c>
      <c r="E5067" t="inlineStr">
        <is>
          <t>NORDANSTIG</t>
        </is>
      </c>
      <c r="F5067" t="inlineStr">
        <is>
          <t>Holmen skog AB</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5949-2021</t>
        </is>
      </c>
      <c r="B5068" s="1" t="n">
        <v>44231.61371527778</v>
      </c>
      <c r="C5068" s="1" t="n">
        <v>45883</v>
      </c>
      <c r="D5068" t="inlineStr">
        <is>
          <t>GÄVLEBORGS LÄN</t>
        </is>
      </c>
      <c r="E5068" t="inlineStr">
        <is>
          <t>NORDANSTIG</t>
        </is>
      </c>
      <c r="F5068" t="inlineStr">
        <is>
          <t>Holmen skog AB</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5972-2021</t>
        </is>
      </c>
      <c r="B5069" s="1" t="n">
        <v>44231</v>
      </c>
      <c r="C5069" s="1" t="n">
        <v>45883</v>
      </c>
      <c r="D5069" t="inlineStr">
        <is>
          <t>GÄVLEBORGS LÄN</t>
        </is>
      </c>
      <c r="E5069" t="inlineStr">
        <is>
          <t>GÄVLE</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48803-2024</t>
        </is>
      </c>
      <c r="B5070" s="1" t="n">
        <v>45593.66165509259</v>
      </c>
      <c r="C5070" s="1" t="n">
        <v>45883</v>
      </c>
      <c r="D5070" t="inlineStr">
        <is>
          <t>GÄVLEBORGS LÄN</t>
        </is>
      </c>
      <c r="E5070" t="inlineStr">
        <is>
          <t>OCKELBO</t>
        </is>
      </c>
      <c r="G5070" t="n">
        <v>9.4</v>
      </c>
      <c r="H5070" t="n">
        <v>0</v>
      </c>
      <c r="I5070" t="n">
        <v>0</v>
      </c>
      <c r="J5070" t="n">
        <v>0</v>
      </c>
      <c r="K5070" t="n">
        <v>0</v>
      </c>
      <c r="L5070" t="n">
        <v>0</v>
      </c>
      <c r="M5070" t="n">
        <v>0</v>
      </c>
      <c r="N5070" t="n">
        <v>0</v>
      </c>
      <c r="O5070" t="n">
        <v>0</v>
      </c>
      <c r="P5070" t="n">
        <v>0</v>
      </c>
      <c r="Q5070" t="n">
        <v>0</v>
      </c>
      <c r="R5070" s="2" t="inlineStr"/>
    </row>
    <row r="5071" ht="15" customHeight="1">
      <c r="A5071" t="inlineStr">
        <is>
          <t>A 10485-2024</t>
        </is>
      </c>
      <c r="B5071" s="1" t="n">
        <v>45366</v>
      </c>
      <c r="C5071" s="1" t="n">
        <v>45883</v>
      </c>
      <c r="D5071" t="inlineStr">
        <is>
          <t>GÄVLEBORGS LÄN</t>
        </is>
      </c>
      <c r="E5071" t="inlineStr">
        <is>
          <t>BOLLNÄS</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1244-2023</t>
        </is>
      </c>
      <c r="B5072" s="1" t="n">
        <v>44936.34145833334</v>
      </c>
      <c r="C5072" s="1" t="n">
        <v>45883</v>
      </c>
      <c r="D5072" t="inlineStr">
        <is>
          <t>GÄVLEBORGS LÄN</t>
        </is>
      </c>
      <c r="E5072" t="inlineStr">
        <is>
          <t>GÄVLE</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255-2025</t>
        </is>
      </c>
      <c r="B5073" s="1" t="n">
        <v>45660.43380787037</v>
      </c>
      <c r="C5073" s="1" t="n">
        <v>45883</v>
      </c>
      <c r="D5073" t="inlineStr">
        <is>
          <t>GÄVLEBORGS LÄN</t>
        </is>
      </c>
      <c r="E5073" t="inlineStr">
        <is>
          <t>GÄVLE</t>
        </is>
      </c>
      <c r="F5073" t="inlineStr">
        <is>
          <t>Bergvik skog väst AB</t>
        </is>
      </c>
      <c r="G5073" t="n">
        <v>3.7</v>
      </c>
      <c r="H5073" t="n">
        <v>0</v>
      </c>
      <c r="I5073" t="n">
        <v>0</v>
      </c>
      <c r="J5073" t="n">
        <v>0</v>
      </c>
      <c r="K5073" t="n">
        <v>0</v>
      </c>
      <c r="L5073" t="n">
        <v>0</v>
      </c>
      <c r="M5073" t="n">
        <v>0</v>
      </c>
      <c r="N5073" t="n">
        <v>0</v>
      </c>
      <c r="O5073" t="n">
        <v>0</v>
      </c>
      <c r="P5073" t="n">
        <v>0</v>
      </c>
      <c r="Q5073" t="n">
        <v>0</v>
      </c>
      <c r="R5073" s="2" t="inlineStr"/>
    </row>
    <row r="5074" ht="15" customHeight="1">
      <c r="A5074" t="inlineStr">
        <is>
          <t>A 13667-2023</t>
        </is>
      </c>
      <c r="B5074" s="1" t="n">
        <v>45006</v>
      </c>
      <c r="C5074" s="1" t="n">
        <v>45883</v>
      </c>
      <c r="D5074" t="inlineStr">
        <is>
          <t>GÄVLEBORGS LÄN</t>
        </is>
      </c>
      <c r="E5074" t="inlineStr">
        <is>
          <t>LJUSDAL</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66351-2021</t>
        </is>
      </c>
      <c r="B5075" s="1" t="n">
        <v>44518</v>
      </c>
      <c r="C5075" s="1" t="n">
        <v>45883</v>
      </c>
      <c r="D5075" t="inlineStr">
        <is>
          <t>GÄVLEBORGS LÄN</t>
        </is>
      </c>
      <c r="E5075" t="inlineStr">
        <is>
          <t>GÄVLE</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40345-2020</t>
        </is>
      </c>
      <c r="B5076" s="1" t="n">
        <v>44068</v>
      </c>
      <c r="C5076" s="1" t="n">
        <v>45883</v>
      </c>
      <c r="D5076" t="inlineStr">
        <is>
          <t>GÄVLEBORGS LÄN</t>
        </is>
      </c>
      <c r="E5076" t="inlineStr">
        <is>
          <t>LJUSDAL</t>
        </is>
      </c>
      <c r="F5076" t="inlineStr">
        <is>
          <t>Bergvik skog väst AB</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35303-2023</t>
        </is>
      </c>
      <c r="B5077" s="1" t="n">
        <v>45146.34653935185</v>
      </c>
      <c r="C5077" s="1" t="n">
        <v>45883</v>
      </c>
      <c r="D5077" t="inlineStr">
        <is>
          <t>GÄVLEBORGS LÄN</t>
        </is>
      </c>
      <c r="E5077" t="inlineStr">
        <is>
          <t>HUDIKSVALL</t>
        </is>
      </c>
      <c r="F5077" t="inlineStr">
        <is>
          <t>Holmen skog AB</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59930-2024</t>
        </is>
      </c>
      <c r="B5078" s="1" t="n">
        <v>45642</v>
      </c>
      <c r="C5078" s="1" t="n">
        <v>45883</v>
      </c>
      <c r="D5078" t="inlineStr">
        <is>
          <t>GÄVLEBORGS LÄN</t>
        </is>
      </c>
      <c r="E5078" t="inlineStr">
        <is>
          <t>NORDANSTIG</t>
        </is>
      </c>
      <c r="G5078" t="n">
        <v>0.1</v>
      </c>
      <c r="H5078" t="n">
        <v>0</v>
      </c>
      <c r="I5078" t="n">
        <v>0</v>
      </c>
      <c r="J5078" t="n">
        <v>0</v>
      </c>
      <c r="K5078" t="n">
        <v>0</v>
      </c>
      <c r="L5078" t="n">
        <v>0</v>
      </c>
      <c r="M5078" t="n">
        <v>0</v>
      </c>
      <c r="N5078" t="n">
        <v>0</v>
      </c>
      <c r="O5078" t="n">
        <v>0</v>
      </c>
      <c r="P5078" t="n">
        <v>0</v>
      </c>
      <c r="Q5078" t="n">
        <v>0</v>
      </c>
      <c r="R5078" s="2" t="inlineStr"/>
    </row>
    <row r="5079" ht="15" customHeight="1">
      <c r="A5079" t="inlineStr">
        <is>
          <t>A 58112-2024</t>
        </is>
      </c>
      <c r="B5079" s="1" t="n">
        <v>45632.38268518518</v>
      </c>
      <c r="C5079" s="1" t="n">
        <v>45883</v>
      </c>
      <c r="D5079" t="inlineStr">
        <is>
          <t>GÄVLEBORGS LÄN</t>
        </is>
      </c>
      <c r="E5079" t="inlineStr">
        <is>
          <t>NORDANSTIG</t>
        </is>
      </c>
      <c r="F5079" t="inlineStr">
        <is>
          <t>Holmen skog AB</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23176-2025</t>
        </is>
      </c>
      <c r="B5080" s="1" t="n">
        <v>45791.4331712963</v>
      </c>
      <c r="C5080" s="1" t="n">
        <v>45883</v>
      </c>
      <c r="D5080" t="inlineStr">
        <is>
          <t>GÄVLEBORGS LÄN</t>
        </is>
      </c>
      <c r="E5080" t="inlineStr">
        <is>
          <t>OVANÅKER</t>
        </is>
      </c>
      <c r="F5080" t="inlineStr">
        <is>
          <t>Bergvik skog väst AB</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23178-2025</t>
        </is>
      </c>
      <c r="B5081" s="1" t="n">
        <v>45791.43634259259</v>
      </c>
      <c r="C5081" s="1" t="n">
        <v>45883</v>
      </c>
      <c r="D5081" t="inlineStr">
        <is>
          <t>GÄVLEBORGS LÄN</t>
        </is>
      </c>
      <c r="E5081" t="inlineStr">
        <is>
          <t>OVANÅKER</t>
        </is>
      </c>
      <c r="F5081" t="inlineStr">
        <is>
          <t>Bergvik skog väst AB</t>
        </is>
      </c>
      <c r="G5081" t="n">
        <v>5</v>
      </c>
      <c r="H5081" t="n">
        <v>0</v>
      </c>
      <c r="I5081" t="n">
        <v>0</v>
      </c>
      <c r="J5081" t="n">
        <v>0</v>
      </c>
      <c r="K5081" t="n">
        <v>0</v>
      </c>
      <c r="L5081" t="n">
        <v>0</v>
      </c>
      <c r="M5081" t="n">
        <v>0</v>
      </c>
      <c r="N5081" t="n">
        <v>0</v>
      </c>
      <c r="O5081" t="n">
        <v>0</v>
      </c>
      <c r="P5081" t="n">
        <v>0</v>
      </c>
      <c r="Q5081" t="n">
        <v>0</v>
      </c>
      <c r="R5081" s="2" t="inlineStr"/>
    </row>
    <row r="5082" ht="15" customHeight="1">
      <c r="A5082" t="inlineStr">
        <is>
          <t>A 23122-2025</t>
        </is>
      </c>
      <c r="B5082" s="1" t="n">
        <v>45791</v>
      </c>
      <c r="C5082" s="1" t="n">
        <v>45883</v>
      </c>
      <c r="D5082" t="inlineStr">
        <is>
          <t>GÄVLEBORGS LÄN</t>
        </is>
      </c>
      <c r="E5082" t="inlineStr">
        <is>
          <t>NORDANSTIG</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23143-2025</t>
        </is>
      </c>
      <c r="B5083" s="1" t="n">
        <v>45791.39702546296</v>
      </c>
      <c r="C5083" s="1" t="n">
        <v>45883</v>
      </c>
      <c r="D5083" t="inlineStr">
        <is>
          <t>GÄVLEBORGS LÄN</t>
        </is>
      </c>
      <c r="E5083" t="inlineStr">
        <is>
          <t>OVANÅKER</t>
        </is>
      </c>
      <c r="F5083" t="inlineStr">
        <is>
          <t>Bergvik skog väst AB</t>
        </is>
      </c>
      <c r="G5083" t="n">
        <v>6.1</v>
      </c>
      <c r="H5083" t="n">
        <v>0</v>
      </c>
      <c r="I5083" t="n">
        <v>0</v>
      </c>
      <c r="J5083" t="n">
        <v>0</v>
      </c>
      <c r="K5083" t="n">
        <v>0</v>
      </c>
      <c r="L5083" t="n">
        <v>0</v>
      </c>
      <c r="M5083" t="n">
        <v>0</v>
      </c>
      <c r="N5083" t="n">
        <v>0</v>
      </c>
      <c r="O5083" t="n">
        <v>0</v>
      </c>
      <c r="P5083" t="n">
        <v>0</v>
      </c>
      <c r="Q5083" t="n">
        <v>0</v>
      </c>
      <c r="R5083" s="2" t="inlineStr"/>
    </row>
    <row r="5084" ht="15" customHeight="1">
      <c r="A5084" t="inlineStr">
        <is>
          <t>A 23175-2025</t>
        </is>
      </c>
      <c r="B5084" s="1" t="n">
        <v>45791.43109953704</v>
      </c>
      <c r="C5084" s="1" t="n">
        <v>45883</v>
      </c>
      <c r="D5084" t="inlineStr">
        <is>
          <t>GÄVLEBORGS LÄN</t>
        </is>
      </c>
      <c r="E5084" t="inlineStr">
        <is>
          <t>OVANÅKER</t>
        </is>
      </c>
      <c r="F5084" t="inlineStr">
        <is>
          <t>Bergvik skog väst AB</t>
        </is>
      </c>
      <c r="G5084" t="n">
        <v>5.6</v>
      </c>
      <c r="H5084" t="n">
        <v>0</v>
      </c>
      <c r="I5084" t="n">
        <v>0</v>
      </c>
      <c r="J5084" t="n">
        <v>0</v>
      </c>
      <c r="K5084" t="n">
        <v>0</v>
      </c>
      <c r="L5084" t="n">
        <v>0</v>
      </c>
      <c r="M5084" t="n">
        <v>0</v>
      </c>
      <c r="N5084" t="n">
        <v>0</v>
      </c>
      <c r="O5084" t="n">
        <v>0</v>
      </c>
      <c r="P5084" t="n">
        <v>0</v>
      </c>
      <c r="Q5084" t="n">
        <v>0</v>
      </c>
      <c r="R5084" s="2" t="inlineStr"/>
    </row>
    <row r="5085" ht="15" customHeight="1">
      <c r="A5085" t="inlineStr">
        <is>
          <t>A 23180-2025</t>
        </is>
      </c>
      <c r="B5085" s="1" t="n">
        <v>45791.44038194444</v>
      </c>
      <c r="C5085" s="1" t="n">
        <v>45883</v>
      </c>
      <c r="D5085" t="inlineStr">
        <is>
          <t>GÄVLEBORGS LÄN</t>
        </is>
      </c>
      <c r="E5085" t="inlineStr">
        <is>
          <t>OVANÅKER</t>
        </is>
      </c>
      <c r="F5085" t="inlineStr">
        <is>
          <t>Bergvik skog väst AB</t>
        </is>
      </c>
      <c r="G5085" t="n">
        <v>12.1</v>
      </c>
      <c r="H5085" t="n">
        <v>0</v>
      </c>
      <c r="I5085" t="n">
        <v>0</v>
      </c>
      <c r="J5085" t="n">
        <v>0</v>
      </c>
      <c r="K5085" t="n">
        <v>0</v>
      </c>
      <c r="L5085" t="n">
        <v>0</v>
      </c>
      <c r="M5085" t="n">
        <v>0</v>
      </c>
      <c r="N5085" t="n">
        <v>0</v>
      </c>
      <c r="O5085" t="n">
        <v>0</v>
      </c>
      <c r="P5085" t="n">
        <v>0</v>
      </c>
      <c r="Q5085" t="n">
        <v>0</v>
      </c>
      <c r="R5085" s="2" t="inlineStr"/>
    </row>
    <row r="5086" ht="15" customHeight="1">
      <c r="A5086" t="inlineStr">
        <is>
          <t>A 23184-2025</t>
        </is>
      </c>
      <c r="B5086" s="1" t="n">
        <v>45791.44305555556</v>
      </c>
      <c r="C5086" s="1" t="n">
        <v>45883</v>
      </c>
      <c r="D5086" t="inlineStr">
        <is>
          <t>GÄVLEBORGS LÄN</t>
        </is>
      </c>
      <c r="E5086" t="inlineStr">
        <is>
          <t>OVANÅKER</t>
        </is>
      </c>
      <c r="F5086" t="inlineStr">
        <is>
          <t>Bergvik skog väst AB</t>
        </is>
      </c>
      <c r="G5086" t="n">
        <v>6.9</v>
      </c>
      <c r="H5086" t="n">
        <v>0</v>
      </c>
      <c r="I5086" t="n">
        <v>0</v>
      </c>
      <c r="J5086" t="n">
        <v>0</v>
      </c>
      <c r="K5086" t="n">
        <v>0</v>
      </c>
      <c r="L5086" t="n">
        <v>0</v>
      </c>
      <c r="M5086" t="n">
        <v>0</v>
      </c>
      <c r="N5086" t="n">
        <v>0</v>
      </c>
      <c r="O5086" t="n">
        <v>0</v>
      </c>
      <c r="P5086" t="n">
        <v>0</v>
      </c>
      <c r="Q5086" t="n">
        <v>0</v>
      </c>
      <c r="R5086" s="2" t="inlineStr"/>
    </row>
    <row r="5087" ht="15" customHeight="1">
      <c r="A5087" t="inlineStr">
        <is>
          <t>A 23261-2025</t>
        </is>
      </c>
      <c r="B5087" s="1" t="n">
        <v>45791.55123842593</v>
      </c>
      <c r="C5087" s="1" t="n">
        <v>45883</v>
      </c>
      <c r="D5087" t="inlineStr">
        <is>
          <t>GÄVLEBORGS LÄN</t>
        </is>
      </c>
      <c r="E5087" t="inlineStr">
        <is>
          <t>SÖDERHAMN</t>
        </is>
      </c>
      <c r="F5087" t="inlineStr">
        <is>
          <t>Bergvik skog väst AB</t>
        </is>
      </c>
      <c r="G5087" t="n">
        <v>3.3</v>
      </c>
      <c r="H5087" t="n">
        <v>0</v>
      </c>
      <c r="I5087" t="n">
        <v>0</v>
      </c>
      <c r="J5087" t="n">
        <v>0</v>
      </c>
      <c r="K5087" t="n">
        <v>0</v>
      </c>
      <c r="L5087" t="n">
        <v>0</v>
      </c>
      <c r="M5087" t="n">
        <v>0</v>
      </c>
      <c r="N5087" t="n">
        <v>0</v>
      </c>
      <c r="O5087" t="n">
        <v>0</v>
      </c>
      <c r="P5087" t="n">
        <v>0</v>
      </c>
      <c r="Q5087" t="n">
        <v>0</v>
      </c>
      <c r="R5087" s="2" t="inlineStr"/>
    </row>
    <row r="5088" ht="15" customHeight="1">
      <c r="A5088" t="inlineStr">
        <is>
          <t>A 48666-2022</t>
        </is>
      </c>
      <c r="B5088" s="1" t="n">
        <v>44859.44630787037</v>
      </c>
      <c r="C5088" s="1" t="n">
        <v>45883</v>
      </c>
      <c r="D5088" t="inlineStr">
        <is>
          <t>GÄVLEBORGS LÄN</t>
        </is>
      </c>
      <c r="E5088" t="inlineStr">
        <is>
          <t>BOLLNÄS</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16750-2025</t>
        </is>
      </c>
      <c r="B5089" s="1" t="n">
        <v>45754.56719907407</v>
      </c>
      <c r="C5089" s="1" t="n">
        <v>45883</v>
      </c>
      <c r="D5089" t="inlineStr">
        <is>
          <t>GÄVLEBORGS LÄN</t>
        </is>
      </c>
      <c r="E5089" t="inlineStr">
        <is>
          <t>SÖDERHAMN</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182-2024</t>
        </is>
      </c>
      <c r="B5090" s="1" t="n">
        <v>45294.59164351852</v>
      </c>
      <c r="C5090" s="1" t="n">
        <v>45883</v>
      </c>
      <c r="D5090" t="inlineStr">
        <is>
          <t>GÄVLEBORGS LÄN</t>
        </is>
      </c>
      <c r="E5090" t="inlineStr">
        <is>
          <t>HUDIKSVALL</t>
        </is>
      </c>
      <c r="F5090" t="inlineStr">
        <is>
          <t>Holmen skog AB</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13405-2022</t>
        </is>
      </c>
      <c r="B5091" s="1" t="n">
        <v>44645.53158564815</v>
      </c>
      <c r="C5091" s="1" t="n">
        <v>45883</v>
      </c>
      <c r="D5091" t="inlineStr">
        <is>
          <t>GÄVLEBORGS LÄN</t>
        </is>
      </c>
      <c r="E5091" t="inlineStr">
        <is>
          <t>BOLLNÄS</t>
        </is>
      </c>
      <c r="G5091" t="n">
        <v>3.5</v>
      </c>
      <c r="H5091" t="n">
        <v>0</v>
      </c>
      <c r="I5091" t="n">
        <v>0</v>
      </c>
      <c r="J5091" t="n">
        <v>0</v>
      </c>
      <c r="K5091" t="n">
        <v>0</v>
      </c>
      <c r="L5091" t="n">
        <v>0</v>
      </c>
      <c r="M5091" t="n">
        <v>0</v>
      </c>
      <c r="N5091" t="n">
        <v>0</v>
      </c>
      <c r="O5091" t="n">
        <v>0</v>
      </c>
      <c r="P5091" t="n">
        <v>0</v>
      </c>
      <c r="Q5091" t="n">
        <v>0</v>
      </c>
      <c r="R5091" s="2" t="inlineStr"/>
    </row>
    <row r="5092" ht="15" customHeight="1">
      <c r="A5092" t="inlineStr">
        <is>
          <t>A 62738-2023</t>
        </is>
      </c>
      <c r="B5092" s="1" t="n">
        <v>45268</v>
      </c>
      <c r="C5092" s="1" t="n">
        <v>45883</v>
      </c>
      <c r="D5092" t="inlineStr">
        <is>
          <t>GÄVLEBORGS LÄN</t>
        </is>
      </c>
      <c r="E5092" t="inlineStr">
        <is>
          <t>OVANÅKER</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44041-2022</t>
        </is>
      </c>
      <c r="B5093" s="1" t="n">
        <v>44838.94871527778</v>
      </c>
      <c r="C5093" s="1" t="n">
        <v>45883</v>
      </c>
      <c r="D5093" t="inlineStr">
        <is>
          <t>GÄVLEBORGS LÄN</t>
        </is>
      </c>
      <c r="E5093" t="inlineStr">
        <is>
          <t>LJUSDAL</t>
        </is>
      </c>
      <c r="F5093" t="inlineStr">
        <is>
          <t>Naturvårdsverket</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23265-2025</t>
        </is>
      </c>
      <c r="B5094" s="1" t="n">
        <v>45791.5553125</v>
      </c>
      <c r="C5094" s="1" t="n">
        <v>45883</v>
      </c>
      <c r="D5094" t="inlineStr">
        <is>
          <t>GÄVLEBORGS LÄN</t>
        </is>
      </c>
      <c r="E5094" t="inlineStr">
        <is>
          <t>SÖDERHAMN</t>
        </is>
      </c>
      <c r="F5094" t="inlineStr">
        <is>
          <t>Bergvik skog väst AB</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23353-2025</t>
        </is>
      </c>
      <c r="B5095" s="1" t="n">
        <v>45791.66635416666</v>
      </c>
      <c r="C5095" s="1" t="n">
        <v>45883</v>
      </c>
      <c r="D5095" t="inlineStr">
        <is>
          <t>GÄVLEBORGS LÄN</t>
        </is>
      </c>
      <c r="E5095" t="inlineStr">
        <is>
          <t>LJUSDAL</t>
        </is>
      </c>
      <c r="F5095" t="inlineStr">
        <is>
          <t>Bergvik skog väst AB</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17678-2025</t>
        </is>
      </c>
      <c r="B5096" s="1" t="n">
        <v>45758.37297453704</v>
      </c>
      <c r="C5096" s="1" t="n">
        <v>45883</v>
      </c>
      <c r="D5096" t="inlineStr">
        <is>
          <t>GÄVLEBORGS LÄN</t>
        </is>
      </c>
      <c r="E5096" t="inlineStr">
        <is>
          <t>NORDANSTIG</t>
        </is>
      </c>
      <c r="F5096" t="inlineStr">
        <is>
          <t>Holmen skog AB</t>
        </is>
      </c>
      <c r="G5096" t="n">
        <v>3.8</v>
      </c>
      <c r="H5096" t="n">
        <v>0</v>
      </c>
      <c r="I5096" t="n">
        <v>0</v>
      </c>
      <c r="J5096" t="n">
        <v>0</v>
      </c>
      <c r="K5096" t="n">
        <v>0</v>
      </c>
      <c r="L5096" t="n">
        <v>0</v>
      </c>
      <c r="M5096" t="n">
        <v>0</v>
      </c>
      <c r="N5096" t="n">
        <v>0</v>
      </c>
      <c r="O5096" t="n">
        <v>0</v>
      </c>
      <c r="P5096" t="n">
        <v>0</v>
      </c>
      <c r="Q5096" t="n">
        <v>0</v>
      </c>
      <c r="R5096" s="2" t="inlineStr"/>
    </row>
    <row r="5097" ht="15" customHeight="1">
      <c r="A5097" t="inlineStr">
        <is>
          <t>A 23447-2025</t>
        </is>
      </c>
      <c r="B5097" s="1" t="n">
        <v>45792.39951388889</v>
      </c>
      <c r="C5097" s="1" t="n">
        <v>45883</v>
      </c>
      <c r="D5097" t="inlineStr">
        <is>
          <t>GÄVLEBORGS LÄN</t>
        </is>
      </c>
      <c r="E5097" t="inlineStr">
        <is>
          <t>GÄVLE</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23448-2025</t>
        </is>
      </c>
      <c r="B5098" s="1" t="n">
        <v>45792.39993055556</v>
      </c>
      <c r="C5098" s="1" t="n">
        <v>45883</v>
      </c>
      <c r="D5098" t="inlineStr">
        <is>
          <t>GÄVLEBORGS LÄN</t>
        </is>
      </c>
      <c r="E5098" t="inlineStr">
        <is>
          <t>SÖDERHAMN</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23463-2025</t>
        </is>
      </c>
      <c r="B5099" s="1" t="n">
        <v>45792.43024305555</v>
      </c>
      <c r="C5099" s="1" t="n">
        <v>45883</v>
      </c>
      <c r="D5099" t="inlineStr">
        <is>
          <t>GÄVLEBORGS LÄN</t>
        </is>
      </c>
      <c r="E5099" t="inlineStr">
        <is>
          <t>GÄVLE</t>
        </is>
      </c>
      <c r="G5099" t="n">
        <v>7.2</v>
      </c>
      <c r="H5099" t="n">
        <v>0</v>
      </c>
      <c r="I5099" t="n">
        <v>0</v>
      </c>
      <c r="J5099" t="n">
        <v>0</v>
      </c>
      <c r="K5099" t="n">
        <v>0</v>
      </c>
      <c r="L5099" t="n">
        <v>0</v>
      </c>
      <c r="M5099" t="n">
        <v>0</v>
      </c>
      <c r="N5099" t="n">
        <v>0</v>
      </c>
      <c r="O5099" t="n">
        <v>0</v>
      </c>
      <c r="P5099" t="n">
        <v>0</v>
      </c>
      <c r="Q5099" t="n">
        <v>0</v>
      </c>
      <c r="R5099" s="2" t="inlineStr"/>
    </row>
    <row r="5100" ht="15" customHeight="1">
      <c r="A5100" t="inlineStr">
        <is>
          <t>A 23467-2025</t>
        </is>
      </c>
      <c r="B5100" s="1" t="n">
        <v>45792.43704861111</v>
      </c>
      <c r="C5100" s="1" t="n">
        <v>45883</v>
      </c>
      <c r="D5100" t="inlineStr">
        <is>
          <t>GÄVLEBORGS LÄN</t>
        </is>
      </c>
      <c r="E5100" t="inlineStr">
        <is>
          <t>NORDANSTIG</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21153-2023</t>
        </is>
      </c>
      <c r="B5101" s="1" t="n">
        <v>45062.40555555555</v>
      </c>
      <c r="C5101" s="1" t="n">
        <v>45883</v>
      </c>
      <c r="D5101" t="inlineStr">
        <is>
          <t>GÄVLEBORGS LÄN</t>
        </is>
      </c>
      <c r="E5101" t="inlineStr">
        <is>
          <t>NORDANSTIG</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24724-2023</t>
        </is>
      </c>
      <c r="B5102" s="1" t="n">
        <v>45084</v>
      </c>
      <c r="C5102" s="1" t="n">
        <v>45883</v>
      </c>
      <c r="D5102" t="inlineStr">
        <is>
          <t>GÄVLEBORGS LÄN</t>
        </is>
      </c>
      <c r="E5102" t="inlineStr">
        <is>
          <t>GÄVLE</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23244-2025</t>
        </is>
      </c>
      <c r="B5103" s="1" t="n">
        <v>45791.50346064815</v>
      </c>
      <c r="C5103" s="1" t="n">
        <v>45883</v>
      </c>
      <c r="D5103" t="inlineStr">
        <is>
          <t>GÄVLEBORGS LÄN</t>
        </is>
      </c>
      <c r="E5103" t="inlineStr">
        <is>
          <t>OVANÅKER</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23324-2025</t>
        </is>
      </c>
      <c r="B5104" s="1" t="n">
        <v>45791.62157407407</v>
      </c>
      <c r="C5104" s="1" t="n">
        <v>45883</v>
      </c>
      <c r="D5104" t="inlineStr">
        <is>
          <t>GÄVLEBORGS LÄN</t>
        </is>
      </c>
      <c r="E5104" t="inlineStr">
        <is>
          <t>GÄVLE</t>
        </is>
      </c>
      <c r="G5104" t="n">
        <v>6.2</v>
      </c>
      <c r="H5104" t="n">
        <v>0</v>
      </c>
      <c r="I5104" t="n">
        <v>0</v>
      </c>
      <c r="J5104" t="n">
        <v>0</v>
      </c>
      <c r="K5104" t="n">
        <v>0</v>
      </c>
      <c r="L5104" t="n">
        <v>0</v>
      </c>
      <c r="M5104" t="n">
        <v>0</v>
      </c>
      <c r="N5104" t="n">
        <v>0</v>
      </c>
      <c r="O5104" t="n">
        <v>0</v>
      </c>
      <c r="P5104" t="n">
        <v>0</v>
      </c>
      <c r="Q5104" t="n">
        <v>0</v>
      </c>
      <c r="R5104" s="2" t="inlineStr"/>
    </row>
    <row r="5105" ht="15" customHeight="1">
      <c r="A5105" t="inlineStr">
        <is>
          <t>A 28966-2024</t>
        </is>
      </c>
      <c r="B5105" s="1" t="n">
        <v>45481.43993055556</v>
      </c>
      <c r="C5105" s="1" t="n">
        <v>45883</v>
      </c>
      <c r="D5105" t="inlineStr">
        <is>
          <t>GÄVLEBORGS LÄN</t>
        </is>
      </c>
      <c r="E5105" t="inlineStr">
        <is>
          <t>OCKELBO</t>
        </is>
      </c>
      <c r="G5105" t="n">
        <v>5.7</v>
      </c>
      <c r="H5105" t="n">
        <v>0</v>
      </c>
      <c r="I5105" t="n">
        <v>0</v>
      </c>
      <c r="J5105" t="n">
        <v>0</v>
      </c>
      <c r="K5105" t="n">
        <v>0</v>
      </c>
      <c r="L5105" t="n">
        <v>0</v>
      </c>
      <c r="M5105" t="n">
        <v>0</v>
      </c>
      <c r="N5105" t="n">
        <v>0</v>
      </c>
      <c r="O5105" t="n">
        <v>0</v>
      </c>
      <c r="P5105" t="n">
        <v>0</v>
      </c>
      <c r="Q5105" t="n">
        <v>0</v>
      </c>
      <c r="R5105" s="2" t="inlineStr"/>
    </row>
    <row r="5106" ht="15" customHeight="1">
      <c r="A5106" t="inlineStr">
        <is>
          <t>A 41597-2024</t>
        </is>
      </c>
      <c r="B5106" s="1" t="n">
        <v>45560.57574074074</v>
      </c>
      <c r="C5106" s="1" t="n">
        <v>45883</v>
      </c>
      <c r="D5106" t="inlineStr">
        <is>
          <t>GÄVLEBORGS LÄN</t>
        </is>
      </c>
      <c r="E5106" t="inlineStr">
        <is>
          <t>BOLLNÄS</t>
        </is>
      </c>
      <c r="G5106" t="n">
        <v>21.8</v>
      </c>
      <c r="H5106" t="n">
        <v>0</v>
      </c>
      <c r="I5106" t="n">
        <v>0</v>
      </c>
      <c r="J5106" t="n">
        <v>0</v>
      </c>
      <c r="K5106" t="n">
        <v>0</v>
      </c>
      <c r="L5106" t="n">
        <v>0</v>
      </c>
      <c r="M5106" t="n">
        <v>0</v>
      </c>
      <c r="N5106" t="n">
        <v>0</v>
      </c>
      <c r="O5106" t="n">
        <v>0</v>
      </c>
      <c r="P5106" t="n">
        <v>0</v>
      </c>
      <c r="Q5106" t="n">
        <v>0</v>
      </c>
      <c r="R5106" s="2" t="inlineStr"/>
    </row>
    <row r="5107" ht="15" customHeight="1">
      <c r="A5107" t="inlineStr">
        <is>
          <t>A 27418-2024</t>
        </is>
      </c>
      <c r="B5107" s="1" t="n">
        <v>45474</v>
      </c>
      <c r="C5107" s="1" t="n">
        <v>45883</v>
      </c>
      <c r="D5107" t="inlineStr">
        <is>
          <t>GÄVLEBORGS LÄN</t>
        </is>
      </c>
      <c r="E5107" t="inlineStr">
        <is>
          <t>HUDIKSVALL</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27422-2024</t>
        </is>
      </c>
      <c r="B5108" s="1" t="n">
        <v>45474.37935185185</v>
      </c>
      <c r="C5108" s="1" t="n">
        <v>45883</v>
      </c>
      <c r="D5108" t="inlineStr">
        <is>
          <t>GÄVLEBORGS LÄN</t>
        </is>
      </c>
      <c r="E5108" t="inlineStr">
        <is>
          <t>OVANÅKER</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20675-2022</t>
        </is>
      </c>
      <c r="B5109" s="1" t="n">
        <v>44700</v>
      </c>
      <c r="C5109" s="1" t="n">
        <v>45883</v>
      </c>
      <c r="D5109" t="inlineStr">
        <is>
          <t>GÄVLEBORGS LÄN</t>
        </is>
      </c>
      <c r="E5109" t="inlineStr">
        <is>
          <t>HUDIKSVALL</t>
        </is>
      </c>
      <c r="F5109" t="inlineStr">
        <is>
          <t>Holmen skog AB</t>
        </is>
      </c>
      <c r="G5109" t="n">
        <v>9.699999999999999</v>
      </c>
      <c r="H5109" t="n">
        <v>0</v>
      </c>
      <c r="I5109" t="n">
        <v>0</v>
      </c>
      <c r="J5109" t="n">
        <v>0</v>
      </c>
      <c r="K5109" t="n">
        <v>0</v>
      </c>
      <c r="L5109" t="n">
        <v>0</v>
      </c>
      <c r="M5109" t="n">
        <v>0</v>
      </c>
      <c r="N5109" t="n">
        <v>0</v>
      </c>
      <c r="O5109" t="n">
        <v>0</v>
      </c>
      <c r="P5109" t="n">
        <v>0</v>
      </c>
      <c r="Q5109" t="n">
        <v>0</v>
      </c>
      <c r="R5109" s="2" t="inlineStr"/>
    </row>
    <row r="5110" ht="15" customHeight="1">
      <c r="A5110" t="inlineStr">
        <is>
          <t>A 60896-2024</t>
        </is>
      </c>
      <c r="B5110" s="1" t="n">
        <v>45645.2721875</v>
      </c>
      <c r="C5110" s="1" t="n">
        <v>45883</v>
      </c>
      <c r="D5110" t="inlineStr">
        <is>
          <t>GÄVLEBORGS LÄN</t>
        </is>
      </c>
      <c r="E5110" t="inlineStr">
        <is>
          <t>LJUSDAL</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19034-2023</t>
        </is>
      </c>
      <c r="B5111" s="1" t="n">
        <v>45047.53082175926</v>
      </c>
      <c r="C5111" s="1" t="n">
        <v>45883</v>
      </c>
      <c r="D5111" t="inlineStr">
        <is>
          <t>GÄVLEBORGS LÄN</t>
        </is>
      </c>
      <c r="E5111" t="inlineStr">
        <is>
          <t>LJUSDAL</t>
        </is>
      </c>
      <c r="G5111" t="n">
        <v>0.3</v>
      </c>
      <c r="H5111" t="n">
        <v>0</v>
      </c>
      <c r="I5111" t="n">
        <v>0</v>
      </c>
      <c r="J5111" t="n">
        <v>0</v>
      </c>
      <c r="K5111" t="n">
        <v>0</v>
      </c>
      <c r="L5111" t="n">
        <v>0</v>
      </c>
      <c r="M5111" t="n">
        <v>0</v>
      </c>
      <c r="N5111" t="n">
        <v>0</v>
      </c>
      <c r="O5111" t="n">
        <v>0</v>
      </c>
      <c r="P5111" t="n">
        <v>0</v>
      </c>
      <c r="Q5111" t="n">
        <v>0</v>
      </c>
      <c r="R5111" s="2" t="inlineStr"/>
    </row>
    <row r="5112" ht="15" customHeight="1">
      <c r="A5112" t="inlineStr">
        <is>
          <t>A 57928-2024</t>
        </is>
      </c>
      <c r="B5112" s="1" t="n">
        <v>45631.52173611111</v>
      </c>
      <c r="C5112" s="1" t="n">
        <v>45883</v>
      </c>
      <c r="D5112" t="inlineStr">
        <is>
          <t>GÄVLEBORGS LÄN</t>
        </is>
      </c>
      <c r="E5112" t="inlineStr">
        <is>
          <t>GÄVLE</t>
        </is>
      </c>
      <c r="F5112" t="inlineStr">
        <is>
          <t>Bergvik skog öst AB</t>
        </is>
      </c>
      <c r="G5112" t="n">
        <v>10.9</v>
      </c>
      <c r="H5112" t="n">
        <v>0</v>
      </c>
      <c r="I5112" t="n">
        <v>0</v>
      </c>
      <c r="J5112" t="n">
        <v>0</v>
      </c>
      <c r="K5112" t="n">
        <v>0</v>
      </c>
      <c r="L5112" t="n">
        <v>0</v>
      </c>
      <c r="M5112" t="n">
        <v>0</v>
      </c>
      <c r="N5112" t="n">
        <v>0</v>
      </c>
      <c r="O5112" t="n">
        <v>0</v>
      </c>
      <c r="P5112" t="n">
        <v>0</v>
      </c>
      <c r="Q5112" t="n">
        <v>0</v>
      </c>
      <c r="R5112" s="2" t="inlineStr"/>
    </row>
    <row r="5113" ht="15" customHeight="1">
      <c r="A5113" t="inlineStr">
        <is>
          <t>A 23528-2025</t>
        </is>
      </c>
      <c r="B5113" s="1" t="n">
        <v>45792.5291087963</v>
      </c>
      <c r="C5113" s="1" t="n">
        <v>45883</v>
      </c>
      <c r="D5113" t="inlineStr">
        <is>
          <t>GÄVLEBORGS LÄN</t>
        </is>
      </c>
      <c r="E5113" t="inlineStr">
        <is>
          <t>LJUSDAL</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49883-2023</t>
        </is>
      </c>
      <c r="B5114" s="1" t="n">
        <v>45213.37230324074</v>
      </c>
      <c r="C5114" s="1" t="n">
        <v>45883</v>
      </c>
      <c r="D5114" t="inlineStr">
        <is>
          <t>GÄVLEBORGS LÄN</t>
        </is>
      </c>
      <c r="E5114" t="inlineStr">
        <is>
          <t>BOLLNÄS</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23591-2025</t>
        </is>
      </c>
      <c r="B5115" s="1" t="n">
        <v>45792.63633101852</v>
      </c>
      <c r="C5115" s="1" t="n">
        <v>45883</v>
      </c>
      <c r="D5115" t="inlineStr">
        <is>
          <t>GÄVLEBORGS LÄN</t>
        </is>
      </c>
      <c r="E5115" t="inlineStr">
        <is>
          <t>LJUSDAL</t>
        </is>
      </c>
      <c r="F5115" t="inlineStr">
        <is>
          <t>SCA</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23603-2025</t>
        </is>
      </c>
      <c r="B5116" s="1" t="n">
        <v>45792.65420138889</v>
      </c>
      <c r="C5116" s="1" t="n">
        <v>45883</v>
      </c>
      <c r="D5116" t="inlineStr">
        <is>
          <t>GÄVLEBORGS LÄN</t>
        </is>
      </c>
      <c r="E5116" t="inlineStr">
        <is>
          <t>LJUSDAL</t>
        </is>
      </c>
      <c r="F5116" t="inlineStr">
        <is>
          <t>Bergvik skog väst AB</t>
        </is>
      </c>
      <c r="G5116" t="n">
        <v>5.6</v>
      </c>
      <c r="H5116" t="n">
        <v>0</v>
      </c>
      <c r="I5116" t="n">
        <v>0</v>
      </c>
      <c r="J5116" t="n">
        <v>0</v>
      </c>
      <c r="K5116" t="n">
        <v>0</v>
      </c>
      <c r="L5116" t="n">
        <v>0</v>
      </c>
      <c r="M5116" t="n">
        <v>0</v>
      </c>
      <c r="N5116" t="n">
        <v>0</v>
      </c>
      <c r="O5116" t="n">
        <v>0</v>
      </c>
      <c r="P5116" t="n">
        <v>0</v>
      </c>
      <c r="Q5116" t="n">
        <v>0</v>
      </c>
      <c r="R5116" s="2" t="inlineStr"/>
    </row>
    <row r="5117" ht="15" customHeight="1">
      <c r="A5117" t="inlineStr">
        <is>
          <t>A 23623-2025</t>
        </is>
      </c>
      <c r="B5117" s="1" t="n">
        <v>45792</v>
      </c>
      <c r="C5117" s="1" t="n">
        <v>45883</v>
      </c>
      <c r="D5117" t="inlineStr">
        <is>
          <t>GÄVLEBORGS LÄN</t>
        </is>
      </c>
      <c r="E5117" t="inlineStr">
        <is>
          <t>NORDANSTIG</t>
        </is>
      </c>
      <c r="G5117" t="n">
        <v>12.9</v>
      </c>
      <c r="H5117" t="n">
        <v>0</v>
      </c>
      <c r="I5117" t="n">
        <v>0</v>
      </c>
      <c r="J5117" t="n">
        <v>0</v>
      </c>
      <c r="K5117" t="n">
        <v>0</v>
      </c>
      <c r="L5117" t="n">
        <v>0</v>
      </c>
      <c r="M5117" t="n">
        <v>0</v>
      </c>
      <c r="N5117" t="n">
        <v>0</v>
      </c>
      <c r="O5117" t="n">
        <v>0</v>
      </c>
      <c r="P5117" t="n">
        <v>0</v>
      </c>
      <c r="Q5117" t="n">
        <v>0</v>
      </c>
      <c r="R5117" s="2" t="inlineStr"/>
    </row>
    <row r="5118" ht="15" customHeight="1">
      <c r="A5118" t="inlineStr">
        <is>
          <t>A 16498-2025</t>
        </is>
      </c>
      <c r="B5118" s="1" t="n">
        <v>45751.601875</v>
      </c>
      <c r="C5118" s="1" t="n">
        <v>45883</v>
      </c>
      <c r="D5118" t="inlineStr">
        <is>
          <t>GÄVLEBORGS LÄN</t>
        </is>
      </c>
      <c r="E5118" t="inlineStr">
        <is>
          <t>LJUSDAL</t>
        </is>
      </c>
      <c r="G5118" t="n">
        <v>9.9</v>
      </c>
      <c r="H5118" t="n">
        <v>0</v>
      </c>
      <c r="I5118" t="n">
        <v>0</v>
      </c>
      <c r="J5118" t="n">
        <v>0</v>
      </c>
      <c r="K5118" t="n">
        <v>0</v>
      </c>
      <c r="L5118" t="n">
        <v>0</v>
      </c>
      <c r="M5118" t="n">
        <v>0</v>
      </c>
      <c r="N5118" t="n">
        <v>0</v>
      </c>
      <c r="O5118" t="n">
        <v>0</v>
      </c>
      <c r="P5118" t="n">
        <v>0</v>
      </c>
      <c r="Q5118" t="n">
        <v>0</v>
      </c>
      <c r="R5118" s="2" t="inlineStr"/>
    </row>
    <row r="5119" ht="15" customHeight="1">
      <c r="A5119" t="inlineStr">
        <is>
          <t>A 23656-2025</t>
        </is>
      </c>
      <c r="B5119" s="1" t="n">
        <v>45792.7308449074</v>
      </c>
      <c r="C5119" s="1" t="n">
        <v>45883</v>
      </c>
      <c r="D5119" t="inlineStr">
        <is>
          <t>GÄVLEBORGS LÄN</t>
        </is>
      </c>
      <c r="E5119" t="inlineStr">
        <is>
          <t>LJUSDAL</t>
        </is>
      </c>
      <c r="F5119" t="inlineStr">
        <is>
          <t>Sveaskog</t>
        </is>
      </c>
      <c r="G5119" t="n">
        <v>4</v>
      </c>
      <c r="H5119" t="n">
        <v>0</v>
      </c>
      <c r="I5119" t="n">
        <v>0</v>
      </c>
      <c r="J5119" t="n">
        <v>0</v>
      </c>
      <c r="K5119" t="n">
        <v>0</v>
      </c>
      <c r="L5119" t="n">
        <v>0</v>
      </c>
      <c r="M5119" t="n">
        <v>0</v>
      </c>
      <c r="N5119" t="n">
        <v>0</v>
      </c>
      <c r="O5119" t="n">
        <v>0</v>
      </c>
      <c r="P5119" t="n">
        <v>0</v>
      </c>
      <c r="Q5119" t="n">
        <v>0</v>
      </c>
      <c r="R5119" s="2" t="inlineStr"/>
    </row>
    <row r="5120" ht="15" customHeight="1">
      <c r="A5120" t="inlineStr">
        <is>
          <t>A 6093-2023</t>
        </is>
      </c>
      <c r="B5120" s="1" t="n">
        <v>44964.56496527778</v>
      </c>
      <c r="C5120" s="1" t="n">
        <v>45883</v>
      </c>
      <c r="D5120" t="inlineStr">
        <is>
          <t>GÄVLEBORGS LÄN</t>
        </is>
      </c>
      <c r="E5120" t="inlineStr">
        <is>
          <t>NORDANSTIG</t>
        </is>
      </c>
      <c r="F5120" t="inlineStr">
        <is>
          <t>Holmen skog AB</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21063-2024</t>
        </is>
      </c>
      <c r="B5121" s="1" t="n">
        <v>45439.8161574074</v>
      </c>
      <c r="C5121" s="1" t="n">
        <v>45883</v>
      </c>
      <c r="D5121" t="inlineStr">
        <is>
          <t>GÄVLEBORGS LÄN</t>
        </is>
      </c>
      <c r="E5121" t="inlineStr">
        <is>
          <t>NORDANSTIG</t>
        </is>
      </c>
      <c r="F5121" t="inlineStr">
        <is>
          <t>Holmen skog AB</t>
        </is>
      </c>
      <c r="G5121" t="n">
        <v>4.5</v>
      </c>
      <c r="H5121" t="n">
        <v>0</v>
      </c>
      <c r="I5121" t="n">
        <v>0</v>
      </c>
      <c r="J5121" t="n">
        <v>0</v>
      </c>
      <c r="K5121" t="n">
        <v>0</v>
      </c>
      <c r="L5121" t="n">
        <v>0</v>
      </c>
      <c r="M5121" t="n">
        <v>0</v>
      </c>
      <c r="N5121" t="n">
        <v>0</v>
      </c>
      <c r="O5121" t="n">
        <v>0</v>
      </c>
      <c r="P5121" t="n">
        <v>0</v>
      </c>
      <c r="Q5121" t="n">
        <v>0</v>
      </c>
      <c r="R5121" s="2" t="inlineStr"/>
    </row>
    <row r="5122" ht="15" customHeight="1">
      <c r="A5122" t="inlineStr">
        <is>
          <t>A 21085-2024</t>
        </is>
      </c>
      <c r="B5122" s="1" t="n">
        <v>45439</v>
      </c>
      <c r="C5122" s="1" t="n">
        <v>45883</v>
      </c>
      <c r="D5122" t="inlineStr">
        <is>
          <t>GÄVLEBORGS LÄN</t>
        </is>
      </c>
      <c r="E5122" t="inlineStr">
        <is>
          <t>NORDANSTIG</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23594-2025</t>
        </is>
      </c>
      <c r="B5123" s="1" t="n">
        <v>45792.64136574074</v>
      </c>
      <c r="C5123" s="1" t="n">
        <v>45883</v>
      </c>
      <c r="D5123" t="inlineStr">
        <is>
          <t>GÄVLEBORGS LÄN</t>
        </is>
      </c>
      <c r="E5123" t="inlineStr">
        <is>
          <t>LJUSDAL</t>
        </is>
      </c>
      <c r="F5123" t="inlineStr">
        <is>
          <t>Bergvik skog väst AB</t>
        </is>
      </c>
      <c r="G5123" t="n">
        <v>10.6</v>
      </c>
      <c r="H5123" t="n">
        <v>0</v>
      </c>
      <c r="I5123" t="n">
        <v>0</v>
      </c>
      <c r="J5123" t="n">
        <v>0</v>
      </c>
      <c r="K5123" t="n">
        <v>0</v>
      </c>
      <c r="L5123" t="n">
        <v>0</v>
      </c>
      <c r="M5123" t="n">
        <v>0</v>
      </c>
      <c r="N5123" t="n">
        <v>0</v>
      </c>
      <c r="O5123" t="n">
        <v>0</v>
      </c>
      <c r="P5123" t="n">
        <v>0</v>
      </c>
      <c r="Q5123" t="n">
        <v>0</v>
      </c>
      <c r="R5123" s="2" t="inlineStr"/>
    </row>
    <row r="5124" ht="15" customHeight="1">
      <c r="A5124" t="inlineStr">
        <is>
          <t>A 11406-2023</t>
        </is>
      </c>
      <c r="B5124" s="1" t="n">
        <v>44988</v>
      </c>
      <c r="C5124" s="1" t="n">
        <v>45883</v>
      </c>
      <c r="D5124" t="inlineStr">
        <is>
          <t>GÄVLEBORGS LÄN</t>
        </is>
      </c>
      <c r="E5124" t="inlineStr">
        <is>
          <t>SANDVIKEN</t>
        </is>
      </c>
      <c r="G5124" t="n">
        <v>4.4</v>
      </c>
      <c r="H5124" t="n">
        <v>0</v>
      </c>
      <c r="I5124" t="n">
        <v>0</v>
      </c>
      <c r="J5124" t="n">
        <v>0</v>
      </c>
      <c r="K5124" t="n">
        <v>0</v>
      </c>
      <c r="L5124" t="n">
        <v>0</v>
      </c>
      <c r="M5124" t="n">
        <v>0</v>
      </c>
      <c r="N5124" t="n">
        <v>0</v>
      </c>
      <c r="O5124" t="n">
        <v>0</v>
      </c>
      <c r="P5124" t="n">
        <v>0</v>
      </c>
      <c r="Q5124" t="n">
        <v>0</v>
      </c>
      <c r="R5124" s="2" t="inlineStr"/>
    </row>
    <row r="5125" ht="15" customHeight="1">
      <c r="A5125" t="inlineStr">
        <is>
          <t>A 39207-2023</t>
        </is>
      </c>
      <c r="B5125" s="1" t="n">
        <v>45166.41370370371</v>
      </c>
      <c r="C5125" s="1" t="n">
        <v>45883</v>
      </c>
      <c r="D5125" t="inlineStr">
        <is>
          <t>GÄVLEBORGS LÄN</t>
        </is>
      </c>
      <c r="E5125" t="inlineStr">
        <is>
          <t>NORDANSTIG</t>
        </is>
      </c>
      <c r="F5125" t="inlineStr">
        <is>
          <t>Holmen skog AB</t>
        </is>
      </c>
      <c r="G5125" t="n">
        <v>3.8</v>
      </c>
      <c r="H5125" t="n">
        <v>0</v>
      </c>
      <c r="I5125" t="n">
        <v>0</v>
      </c>
      <c r="J5125" t="n">
        <v>0</v>
      </c>
      <c r="K5125" t="n">
        <v>0</v>
      </c>
      <c r="L5125" t="n">
        <v>0</v>
      </c>
      <c r="M5125" t="n">
        <v>0</v>
      </c>
      <c r="N5125" t="n">
        <v>0</v>
      </c>
      <c r="O5125" t="n">
        <v>0</v>
      </c>
      <c r="P5125" t="n">
        <v>0</v>
      </c>
      <c r="Q5125" t="n">
        <v>0</v>
      </c>
      <c r="R5125" s="2" t="inlineStr"/>
    </row>
    <row r="5126" ht="15" customHeight="1">
      <c r="A5126" t="inlineStr">
        <is>
          <t>A 47974-2024</t>
        </is>
      </c>
      <c r="B5126" s="1" t="n">
        <v>45589.3999537037</v>
      </c>
      <c r="C5126" s="1" t="n">
        <v>45883</v>
      </c>
      <c r="D5126" t="inlineStr">
        <is>
          <t>GÄVLEBORGS LÄN</t>
        </is>
      </c>
      <c r="E5126" t="inlineStr">
        <is>
          <t>SANDVIKEN</t>
        </is>
      </c>
      <c r="F5126" t="inlineStr">
        <is>
          <t>Bergvik skog väst AB</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27302-2023</t>
        </is>
      </c>
      <c r="B5127" s="1" t="n">
        <v>45096</v>
      </c>
      <c r="C5127" s="1" t="n">
        <v>45883</v>
      </c>
      <c r="D5127" t="inlineStr">
        <is>
          <t>GÄVLEBORGS LÄN</t>
        </is>
      </c>
      <c r="E5127" t="inlineStr">
        <is>
          <t>HUDIKSVALL</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23541-2025</t>
        </is>
      </c>
      <c r="B5128" s="1" t="n">
        <v>45792.55434027778</v>
      </c>
      <c r="C5128" s="1" t="n">
        <v>45883</v>
      </c>
      <c r="D5128" t="inlineStr">
        <is>
          <t>GÄVLEBORGS LÄN</t>
        </is>
      </c>
      <c r="E5128" t="inlineStr">
        <is>
          <t>OCKELBO</t>
        </is>
      </c>
      <c r="F5128" t="inlineStr">
        <is>
          <t>Bergvik skog väst AB</t>
        </is>
      </c>
      <c r="G5128" t="n">
        <v>3</v>
      </c>
      <c r="H5128" t="n">
        <v>0</v>
      </c>
      <c r="I5128" t="n">
        <v>0</v>
      </c>
      <c r="J5128" t="n">
        <v>0</v>
      </c>
      <c r="K5128" t="n">
        <v>0</v>
      </c>
      <c r="L5128" t="n">
        <v>0</v>
      </c>
      <c r="M5128" t="n">
        <v>0</v>
      </c>
      <c r="N5128" t="n">
        <v>0</v>
      </c>
      <c r="O5128" t="n">
        <v>0</v>
      </c>
      <c r="P5128" t="n">
        <v>0</v>
      </c>
      <c r="Q5128" t="n">
        <v>0</v>
      </c>
      <c r="R5128" s="2" t="inlineStr"/>
    </row>
    <row r="5129" ht="15" customHeight="1">
      <c r="A5129" t="inlineStr">
        <is>
          <t>A 23575-2025</t>
        </is>
      </c>
      <c r="B5129" s="1" t="n">
        <v>45792.62024305556</v>
      </c>
      <c r="C5129" s="1" t="n">
        <v>45883</v>
      </c>
      <c r="D5129" t="inlineStr">
        <is>
          <t>GÄVLEBORGS LÄN</t>
        </is>
      </c>
      <c r="E5129" t="inlineStr">
        <is>
          <t>GÄVLE</t>
        </is>
      </c>
      <c r="F5129" t="inlineStr">
        <is>
          <t>Bergvik skog väst AB</t>
        </is>
      </c>
      <c r="G5129" t="n">
        <v>6.1</v>
      </c>
      <c r="H5129" t="n">
        <v>0</v>
      </c>
      <c r="I5129" t="n">
        <v>0</v>
      </c>
      <c r="J5129" t="n">
        <v>0</v>
      </c>
      <c r="K5129" t="n">
        <v>0</v>
      </c>
      <c r="L5129" t="n">
        <v>0</v>
      </c>
      <c r="M5129" t="n">
        <v>0</v>
      </c>
      <c r="N5129" t="n">
        <v>0</v>
      </c>
      <c r="O5129" t="n">
        <v>0</v>
      </c>
      <c r="P5129" t="n">
        <v>0</v>
      </c>
      <c r="Q5129" t="n">
        <v>0</v>
      </c>
      <c r="R5129" s="2" t="inlineStr"/>
    </row>
    <row r="5130" ht="15" customHeight="1">
      <c r="A5130" t="inlineStr">
        <is>
          <t>A 56728-2024</t>
        </is>
      </c>
      <c r="B5130" s="1" t="n">
        <v>45628.35456018519</v>
      </c>
      <c r="C5130" s="1" t="n">
        <v>45883</v>
      </c>
      <c r="D5130" t="inlineStr">
        <is>
          <t>GÄVLEBORGS LÄN</t>
        </is>
      </c>
      <c r="E5130" t="inlineStr">
        <is>
          <t>GÄVLE</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56733-2024</t>
        </is>
      </c>
      <c r="B5131" s="1" t="n">
        <v>45628.36013888889</v>
      </c>
      <c r="C5131" s="1" t="n">
        <v>45883</v>
      </c>
      <c r="D5131" t="inlineStr">
        <is>
          <t>GÄVLEBORGS LÄN</t>
        </is>
      </c>
      <c r="E5131" t="inlineStr">
        <is>
          <t>NORDANSTIG</t>
        </is>
      </c>
      <c r="F5131" t="inlineStr">
        <is>
          <t>Holmen skog AB</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54977-2024</t>
        </is>
      </c>
      <c r="B5132" s="1" t="n">
        <v>45620.68857638889</v>
      </c>
      <c r="C5132" s="1" t="n">
        <v>45883</v>
      </c>
      <c r="D5132" t="inlineStr">
        <is>
          <t>GÄVLEBORGS LÄN</t>
        </is>
      </c>
      <c r="E5132" t="inlineStr">
        <is>
          <t>OCKELBO</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23477-2025</t>
        </is>
      </c>
      <c r="B5133" s="1" t="n">
        <v>45792.45667824074</v>
      </c>
      <c r="C5133" s="1" t="n">
        <v>45883</v>
      </c>
      <c r="D5133" t="inlineStr">
        <is>
          <t>GÄVLEBORGS LÄN</t>
        </is>
      </c>
      <c r="E5133" t="inlineStr">
        <is>
          <t>LJUSDAL</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23481-2025</t>
        </is>
      </c>
      <c r="B5134" s="1" t="n">
        <v>45792.45871527777</v>
      </c>
      <c r="C5134" s="1" t="n">
        <v>45883</v>
      </c>
      <c r="D5134" t="inlineStr">
        <is>
          <t>GÄVLEBORGS LÄN</t>
        </is>
      </c>
      <c r="E5134" t="inlineStr">
        <is>
          <t>BOLLNÄS</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39526-2023</t>
        </is>
      </c>
      <c r="B5135" s="1" t="n">
        <v>45167.33568287037</v>
      </c>
      <c r="C5135" s="1" t="n">
        <v>45883</v>
      </c>
      <c r="D5135" t="inlineStr">
        <is>
          <t>GÄVLEBORGS LÄN</t>
        </is>
      </c>
      <c r="E5135" t="inlineStr">
        <is>
          <t>LJUSDAL</t>
        </is>
      </c>
      <c r="G5135" t="n">
        <v>6.1</v>
      </c>
      <c r="H5135" t="n">
        <v>0</v>
      </c>
      <c r="I5135" t="n">
        <v>0</v>
      </c>
      <c r="J5135" t="n">
        <v>0</v>
      </c>
      <c r="K5135" t="n">
        <v>0</v>
      </c>
      <c r="L5135" t="n">
        <v>0</v>
      </c>
      <c r="M5135" t="n">
        <v>0</v>
      </c>
      <c r="N5135" t="n">
        <v>0</v>
      </c>
      <c r="O5135" t="n">
        <v>0</v>
      </c>
      <c r="P5135" t="n">
        <v>0</v>
      </c>
      <c r="Q5135" t="n">
        <v>0</v>
      </c>
      <c r="R5135" s="2" t="inlineStr"/>
    </row>
    <row r="5136" ht="15" customHeight="1">
      <c r="A5136" t="inlineStr">
        <is>
          <t>A 23497-2025</t>
        </is>
      </c>
      <c r="B5136" s="1" t="n">
        <v>45792.47788194445</v>
      </c>
      <c r="C5136" s="1" t="n">
        <v>45883</v>
      </c>
      <c r="D5136" t="inlineStr">
        <is>
          <t>GÄVLEBORGS LÄN</t>
        </is>
      </c>
      <c r="E5136" t="inlineStr">
        <is>
          <t>SANDVIKEN</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27467-2024</t>
        </is>
      </c>
      <c r="B5137" s="1" t="n">
        <v>45474.45664351852</v>
      </c>
      <c r="C5137" s="1" t="n">
        <v>45883</v>
      </c>
      <c r="D5137" t="inlineStr">
        <is>
          <t>GÄVLEBORGS LÄN</t>
        </is>
      </c>
      <c r="E5137" t="inlineStr">
        <is>
          <t>HUDIKSVALL</t>
        </is>
      </c>
      <c r="F5137" t="inlineStr">
        <is>
          <t>Holmen skog AB</t>
        </is>
      </c>
      <c r="G5137" t="n">
        <v>8.6</v>
      </c>
      <c r="H5137" t="n">
        <v>0</v>
      </c>
      <c r="I5137" t="n">
        <v>0</v>
      </c>
      <c r="J5137" t="n">
        <v>0</v>
      </c>
      <c r="K5137" t="n">
        <v>0</v>
      </c>
      <c r="L5137" t="n">
        <v>0</v>
      </c>
      <c r="M5137" t="n">
        <v>0</v>
      </c>
      <c r="N5137" t="n">
        <v>0</v>
      </c>
      <c r="O5137" t="n">
        <v>0</v>
      </c>
      <c r="P5137" t="n">
        <v>0</v>
      </c>
      <c r="Q5137" t="n">
        <v>0</v>
      </c>
      <c r="R5137" s="2" t="inlineStr"/>
    </row>
    <row r="5138" ht="15" customHeight="1">
      <c r="A5138" t="inlineStr">
        <is>
          <t>A 27482-2024</t>
        </is>
      </c>
      <c r="B5138" s="1" t="n">
        <v>45474.47489583334</v>
      </c>
      <c r="C5138" s="1" t="n">
        <v>45883</v>
      </c>
      <c r="D5138" t="inlineStr">
        <is>
          <t>GÄVLEBORGS LÄN</t>
        </is>
      </c>
      <c r="E5138" t="inlineStr">
        <is>
          <t>BOLLNÄS</t>
        </is>
      </c>
      <c r="G5138" t="n">
        <v>5.2</v>
      </c>
      <c r="H5138" t="n">
        <v>0</v>
      </c>
      <c r="I5138" t="n">
        <v>0</v>
      </c>
      <c r="J5138" t="n">
        <v>0</v>
      </c>
      <c r="K5138" t="n">
        <v>0</v>
      </c>
      <c r="L5138" t="n">
        <v>0</v>
      </c>
      <c r="M5138" t="n">
        <v>0</v>
      </c>
      <c r="N5138" t="n">
        <v>0</v>
      </c>
      <c r="O5138" t="n">
        <v>0</v>
      </c>
      <c r="P5138" t="n">
        <v>0</v>
      </c>
      <c r="Q5138" t="n">
        <v>0</v>
      </c>
      <c r="R5138" s="2" t="inlineStr"/>
    </row>
    <row r="5139" ht="15" customHeight="1">
      <c r="A5139" t="inlineStr">
        <is>
          <t>A 23332-2025</t>
        </is>
      </c>
      <c r="B5139" s="1" t="n">
        <v>45791.64822916667</v>
      </c>
      <c r="C5139" s="1" t="n">
        <v>45883</v>
      </c>
      <c r="D5139" t="inlineStr">
        <is>
          <t>GÄVLEBORGS LÄN</t>
        </is>
      </c>
      <c r="E5139" t="inlineStr">
        <is>
          <t>SÖDERHAMN</t>
        </is>
      </c>
      <c r="F5139" t="inlineStr">
        <is>
          <t>Bergvik skog väst AB</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23340-2025</t>
        </is>
      </c>
      <c r="B5140" s="1" t="n">
        <v>45791.65630787037</v>
      </c>
      <c r="C5140" s="1" t="n">
        <v>45883</v>
      </c>
      <c r="D5140" t="inlineStr">
        <is>
          <t>GÄVLEBORGS LÄN</t>
        </is>
      </c>
      <c r="E5140" t="inlineStr">
        <is>
          <t>LJUSDAL</t>
        </is>
      </c>
      <c r="F5140" t="inlineStr">
        <is>
          <t>Bergvik skog väst AB</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23316-2025</t>
        </is>
      </c>
      <c r="B5141" s="1" t="n">
        <v>45791.61199074074</v>
      </c>
      <c r="C5141" s="1" t="n">
        <v>45883</v>
      </c>
      <c r="D5141" t="inlineStr">
        <is>
          <t>GÄVLEBORGS LÄN</t>
        </is>
      </c>
      <c r="E5141" t="inlineStr">
        <is>
          <t>OCKELBO</t>
        </is>
      </c>
      <c r="F5141" t="inlineStr">
        <is>
          <t>Bergvik skog väst AB</t>
        </is>
      </c>
      <c r="G5141" t="n">
        <v>4.9</v>
      </c>
      <c r="H5141" t="n">
        <v>0</v>
      </c>
      <c r="I5141" t="n">
        <v>0</v>
      </c>
      <c r="J5141" t="n">
        <v>0</v>
      </c>
      <c r="K5141" t="n">
        <v>0</v>
      </c>
      <c r="L5141" t="n">
        <v>0</v>
      </c>
      <c r="M5141" t="n">
        <v>0</v>
      </c>
      <c r="N5141" t="n">
        <v>0</v>
      </c>
      <c r="O5141" t="n">
        <v>0</v>
      </c>
      <c r="P5141" t="n">
        <v>0</v>
      </c>
      <c r="Q5141" t="n">
        <v>0</v>
      </c>
      <c r="R5141" s="2" t="inlineStr"/>
    </row>
    <row r="5142" ht="15" customHeight="1">
      <c r="A5142" t="inlineStr">
        <is>
          <t>A 23140-2025</t>
        </is>
      </c>
      <c r="B5142" s="1" t="n">
        <v>45791.3959375</v>
      </c>
      <c r="C5142" s="1" t="n">
        <v>45883</v>
      </c>
      <c r="D5142" t="inlineStr">
        <is>
          <t>GÄVLEBORGS LÄN</t>
        </is>
      </c>
      <c r="E5142" t="inlineStr">
        <is>
          <t>OVANÅKER</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23154-2025</t>
        </is>
      </c>
      <c r="B5143" s="1" t="n">
        <v>45791</v>
      </c>
      <c r="C5143" s="1" t="n">
        <v>45883</v>
      </c>
      <c r="D5143" t="inlineStr">
        <is>
          <t>GÄVLEBORGS LÄN</t>
        </is>
      </c>
      <c r="E5143" t="inlineStr">
        <is>
          <t>NORDANSTIG</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23167-2025</t>
        </is>
      </c>
      <c r="B5144" s="1" t="n">
        <v>45791.42684027777</v>
      </c>
      <c r="C5144" s="1" t="n">
        <v>45883</v>
      </c>
      <c r="D5144" t="inlineStr">
        <is>
          <t>GÄVLEBORGS LÄN</t>
        </is>
      </c>
      <c r="E5144" t="inlineStr">
        <is>
          <t>OVANÅKER</t>
        </is>
      </c>
      <c r="F5144" t="inlineStr">
        <is>
          <t>Bergvik skog väst AB</t>
        </is>
      </c>
      <c r="G5144" t="n">
        <v>4.7</v>
      </c>
      <c r="H5144" t="n">
        <v>0</v>
      </c>
      <c r="I5144" t="n">
        <v>0</v>
      </c>
      <c r="J5144" t="n">
        <v>0</v>
      </c>
      <c r="K5144" t="n">
        <v>0</v>
      </c>
      <c r="L5144" t="n">
        <v>0</v>
      </c>
      <c r="M5144" t="n">
        <v>0</v>
      </c>
      <c r="N5144" t="n">
        <v>0</v>
      </c>
      <c r="O5144" t="n">
        <v>0</v>
      </c>
      <c r="P5144" t="n">
        <v>0</v>
      </c>
      <c r="Q5144" t="n">
        <v>0</v>
      </c>
      <c r="R5144" s="2" t="inlineStr"/>
    </row>
    <row r="5145" ht="15" customHeight="1">
      <c r="A5145" t="inlineStr">
        <is>
          <t>A 52788-2024</t>
        </is>
      </c>
      <c r="B5145" s="1" t="n">
        <v>45610.55405092592</v>
      </c>
      <c r="C5145" s="1" t="n">
        <v>45883</v>
      </c>
      <c r="D5145" t="inlineStr">
        <is>
          <t>GÄVLEBORGS LÄN</t>
        </is>
      </c>
      <c r="E5145" t="inlineStr">
        <is>
          <t>NORDANSTIG</t>
        </is>
      </c>
      <c r="F5145" t="inlineStr">
        <is>
          <t>Holmen skog AB</t>
        </is>
      </c>
      <c r="G5145" t="n">
        <v>4.3</v>
      </c>
      <c r="H5145" t="n">
        <v>0</v>
      </c>
      <c r="I5145" t="n">
        <v>0</v>
      </c>
      <c r="J5145" t="n">
        <v>0</v>
      </c>
      <c r="K5145" t="n">
        <v>0</v>
      </c>
      <c r="L5145" t="n">
        <v>0</v>
      </c>
      <c r="M5145" t="n">
        <v>0</v>
      </c>
      <c r="N5145" t="n">
        <v>0</v>
      </c>
      <c r="O5145" t="n">
        <v>0</v>
      </c>
      <c r="P5145" t="n">
        <v>0</v>
      </c>
      <c r="Q5145" t="n">
        <v>0</v>
      </c>
      <c r="R5145" s="2" t="inlineStr"/>
    </row>
    <row r="5146" ht="15" customHeight="1">
      <c r="A5146" t="inlineStr">
        <is>
          <t>A 52874-2024</t>
        </is>
      </c>
      <c r="B5146" s="1" t="n">
        <v>45610.63042824074</v>
      </c>
      <c r="C5146" s="1" t="n">
        <v>45883</v>
      </c>
      <c r="D5146" t="inlineStr">
        <is>
          <t>GÄVLEBORGS LÄN</t>
        </is>
      </c>
      <c r="E5146" t="inlineStr">
        <is>
          <t>BOLLNÄS</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5916-2021</t>
        </is>
      </c>
      <c r="B5147" s="1" t="n">
        <v>44231.55166666667</v>
      </c>
      <c r="C5147" s="1" t="n">
        <v>45883</v>
      </c>
      <c r="D5147" t="inlineStr">
        <is>
          <t>GÄVLEBORGS LÄN</t>
        </is>
      </c>
      <c r="E5147" t="inlineStr">
        <is>
          <t>NORDANSTIG</t>
        </is>
      </c>
      <c r="F5147" t="inlineStr">
        <is>
          <t>Holmen skog AB</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23595-2025</t>
        </is>
      </c>
      <c r="B5148" s="1" t="n">
        <v>45792.64585648148</v>
      </c>
      <c r="C5148" s="1" t="n">
        <v>45883</v>
      </c>
      <c r="D5148" t="inlineStr">
        <is>
          <t>GÄVLEBORGS LÄN</t>
        </is>
      </c>
      <c r="E5148" t="inlineStr">
        <is>
          <t>LJUSDAL</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23599-2025</t>
        </is>
      </c>
      <c r="B5149" s="1" t="n">
        <v>45792.6493287037</v>
      </c>
      <c r="C5149" s="1" t="n">
        <v>45883</v>
      </c>
      <c r="D5149" t="inlineStr">
        <is>
          <t>GÄVLEBORGS LÄN</t>
        </is>
      </c>
      <c r="E5149" t="inlineStr">
        <is>
          <t>SÖDERHAMN</t>
        </is>
      </c>
      <c r="F5149" t="inlineStr">
        <is>
          <t>Bergvik skog väst AB</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20137-2023</t>
        </is>
      </c>
      <c r="B5150" s="1" t="n">
        <v>45055</v>
      </c>
      <c r="C5150" s="1" t="n">
        <v>45883</v>
      </c>
      <c r="D5150" t="inlineStr">
        <is>
          <t>GÄVLEBORGS LÄN</t>
        </is>
      </c>
      <c r="E5150" t="inlineStr">
        <is>
          <t>NORDANSTIG</t>
        </is>
      </c>
      <c r="G5150" t="n">
        <v>3.4</v>
      </c>
      <c r="H5150" t="n">
        <v>0</v>
      </c>
      <c r="I5150" t="n">
        <v>0</v>
      </c>
      <c r="J5150" t="n">
        <v>0</v>
      </c>
      <c r="K5150" t="n">
        <v>0</v>
      </c>
      <c r="L5150" t="n">
        <v>0</v>
      </c>
      <c r="M5150" t="n">
        <v>0</v>
      </c>
      <c r="N5150" t="n">
        <v>0</v>
      </c>
      <c r="O5150" t="n">
        <v>0</v>
      </c>
      <c r="P5150" t="n">
        <v>0</v>
      </c>
      <c r="Q5150" t="n">
        <v>0</v>
      </c>
      <c r="R5150" s="2" t="inlineStr"/>
    </row>
    <row r="5151" ht="15" customHeight="1">
      <c r="A5151" t="inlineStr">
        <is>
          <t>A 35154-2023</t>
        </is>
      </c>
      <c r="B5151" s="1" t="n">
        <v>45145</v>
      </c>
      <c r="C5151" s="1" t="n">
        <v>45883</v>
      </c>
      <c r="D5151" t="inlineStr">
        <is>
          <t>GÄVLEBORGS LÄN</t>
        </is>
      </c>
      <c r="E5151" t="inlineStr">
        <is>
          <t>LJUSDAL</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19568-2024</t>
        </is>
      </c>
      <c r="B5152" s="1" t="n">
        <v>45429.92326388889</v>
      </c>
      <c r="C5152" s="1" t="n">
        <v>45883</v>
      </c>
      <c r="D5152" t="inlineStr">
        <is>
          <t>GÄVLEBORGS LÄN</t>
        </is>
      </c>
      <c r="E5152" t="inlineStr">
        <is>
          <t>NORDANSTIG</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52181-2024</t>
        </is>
      </c>
      <c r="B5153" s="1" t="n">
        <v>45608.56155092592</v>
      </c>
      <c r="C5153" s="1" t="n">
        <v>45883</v>
      </c>
      <c r="D5153" t="inlineStr">
        <is>
          <t>GÄVLEBORGS LÄN</t>
        </is>
      </c>
      <c r="E5153" t="inlineStr">
        <is>
          <t>BOLLNÄS</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23189-2025</t>
        </is>
      </c>
      <c r="B5154" s="1" t="n">
        <v>45791.44717592592</v>
      </c>
      <c r="C5154" s="1" t="n">
        <v>45883</v>
      </c>
      <c r="D5154" t="inlineStr">
        <is>
          <t>GÄVLEBORGS LÄN</t>
        </is>
      </c>
      <c r="E5154" t="inlineStr">
        <is>
          <t>SÖDERHAMN</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53156-2024</t>
        </is>
      </c>
      <c r="B5155" s="1" t="n">
        <v>45611.63006944444</v>
      </c>
      <c r="C5155" s="1" t="n">
        <v>45883</v>
      </c>
      <c r="D5155" t="inlineStr">
        <is>
          <t>GÄVLEBORGS LÄN</t>
        </is>
      </c>
      <c r="E5155" t="inlineStr">
        <is>
          <t>HUDIKSVALL</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43499-2024</t>
        </is>
      </c>
      <c r="B5156" s="1" t="n">
        <v>45569.29876157407</v>
      </c>
      <c r="C5156" s="1" t="n">
        <v>45883</v>
      </c>
      <c r="D5156" t="inlineStr">
        <is>
          <t>GÄVLEBORGS LÄN</t>
        </is>
      </c>
      <c r="E5156" t="inlineStr">
        <is>
          <t>LJUSDAL</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13270-2022</t>
        </is>
      </c>
      <c r="B5157" s="1" t="n">
        <v>44644.71585648148</v>
      </c>
      <c r="C5157" s="1" t="n">
        <v>45883</v>
      </c>
      <c r="D5157" t="inlineStr">
        <is>
          <t>GÄVLEBORGS LÄN</t>
        </is>
      </c>
      <c r="E5157" t="inlineStr">
        <is>
          <t>NORDANSTIG</t>
        </is>
      </c>
      <c r="G5157" t="n">
        <v>9</v>
      </c>
      <c r="H5157" t="n">
        <v>0</v>
      </c>
      <c r="I5157" t="n">
        <v>0</v>
      </c>
      <c r="J5157" t="n">
        <v>0</v>
      </c>
      <c r="K5157" t="n">
        <v>0</v>
      </c>
      <c r="L5157" t="n">
        <v>0</v>
      </c>
      <c r="M5157" t="n">
        <v>0</v>
      </c>
      <c r="N5157" t="n">
        <v>0</v>
      </c>
      <c r="O5157" t="n">
        <v>0</v>
      </c>
      <c r="P5157" t="n">
        <v>0</v>
      </c>
      <c r="Q5157" t="n">
        <v>0</v>
      </c>
      <c r="R5157" s="2" t="inlineStr"/>
    </row>
    <row r="5158" ht="15" customHeight="1">
      <c r="A5158" t="inlineStr">
        <is>
          <t>A 23217-2025</t>
        </is>
      </c>
      <c r="B5158" s="1" t="n">
        <v>45791.47516203704</v>
      </c>
      <c r="C5158" s="1" t="n">
        <v>45883</v>
      </c>
      <c r="D5158" t="inlineStr">
        <is>
          <t>GÄVLEBORGS LÄN</t>
        </is>
      </c>
      <c r="E5158" t="inlineStr">
        <is>
          <t>OVANÅKER</t>
        </is>
      </c>
      <c r="F5158" t="inlineStr">
        <is>
          <t>Bergvik skog väst AB</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23350-2025</t>
        </is>
      </c>
      <c r="B5159" s="1" t="n">
        <v>45791.660625</v>
      </c>
      <c r="C5159" s="1" t="n">
        <v>45883</v>
      </c>
      <c r="D5159" t="inlineStr">
        <is>
          <t>GÄVLEBORGS LÄN</t>
        </is>
      </c>
      <c r="E5159" t="inlineStr">
        <is>
          <t>LJUSDAL</t>
        </is>
      </c>
      <c r="F5159" t="inlineStr">
        <is>
          <t>Bergvik skog väst AB</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23420-2025</t>
        </is>
      </c>
      <c r="B5160" s="1" t="n">
        <v>45792.35361111111</v>
      </c>
      <c r="C5160" s="1" t="n">
        <v>45883</v>
      </c>
      <c r="D5160" t="inlineStr">
        <is>
          <t>GÄVLEBORGS LÄN</t>
        </is>
      </c>
      <c r="E5160" t="inlineStr">
        <is>
          <t>BOLLNÄS</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54803-2023</t>
        </is>
      </c>
      <c r="B5161" s="1" t="n">
        <v>45236</v>
      </c>
      <c r="C5161" s="1" t="n">
        <v>45883</v>
      </c>
      <c r="D5161" t="inlineStr">
        <is>
          <t>GÄVLEBORGS LÄN</t>
        </is>
      </c>
      <c r="E5161" t="inlineStr">
        <is>
          <t>NORDANSTIG</t>
        </is>
      </c>
      <c r="F5161" t="inlineStr">
        <is>
          <t>Holmen skog AB</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57977-2024</t>
        </is>
      </c>
      <c r="B5162" s="1" t="n">
        <v>45631.60908564815</v>
      </c>
      <c r="C5162" s="1" t="n">
        <v>45883</v>
      </c>
      <c r="D5162" t="inlineStr">
        <is>
          <t>GÄVLEBORGS LÄN</t>
        </is>
      </c>
      <c r="E5162" t="inlineStr">
        <is>
          <t>NORDANSTIG</t>
        </is>
      </c>
      <c r="F5162" t="inlineStr">
        <is>
          <t>Holmen skog AB</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58005-2024</t>
        </is>
      </c>
      <c r="B5163" s="1" t="n">
        <v>45631.6459837963</v>
      </c>
      <c r="C5163" s="1" t="n">
        <v>45883</v>
      </c>
      <c r="D5163" t="inlineStr">
        <is>
          <t>GÄVLEBORGS LÄN</t>
        </is>
      </c>
      <c r="E5163" t="inlineStr">
        <is>
          <t>HUDIKSVALL</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13039-2023</t>
        </is>
      </c>
      <c r="B5164" s="1" t="n">
        <v>45002.35984953704</v>
      </c>
      <c r="C5164" s="1" t="n">
        <v>45883</v>
      </c>
      <c r="D5164" t="inlineStr">
        <is>
          <t>GÄVLEBORGS LÄN</t>
        </is>
      </c>
      <c r="E5164" t="inlineStr">
        <is>
          <t>HUDIKSVALL</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10482-2024</t>
        </is>
      </c>
      <c r="B5165" s="1" t="n">
        <v>45366</v>
      </c>
      <c r="C5165" s="1" t="n">
        <v>45883</v>
      </c>
      <c r="D5165" t="inlineStr">
        <is>
          <t>GÄVLEBORGS LÄN</t>
        </is>
      </c>
      <c r="E5165" t="inlineStr">
        <is>
          <t>BOLLNÄS</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23476-2025</t>
        </is>
      </c>
      <c r="B5166" s="1" t="n">
        <v>45792.45457175926</v>
      </c>
      <c r="C5166" s="1" t="n">
        <v>45883</v>
      </c>
      <c r="D5166" t="inlineStr">
        <is>
          <t>GÄVLEBORGS LÄN</t>
        </is>
      </c>
      <c r="E5166" t="inlineStr">
        <is>
          <t>BOLLNÄS</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25630-2022</t>
        </is>
      </c>
      <c r="B5167" s="1" t="n">
        <v>44732.92739583334</v>
      </c>
      <c r="C5167" s="1" t="n">
        <v>45883</v>
      </c>
      <c r="D5167" t="inlineStr">
        <is>
          <t>GÄVLEBORGS LÄN</t>
        </is>
      </c>
      <c r="E5167" t="inlineStr">
        <is>
          <t>LJUSDAL</t>
        </is>
      </c>
      <c r="G5167" t="n">
        <v>4.2</v>
      </c>
      <c r="H5167" t="n">
        <v>0</v>
      </c>
      <c r="I5167" t="n">
        <v>0</v>
      </c>
      <c r="J5167" t="n">
        <v>0</v>
      </c>
      <c r="K5167" t="n">
        <v>0</v>
      </c>
      <c r="L5167" t="n">
        <v>0</v>
      </c>
      <c r="M5167" t="n">
        <v>0</v>
      </c>
      <c r="N5167" t="n">
        <v>0</v>
      </c>
      <c r="O5167" t="n">
        <v>0</v>
      </c>
      <c r="P5167" t="n">
        <v>0</v>
      </c>
      <c r="Q5167" t="n">
        <v>0</v>
      </c>
      <c r="R5167" s="2" t="inlineStr"/>
    </row>
    <row r="5168" ht="15" customHeight="1">
      <c r="A5168" t="inlineStr">
        <is>
          <t>A 20717-2024</t>
        </is>
      </c>
      <c r="B5168" s="1" t="n">
        <v>45436.6455324074</v>
      </c>
      <c r="C5168" s="1" t="n">
        <v>45883</v>
      </c>
      <c r="D5168" t="inlineStr">
        <is>
          <t>GÄVLEBORGS LÄN</t>
        </is>
      </c>
      <c r="E5168" t="inlineStr">
        <is>
          <t>SÖDERHAMN</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63632-2023</t>
        </is>
      </c>
      <c r="B5169" s="1" t="n">
        <v>45275.56056712963</v>
      </c>
      <c r="C5169" s="1" t="n">
        <v>45883</v>
      </c>
      <c r="D5169" t="inlineStr">
        <is>
          <t>GÄVLEBORGS LÄN</t>
        </is>
      </c>
      <c r="E5169" t="inlineStr">
        <is>
          <t>SÖDERHAMN</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31529-2025</t>
        </is>
      </c>
      <c r="B5170" s="1" t="n">
        <v>45833.61640046296</v>
      </c>
      <c r="C5170" s="1" t="n">
        <v>45883</v>
      </c>
      <c r="D5170" t="inlineStr">
        <is>
          <t>GÄVLEBORGS LÄN</t>
        </is>
      </c>
      <c r="E5170" t="inlineStr">
        <is>
          <t>LJUSDAL</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21821-2025</t>
        </is>
      </c>
      <c r="B5171" s="1" t="n">
        <v>45783.79831018519</v>
      </c>
      <c r="C5171" s="1" t="n">
        <v>45883</v>
      </c>
      <c r="D5171" t="inlineStr">
        <is>
          <t>GÄVLEBORGS LÄN</t>
        </is>
      </c>
      <c r="E5171" t="inlineStr">
        <is>
          <t>HUDIKSVALL</t>
        </is>
      </c>
      <c r="F5171" t="inlineStr">
        <is>
          <t>Holmen skog AB</t>
        </is>
      </c>
      <c r="G5171" t="n">
        <v>44.8</v>
      </c>
      <c r="H5171" t="n">
        <v>0</v>
      </c>
      <c r="I5171" t="n">
        <v>0</v>
      </c>
      <c r="J5171" t="n">
        <v>0</v>
      </c>
      <c r="K5171" t="n">
        <v>0</v>
      </c>
      <c r="L5171" t="n">
        <v>0</v>
      </c>
      <c r="M5171" t="n">
        <v>0</v>
      </c>
      <c r="N5171" t="n">
        <v>0</v>
      </c>
      <c r="O5171" t="n">
        <v>0</v>
      </c>
      <c r="P5171" t="n">
        <v>0</v>
      </c>
      <c r="Q5171" t="n">
        <v>0</v>
      </c>
      <c r="R5171" s="2" t="inlineStr"/>
    </row>
    <row r="5172" ht="15" customHeight="1">
      <c r="A5172" t="inlineStr">
        <is>
          <t>A 62255-2022</t>
        </is>
      </c>
      <c r="B5172" s="1" t="n">
        <v>44922</v>
      </c>
      <c r="C5172" s="1" t="n">
        <v>45883</v>
      </c>
      <c r="D5172" t="inlineStr">
        <is>
          <t>GÄVLEBORGS LÄN</t>
        </is>
      </c>
      <c r="E5172" t="inlineStr">
        <is>
          <t>GÄVLE</t>
        </is>
      </c>
      <c r="G5172" t="n">
        <v>0.4</v>
      </c>
      <c r="H5172" t="n">
        <v>0</v>
      </c>
      <c r="I5172" t="n">
        <v>0</v>
      </c>
      <c r="J5172" t="n">
        <v>0</v>
      </c>
      <c r="K5172" t="n">
        <v>0</v>
      </c>
      <c r="L5172" t="n">
        <v>0</v>
      </c>
      <c r="M5172" t="n">
        <v>0</v>
      </c>
      <c r="N5172" t="n">
        <v>0</v>
      </c>
      <c r="O5172" t="n">
        <v>0</v>
      </c>
      <c r="P5172" t="n">
        <v>0</v>
      </c>
      <c r="Q5172" t="n">
        <v>0</v>
      </c>
      <c r="R5172" s="2" t="inlineStr"/>
    </row>
    <row r="5173" ht="15" customHeight="1">
      <c r="A5173" t="inlineStr">
        <is>
          <t>A 8519-2025</t>
        </is>
      </c>
      <c r="B5173" s="1" t="n">
        <v>45709.55436342592</v>
      </c>
      <c r="C5173" s="1" t="n">
        <v>45883</v>
      </c>
      <c r="D5173" t="inlineStr">
        <is>
          <t>GÄVLEBORGS LÄN</t>
        </is>
      </c>
      <c r="E5173" t="inlineStr">
        <is>
          <t>BOLLNÄS</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3077-2025</t>
        </is>
      </c>
      <c r="B5174" s="1" t="n">
        <v>45678.64303240741</v>
      </c>
      <c r="C5174" s="1" t="n">
        <v>45883</v>
      </c>
      <c r="D5174" t="inlineStr">
        <is>
          <t>GÄVLEBORGS LÄN</t>
        </is>
      </c>
      <c r="E5174" t="inlineStr">
        <is>
          <t>HUDIKSVALL</t>
        </is>
      </c>
      <c r="G5174" t="n">
        <v>4.9</v>
      </c>
      <c r="H5174" t="n">
        <v>0</v>
      </c>
      <c r="I5174" t="n">
        <v>0</v>
      </c>
      <c r="J5174" t="n">
        <v>0</v>
      </c>
      <c r="K5174" t="n">
        <v>0</v>
      </c>
      <c r="L5174" t="n">
        <v>0</v>
      </c>
      <c r="M5174" t="n">
        <v>0</v>
      </c>
      <c r="N5174" t="n">
        <v>0</v>
      </c>
      <c r="O5174" t="n">
        <v>0</v>
      </c>
      <c r="P5174" t="n">
        <v>0</v>
      </c>
      <c r="Q5174" t="n">
        <v>0</v>
      </c>
      <c r="R5174" s="2" t="inlineStr"/>
    </row>
    <row r="5175" ht="15" customHeight="1">
      <c r="A5175" t="inlineStr">
        <is>
          <t>A 55941-2024</t>
        </is>
      </c>
      <c r="B5175" s="1" t="n">
        <v>45623.61159722223</v>
      </c>
      <c r="C5175" s="1" t="n">
        <v>45883</v>
      </c>
      <c r="D5175" t="inlineStr">
        <is>
          <t>GÄVLEBORGS LÄN</t>
        </is>
      </c>
      <c r="E5175" t="inlineStr">
        <is>
          <t>BOLLNÄS</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23207-2025</t>
        </is>
      </c>
      <c r="B5176" s="1" t="n">
        <v>45791.46790509259</v>
      </c>
      <c r="C5176" s="1" t="n">
        <v>45883</v>
      </c>
      <c r="D5176" t="inlineStr">
        <is>
          <t>GÄVLEBORGS LÄN</t>
        </is>
      </c>
      <c r="E5176" t="inlineStr">
        <is>
          <t>NORDANSTIG</t>
        </is>
      </c>
      <c r="F5176" t="inlineStr">
        <is>
          <t>Holmen skog AB</t>
        </is>
      </c>
      <c r="G5176" t="n">
        <v>13.8</v>
      </c>
      <c r="H5176" t="n">
        <v>0</v>
      </c>
      <c r="I5176" t="n">
        <v>0</v>
      </c>
      <c r="J5176" t="n">
        <v>0</v>
      </c>
      <c r="K5176" t="n">
        <v>0</v>
      </c>
      <c r="L5176" t="n">
        <v>0</v>
      </c>
      <c r="M5176" t="n">
        <v>0</v>
      </c>
      <c r="N5176" t="n">
        <v>0</v>
      </c>
      <c r="O5176" t="n">
        <v>0</v>
      </c>
      <c r="P5176" t="n">
        <v>0</v>
      </c>
      <c r="Q5176" t="n">
        <v>0</v>
      </c>
      <c r="R5176" s="2" t="inlineStr"/>
    </row>
    <row r="5177" ht="15" customHeight="1">
      <c r="A5177" t="inlineStr">
        <is>
          <t>A 1143-2025</t>
        </is>
      </c>
      <c r="B5177" s="1" t="n">
        <v>45666.7081712963</v>
      </c>
      <c r="C5177" s="1" t="n">
        <v>45883</v>
      </c>
      <c r="D5177" t="inlineStr">
        <is>
          <t>GÄVLEBORGS LÄN</t>
        </is>
      </c>
      <c r="E5177" t="inlineStr">
        <is>
          <t>OCKELBO</t>
        </is>
      </c>
      <c r="G5177" t="n">
        <v>3.5</v>
      </c>
      <c r="H5177" t="n">
        <v>0</v>
      </c>
      <c r="I5177" t="n">
        <v>0</v>
      </c>
      <c r="J5177" t="n">
        <v>0</v>
      </c>
      <c r="K5177" t="n">
        <v>0</v>
      </c>
      <c r="L5177" t="n">
        <v>0</v>
      </c>
      <c r="M5177" t="n">
        <v>0</v>
      </c>
      <c r="N5177" t="n">
        <v>0</v>
      </c>
      <c r="O5177" t="n">
        <v>0</v>
      </c>
      <c r="P5177" t="n">
        <v>0</v>
      </c>
      <c r="Q5177" t="n">
        <v>0</v>
      </c>
      <c r="R5177" s="2" t="inlineStr"/>
    </row>
    <row r="5178" ht="15" customHeight="1">
      <c r="A5178" t="inlineStr">
        <is>
          <t>A 20689-2025</t>
        </is>
      </c>
      <c r="B5178" s="1" t="n">
        <v>45776.45578703703</v>
      </c>
      <c r="C5178" s="1" t="n">
        <v>45883</v>
      </c>
      <c r="D5178" t="inlineStr">
        <is>
          <t>GÄVLEBORGS LÄN</t>
        </is>
      </c>
      <c r="E5178" t="inlineStr">
        <is>
          <t>OCKELBO</t>
        </is>
      </c>
      <c r="F5178" t="inlineStr">
        <is>
          <t>Bergvik skog väst AB</t>
        </is>
      </c>
      <c r="G5178" t="n">
        <v>16.2</v>
      </c>
      <c r="H5178" t="n">
        <v>0</v>
      </c>
      <c r="I5178" t="n">
        <v>0</v>
      </c>
      <c r="J5178" t="n">
        <v>0</v>
      </c>
      <c r="K5178" t="n">
        <v>0</v>
      </c>
      <c r="L5178" t="n">
        <v>0</v>
      </c>
      <c r="M5178" t="n">
        <v>0</v>
      </c>
      <c r="N5178" t="n">
        <v>0</v>
      </c>
      <c r="O5178" t="n">
        <v>0</v>
      </c>
      <c r="P5178" t="n">
        <v>0</v>
      </c>
      <c r="Q5178" t="n">
        <v>0</v>
      </c>
      <c r="R5178" s="2" t="inlineStr"/>
    </row>
    <row r="5179" ht="15" customHeight="1">
      <c r="A5179" t="inlineStr">
        <is>
          <t>A 1187-2025</t>
        </is>
      </c>
      <c r="B5179" s="1" t="n">
        <v>45667.36943287037</v>
      </c>
      <c r="C5179" s="1" t="n">
        <v>45883</v>
      </c>
      <c r="D5179" t="inlineStr">
        <is>
          <t>GÄVLEBORGS LÄN</t>
        </is>
      </c>
      <c r="E5179" t="inlineStr">
        <is>
          <t>SANDVIKEN</t>
        </is>
      </c>
      <c r="F5179" t="inlineStr">
        <is>
          <t>Bergvik skog öst AB</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23098-2025</t>
        </is>
      </c>
      <c r="B5180" s="1" t="n">
        <v>45791.3475</v>
      </c>
      <c r="C5180" s="1" t="n">
        <v>45883</v>
      </c>
      <c r="D5180" t="inlineStr">
        <is>
          <t>GÄVLEBORGS LÄN</t>
        </is>
      </c>
      <c r="E5180" t="inlineStr">
        <is>
          <t>OVANÅKER</t>
        </is>
      </c>
      <c r="F5180" t="inlineStr">
        <is>
          <t>Bergvik skog väst AB</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23106-2025</t>
        </is>
      </c>
      <c r="B5181" s="1" t="n">
        <v>45791.35957175926</v>
      </c>
      <c r="C5181" s="1" t="n">
        <v>45883</v>
      </c>
      <c r="D5181" t="inlineStr">
        <is>
          <t>GÄVLEBORGS LÄN</t>
        </is>
      </c>
      <c r="E5181" t="inlineStr">
        <is>
          <t>OVANÅKER</t>
        </is>
      </c>
      <c r="F5181" t="inlineStr">
        <is>
          <t>Bergvik skog väst AB</t>
        </is>
      </c>
      <c r="G5181" t="n">
        <v>3.8</v>
      </c>
      <c r="H5181" t="n">
        <v>0</v>
      </c>
      <c r="I5181" t="n">
        <v>0</v>
      </c>
      <c r="J5181" t="n">
        <v>0</v>
      </c>
      <c r="K5181" t="n">
        <v>0</v>
      </c>
      <c r="L5181" t="n">
        <v>0</v>
      </c>
      <c r="M5181" t="n">
        <v>0</v>
      </c>
      <c r="N5181" t="n">
        <v>0</v>
      </c>
      <c r="O5181" t="n">
        <v>0</v>
      </c>
      <c r="P5181" t="n">
        <v>0</v>
      </c>
      <c r="Q5181" t="n">
        <v>0</v>
      </c>
      <c r="R5181" s="2" t="inlineStr"/>
    </row>
    <row r="5182" ht="15" customHeight="1">
      <c r="A5182" t="inlineStr">
        <is>
          <t>A 27113-2023</t>
        </is>
      </c>
      <c r="B5182" s="1" t="n">
        <v>45096.43399305556</v>
      </c>
      <c r="C5182" s="1" t="n">
        <v>45883</v>
      </c>
      <c r="D5182" t="inlineStr">
        <is>
          <t>GÄVLEBORGS LÄN</t>
        </is>
      </c>
      <c r="E5182" t="inlineStr">
        <is>
          <t>OVANÅKER</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33414-2022</t>
        </is>
      </c>
      <c r="B5183" s="1" t="n">
        <v>44788.60025462963</v>
      </c>
      <c r="C5183" s="1" t="n">
        <v>45883</v>
      </c>
      <c r="D5183" t="inlineStr">
        <is>
          <t>GÄVLEBORGS LÄN</t>
        </is>
      </c>
      <c r="E5183" t="inlineStr">
        <is>
          <t>NORDANSTIG</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23119-2025</t>
        </is>
      </c>
      <c r="B5184" s="1" t="n">
        <v>45791</v>
      </c>
      <c r="C5184" s="1" t="n">
        <v>45883</v>
      </c>
      <c r="D5184" t="inlineStr">
        <is>
          <t>GÄVLEBORGS LÄN</t>
        </is>
      </c>
      <c r="E5184" t="inlineStr">
        <is>
          <t>NORDANSTIG</t>
        </is>
      </c>
      <c r="G5184" t="n">
        <v>3.7</v>
      </c>
      <c r="H5184" t="n">
        <v>0</v>
      </c>
      <c r="I5184" t="n">
        <v>0</v>
      </c>
      <c r="J5184" t="n">
        <v>0</v>
      </c>
      <c r="K5184" t="n">
        <v>0</v>
      </c>
      <c r="L5184" t="n">
        <v>0</v>
      </c>
      <c r="M5184" t="n">
        <v>0</v>
      </c>
      <c r="N5184" t="n">
        <v>0</v>
      </c>
      <c r="O5184" t="n">
        <v>0</v>
      </c>
      <c r="P5184" t="n">
        <v>0</v>
      </c>
      <c r="Q5184" t="n">
        <v>0</v>
      </c>
      <c r="R5184" s="2" t="inlineStr"/>
    </row>
    <row r="5185" ht="15" customHeight="1">
      <c r="A5185" t="inlineStr">
        <is>
          <t>A 36710-2023</t>
        </is>
      </c>
      <c r="B5185" s="1" t="n">
        <v>45153.65484953704</v>
      </c>
      <c r="C5185" s="1" t="n">
        <v>45883</v>
      </c>
      <c r="D5185" t="inlineStr">
        <is>
          <t>GÄVLEBORGS LÄN</t>
        </is>
      </c>
      <c r="E5185" t="inlineStr">
        <is>
          <t>BOLLNÄS</t>
        </is>
      </c>
      <c r="G5185" t="n">
        <v>3.2</v>
      </c>
      <c r="H5185" t="n">
        <v>0</v>
      </c>
      <c r="I5185" t="n">
        <v>0</v>
      </c>
      <c r="J5185" t="n">
        <v>0</v>
      </c>
      <c r="K5185" t="n">
        <v>0</v>
      </c>
      <c r="L5185" t="n">
        <v>0</v>
      </c>
      <c r="M5185" t="n">
        <v>0</v>
      </c>
      <c r="N5185" t="n">
        <v>0</v>
      </c>
      <c r="O5185" t="n">
        <v>0</v>
      </c>
      <c r="P5185" t="n">
        <v>0</v>
      </c>
      <c r="Q5185" t="n">
        <v>0</v>
      </c>
      <c r="R5185" s="2" t="inlineStr"/>
    </row>
    <row r="5186" ht="15" customHeight="1">
      <c r="A5186" t="inlineStr">
        <is>
          <t>A 23304-2025</t>
        </is>
      </c>
      <c r="B5186" s="1" t="n">
        <v>45791.60046296296</v>
      </c>
      <c r="C5186" s="1" t="n">
        <v>45883</v>
      </c>
      <c r="D5186" t="inlineStr">
        <is>
          <t>GÄVLEBORGS LÄN</t>
        </is>
      </c>
      <c r="E5186" t="inlineStr">
        <is>
          <t>GÄVLE</t>
        </is>
      </c>
      <c r="F5186" t="inlineStr">
        <is>
          <t>Bergvik skog väst AB</t>
        </is>
      </c>
      <c r="G5186" t="n">
        <v>4.5</v>
      </c>
      <c r="H5186" t="n">
        <v>0</v>
      </c>
      <c r="I5186" t="n">
        <v>0</v>
      </c>
      <c r="J5186" t="n">
        <v>0</v>
      </c>
      <c r="K5186" t="n">
        <v>0</v>
      </c>
      <c r="L5186" t="n">
        <v>0</v>
      </c>
      <c r="M5186" t="n">
        <v>0</v>
      </c>
      <c r="N5186" t="n">
        <v>0</v>
      </c>
      <c r="O5186" t="n">
        <v>0</v>
      </c>
      <c r="P5186" t="n">
        <v>0</v>
      </c>
      <c r="Q5186" t="n">
        <v>0</v>
      </c>
      <c r="R5186" s="2" t="inlineStr"/>
    </row>
    <row r="5187" ht="15" customHeight="1">
      <c r="A5187" t="inlineStr">
        <is>
          <t>A 23307-2025</t>
        </is>
      </c>
      <c r="B5187" s="1" t="n">
        <v>45791.60163194445</v>
      </c>
      <c r="C5187" s="1" t="n">
        <v>45883</v>
      </c>
      <c r="D5187" t="inlineStr">
        <is>
          <t>GÄVLEBORGS LÄN</t>
        </is>
      </c>
      <c r="E5187" t="inlineStr">
        <is>
          <t>SÖDERHAMN</t>
        </is>
      </c>
      <c r="F5187" t="inlineStr">
        <is>
          <t>Bergvik skog väst AB</t>
        </is>
      </c>
      <c r="G5187" t="n">
        <v>13.5</v>
      </c>
      <c r="H5187" t="n">
        <v>0</v>
      </c>
      <c r="I5187" t="n">
        <v>0</v>
      </c>
      <c r="J5187" t="n">
        <v>0</v>
      </c>
      <c r="K5187" t="n">
        <v>0</v>
      </c>
      <c r="L5187" t="n">
        <v>0</v>
      </c>
      <c r="M5187" t="n">
        <v>0</v>
      </c>
      <c r="N5187" t="n">
        <v>0</v>
      </c>
      <c r="O5187" t="n">
        <v>0</v>
      </c>
      <c r="P5187" t="n">
        <v>0</v>
      </c>
      <c r="Q5187" t="n">
        <v>0</v>
      </c>
      <c r="R5187" s="2" t="inlineStr"/>
    </row>
    <row r="5188" ht="15" customHeight="1">
      <c r="A5188" t="inlineStr">
        <is>
          <t>A 23220-2025</t>
        </is>
      </c>
      <c r="B5188" s="1" t="n">
        <v>45791.48085648148</v>
      </c>
      <c r="C5188" s="1" t="n">
        <v>45883</v>
      </c>
      <c r="D5188" t="inlineStr">
        <is>
          <t>GÄVLEBORGS LÄN</t>
        </is>
      </c>
      <c r="E5188" t="inlineStr">
        <is>
          <t>OVANÅKER</t>
        </is>
      </c>
      <c r="F5188" t="inlineStr">
        <is>
          <t>Bergvik skog väst AB</t>
        </is>
      </c>
      <c r="G5188" t="n">
        <v>18.6</v>
      </c>
      <c r="H5188" t="n">
        <v>0</v>
      </c>
      <c r="I5188" t="n">
        <v>0</v>
      </c>
      <c r="J5188" t="n">
        <v>0</v>
      </c>
      <c r="K5188" t="n">
        <v>0</v>
      </c>
      <c r="L5188" t="n">
        <v>0</v>
      </c>
      <c r="M5188" t="n">
        <v>0</v>
      </c>
      <c r="N5188" t="n">
        <v>0</v>
      </c>
      <c r="O5188" t="n">
        <v>0</v>
      </c>
      <c r="P5188" t="n">
        <v>0</v>
      </c>
      <c r="Q5188" t="n">
        <v>0</v>
      </c>
      <c r="R5188" s="2" t="inlineStr"/>
    </row>
    <row r="5189" ht="15" customHeight="1">
      <c r="A5189" t="inlineStr">
        <is>
          <t>A 23079-2025</t>
        </is>
      </c>
      <c r="B5189" s="1" t="n">
        <v>45791.29498842593</v>
      </c>
      <c r="C5189" s="1" t="n">
        <v>45883</v>
      </c>
      <c r="D5189" t="inlineStr">
        <is>
          <t>GÄVLEBORGS LÄN</t>
        </is>
      </c>
      <c r="E5189" t="inlineStr">
        <is>
          <t>LJUSDAL</t>
        </is>
      </c>
      <c r="F5189" t="inlineStr">
        <is>
          <t>Bergvik skog väst AB</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25532-2023</t>
        </is>
      </c>
      <c r="B5190" s="1" t="n">
        <v>45089.5450462963</v>
      </c>
      <c r="C5190" s="1" t="n">
        <v>45883</v>
      </c>
      <c r="D5190" t="inlineStr">
        <is>
          <t>GÄVLEBORGS LÄN</t>
        </is>
      </c>
      <c r="E5190" t="inlineStr">
        <is>
          <t>GÄVLE</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20748-2025</t>
        </is>
      </c>
      <c r="B5191" s="1" t="n">
        <v>45776.56247685185</v>
      </c>
      <c r="C5191" s="1" t="n">
        <v>45883</v>
      </c>
      <c r="D5191" t="inlineStr">
        <is>
          <t>GÄVLEBORGS LÄN</t>
        </is>
      </c>
      <c r="E5191" t="inlineStr">
        <is>
          <t>SÖDERHAMN</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23072-2025</t>
        </is>
      </c>
      <c r="B5192" s="1" t="n">
        <v>45790.89</v>
      </c>
      <c r="C5192" s="1" t="n">
        <v>45883</v>
      </c>
      <c r="D5192" t="inlineStr">
        <is>
          <t>GÄVLEBORGS LÄN</t>
        </is>
      </c>
      <c r="E5192" t="inlineStr">
        <is>
          <t>NORDANSTIG</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37689-2024</t>
        </is>
      </c>
      <c r="B5193" s="1" t="n">
        <v>45541</v>
      </c>
      <c r="C5193" s="1" t="n">
        <v>45883</v>
      </c>
      <c r="D5193" t="inlineStr">
        <is>
          <t>GÄVLEBORGS LÄN</t>
        </is>
      </c>
      <c r="E5193" t="inlineStr">
        <is>
          <t>HUDIKSVALL</t>
        </is>
      </c>
      <c r="F5193" t="inlineStr">
        <is>
          <t>Kommuner</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23291-2025</t>
        </is>
      </c>
      <c r="B5194" s="1" t="n">
        <v>45791.58666666667</v>
      </c>
      <c r="C5194" s="1" t="n">
        <v>45883</v>
      </c>
      <c r="D5194" t="inlineStr">
        <is>
          <t>GÄVLEBORGS LÄN</t>
        </is>
      </c>
      <c r="E5194" t="inlineStr">
        <is>
          <t>GÄVLE</t>
        </is>
      </c>
      <c r="F5194" t="inlineStr">
        <is>
          <t>Bergvik skog väst AB</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23416-2025</t>
        </is>
      </c>
      <c r="B5195" s="1" t="n">
        <v>45792.34644675926</v>
      </c>
      <c r="C5195" s="1" t="n">
        <v>45883</v>
      </c>
      <c r="D5195" t="inlineStr">
        <is>
          <t>GÄVLEBORGS LÄN</t>
        </is>
      </c>
      <c r="E5195" t="inlineStr">
        <is>
          <t>OVANÅKER</t>
        </is>
      </c>
      <c r="F5195" t="inlineStr">
        <is>
          <t>Bergvik skog väst AB</t>
        </is>
      </c>
      <c r="G5195" t="n">
        <v>4.4</v>
      </c>
      <c r="H5195" t="n">
        <v>0</v>
      </c>
      <c r="I5195" t="n">
        <v>0</v>
      </c>
      <c r="J5195" t="n">
        <v>0</v>
      </c>
      <c r="K5195" t="n">
        <v>0</v>
      </c>
      <c r="L5195" t="n">
        <v>0</v>
      </c>
      <c r="M5195" t="n">
        <v>0</v>
      </c>
      <c r="N5195" t="n">
        <v>0</v>
      </c>
      <c r="O5195" t="n">
        <v>0</v>
      </c>
      <c r="P5195" t="n">
        <v>0</v>
      </c>
      <c r="Q5195" t="n">
        <v>0</v>
      </c>
      <c r="R5195" s="2" t="inlineStr"/>
    </row>
    <row r="5196" ht="15" customHeight="1">
      <c r="A5196" t="inlineStr">
        <is>
          <t>A 23419-2025</t>
        </is>
      </c>
      <c r="B5196" s="1" t="n">
        <v>45792.35172453704</v>
      </c>
      <c r="C5196" s="1" t="n">
        <v>45883</v>
      </c>
      <c r="D5196" t="inlineStr">
        <is>
          <t>GÄVLEBORGS LÄN</t>
        </is>
      </c>
      <c r="E5196" t="inlineStr">
        <is>
          <t>BOLLNÄS</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23424-2025</t>
        </is>
      </c>
      <c r="B5197" s="1" t="n">
        <v>45792.35974537037</v>
      </c>
      <c r="C5197" s="1" t="n">
        <v>45883</v>
      </c>
      <c r="D5197" t="inlineStr">
        <is>
          <t>GÄVLEBORGS LÄN</t>
        </is>
      </c>
      <c r="E5197" t="inlineStr">
        <is>
          <t>OVANÅKER</t>
        </is>
      </c>
      <c r="F5197" t="inlineStr">
        <is>
          <t>Bergvik skog väst AB</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23434-2025</t>
        </is>
      </c>
      <c r="B5198" s="1" t="n">
        <v>45792.36770833333</v>
      </c>
      <c r="C5198" s="1" t="n">
        <v>45883</v>
      </c>
      <c r="D5198" t="inlineStr">
        <is>
          <t>GÄVLEBORGS LÄN</t>
        </is>
      </c>
      <c r="E5198" t="inlineStr">
        <is>
          <t>OVANÅKER</t>
        </is>
      </c>
      <c r="F5198" t="inlineStr">
        <is>
          <t>Bergvik skog väst AB</t>
        </is>
      </c>
      <c r="G5198" t="n">
        <v>14.6</v>
      </c>
      <c r="H5198" t="n">
        <v>0</v>
      </c>
      <c r="I5198" t="n">
        <v>0</v>
      </c>
      <c r="J5198" t="n">
        <v>0</v>
      </c>
      <c r="K5198" t="n">
        <v>0</v>
      </c>
      <c r="L5198" t="n">
        <v>0</v>
      </c>
      <c r="M5198" t="n">
        <v>0</v>
      </c>
      <c r="N5198" t="n">
        <v>0</v>
      </c>
      <c r="O5198" t="n">
        <v>0</v>
      </c>
      <c r="P5198" t="n">
        <v>0</v>
      </c>
      <c r="Q5198" t="n">
        <v>0</v>
      </c>
      <c r="R5198" s="2" t="inlineStr"/>
    </row>
    <row r="5199" ht="15" customHeight="1">
      <c r="A5199" t="inlineStr">
        <is>
          <t>A 23223-2025</t>
        </is>
      </c>
      <c r="B5199" s="1" t="n">
        <v>45791.4846875</v>
      </c>
      <c r="C5199" s="1" t="n">
        <v>45883</v>
      </c>
      <c r="D5199" t="inlineStr">
        <is>
          <t>GÄVLEBORGS LÄN</t>
        </is>
      </c>
      <c r="E5199" t="inlineStr">
        <is>
          <t>OVANÅKER</t>
        </is>
      </c>
      <c r="F5199" t="inlineStr">
        <is>
          <t>Bergvik skog väst AB</t>
        </is>
      </c>
      <c r="G5199" t="n">
        <v>11.1</v>
      </c>
      <c r="H5199" t="n">
        <v>0</v>
      </c>
      <c r="I5199" t="n">
        <v>0</v>
      </c>
      <c r="J5199" t="n">
        <v>0</v>
      </c>
      <c r="K5199" t="n">
        <v>0</v>
      </c>
      <c r="L5199" t="n">
        <v>0</v>
      </c>
      <c r="M5199" t="n">
        <v>0</v>
      </c>
      <c r="N5199" t="n">
        <v>0</v>
      </c>
      <c r="O5199" t="n">
        <v>0</v>
      </c>
      <c r="P5199" t="n">
        <v>0</v>
      </c>
      <c r="Q5199" t="n">
        <v>0</v>
      </c>
      <c r="R5199" s="2" t="inlineStr"/>
    </row>
    <row r="5200" ht="15" customHeight="1">
      <c r="A5200" t="inlineStr">
        <is>
          <t>A 39208-2024</t>
        </is>
      </c>
      <c r="B5200" s="1" t="n">
        <v>45548.8325462963</v>
      </c>
      <c r="C5200" s="1" t="n">
        <v>45883</v>
      </c>
      <c r="D5200" t="inlineStr">
        <is>
          <t>GÄVLEBORGS LÄN</t>
        </is>
      </c>
      <c r="E5200" t="inlineStr">
        <is>
          <t>SÖDERHAMN</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32011-2024</t>
        </is>
      </c>
      <c r="B5201" s="1" t="n">
        <v>45510</v>
      </c>
      <c r="C5201" s="1" t="n">
        <v>45883</v>
      </c>
      <c r="D5201" t="inlineStr">
        <is>
          <t>GÄVLEBORGS LÄN</t>
        </is>
      </c>
      <c r="E5201" t="inlineStr">
        <is>
          <t>OCKELBO</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19973-2021</t>
        </is>
      </c>
      <c r="B5202" s="1" t="n">
        <v>44313</v>
      </c>
      <c r="C5202" s="1" t="n">
        <v>45883</v>
      </c>
      <c r="D5202" t="inlineStr">
        <is>
          <t>GÄVLEBORGS LÄN</t>
        </is>
      </c>
      <c r="E5202" t="inlineStr">
        <is>
          <t>LJUSDAL</t>
        </is>
      </c>
      <c r="F5202" t="inlineStr">
        <is>
          <t>Sveaskog</t>
        </is>
      </c>
      <c r="G5202" t="n">
        <v>38.9</v>
      </c>
      <c r="H5202" t="n">
        <v>0</v>
      </c>
      <c r="I5202" t="n">
        <v>0</v>
      </c>
      <c r="J5202" t="n">
        <v>0</v>
      </c>
      <c r="K5202" t="n">
        <v>0</v>
      </c>
      <c r="L5202" t="n">
        <v>0</v>
      </c>
      <c r="M5202" t="n">
        <v>0</v>
      </c>
      <c r="N5202" t="n">
        <v>0</v>
      </c>
      <c r="O5202" t="n">
        <v>0</v>
      </c>
      <c r="P5202" t="n">
        <v>0</v>
      </c>
      <c r="Q5202" t="n">
        <v>0</v>
      </c>
      <c r="R5202" s="2" t="inlineStr"/>
    </row>
    <row r="5203" ht="15" customHeight="1">
      <c r="A5203" t="inlineStr">
        <is>
          <t>A 50692-2024</t>
        </is>
      </c>
      <c r="B5203" s="1" t="n">
        <v>45602.34263888889</v>
      </c>
      <c r="C5203" s="1" t="n">
        <v>45883</v>
      </c>
      <c r="D5203" t="inlineStr">
        <is>
          <t>GÄVLEBORGS LÄN</t>
        </is>
      </c>
      <c r="E5203" t="inlineStr">
        <is>
          <t>OCKELBO</t>
        </is>
      </c>
      <c r="F5203" t="inlineStr">
        <is>
          <t>Bergvik skog väst AB</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50701-2024</t>
        </is>
      </c>
      <c r="B5204" s="1" t="n">
        <v>45602.36033564815</v>
      </c>
      <c r="C5204" s="1" t="n">
        <v>45883</v>
      </c>
      <c r="D5204" t="inlineStr">
        <is>
          <t>GÄVLEBORGS LÄN</t>
        </is>
      </c>
      <c r="E5204" t="inlineStr">
        <is>
          <t>SANDVIKEN</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30717-2024</t>
        </is>
      </c>
      <c r="B5205" s="1" t="n">
        <v>45496.48064814815</v>
      </c>
      <c r="C5205" s="1" t="n">
        <v>45883</v>
      </c>
      <c r="D5205" t="inlineStr">
        <is>
          <t>GÄVLEBORGS LÄN</t>
        </is>
      </c>
      <c r="E5205" t="inlineStr">
        <is>
          <t>NORDANSTIG</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50765-2024</t>
        </is>
      </c>
      <c r="B5206" s="1" t="n">
        <v>45602.4396875</v>
      </c>
      <c r="C5206" s="1" t="n">
        <v>45883</v>
      </c>
      <c r="D5206" t="inlineStr">
        <is>
          <t>GÄVLEBORGS LÄN</t>
        </is>
      </c>
      <c r="E5206" t="inlineStr">
        <is>
          <t>SANDVIKEN</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59734-2020</t>
        </is>
      </c>
      <c r="B5207" s="1" t="n">
        <v>44151</v>
      </c>
      <c r="C5207" s="1" t="n">
        <v>45883</v>
      </c>
      <c r="D5207" t="inlineStr">
        <is>
          <t>GÄVLEBORGS LÄN</t>
        </is>
      </c>
      <c r="E5207" t="inlineStr">
        <is>
          <t>BOLLNÄS</t>
        </is>
      </c>
      <c r="G5207" t="n">
        <v>7.4</v>
      </c>
      <c r="H5207" t="n">
        <v>0</v>
      </c>
      <c r="I5207" t="n">
        <v>0</v>
      </c>
      <c r="J5207" t="n">
        <v>0</v>
      </c>
      <c r="K5207" t="n">
        <v>0</v>
      </c>
      <c r="L5207" t="n">
        <v>0</v>
      </c>
      <c r="M5207" t="n">
        <v>0</v>
      </c>
      <c r="N5207" t="n">
        <v>0</v>
      </c>
      <c r="O5207" t="n">
        <v>0</v>
      </c>
      <c r="P5207" t="n">
        <v>0</v>
      </c>
      <c r="Q5207" t="n">
        <v>0</v>
      </c>
      <c r="R5207" s="2" t="inlineStr"/>
    </row>
    <row r="5208" ht="15" customHeight="1">
      <c r="A5208" t="inlineStr">
        <is>
          <t>A 23135-2025</t>
        </is>
      </c>
      <c r="B5208" s="1" t="n">
        <v>45791.38993055555</v>
      </c>
      <c r="C5208" s="1" t="n">
        <v>45883</v>
      </c>
      <c r="D5208" t="inlineStr">
        <is>
          <t>GÄVLEBORGS LÄN</t>
        </is>
      </c>
      <c r="E5208" t="inlineStr">
        <is>
          <t>OVANÅKER</t>
        </is>
      </c>
      <c r="F5208" t="inlineStr">
        <is>
          <t>Bergvik skog väst AB</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32278-2024</t>
        </is>
      </c>
      <c r="B5209" s="1" t="n">
        <v>45512.37289351852</v>
      </c>
      <c r="C5209" s="1" t="n">
        <v>45883</v>
      </c>
      <c r="D5209" t="inlineStr">
        <is>
          <t>GÄVLEBORGS LÄN</t>
        </is>
      </c>
      <c r="E5209" t="inlineStr">
        <is>
          <t>HUDIKSVALL</t>
        </is>
      </c>
      <c r="F5209" t="inlineStr">
        <is>
          <t>Holmen skog AB</t>
        </is>
      </c>
      <c r="G5209" t="n">
        <v>7.4</v>
      </c>
      <c r="H5209" t="n">
        <v>0</v>
      </c>
      <c r="I5209" t="n">
        <v>0</v>
      </c>
      <c r="J5209" t="n">
        <v>0</v>
      </c>
      <c r="K5209" t="n">
        <v>0</v>
      </c>
      <c r="L5209" t="n">
        <v>0</v>
      </c>
      <c r="M5209" t="n">
        <v>0</v>
      </c>
      <c r="N5209" t="n">
        <v>0</v>
      </c>
      <c r="O5209" t="n">
        <v>0</v>
      </c>
      <c r="P5209" t="n">
        <v>0</v>
      </c>
      <c r="Q5209" t="n">
        <v>0</v>
      </c>
      <c r="R5209" s="2" t="inlineStr"/>
    </row>
    <row r="5210" ht="15" customHeight="1">
      <c r="A5210" t="inlineStr">
        <is>
          <t>A 53399-2024</t>
        </is>
      </c>
      <c r="B5210" s="1" t="n">
        <v>45614.48822916667</v>
      </c>
      <c r="C5210" s="1" t="n">
        <v>45883</v>
      </c>
      <c r="D5210" t="inlineStr">
        <is>
          <t>GÄVLEBORGS LÄN</t>
        </is>
      </c>
      <c r="E5210" t="inlineStr">
        <is>
          <t>OVANÅKER</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50161-2024</t>
        </is>
      </c>
      <c r="B5211" s="1" t="n">
        <v>45600</v>
      </c>
      <c r="C5211" s="1" t="n">
        <v>45883</v>
      </c>
      <c r="D5211" t="inlineStr">
        <is>
          <t>GÄVLEBORGS LÄN</t>
        </is>
      </c>
      <c r="E5211" t="inlineStr">
        <is>
          <t>HUDIKSVALL</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28523-2023</t>
        </is>
      </c>
      <c r="B5212" s="1" t="n">
        <v>45103.4828587963</v>
      </c>
      <c r="C5212" s="1" t="n">
        <v>45883</v>
      </c>
      <c r="D5212" t="inlineStr">
        <is>
          <t>GÄVLEBORGS LÄN</t>
        </is>
      </c>
      <c r="E5212" t="inlineStr">
        <is>
          <t>BOLLNÄS</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61422-2024</t>
        </is>
      </c>
      <c r="B5213" s="1" t="n">
        <v>45646.45193287037</v>
      </c>
      <c r="C5213" s="1" t="n">
        <v>45883</v>
      </c>
      <c r="D5213" t="inlineStr">
        <is>
          <t>GÄVLEBORGS LÄN</t>
        </is>
      </c>
      <c r="E5213" t="inlineStr">
        <is>
          <t>NORDANSTIG</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23232-2025</t>
        </is>
      </c>
      <c r="B5214" s="1" t="n">
        <v>45791.49224537037</v>
      </c>
      <c r="C5214" s="1" t="n">
        <v>45883</v>
      </c>
      <c r="D5214" t="inlineStr">
        <is>
          <t>GÄVLEBORGS LÄN</t>
        </is>
      </c>
      <c r="E5214" t="inlineStr">
        <is>
          <t>GÄVLE</t>
        </is>
      </c>
      <c r="G5214" t="n">
        <v>10</v>
      </c>
      <c r="H5214" t="n">
        <v>0</v>
      </c>
      <c r="I5214" t="n">
        <v>0</v>
      </c>
      <c r="J5214" t="n">
        <v>0</v>
      </c>
      <c r="K5214" t="n">
        <v>0</v>
      </c>
      <c r="L5214" t="n">
        <v>0</v>
      </c>
      <c r="M5214" t="n">
        <v>0</v>
      </c>
      <c r="N5214" t="n">
        <v>0</v>
      </c>
      <c r="O5214" t="n">
        <v>0</v>
      </c>
      <c r="P5214" t="n">
        <v>0</v>
      </c>
      <c r="Q5214" t="n">
        <v>0</v>
      </c>
      <c r="R5214" s="2" t="inlineStr"/>
    </row>
    <row r="5215" ht="15" customHeight="1">
      <c r="A5215" t="inlineStr">
        <is>
          <t>A 23242-2025</t>
        </is>
      </c>
      <c r="B5215" s="1" t="n">
        <v>45791.50158564815</v>
      </c>
      <c r="C5215" s="1" t="n">
        <v>45883</v>
      </c>
      <c r="D5215" t="inlineStr">
        <is>
          <t>GÄVLEBORGS LÄN</t>
        </is>
      </c>
      <c r="E5215" t="inlineStr">
        <is>
          <t>OVANÅKER</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23571-2025</t>
        </is>
      </c>
      <c r="B5216" s="1" t="n">
        <v>45792.61167824074</v>
      </c>
      <c r="C5216" s="1" t="n">
        <v>45883</v>
      </c>
      <c r="D5216" t="inlineStr">
        <is>
          <t>GÄVLEBORGS LÄN</t>
        </is>
      </c>
      <c r="E5216" t="inlineStr">
        <is>
          <t>LJUSDAL</t>
        </is>
      </c>
      <c r="F5216" t="inlineStr">
        <is>
          <t>Sveaskog</t>
        </is>
      </c>
      <c r="G5216" t="n">
        <v>3.1</v>
      </c>
      <c r="H5216" t="n">
        <v>0</v>
      </c>
      <c r="I5216" t="n">
        <v>0</v>
      </c>
      <c r="J5216" t="n">
        <v>0</v>
      </c>
      <c r="K5216" t="n">
        <v>0</v>
      </c>
      <c r="L5216" t="n">
        <v>0</v>
      </c>
      <c r="M5216" t="n">
        <v>0</v>
      </c>
      <c r="N5216" t="n">
        <v>0</v>
      </c>
      <c r="O5216" t="n">
        <v>0</v>
      </c>
      <c r="P5216" t="n">
        <v>0</v>
      </c>
      <c r="Q5216" t="n">
        <v>0</v>
      </c>
      <c r="R5216" s="2" t="inlineStr"/>
    </row>
    <row r="5217" ht="15" customHeight="1">
      <c r="A5217" t="inlineStr">
        <is>
          <t>A 23572-2025</t>
        </is>
      </c>
      <c r="B5217" s="1" t="n">
        <v>45792.61178240741</v>
      </c>
      <c r="C5217" s="1" t="n">
        <v>45883</v>
      </c>
      <c r="D5217" t="inlineStr">
        <is>
          <t>GÄVLEBORGS LÄN</t>
        </is>
      </c>
      <c r="E5217" t="inlineStr">
        <is>
          <t>GÄVLE</t>
        </is>
      </c>
      <c r="F5217" t="inlineStr">
        <is>
          <t>Bergvik skog väst AB</t>
        </is>
      </c>
      <c r="G5217" t="n">
        <v>3.8</v>
      </c>
      <c r="H5217" t="n">
        <v>0</v>
      </c>
      <c r="I5217" t="n">
        <v>0</v>
      </c>
      <c r="J5217" t="n">
        <v>0</v>
      </c>
      <c r="K5217" t="n">
        <v>0</v>
      </c>
      <c r="L5217" t="n">
        <v>0</v>
      </c>
      <c r="M5217" t="n">
        <v>0</v>
      </c>
      <c r="N5217" t="n">
        <v>0</v>
      </c>
      <c r="O5217" t="n">
        <v>0</v>
      </c>
      <c r="P5217" t="n">
        <v>0</v>
      </c>
      <c r="Q5217" t="n">
        <v>0</v>
      </c>
      <c r="R5217" s="2" t="inlineStr"/>
    </row>
    <row r="5218" ht="15" customHeight="1">
      <c r="A5218" t="inlineStr">
        <is>
          <t>A 20208-2025</t>
        </is>
      </c>
      <c r="B5218" s="1" t="n">
        <v>45772.61755787037</v>
      </c>
      <c r="C5218" s="1" t="n">
        <v>45883</v>
      </c>
      <c r="D5218" t="inlineStr">
        <is>
          <t>GÄVLEBORGS LÄN</t>
        </is>
      </c>
      <c r="E5218" t="inlineStr">
        <is>
          <t>HUDIKSVALL</t>
        </is>
      </c>
      <c r="G5218" t="n">
        <v>10.1</v>
      </c>
      <c r="H5218" t="n">
        <v>0</v>
      </c>
      <c r="I5218" t="n">
        <v>0</v>
      </c>
      <c r="J5218" t="n">
        <v>0</v>
      </c>
      <c r="K5218" t="n">
        <v>0</v>
      </c>
      <c r="L5218" t="n">
        <v>0</v>
      </c>
      <c r="M5218" t="n">
        <v>0</v>
      </c>
      <c r="N5218" t="n">
        <v>0</v>
      </c>
      <c r="O5218" t="n">
        <v>0</v>
      </c>
      <c r="P5218" t="n">
        <v>0</v>
      </c>
      <c r="Q5218" t="n">
        <v>0</v>
      </c>
      <c r="R5218" s="2" t="inlineStr"/>
    </row>
    <row r="5219" ht="15" customHeight="1">
      <c r="A5219" t="inlineStr">
        <is>
          <t>A 23914-2025</t>
        </is>
      </c>
      <c r="B5219" s="1" t="n">
        <v>45795.34452546296</v>
      </c>
      <c r="C5219" s="1" t="n">
        <v>45883</v>
      </c>
      <c r="D5219" t="inlineStr">
        <is>
          <t>GÄVLEBORGS LÄN</t>
        </is>
      </c>
      <c r="E5219" t="inlineStr">
        <is>
          <t>LJUSDAL</t>
        </is>
      </c>
      <c r="F5219" t="inlineStr">
        <is>
          <t>SCA</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46795-2024</t>
        </is>
      </c>
      <c r="B5220" s="1" t="n">
        <v>45583.54359953704</v>
      </c>
      <c r="C5220" s="1" t="n">
        <v>45883</v>
      </c>
      <c r="D5220" t="inlineStr">
        <is>
          <t>GÄVLEBORGS LÄN</t>
        </is>
      </c>
      <c r="E5220" t="inlineStr">
        <is>
          <t>BOLLNÄS</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52961-2024</t>
        </is>
      </c>
      <c r="B5221" s="1" t="n">
        <v>45611.30515046296</v>
      </c>
      <c r="C5221" s="1" t="n">
        <v>45883</v>
      </c>
      <c r="D5221" t="inlineStr">
        <is>
          <t>GÄVLEBORGS LÄN</t>
        </is>
      </c>
      <c r="E5221" t="inlineStr">
        <is>
          <t>OVANÅKER</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52962-2024</t>
        </is>
      </c>
      <c r="B5222" s="1" t="n">
        <v>45611.30649305556</v>
      </c>
      <c r="C5222" s="1" t="n">
        <v>45883</v>
      </c>
      <c r="D5222" t="inlineStr">
        <is>
          <t>GÄVLEBORGS LÄN</t>
        </is>
      </c>
      <c r="E5222" t="inlineStr">
        <is>
          <t>HUDIKSVALL</t>
        </is>
      </c>
      <c r="G5222" t="n">
        <v>5.3</v>
      </c>
      <c r="H5222" t="n">
        <v>0</v>
      </c>
      <c r="I5222" t="n">
        <v>0</v>
      </c>
      <c r="J5222" t="n">
        <v>0</v>
      </c>
      <c r="K5222" t="n">
        <v>0</v>
      </c>
      <c r="L5222" t="n">
        <v>0</v>
      </c>
      <c r="M5222" t="n">
        <v>0</v>
      </c>
      <c r="N5222" t="n">
        <v>0</v>
      </c>
      <c r="O5222" t="n">
        <v>0</v>
      </c>
      <c r="P5222" t="n">
        <v>0</v>
      </c>
      <c r="Q5222" t="n">
        <v>0</v>
      </c>
      <c r="R5222" s="2" t="inlineStr"/>
    </row>
    <row r="5223" ht="15" customHeight="1">
      <c r="A5223" t="inlineStr">
        <is>
          <t>A 52986-2024</t>
        </is>
      </c>
      <c r="B5223" s="1" t="n">
        <v>45611.35953703704</v>
      </c>
      <c r="C5223" s="1" t="n">
        <v>45883</v>
      </c>
      <c r="D5223" t="inlineStr">
        <is>
          <t>GÄVLEBORGS LÄN</t>
        </is>
      </c>
      <c r="E5223" t="inlineStr">
        <is>
          <t>HUDIKSVALL</t>
        </is>
      </c>
      <c r="G5223" t="n">
        <v>3.8</v>
      </c>
      <c r="H5223" t="n">
        <v>0</v>
      </c>
      <c r="I5223" t="n">
        <v>0</v>
      </c>
      <c r="J5223" t="n">
        <v>0</v>
      </c>
      <c r="K5223" t="n">
        <v>0</v>
      </c>
      <c r="L5223" t="n">
        <v>0</v>
      </c>
      <c r="M5223" t="n">
        <v>0</v>
      </c>
      <c r="N5223" t="n">
        <v>0</v>
      </c>
      <c r="O5223" t="n">
        <v>0</v>
      </c>
      <c r="P5223" t="n">
        <v>0</v>
      </c>
      <c r="Q5223" t="n">
        <v>0</v>
      </c>
      <c r="R5223" s="2" t="inlineStr"/>
    </row>
    <row r="5224" ht="15" customHeight="1">
      <c r="A5224" t="inlineStr">
        <is>
          <t>A 58598-2024</t>
        </is>
      </c>
      <c r="B5224" s="1" t="n">
        <v>45635.54087962963</v>
      </c>
      <c r="C5224" s="1" t="n">
        <v>45883</v>
      </c>
      <c r="D5224" t="inlineStr">
        <is>
          <t>GÄVLEBORGS LÄN</t>
        </is>
      </c>
      <c r="E5224" t="inlineStr">
        <is>
          <t>LJUSDAL</t>
        </is>
      </c>
      <c r="F5224" t="inlineStr">
        <is>
          <t>Allmännings- och besparingsskogar</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34913-2023</t>
        </is>
      </c>
      <c r="B5225" s="1" t="n">
        <v>45142.46318287037</v>
      </c>
      <c r="C5225" s="1" t="n">
        <v>45883</v>
      </c>
      <c r="D5225" t="inlineStr">
        <is>
          <t>GÄVLEBORGS LÄN</t>
        </is>
      </c>
      <c r="E5225" t="inlineStr">
        <is>
          <t>NORDANSTIG</t>
        </is>
      </c>
      <c r="F5225" t="inlineStr">
        <is>
          <t>Holmen skog AB</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34918-2023</t>
        </is>
      </c>
      <c r="B5226" s="1" t="n">
        <v>45142.47361111111</v>
      </c>
      <c r="C5226" s="1" t="n">
        <v>45883</v>
      </c>
      <c r="D5226" t="inlineStr">
        <is>
          <t>GÄVLEBORGS LÄN</t>
        </is>
      </c>
      <c r="E5226" t="inlineStr">
        <is>
          <t>NORDANSTIG</t>
        </is>
      </c>
      <c r="F5226" t="inlineStr">
        <is>
          <t>Holmen skog AB</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59924-2024</t>
        </is>
      </c>
      <c r="B5227" s="1" t="n">
        <v>45641</v>
      </c>
      <c r="C5227" s="1" t="n">
        <v>45883</v>
      </c>
      <c r="D5227" t="inlineStr">
        <is>
          <t>GÄVLEBORGS LÄN</t>
        </is>
      </c>
      <c r="E5227" t="inlineStr">
        <is>
          <t>NORDANSTIG</t>
        </is>
      </c>
      <c r="G5227" t="n">
        <v>4.3</v>
      </c>
      <c r="H5227" t="n">
        <v>0</v>
      </c>
      <c r="I5227" t="n">
        <v>0</v>
      </c>
      <c r="J5227" t="n">
        <v>0</v>
      </c>
      <c r="K5227" t="n">
        <v>0</v>
      </c>
      <c r="L5227" t="n">
        <v>0</v>
      </c>
      <c r="M5227" t="n">
        <v>0</v>
      </c>
      <c r="N5227" t="n">
        <v>0</v>
      </c>
      <c r="O5227" t="n">
        <v>0</v>
      </c>
      <c r="P5227" t="n">
        <v>0</v>
      </c>
      <c r="Q5227" t="n">
        <v>0</v>
      </c>
      <c r="R5227" s="2" t="inlineStr"/>
    </row>
    <row r="5228" ht="15" customHeight="1">
      <c r="A5228" t="inlineStr">
        <is>
          <t>A 59945-2024</t>
        </is>
      </c>
      <c r="B5228" s="1" t="n">
        <v>45642.33392361111</v>
      </c>
      <c r="C5228" s="1" t="n">
        <v>45883</v>
      </c>
      <c r="D5228" t="inlineStr">
        <is>
          <t>GÄVLEBORGS LÄN</t>
        </is>
      </c>
      <c r="E5228" t="inlineStr">
        <is>
          <t>NORDANSTIG</t>
        </is>
      </c>
      <c r="F5228" t="inlineStr">
        <is>
          <t>Holmen skog AB</t>
        </is>
      </c>
      <c r="G5228" t="n">
        <v>8.1</v>
      </c>
      <c r="H5228" t="n">
        <v>0</v>
      </c>
      <c r="I5228" t="n">
        <v>0</v>
      </c>
      <c r="J5228" t="n">
        <v>0</v>
      </c>
      <c r="K5228" t="n">
        <v>0</v>
      </c>
      <c r="L5228" t="n">
        <v>0</v>
      </c>
      <c r="M5228" t="n">
        <v>0</v>
      </c>
      <c r="N5228" t="n">
        <v>0</v>
      </c>
      <c r="O5228" t="n">
        <v>0</v>
      </c>
      <c r="P5228" t="n">
        <v>0</v>
      </c>
      <c r="Q5228" t="n">
        <v>0</v>
      </c>
      <c r="R5228" s="2" t="inlineStr"/>
    </row>
    <row r="5229" ht="15" customHeight="1">
      <c r="A5229" t="inlineStr">
        <is>
          <t>A 54156-2024</t>
        </is>
      </c>
      <c r="B5229" s="1" t="n">
        <v>45616</v>
      </c>
      <c r="C5229" s="1" t="n">
        <v>45883</v>
      </c>
      <c r="D5229" t="inlineStr">
        <is>
          <t>GÄVLEBORGS LÄN</t>
        </is>
      </c>
      <c r="E5229" t="inlineStr">
        <is>
          <t>NORDANSTIG</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59974-2024</t>
        </is>
      </c>
      <c r="B5230" s="1" t="n">
        <v>45642.36561342593</v>
      </c>
      <c r="C5230" s="1" t="n">
        <v>45883</v>
      </c>
      <c r="D5230" t="inlineStr">
        <is>
          <t>GÄVLEBORGS LÄN</t>
        </is>
      </c>
      <c r="E5230" t="inlineStr">
        <is>
          <t>OVANÅKER</t>
        </is>
      </c>
      <c r="G5230" t="n">
        <v>4.6</v>
      </c>
      <c r="H5230" t="n">
        <v>0</v>
      </c>
      <c r="I5230" t="n">
        <v>0</v>
      </c>
      <c r="J5230" t="n">
        <v>0</v>
      </c>
      <c r="K5230" t="n">
        <v>0</v>
      </c>
      <c r="L5230" t="n">
        <v>0</v>
      </c>
      <c r="M5230" t="n">
        <v>0</v>
      </c>
      <c r="N5230" t="n">
        <v>0</v>
      </c>
      <c r="O5230" t="n">
        <v>0</v>
      </c>
      <c r="P5230" t="n">
        <v>0</v>
      </c>
      <c r="Q5230" t="n">
        <v>0</v>
      </c>
      <c r="R5230" s="2" t="inlineStr"/>
    </row>
    <row r="5231" ht="15" customHeight="1">
      <c r="A5231" t="inlineStr">
        <is>
          <t>A 25187-2023</t>
        </is>
      </c>
      <c r="B5231" s="1" t="n">
        <v>45086.56450231482</v>
      </c>
      <c r="C5231" s="1" t="n">
        <v>45883</v>
      </c>
      <c r="D5231" t="inlineStr">
        <is>
          <t>GÄVLEBORGS LÄN</t>
        </is>
      </c>
      <c r="E5231" t="inlineStr">
        <is>
          <t>OVANÅKER</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19970-2024</t>
        </is>
      </c>
      <c r="B5232" s="1" t="n">
        <v>45433.75060185185</v>
      </c>
      <c r="C5232" s="1" t="n">
        <v>45883</v>
      </c>
      <c r="D5232" t="inlineStr">
        <is>
          <t>GÄVLEBORGS LÄN</t>
        </is>
      </c>
      <c r="E5232" t="inlineStr">
        <is>
          <t>BOLLNÄS</t>
        </is>
      </c>
      <c r="G5232" t="n">
        <v>3.4</v>
      </c>
      <c r="H5232" t="n">
        <v>0</v>
      </c>
      <c r="I5232" t="n">
        <v>0</v>
      </c>
      <c r="J5232" t="n">
        <v>0</v>
      </c>
      <c r="K5232" t="n">
        <v>0</v>
      </c>
      <c r="L5232" t="n">
        <v>0</v>
      </c>
      <c r="M5232" t="n">
        <v>0</v>
      </c>
      <c r="N5232" t="n">
        <v>0</v>
      </c>
      <c r="O5232" t="n">
        <v>0</v>
      </c>
      <c r="P5232" t="n">
        <v>0</v>
      </c>
      <c r="Q5232" t="n">
        <v>0</v>
      </c>
      <c r="R5232" s="2" t="inlineStr"/>
    </row>
    <row r="5233" ht="15" customHeight="1">
      <c r="A5233" t="inlineStr">
        <is>
          <t>A 18430-2021</t>
        </is>
      </c>
      <c r="B5233" s="1" t="n">
        <v>44305.68789351852</v>
      </c>
      <c r="C5233" s="1" t="n">
        <v>45883</v>
      </c>
      <c r="D5233" t="inlineStr">
        <is>
          <t>GÄVLEBORGS LÄN</t>
        </is>
      </c>
      <c r="E5233" t="inlineStr">
        <is>
          <t>NORDANSTIG</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36086-2024</t>
        </is>
      </c>
      <c r="B5234" s="1" t="n">
        <v>45533.67511574074</v>
      </c>
      <c r="C5234" s="1" t="n">
        <v>45883</v>
      </c>
      <c r="D5234" t="inlineStr">
        <is>
          <t>GÄVLEBORGS LÄN</t>
        </is>
      </c>
      <c r="E5234" t="inlineStr">
        <is>
          <t>HUDIKSVALL</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41555-2024</t>
        </is>
      </c>
      <c r="B5235" s="1" t="n">
        <v>45560.5277199074</v>
      </c>
      <c r="C5235" s="1" t="n">
        <v>45883</v>
      </c>
      <c r="D5235" t="inlineStr">
        <is>
          <t>GÄVLEBORGS LÄN</t>
        </is>
      </c>
      <c r="E5235" t="inlineStr">
        <is>
          <t>HUDIKSVALL</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23987-2025</t>
        </is>
      </c>
      <c r="B5236" s="1" t="n">
        <v>45796.39857638889</v>
      </c>
      <c r="C5236" s="1" t="n">
        <v>45883</v>
      </c>
      <c r="D5236" t="inlineStr">
        <is>
          <t>GÄVLEBORGS LÄN</t>
        </is>
      </c>
      <c r="E5236" t="inlineStr">
        <is>
          <t>GÄVLE</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23992-2025</t>
        </is>
      </c>
      <c r="B5237" s="1" t="n">
        <v>45796.40662037037</v>
      </c>
      <c r="C5237" s="1" t="n">
        <v>45883</v>
      </c>
      <c r="D5237" t="inlineStr">
        <is>
          <t>GÄVLEBORGS LÄN</t>
        </is>
      </c>
      <c r="E5237" t="inlineStr">
        <is>
          <t>BOLLNÄS</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23993-2025</t>
        </is>
      </c>
      <c r="B5238" s="1" t="n">
        <v>45796.40721064815</v>
      </c>
      <c r="C5238" s="1" t="n">
        <v>45883</v>
      </c>
      <c r="D5238" t="inlineStr">
        <is>
          <t>GÄVLEBORGS LÄN</t>
        </is>
      </c>
      <c r="E5238" t="inlineStr">
        <is>
          <t>NORDANSTIG</t>
        </is>
      </c>
      <c r="F5238" t="inlineStr">
        <is>
          <t>Holmen skog AB</t>
        </is>
      </c>
      <c r="G5238" t="n">
        <v>41.3</v>
      </c>
      <c r="H5238" t="n">
        <v>0</v>
      </c>
      <c r="I5238" t="n">
        <v>0</v>
      </c>
      <c r="J5238" t="n">
        <v>0</v>
      </c>
      <c r="K5238" t="n">
        <v>0</v>
      </c>
      <c r="L5238" t="n">
        <v>0</v>
      </c>
      <c r="M5238" t="n">
        <v>0</v>
      </c>
      <c r="N5238" t="n">
        <v>0</v>
      </c>
      <c r="O5238" t="n">
        <v>0</v>
      </c>
      <c r="P5238" t="n">
        <v>0</v>
      </c>
      <c r="Q5238" t="n">
        <v>0</v>
      </c>
      <c r="R5238" s="2" t="inlineStr"/>
    </row>
    <row r="5239" ht="15" customHeight="1">
      <c r="A5239" t="inlineStr">
        <is>
          <t>A 64924-2023</t>
        </is>
      </c>
      <c r="B5239" s="1" t="n">
        <v>45282</v>
      </c>
      <c r="C5239" s="1" t="n">
        <v>45883</v>
      </c>
      <c r="D5239" t="inlineStr">
        <is>
          <t>GÄVLEBORGS LÄN</t>
        </is>
      </c>
      <c r="E5239" t="inlineStr">
        <is>
          <t>OCKELBO</t>
        </is>
      </c>
      <c r="G5239" t="n">
        <v>6.8</v>
      </c>
      <c r="H5239" t="n">
        <v>0</v>
      </c>
      <c r="I5239" t="n">
        <v>0</v>
      </c>
      <c r="J5239" t="n">
        <v>0</v>
      </c>
      <c r="K5239" t="n">
        <v>0</v>
      </c>
      <c r="L5239" t="n">
        <v>0</v>
      </c>
      <c r="M5239" t="n">
        <v>0</v>
      </c>
      <c r="N5239" t="n">
        <v>0</v>
      </c>
      <c r="O5239" t="n">
        <v>0</v>
      </c>
      <c r="P5239" t="n">
        <v>0</v>
      </c>
      <c r="Q5239" t="n">
        <v>0</v>
      </c>
      <c r="R5239" s="2" t="inlineStr"/>
    </row>
    <row r="5240" ht="15" customHeight="1">
      <c r="A5240" t="inlineStr">
        <is>
          <t>A 17376-2024</t>
        </is>
      </c>
      <c r="B5240" s="1" t="n">
        <v>45414.639375</v>
      </c>
      <c r="C5240" s="1" t="n">
        <v>45883</v>
      </c>
      <c r="D5240" t="inlineStr">
        <is>
          <t>GÄVLEBORGS LÄN</t>
        </is>
      </c>
      <c r="E5240" t="inlineStr">
        <is>
          <t>BOLLNÄS</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23846-2025</t>
        </is>
      </c>
      <c r="B5241" s="1" t="n">
        <v>45793</v>
      </c>
      <c r="C5241" s="1" t="n">
        <v>45883</v>
      </c>
      <c r="D5241" t="inlineStr">
        <is>
          <t>GÄVLEBORGS LÄN</t>
        </is>
      </c>
      <c r="E5241" t="inlineStr">
        <is>
          <t>BOLLNÄS</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10427-2025</t>
        </is>
      </c>
      <c r="B5242" s="1" t="n">
        <v>45720.65511574074</v>
      </c>
      <c r="C5242" s="1" t="n">
        <v>45883</v>
      </c>
      <c r="D5242" t="inlineStr">
        <is>
          <t>GÄVLEBORGS LÄN</t>
        </is>
      </c>
      <c r="E5242" t="inlineStr">
        <is>
          <t>HUDIKSVALL</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56641-2020</t>
        </is>
      </c>
      <c r="B5243" s="1" t="n">
        <v>44137</v>
      </c>
      <c r="C5243" s="1" t="n">
        <v>45883</v>
      </c>
      <c r="D5243" t="inlineStr">
        <is>
          <t>GÄVLEBORGS LÄN</t>
        </is>
      </c>
      <c r="E5243" t="inlineStr">
        <is>
          <t>BOLLNÄS</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23882-2025</t>
        </is>
      </c>
      <c r="B5244" s="1" t="n">
        <v>45793.71438657407</v>
      </c>
      <c r="C5244" s="1" t="n">
        <v>45883</v>
      </c>
      <c r="D5244" t="inlineStr">
        <is>
          <t>GÄVLEBORGS LÄN</t>
        </is>
      </c>
      <c r="E5244" t="inlineStr">
        <is>
          <t>BOLLNÄS</t>
        </is>
      </c>
      <c r="G5244" t="n">
        <v>3.7</v>
      </c>
      <c r="H5244" t="n">
        <v>0</v>
      </c>
      <c r="I5244" t="n">
        <v>0</v>
      </c>
      <c r="J5244" t="n">
        <v>0</v>
      </c>
      <c r="K5244" t="n">
        <v>0</v>
      </c>
      <c r="L5244" t="n">
        <v>0</v>
      </c>
      <c r="M5244" t="n">
        <v>0</v>
      </c>
      <c r="N5244" t="n">
        <v>0</v>
      </c>
      <c r="O5244" t="n">
        <v>0</v>
      </c>
      <c r="P5244" t="n">
        <v>0</v>
      </c>
      <c r="Q5244" t="n">
        <v>0</v>
      </c>
      <c r="R5244" s="2" t="inlineStr"/>
    </row>
    <row r="5245" ht="15" customHeight="1">
      <c r="A5245" t="inlineStr">
        <is>
          <t>A 24119-2025</t>
        </is>
      </c>
      <c r="B5245" s="1" t="n">
        <v>45796</v>
      </c>
      <c r="C5245" s="1" t="n">
        <v>45883</v>
      </c>
      <c r="D5245" t="inlineStr">
        <is>
          <t>GÄVLEBORGS LÄN</t>
        </is>
      </c>
      <c r="E5245" t="inlineStr">
        <is>
          <t>BOLLNÄS</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21724-2021</t>
        </is>
      </c>
      <c r="B5246" s="1" t="n">
        <v>44322</v>
      </c>
      <c r="C5246" s="1" t="n">
        <v>45883</v>
      </c>
      <c r="D5246" t="inlineStr">
        <is>
          <t>GÄVLEBORGS LÄN</t>
        </is>
      </c>
      <c r="E5246" t="inlineStr">
        <is>
          <t>LJUSDAL</t>
        </is>
      </c>
      <c r="F5246" t="inlineStr">
        <is>
          <t>Sveaskog</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24146-2025</t>
        </is>
      </c>
      <c r="B5247" s="1" t="n">
        <v>45796.64568287037</v>
      </c>
      <c r="C5247" s="1" t="n">
        <v>45883</v>
      </c>
      <c r="D5247" t="inlineStr">
        <is>
          <t>GÄVLEBORGS LÄN</t>
        </is>
      </c>
      <c r="E5247" t="inlineStr">
        <is>
          <t>BOLLNÄS</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1105-2025</t>
        </is>
      </c>
      <c r="B5248" s="1" t="n">
        <v>45666.64752314815</v>
      </c>
      <c r="C5248" s="1" t="n">
        <v>45883</v>
      </c>
      <c r="D5248" t="inlineStr">
        <is>
          <t>GÄVLEBORGS LÄN</t>
        </is>
      </c>
      <c r="E5248" t="inlineStr">
        <is>
          <t>HUDIKSVALL</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27872-2024</t>
        </is>
      </c>
      <c r="B5249" s="1" t="n">
        <v>45475.71920138889</v>
      </c>
      <c r="C5249" s="1" t="n">
        <v>45883</v>
      </c>
      <c r="D5249" t="inlineStr">
        <is>
          <t>GÄVLEBORGS LÄN</t>
        </is>
      </c>
      <c r="E5249" t="inlineStr">
        <is>
          <t>SANDVIKEN</t>
        </is>
      </c>
      <c r="G5249" t="n">
        <v>2.8</v>
      </c>
      <c r="H5249" t="n">
        <v>0</v>
      </c>
      <c r="I5249" t="n">
        <v>0</v>
      </c>
      <c r="J5249" t="n">
        <v>0</v>
      </c>
      <c r="K5249" t="n">
        <v>0</v>
      </c>
      <c r="L5249" t="n">
        <v>0</v>
      </c>
      <c r="M5249" t="n">
        <v>0</v>
      </c>
      <c r="N5249" t="n">
        <v>0</v>
      </c>
      <c r="O5249" t="n">
        <v>0</v>
      </c>
      <c r="P5249" t="n">
        <v>0</v>
      </c>
      <c r="Q5249" t="n">
        <v>0</v>
      </c>
      <c r="R5249" s="2" t="inlineStr"/>
    </row>
    <row r="5250" ht="15" customHeight="1">
      <c r="A5250" t="inlineStr">
        <is>
          <t>A 8751-2025</t>
        </is>
      </c>
      <c r="B5250" s="1" t="n">
        <v>45712.56379629629</v>
      </c>
      <c r="C5250" s="1" t="n">
        <v>45883</v>
      </c>
      <c r="D5250" t="inlineStr">
        <is>
          <t>GÄVLEBORGS LÄN</t>
        </is>
      </c>
      <c r="E5250" t="inlineStr">
        <is>
          <t>LJUSDAL</t>
        </is>
      </c>
      <c r="F5250" t="inlineStr">
        <is>
          <t>Holmen skog AB</t>
        </is>
      </c>
      <c r="G5250" t="n">
        <v>3.9</v>
      </c>
      <c r="H5250" t="n">
        <v>0</v>
      </c>
      <c r="I5250" t="n">
        <v>0</v>
      </c>
      <c r="J5250" t="n">
        <v>0</v>
      </c>
      <c r="K5250" t="n">
        <v>0</v>
      </c>
      <c r="L5250" t="n">
        <v>0</v>
      </c>
      <c r="M5250" t="n">
        <v>0</v>
      </c>
      <c r="N5250" t="n">
        <v>0</v>
      </c>
      <c r="O5250" t="n">
        <v>0</v>
      </c>
      <c r="P5250" t="n">
        <v>0</v>
      </c>
      <c r="Q5250" t="n">
        <v>0</v>
      </c>
      <c r="R5250" s="2" t="inlineStr"/>
    </row>
    <row r="5251" ht="15" customHeight="1">
      <c r="A5251" t="inlineStr">
        <is>
          <t>A 48913-2024</t>
        </is>
      </c>
      <c r="B5251" s="1" t="n">
        <v>45594.36701388889</v>
      </c>
      <c r="C5251" s="1" t="n">
        <v>45883</v>
      </c>
      <c r="D5251" t="inlineStr">
        <is>
          <t>GÄVLEBORGS LÄN</t>
        </is>
      </c>
      <c r="E5251" t="inlineStr">
        <is>
          <t>GÄVLE</t>
        </is>
      </c>
      <c r="F5251" t="inlineStr">
        <is>
          <t>Bergvik skog öst AB</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23791-2025</t>
        </is>
      </c>
      <c r="B5252" s="1" t="n">
        <v>45793.53853009259</v>
      </c>
      <c r="C5252" s="1" t="n">
        <v>45883</v>
      </c>
      <c r="D5252" t="inlineStr">
        <is>
          <t>GÄVLEBORGS LÄN</t>
        </is>
      </c>
      <c r="E5252" t="inlineStr">
        <is>
          <t>NORDANSTIG</t>
        </is>
      </c>
      <c r="F5252" t="inlineStr">
        <is>
          <t>Holmen skog AB</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23883-2025</t>
        </is>
      </c>
      <c r="B5253" s="1" t="n">
        <v>45793.72311342593</v>
      </c>
      <c r="C5253" s="1" t="n">
        <v>45883</v>
      </c>
      <c r="D5253" t="inlineStr">
        <is>
          <t>GÄVLEBORGS LÄN</t>
        </is>
      </c>
      <c r="E5253" t="inlineStr">
        <is>
          <t>BOLLNÄS</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8774-2025</t>
        </is>
      </c>
      <c r="B5254" s="1" t="n">
        <v>45712.61496527777</v>
      </c>
      <c r="C5254" s="1" t="n">
        <v>45883</v>
      </c>
      <c r="D5254" t="inlineStr">
        <is>
          <t>GÄVLEBORGS LÄN</t>
        </is>
      </c>
      <c r="E5254" t="inlineStr">
        <is>
          <t>BOLLNÄS</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57478-2024</t>
        </is>
      </c>
      <c r="B5255" s="1" t="n">
        <v>45630.34912037037</v>
      </c>
      <c r="C5255" s="1" t="n">
        <v>45883</v>
      </c>
      <c r="D5255" t="inlineStr">
        <is>
          <t>GÄVLEBORGS LÄN</t>
        </is>
      </c>
      <c r="E5255" t="inlineStr">
        <is>
          <t>OVANÅKER</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26631-2024</t>
        </is>
      </c>
      <c r="B5256" s="1" t="n">
        <v>45469</v>
      </c>
      <c r="C5256" s="1" t="n">
        <v>45883</v>
      </c>
      <c r="D5256" t="inlineStr">
        <is>
          <t>GÄVLEBORGS LÄN</t>
        </is>
      </c>
      <c r="E5256" t="inlineStr">
        <is>
          <t>LJUSDAL</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14807-2023</t>
        </is>
      </c>
      <c r="B5257" s="1" t="n">
        <v>45014.63493055556</v>
      </c>
      <c r="C5257" s="1" t="n">
        <v>45883</v>
      </c>
      <c r="D5257" t="inlineStr">
        <is>
          <t>GÄVLEBORGS LÄN</t>
        </is>
      </c>
      <c r="E5257" t="inlineStr">
        <is>
          <t>GÄVLE</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64579-2023</t>
        </is>
      </c>
      <c r="B5258" s="1" t="n">
        <v>45281</v>
      </c>
      <c r="C5258" s="1" t="n">
        <v>45883</v>
      </c>
      <c r="D5258" t="inlineStr">
        <is>
          <t>GÄVLEBORGS LÄN</t>
        </is>
      </c>
      <c r="E5258" t="inlineStr">
        <is>
          <t>HUDIKSVALL</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38594-2024</t>
        </is>
      </c>
      <c r="B5259" s="1" t="n">
        <v>45546.65759259259</v>
      </c>
      <c r="C5259" s="1" t="n">
        <v>45883</v>
      </c>
      <c r="D5259" t="inlineStr">
        <is>
          <t>GÄVLEBORGS LÄN</t>
        </is>
      </c>
      <c r="E5259" t="inlineStr">
        <is>
          <t>BOLLNÄS</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47284-2024</t>
        </is>
      </c>
      <c r="B5260" s="1" t="n">
        <v>45587.22604166667</v>
      </c>
      <c r="C5260" s="1" t="n">
        <v>45883</v>
      </c>
      <c r="D5260" t="inlineStr">
        <is>
          <t>GÄVLEBORGS LÄN</t>
        </is>
      </c>
      <c r="E5260" t="inlineStr">
        <is>
          <t>HUDIKSVALL</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32123-2024</t>
        </is>
      </c>
      <c r="B5261" s="1" t="n">
        <v>45511.46820601852</v>
      </c>
      <c r="C5261" s="1" t="n">
        <v>45883</v>
      </c>
      <c r="D5261" t="inlineStr">
        <is>
          <t>GÄVLEBORGS LÄN</t>
        </is>
      </c>
      <c r="E5261" t="inlineStr">
        <is>
          <t>OCKELBO</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49533-2024</t>
        </is>
      </c>
      <c r="B5262" s="1" t="n">
        <v>45596.42138888889</v>
      </c>
      <c r="C5262" s="1" t="n">
        <v>45883</v>
      </c>
      <c r="D5262" t="inlineStr">
        <is>
          <t>GÄVLEBORGS LÄN</t>
        </is>
      </c>
      <c r="E5262" t="inlineStr">
        <is>
          <t>SANDVIKEN</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23822-2025</t>
        </is>
      </c>
      <c r="B5263" s="1" t="n">
        <v>45793.58898148148</v>
      </c>
      <c r="C5263" s="1" t="n">
        <v>45883</v>
      </c>
      <c r="D5263" t="inlineStr">
        <is>
          <t>GÄVLEBORGS LÄN</t>
        </is>
      </c>
      <c r="E5263" t="inlineStr">
        <is>
          <t>SÖDERHAMN</t>
        </is>
      </c>
      <c r="F5263" t="inlineStr">
        <is>
          <t>Bergvik skog väst AB</t>
        </is>
      </c>
      <c r="G5263" t="n">
        <v>4.4</v>
      </c>
      <c r="H5263" t="n">
        <v>0</v>
      </c>
      <c r="I5263" t="n">
        <v>0</v>
      </c>
      <c r="J5263" t="n">
        <v>0</v>
      </c>
      <c r="K5263" t="n">
        <v>0</v>
      </c>
      <c r="L5263" t="n">
        <v>0</v>
      </c>
      <c r="M5263" t="n">
        <v>0</v>
      </c>
      <c r="N5263" t="n">
        <v>0</v>
      </c>
      <c r="O5263" t="n">
        <v>0</v>
      </c>
      <c r="P5263" t="n">
        <v>0</v>
      </c>
      <c r="Q5263" t="n">
        <v>0</v>
      </c>
      <c r="R5263" s="2" t="inlineStr"/>
    </row>
    <row r="5264" ht="15" customHeight="1">
      <c r="A5264" t="inlineStr">
        <is>
          <t>A 52125-2024</t>
        </is>
      </c>
      <c r="B5264" s="1" t="n">
        <v>45608.46461805556</v>
      </c>
      <c r="C5264" s="1" t="n">
        <v>45883</v>
      </c>
      <c r="D5264" t="inlineStr">
        <is>
          <t>GÄVLEBORGS LÄN</t>
        </is>
      </c>
      <c r="E5264" t="inlineStr">
        <is>
          <t>OCKELBO</t>
        </is>
      </c>
      <c r="G5264" t="n">
        <v>8.5</v>
      </c>
      <c r="H5264" t="n">
        <v>0</v>
      </c>
      <c r="I5264" t="n">
        <v>0</v>
      </c>
      <c r="J5264" t="n">
        <v>0</v>
      </c>
      <c r="K5264" t="n">
        <v>0</v>
      </c>
      <c r="L5264" t="n">
        <v>0</v>
      </c>
      <c r="M5264" t="n">
        <v>0</v>
      </c>
      <c r="N5264" t="n">
        <v>0</v>
      </c>
      <c r="O5264" t="n">
        <v>0</v>
      </c>
      <c r="P5264" t="n">
        <v>0</v>
      </c>
      <c r="Q5264" t="n">
        <v>0</v>
      </c>
      <c r="R5264" s="2" t="inlineStr"/>
    </row>
    <row r="5265" ht="15" customHeight="1">
      <c r="A5265" t="inlineStr">
        <is>
          <t>A 48638-2024</t>
        </is>
      </c>
      <c r="B5265" s="1" t="n">
        <v>45593.47194444444</v>
      </c>
      <c r="C5265" s="1" t="n">
        <v>45883</v>
      </c>
      <c r="D5265" t="inlineStr">
        <is>
          <t>GÄVLEBORGS LÄN</t>
        </is>
      </c>
      <c r="E5265" t="inlineStr">
        <is>
          <t>HUDIKSVALL</t>
        </is>
      </c>
      <c r="G5265" t="n">
        <v>4.5</v>
      </c>
      <c r="H5265" t="n">
        <v>0</v>
      </c>
      <c r="I5265" t="n">
        <v>0</v>
      </c>
      <c r="J5265" t="n">
        <v>0</v>
      </c>
      <c r="K5265" t="n">
        <v>0</v>
      </c>
      <c r="L5265" t="n">
        <v>0</v>
      </c>
      <c r="M5265" t="n">
        <v>0</v>
      </c>
      <c r="N5265" t="n">
        <v>0</v>
      </c>
      <c r="O5265" t="n">
        <v>0</v>
      </c>
      <c r="P5265" t="n">
        <v>0</v>
      </c>
      <c r="Q5265" t="n">
        <v>0</v>
      </c>
      <c r="R5265" s="2" t="inlineStr"/>
    </row>
    <row r="5266" ht="15" customHeight="1">
      <c r="A5266" t="inlineStr">
        <is>
          <t>A 47145-2023</t>
        </is>
      </c>
      <c r="B5266" s="1" t="n">
        <v>45201.83716435185</v>
      </c>
      <c r="C5266" s="1" t="n">
        <v>45883</v>
      </c>
      <c r="D5266" t="inlineStr">
        <is>
          <t>GÄVLEBORGS LÄN</t>
        </is>
      </c>
      <c r="E5266" t="inlineStr">
        <is>
          <t>HUDIKSVALL</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60197-2024</t>
        </is>
      </c>
      <c r="B5267" s="1" t="n">
        <v>45642.6599537037</v>
      </c>
      <c r="C5267" s="1" t="n">
        <v>45883</v>
      </c>
      <c r="D5267" t="inlineStr">
        <is>
          <t>GÄVLEBORGS LÄN</t>
        </is>
      </c>
      <c r="E5267" t="inlineStr">
        <is>
          <t>LJUSDAL</t>
        </is>
      </c>
      <c r="G5267" t="n">
        <v>4.9</v>
      </c>
      <c r="H5267" t="n">
        <v>0</v>
      </c>
      <c r="I5267" t="n">
        <v>0</v>
      </c>
      <c r="J5267" t="n">
        <v>0</v>
      </c>
      <c r="K5267" t="n">
        <v>0</v>
      </c>
      <c r="L5267" t="n">
        <v>0</v>
      </c>
      <c r="M5267" t="n">
        <v>0</v>
      </c>
      <c r="N5267" t="n">
        <v>0</v>
      </c>
      <c r="O5267" t="n">
        <v>0</v>
      </c>
      <c r="P5267" t="n">
        <v>0</v>
      </c>
      <c r="Q5267" t="n">
        <v>0</v>
      </c>
      <c r="R5267" s="2" t="inlineStr"/>
    </row>
    <row r="5268" ht="15" customHeight="1">
      <c r="A5268" t="inlineStr">
        <is>
          <t>A 12451-2023</t>
        </is>
      </c>
      <c r="B5268" s="1" t="n">
        <v>44999.57931712963</v>
      </c>
      <c r="C5268" s="1" t="n">
        <v>45883</v>
      </c>
      <c r="D5268" t="inlineStr">
        <is>
          <t>GÄVLEBORGS LÄN</t>
        </is>
      </c>
      <c r="E5268" t="inlineStr">
        <is>
          <t>BOLLNÄS</t>
        </is>
      </c>
      <c r="G5268" t="n">
        <v>0.2</v>
      </c>
      <c r="H5268" t="n">
        <v>0</v>
      </c>
      <c r="I5268" t="n">
        <v>0</v>
      </c>
      <c r="J5268" t="n">
        <v>0</v>
      </c>
      <c r="K5268" t="n">
        <v>0</v>
      </c>
      <c r="L5268" t="n">
        <v>0</v>
      </c>
      <c r="M5268" t="n">
        <v>0</v>
      </c>
      <c r="N5268" t="n">
        <v>0</v>
      </c>
      <c r="O5268" t="n">
        <v>0</v>
      </c>
      <c r="P5268" t="n">
        <v>0</v>
      </c>
      <c r="Q5268" t="n">
        <v>0</v>
      </c>
      <c r="R5268" s="2" t="inlineStr"/>
    </row>
    <row r="5269" ht="15" customHeight="1">
      <c r="A5269" t="inlineStr">
        <is>
          <t>A 54385-2024</t>
        </is>
      </c>
      <c r="B5269" s="1" t="n">
        <v>45617.44668981482</v>
      </c>
      <c r="C5269" s="1" t="n">
        <v>45883</v>
      </c>
      <c r="D5269" t="inlineStr">
        <is>
          <t>GÄVLEBORGS LÄN</t>
        </is>
      </c>
      <c r="E5269" t="inlineStr">
        <is>
          <t>NORDANSTIG</t>
        </is>
      </c>
      <c r="F5269" t="inlineStr">
        <is>
          <t>Holmen skog AB</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5964-2025</t>
        </is>
      </c>
      <c r="B5270" s="1" t="n">
        <v>45695</v>
      </c>
      <c r="C5270" s="1" t="n">
        <v>45883</v>
      </c>
      <c r="D5270" t="inlineStr">
        <is>
          <t>GÄVLEBORGS LÄN</t>
        </is>
      </c>
      <c r="E5270" t="inlineStr">
        <is>
          <t>NORDANSTIG</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4420-2024</t>
        </is>
      </c>
      <c r="B5271" s="1" t="n">
        <v>45327</v>
      </c>
      <c r="C5271" s="1" t="n">
        <v>45883</v>
      </c>
      <c r="D5271" t="inlineStr">
        <is>
          <t>GÄVLEBORGS LÄN</t>
        </is>
      </c>
      <c r="E5271" t="inlineStr">
        <is>
          <t>LJUSDAL</t>
        </is>
      </c>
      <c r="F5271" t="inlineStr">
        <is>
          <t>Holmen skog AB</t>
        </is>
      </c>
      <c r="G5271" t="n">
        <v>3.6</v>
      </c>
      <c r="H5271" t="n">
        <v>0</v>
      </c>
      <c r="I5271" t="n">
        <v>0</v>
      </c>
      <c r="J5271" t="n">
        <v>0</v>
      </c>
      <c r="K5271" t="n">
        <v>0</v>
      </c>
      <c r="L5271" t="n">
        <v>0</v>
      </c>
      <c r="M5271" t="n">
        <v>0</v>
      </c>
      <c r="N5271" t="n">
        <v>0</v>
      </c>
      <c r="O5271" t="n">
        <v>0</v>
      </c>
      <c r="P5271" t="n">
        <v>0</v>
      </c>
      <c r="Q5271" t="n">
        <v>0</v>
      </c>
      <c r="R5271" s="2" t="inlineStr"/>
    </row>
    <row r="5272" ht="15" customHeight="1">
      <c r="A5272" t="inlineStr">
        <is>
          <t>A 44277-2024</t>
        </is>
      </c>
      <c r="B5272" s="1" t="n">
        <v>45573.4915625</v>
      </c>
      <c r="C5272" s="1" t="n">
        <v>45883</v>
      </c>
      <c r="D5272" t="inlineStr">
        <is>
          <t>GÄVLEBORGS LÄN</t>
        </is>
      </c>
      <c r="E5272" t="inlineStr">
        <is>
          <t>HUDIKSVALL</t>
        </is>
      </c>
      <c r="G5272" t="n">
        <v>5.6</v>
      </c>
      <c r="H5272" t="n">
        <v>0</v>
      </c>
      <c r="I5272" t="n">
        <v>0</v>
      </c>
      <c r="J5272" t="n">
        <v>0</v>
      </c>
      <c r="K5272" t="n">
        <v>0</v>
      </c>
      <c r="L5272" t="n">
        <v>0</v>
      </c>
      <c r="M5272" t="n">
        <v>0</v>
      </c>
      <c r="N5272" t="n">
        <v>0</v>
      </c>
      <c r="O5272" t="n">
        <v>0</v>
      </c>
      <c r="P5272" t="n">
        <v>0</v>
      </c>
      <c r="Q5272" t="n">
        <v>0</v>
      </c>
      <c r="R5272" s="2" t="inlineStr"/>
    </row>
    <row r="5273" ht="15" customHeight="1">
      <c r="A5273" t="inlineStr">
        <is>
          <t>A 23880-2025</t>
        </is>
      </c>
      <c r="B5273" s="1" t="n">
        <v>45793.69190972222</v>
      </c>
      <c r="C5273" s="1" t="n">
        <v>45883</v>
      </c>
      <c r="D5273" t="inlineStr">
        <is>
          <t>GÄVLEBORGS LÄN</t>
        </is>
      </c>
      <c r="E5273" t="inlineStr">
        <is>
          <t>BOLLNÄS</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13267-2025</t>
        </is>
      </c>
      <c r="B5274" s="1" t="n">
        <v>45735</v>
      </c>
      <c r="C5274" s="1" t="n">
        <v>45883</v>
      </c>
      <c r="D5274" t="inlineStr">
        <is>
          <t>GÄVLEBORGS LÄN</t>
        </is>
      </c>
      <c r="E5274" t="inlineStr">
        <is>
          <t>HUDIKSVALL</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34978-2024</t>
        </is>
      </c>
      <c r="B5275" s="1" t="n">
        <v>45527.54472222222</v>
      </c>
      <c r="C5275" s="1" t="n">
        <v>45883</v>
      </c>
      <c r="D5275" t="inlineStr">
        <is>
          <t>GÄVLEBORGS LÄN</t>
        </is>
      </c>
      <c r="E5275" t="inlineStr">
        <is>
          <t>SÖDERHAMN</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4164-2024</t>
        </is>
      </c>
      <c r="B5276" s="1" t="n">
        <v>45323</v>
      </c>
      <c r="C5276" s="1" t="n">
        <v>45883</v>
      </c>
      <c r="D5276" t="inlineStr">
        <is>
          <t>GÄVLEBORGS LÄN</t>
        </is>
      </c>
      <c r="E5276" t="inlineStr">
        <is>
          <t>HUDIKSVALL</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21789-2024</t>
        </is>
      </c>
      <c r="B5277" s="1" t="n">
        <v>45442.64026620371</v>
      </c>
      <c r="C5277" s="1" t="n">
        <v>45883</v>
      </c>
      <c r="D5277" t="inlineStr">
        <is>
          <t>GÄVLEBORGS LÄN</t>
        </is>
      </c>
      <c r="E5277" t="inlineStr">
        <is>
          <t>SÖDERHAMN</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53444-2024</t>
        </is>
      </c>
      <c r="B5278" s="1" t="n">
        <v>45614.54</v>
      </c>
      <c r="C5278" s="1" t="n">
        <v>45883</v>
      </c>
      <c r="D5278" t="inlineStr">
        <is>
          <t>GÄVLEBORGS LÄN</t>
        </is>
      </c>
      <c r="E5278" t="inlineStr">
        <is>
          <t>OVANÅKER</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47820-2024</t>
        </is>
      </c>
      <c r="B5279" s="1" t="n">
        <v>45588.62625</v>
      </c>
      <c r="C5279" s="1" t="n">
        <v>45883</v>
      </c>
      <c r="D5279" t="inlineStr">
        <is>
          <t>GÄVLEBORGS LÄN</t>
        </is>
      </c>
      <c r="E5279" t="inlineStr">
        <is>
          <t>BOLLNÄS</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46667-2024</t>
        </is>
      </c>
      <c r="B5280" s="1" t="n">
        <v>45583.37123842593</v>
      </c>
      <c r="C5280" s="1" t="n">
        <v>45883</v>
      </c>
      <c r="D5280" t="inlineStr">
        <is>
          <t>GÄVLEBORGS LÄN</t>
        </is>
      </c>
      <c r="E5280" t="inlineStr">
        <is>
          <t>HUDIKSVALL</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48870-2023</t>
        </is>
      </c>
      <c r="B5281" s="1" t="n">
        <v>45209.46043981481</v>
      </c>
      <c r="C5281" s="1" t="n">
        <v>45883</v>
      </c>
      <c r="D5281" t="inlineStr">
        <is>
          <t>GÄVLEBORGS LÄN</t>
        </is>
      </c>
      <c r="E5281" t="inlineStr">
        <is>
          <t>LJUSDAL</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64350-2020</t>
        </is>
      </c>
      <c r="B5282" s="1" t="n">
        <v>44168</v>
      </c>
      <c r="C5282" s="1" t="n">
        <v>45883</v>
      </c>
      <c r="D5282" t="inlineStr">
        <is>
          <t>GÄVLEBORGS LÄN</t>
        </is>
      </c>
      <c r="E5282" t="inlineStr">
        <is>
          <t>HUDIKSVALL</t>
        </is>
      </c>
      <c r="F5282" t="inlineStr">
        <is>
          <t>Holmen skog AB</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6083-2025</t>
        </is>
      </c>
      <c r="B5283" s="1" t="n">
        <v>45697.61344907407</v>
      </c>
      <c r="C5283" s="1" t="n">
        <v>45883</v>
      </c>
      <c r="D5283" t="inlineStr">
        <is>
          <t>GÄVLEBORGS LÄN</t>
        </is>
      </c>
      <c r="E5283" t="inlineStr">
        <is>
          <t>HUDIKSVALL</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58099-2024</t>
        </is>
      </c>
      <c r="B5284" s="1" t="n">
        <v>45632.36650462963</v>
      </c>
      <c r="C5284" s="1" t="n">
        <v>45883</v>
      </c>
      <c r="D5284" t="inlineStr">
        <is>
          <t>GÄVLEBORGS LÄN</t>
        </is>
      </c>
      <c r="E5284" t="inlineStr">
        <is>
          <t>SÖDERHAMN</t>
        </is>
      </c>
      <c r="F5284" t="inlineStr">
        <is>
          <t>Bergvik skog väst AB</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62959-2020</t>
        </is>
      </c>
      <c r="B5285" s="1" t="n">
        <v>44162</v>
      </c>
      <c r="C5285" s="1" t="n">
        <v>45883</v>
      </c>
      <c r="D5285" t="inlineStr">
        <is>
          <t>GÄVLEBORGS LÄN</t>
        </is>
      </c>
      <c r="E5285" t="inlineStr">
        <is>
          <t>BOLLNÄS</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23710-2025</t>
        </is>
      </c>
      <c r="B5286" s="1" t="n">
        <v>45793.38253472222</v>
      </c>
      <c r="C5286" s="1" t="n">
        <v>45883</v>
      </c>
      <c r="D5286" t="inlineStr">
        <is>
          <t>GÄVLEBORGS LÄN</t>
        </is>
      </c>
      <c r="E5286" t="inlineStr">
        <is>
          <t>LJUSDAL</t>
        </is>
      </c>
      <c r="F5286" t="inlineStr">
        <is>
          <t>Bergvik skog väst AB</t>
        </is>
      </c>
      <c r="G5286" t="n">
        <v>11.7</v>
      </c>
      <c r="H5286" t="n">
        <v>0</v>
      </c>
      <c r="I5286" t="n">
        <v>0</v>
      </c>
      <c r="J5286" t="n">
        <v>0</v>
      </c>
      <c r="K5286" t="n">
        <v>0</v>
      </c>
      <c r="L5286" t="n">
        <v>0</v>
      </c>
      <c r="M5286" t="n">
        <v>0</v>
      </c>
      <c r="N5286" t="n">
        <v>0</v>
      </c>
      <c r="O5286" t="n">
        <v>0</v>
      </c>
      <c r="P5286" t="n">
        <v>0</v>
      </c>
      <c r="Q5286" t="n">
        <v>0</v>
      </c>
      <c r="R5286" s="2" t="inlineStr"/>
    </row>
    <row r="5287" ht="15" customHeight="1">
      <c r="A5287" t="inlineStr">
        <is>
          <t>A 12398-2023</t>
        </is>
      </c>
      <c r="B5287" s="1" t="n">
        <v>44999.49780092593</v>
      </c>
      <c r="C5287" s="1" t="n">
        <v>45883</v>
      </c>
      <c r="D5287" t="inlineStr">
        <is>
          <t>GÄVLEBORGS LÄN</t>
        </is>
      </c>
      <c r="E5287" t="inlineStr">
        <is>
          <t>NORDANSTIG</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47504-2024</t>
        </is>
      </c>
      <c r="B5288" s="1" t="n">
        <v>45587.604375</v>
      </c>
      <c r="C5288" s="1" t="n">
        <v>45883</v>
      </c>
      <c r="D5288" t="inlineStr">
        <is>
          <t>GÄVLEBORGS LÄN</t>
        </is>
      </c>
      <c r="E5288" t="inlineStr">
        <is>
          <t>HOFORS</t>
        </is>
      </c>
      <c r="F5288" t="inlineStr">
        <is>
          <t>Sveaskog</t>
        </is>
      </c>
      <c r="G5288" t="n">
        <v>5.9</v>
      </c>
      <c r="H5288" t="n">
        <v>0</v>
      </c>
      <c r="I5288" t="n">
        <v>0</v>
      </c>
      <c r="J5288" t="n">
        <v>0</v>
      </c>
      <c r="K5288" t="n">
        <v>0</v>
      </c>
      <c r="L5288" t="n">
        <v>0</v>
      </c>
      <c r="M5288" t="n">
        <v>0</v>
      </c>
      <c r="N5288" t="n">
        <v>0</v>
      </c>
      <c r="O5288" t="n">
        <v>0</v>
      </c>
      <c r="P5288" t="n">
        <v>0</v>
      </c>
      <c r="Q5288" t="n">
        <v>0</v>
      </c>
      <c r="R5288" s="2" t="inlineStr"/>
    </row>
    <row r="5289" ht="15" customHeight="1">
      <c r="A5289" t="inlineStr">
        <is>
          <t>A 438-2025</t>
        </is>
      </c>
      <c r="B5289" s="1" t="n">
        <v>45664.38258101852</v>
      </c>
      <c r="C5289" s="1" t="n">
        <v>45883</v>
      </c>
      <c r="D5289" t="inlineStr">
        <is>
          <t>GÄVLEBORGS LÄN</t>
        </is>
      </c>
      <c r="E5289" t="inlineStr">
        <is>
          <t>OVANÅKER</t>
        </is>
      </c>
      <c r="G5289" t="n">
        <v>5.1</v>
      </c>
      <c r="H5289" t="n">
        <v>0</v>
      </c>
      <c r="I5289" t="n">
        <v>0</v>
      </c>
      <c r="J5289" t="n">
        <v>0</v>
      </c>
      <c r="K5289" t="n">
        <v>0</v>
      </c>
      <c r="L5289" t="n">
        <v>0</v>
      </c>
      <c r="M5289" t="n">
        <v>0</v>
      </c>
      <c r="N5289" t="n">
        <v>0</v>
      </c>
      <c r="O5289" t="n">
        <v>0</v>
      </c>
      <c r="P5289" t="n">
        <v>0</v>
      </c>
      <c r="Q5289" t="n">
        <v>0</v>
      </c>
      <c r="R5289" s="2" t="inlineStr"/>
    </row>
    <row r="5290" ht="15" customHeight="1">
      <c r="A5290" t="inlineStr">
        <is>
          <t>A 23918-2025</t>
        </is>
      </c>
      <c r="B5290" s="1" t="n">
        <v>45795.34489583333</v>
      </c>
      <c r="C5290" s="1" t="n">
        <v>45883</v>
      </c>
      <c r="D5290" t="inlineStr">
        <is>
          <t>GÄVLEBORGS LÄN</t>
        </is>
      </c>
      <c r="E5290" t="inlineStr">
        <is>
          <t>LJUSDAL</t>
        </is>
      </c>
      <c r="F5290" t="inlineStr">
        <is>
          <t>SCA</t>
        </is>
      </c>
      <c r="G5290" t="n">
        <v>3.7</v>
      </c>
      <c r="H5290" t="n">
        <v>0</v>
      </c>
      <c r="I5290" t="n">
        <v>0</v>
      </c>
      <c r="J5290" t="n">
        <v>0</v>
      </c>
      <c r="K5290" t="n">
        <v>0</v>
      </c>
      <c r="L5290" t="n">
        <v>0</v>
      </c>
      <c r="M5290" t="n">
        <v>0</v>
      </c>
      <c r="N5290" t="n">
        <v>0</v>
      </c>
      <c r="O5290" t="n">
        <v>0</v>
      </c>
      <c r="P5290" t="n">
        <v>0</v>
      </c>
      <c r="Q5290" t="n">
        <v>0</v>
      </c>
      <c r="R5290" s="2" t="inlineStr"/>
    </row>
    <row r="5291" ht="15" customHeight="1">
      <c r="A5291" t="inlineStr">
        <is>
          <t>A 22385-2023</t>
        </is>
      </c>
      <c r="B5291" s="1" t="n">
        <v>45070.61877314815</v>
      </c>
      <c r="C5291" s="1" t="n">
        <v>45883</v>
      </c>
      <c r="D5291" t="inlineStr">
        <is>
          <t>GÄVLEBORGS LÄN</t>
        </is>
      </c>
      <c r="E5291" t="inlineStr">
        <is>
          <t>OCKELBO</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9889-2022</t>
        </is>
      </c>
      <c r="B5292" s="1" t="n">
        <v>44620</v>
      </c>
      <c r="C5292" s="1" t="n">
        <v>45883</v>
      </c>
      <c r="D5292" t="inlineStr">
        <is>
          <t>GÄVLEBORGS LÄN</t>
        </is>
      </c>
      <c r="E5292" t="inlineStr">
        <is>
          <t>BOLLNÄS</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60957-2023</t>
        </is>
      </c>
      <c r="B5293" s="1" t="n">
        <v>45261</v>
      </c>
      <c r="C5293" s="1" t="n">
        <v>45883</v>
      </c>
      <c r="D5293" t="inlineStr">
        <is>
          <t>GÄVLEBORGS LÄN</t>
        </is>
      </c>
      <c r="E5293" t="inlineStr">
        <is>
          <t>LJUSDAL</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55878-2024</t>
        </is>
      </c>
      <c r="B5294" s="1" t="n">
        <v>45623</v>
      </c>
      <c r="C5294" s="1" t="n">
        <v>45883</v>
      </c>
      <c r="D5294" t="inlineStr">
        <is>
          <t>GÄVLEBORGS LÄN</t>
        </is>
      </c>
      <c r="E5294" t="inlineStr">
        <is>
          <t>GÄVLE</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39862-2023</t>
        </is>
      </c>
      <c r="B5295" s="1" t="n">
        <v>45168.38649305556</v>
      </c>
      <c r="C5295" s="1" t="n">
        <v>45883</v>
      </c>
      <c r="D5295" t="inlineStr">
        <is>
          <t>GÄVLEBORGS LÄN</t>
        </is>
      </c>
      <c r="E5295" t="inlineStr">
        <is>
          <t>OVANÅKER</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23701-2025</t>
        </is>
      </c>
      <c r="B5296" s="1" t="n">
        <v>45793.36111111111</v>
      </c>
      <c r="C5296" s="1" t="n">
        <v>45883</v>
      </c>
      <c r="D5296" t="inlineStr">
        <is>
          <t>GÄVLEBORGS LÄN</t>
        </is>
      </c>
      <c r="E5296" t="inlineStr">
        <is>
          <t>HUDIKSVALL</t>
        </is>
      </c>
      <c r="G5296" t="n">
        <v>4.7</v>
      </c>
      <c r="H5296" t="n">
        <v>0</v>
      </c>
      <c r="I5296" t="n">
        <v>0</v>
      </c>
      <c r="J5296" t="n">
        <v>0</v>
      </c>
      <c r="K5296" t="n">
        <v>0</v>
      </c>
      <c r="L5296" t="n">
        <v>0</v>
      </c>
      <c r="M5296" t="n">
        <v>0</v>
      </c>
      <c r="N5296" t="n">
        <v>0</v>
      </c>
      <c r="O5296" t="n">
        <v>0</v>
      </c>
      <c r="P5296" t="n">
        <v>0</v>
      </c>
      <c r="Q5296" t="n">
        <v>0</v>
      </c>
      <c r="R5296" s="2" t="inlineStr"/>
    </row>
    <row r="5297" ht="15" customHeight="1">
      <c r="A5297" t="inlineStr">
        <is>
          <t>A 61456-2024</t>
        </is>
      </c>
      <c r="B5297" s="1" t="n">
        <v>45646.4966087963</v>
      </c>
      <c r="C5297" s="1" t="n">
        <v>45883</v>
      </c>
      <c r="D5297" t="inlineStr">
        <is>
          <t>GÄVLEBORGS LÄN</t>
        </is>
      </c>
      <c r="E5297" t="inlineStr">
        <is>
          <t>OCKELBO</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44289-2023</t>
        </is>
      </c>
      <c r="B5298" s="1" t="n">
        <v>45188.63613425926</v>
      </c>
      <c r="C5298" s="1" t="n">
        <v>45883</v>
      </c>
      <c r="D5298" t="inlineStr">
        <is>
          <t>GÄVLEBORGS LÄN</t>
        </is>
      </c>
      <c r="E5298" t="inlineStr">
        <is>
          <t>SANDVIKEN</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20207-2024</t>
        </is>
      </c>
      <c r="B5299" s="1" t="n">
        <v>45434.65519675926</v>
      </c>
      <c r="C5299" s="1" t="n">
        <v>45883</v>
      </c>
      <c r="D5299" t="inlineStr">
        <is>
          <t>GÄVLEBORGS LÄN</t>
        </is>
      </c>
      <c r="E5299" t="inlineStr">
        <is>
          <t>OCKELBO</t>
        </is>
      </c>
      <c r="G5299" t="n">
        <v>7.6</v>
      </c>
      <c r="H5299" t="n">
        <v>0</v>
      </c>
      <c r="I5299" t="n">
        <v>0</v>
      </c>
      <c r="J5299" t="n">
        <v>0</v>
      </c>
      <c r="K5299" t="n">
        <v>0</v>
      </c>
      <c r="L5299" t="n">
        <v>0</v>
      </c>
      <c r="M5299" t="n">
        <v>0</v>
      </c>
      <c r="N5299" t="n">
        <v>0</v>
      </c>
      <c r="O5299" t="n">
        <v>0</v>
      </c>
      <c r="P5299" t="n">
        <v>0</v>
      </c>
      <c r="Q5299" t="n">
        <v>0</v>
      </c>
      <c r="R5299" s="2" t="inlineStr"/>
    </row>
    <row r="5300" ht="15" customHeight="1">
      <c r="A5300" t="inlineStr">
        <is>
          <t>A 43523-2024</t>
        </is>
      </c>
      <c r="B5300" s="1" t="n">
        <v>45569</v>
      </c>
      <c r="C5300" s="1" t="n">
        <v>45883</v>
      </c>
      <c r="D5300" t="inlineStr">
        <is>
          <t>GÄVLEBORGS LÄN</t>
        </is>
      </c>
      <c r="E5300" t="inlineStr">
        <is>
          <t>NORDANSTIG</t>
        </is>
      </c>
      <c r="F5300" t="inlineStr">
        <is>
          <t>Holmen skog AB</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45312-2023</t>
        </is>
      </c>
      <c r="B5301" s="1" t="n">
        <v>45191.70572916666</v>
      </c>
      <c r="C5301" s="1" t="n">
        <v>45883</v>
      </c>
      <c r="D5301" t="inlineStr">
        <is>
          <t>GÄVLEBORGS LÄN</t>
        </is>
      </c>
      <c r="E5301" t="inlineStr">
        <is>
          <t>NORDANSTIG</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15682-2024</t>
        </is>
      </c>
      <c r="B5302" s="1" t="n">
        <v>45404.42548611111</v>
      </c>
      <c r="C5302" s="1" t="n">
        <v>45883</v>
      </c>
      <c r="D5302" t="inlineStr">
        <is>
          <t>GÄVLEBORGS LÄN</t>
        </is>
      </c>
      <c r="E5302" t="inlineStr">
        <is>
          <t>SANDVIKEN</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24083-2025</t>
        </is>
      </c>
      <c r="B5303" s="1" t="n">
        <v>45796.56046296296</v>
      </c>
      <c r="C5303" s="1" t="n">
        <v>45883</v>
      </c>
      <c r="D5303" t="inlineStr">
        <is>
          <t>GÄVLEBORGS LÄN</t>
        </is>
      </c>
      <c r="E5303" t="inlineStr">
        <is>
          <t>SÖDERHAMN</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7129-2025</t>
        </is>
      </c>
      <c r="B5304" s="1" t="n">
        <v>45702</v>
      </c>
      <c r="C5304" s="1" t="n">
        <v>45883</v>
      </c>
      <c r="D5304" t="inlineStr">
        <is>
          <t>GÄVLEBORGS LÄN</t>
        </is>
      </c>
      <c r="E5304" t="inlineStr">
        <is>
          <t>BOLLNÄS</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60872-2024</t>
        </is>
      </c>
      <c r="B5305" s="1" t="n">
        <v>45644</v>
      </c>
      <c r="C5305" s="1" t="n">
        <v>45883</v>
      </c>
      <c r="D5305" t="inlineStr">
        <is>
          <t>GÄVLEBORGS LÄN</t>
        </is>
      </c>
      <c r="E5305" t="inlineStr">
        <is>
          <t>HUDIKSVALL</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17412-2023</t>
        </is>
      </c>
      <c r="B5306" s="1" t="n">
        <v>45035</v>
      </c>
      <c r="C5306" s="1" t="n">
        <v>45883</v>
      </c>
      <c r="D5306" t="inlineStr">
        <is>
          <t>GÄVLEBORGS LÄN</t>
        </is>
      </c>
      <c r="E5306" t="inlineStr">
        <is>
          <t>SÖDERHAMN</t>
        </is>
      </c>
      <c r="G5306" t="n">
        <v>4.8</v>
      </c>
      <c r="H5306" t="n">
        <v>0</v>
      </c>
      <c r="I5306" t="n">
        <v>0</v>
      </c>
      <c r="J5306" t="n">
        <v>0</v>
      </c>
      <c r="K5306" t="n">
        <v>0</v>
      </c>
      <c r="L5306" t="n">
        <v>0</v>
      </c>
      <c r="M5306" t="n">
        <v>0</v>
      </c>
      <c r="N5306" t="n">
        <v>0</v>
      </c>
      <c r="O5306" t="n">
        <v>0</v>
      </c>
      <c r="P5306" t="n">
        <v>0</v>
      </c>
      <c r="Q5306" t="n">
        <v>0</v>
      </c>
      <c r="R5306" s="2" t="inlineStr"/>
    </row>
    <row r="5307" ht="15" customHeight="1">
      <c r="A5307" t="inlineStr">
        <is>
          <t>A 61056-2024</t>
        </is>
      </c>
      <c r="B5307" s="1" t="n">
        <v>45645.48956018518</v>
      </c>
      <c r="C5307" s="1" t="n">
        <v>45883</v>
      </c>
      <c r="D5307" t="inlineStr">
        <is>
          <t>GÄVLEBORGS LÄN</t>
        </is>
      </c>
      <c r="E5307" t="inlineStr">
        <is>
          <t>GÄVLE</t>
        </is>
      </c>
      <c r="F5307" t="inlineStr">
        <is>
          <t>Bergvik skog öst AB</t>
        </is>
      </c>
      <c r="G5307" t="n">
        <v>5.3</v>
      </c>
      <c r="H5307" t="n">
        <v>0</v>
      </c>
      <c r="I5307" t="n">
        <v>0</v>
      </c>
      <c r="J5307" t="n">
        <v>0</v>
      </c>
      <c r="K5307" t="n">
        <v>0</v>
      </c>
      <c r="L5307" t="n">
        <v>0</v>
      </c>
      <c r="M5307" t="n">
        <v>0</v>
      </c>
      <c r="N5307" t="n">
        <v>0</v>
      </c>
      <c r="O5307" t="n">
        <v>0</v>
      </c>
      <c r="P5307" t="n">
        <v>0</v>
      </c>
      <c r="Q5307" t="n">
        <v>0</v>
      </c>
      <c r="R5307" s="2" t="inlineStr"/>
    </row>
    <row r="5308" ht="15" customHeight="1">
      <c r="A5308" t="inlineStr">
        <is>
          <t>A 49529-2024</t>
        </is>
      </c>
      <c r="B5308" s="1" t="n">
        <v>45596.4116087963</v>
      </c>
      <c r="C5308" s="1" t="n">
        <v>45883</v>
      </c>
      <c r="D5308" t="inlineStr">
        <is>
          <t>GÄVLEBORGS LÄN</t>
        </is>
      </c>
      <c r="E5308" t="inlineStr">
        <is>
          <t>OCKELBO</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6568-2024</t>
        </is>
      </c>
      <c r="B5309" s="1" t="n">
        <v>45341.46197916667</v>
      </c>
      <c r="C5309" s="1" t="n">
        <v>45883</v>
      </c>
      <c r="D5309" t="inlineStr">
        <is>
          <t>GÄVLEBORGS LÄN</t>
        </is>
      </c>
      <c r="E5309" t="inlineStr">
        <is>
          <t>OCKELBO</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60962-2024</t>
        </is>
      </c>
      <c r="B5310" s="1" t="n">
        <v>45645.39519675926</v>
      </c>
      <c r="C5310" s="1" t="n">
        <v>45883</v>
      </c>
      <c r="D5310" t="inlineStr">
        <is>
          <t>GÄVLEBORGS LÄN</t>
        </is>
      </c>
      <c r="E5310" t="inlineStr">
        <is>
          <t>OCKELBO</t>
        </is>
      </c>
      <c r="F5310" t="inlineStr">
        <is>
          <t>Kyrkan</t>
        </is>
      </c>
      <c r="G5310" t="n">
        <v>5.9</v>
      </c>
      <c r="H5310" t="n">
        <v>0</v>
      </c>
      <c r="I5310" t="n">
        <v>0</v>
      </c>
      <c r="J5310" t="n">
        <v>0</v>
      </c>
      <c r="K5310" t="n">
        <v>0</v>
      </c>
      <c r="L5310" t="n">
        <v>0</v>
      </c>
      <c r="M5310" t="n">
        <v>0</v>
      </c>
      <c r="N5310" t="n">
        <v>0</v>
      </c>
      <c r="O5310" t="n">
        <v>0</v>
      </c>
      <c r="P5310" t="n">
        <v>0</v>
      </c>
      <c r="Q5310" t="n">
        <v>0</v>
      </c>
      <c r="R5310" s="2" t="inlineStr"/>
    </row>
    <row r="5311" ht="15" customHeight="1">
      <c r="A5311" t="inlineStr">
        <is>
          <t>A 29742-2024</t>
        </is>
      </c>
      <c r="B5311" s="1" t="n">
        <v>45485</v>
      </c>
      <c r="C5311" s="1" t="n">
        <v>45883</v>
      </c>
      <c r="D5311" t="inlineStr">
        <is>
          <t>GÄVLEBORGS LÄN</t>
        </is>
      </c>
      <c r="E5311" t="inlineStr">
        <is>
          <t>BOLLNÄS</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55011-2024</t>
        </is>
      </c>
      <c r="B5312" s="1" t="n">
        <v>45621.34652777778</v>
      </c>
      <c r="C5312" s="1" t="n">
        <v>45883</v>
      </c>
      <c r="D5312" t="inlineStr">
        <is>
          <t>GÄVLEBORGS LÄN</t>
        </is>
      </c>
      <c r="E5312" t="inlineStr">
        <is>
          <t>OCKELBO</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13805-2022</t>
        </is>
      </c>
      <c r="B5313" s="1" t="n">
        <v>44649.58061342593</v>
      </c>
      <c r="C5313" s="1" t="n">
        <v>45883</v>
      </c>
      <c r="D5313" t="inlineStr">
        <is>
          <t>GÄVLEBORGS LÄN</t>
        </is>
      </c>
      <c r="E5313" t="inlineStr">
        <is>
          <t>SÖDERHAMN</t>
        </is>
      </c>
      <c r="G5313" t="n">
        <v>4.1</v>
      </c>
      <c r="H5313" t="n">
        <v>0</v>
      </c>
      <c r="I5313" t="n">
        <v>0</v>
      </c>
      <c r="J5313" t="n">
        <v>0</v>
      </c>
      <c r="K5313" t="n">
        <v>0</v>
      </c>
      <c r="L5313" t="n">
        <v>0</v>
      </c>
      <c r="M5313" t="n">
        <v>0</v>
      </c>
      <c r="N5313" t="n">
        <v>0</v>
      </c>
      <c r="O5313" t="n">
        <v>0</v>
      </c>
      <c r="P5313" t="n">
        <v>0</v>
      </c>
      <c r="Q5313" t="n">
        <v>0</v>
      </c>
      <c r="R5313" s="2" t="inlineStr"/>
    </row>
    <row r="5314" ht="15" customHeight="1">
      <c r="A5314" t="inlineStr">
        <is>
          <t>A 31062-2023</t>
        </is>
      </c>
      <c r="B5314" s="1" t="n">
        <v>45113</v>
      </c>
      <c r="C5314" s="1" t="n">
        <v>45883</v>
      </c>
      <c r="D5314" t="inlineStr">
        <is>
          <t>GÄVLEBORGS LÄN</t>
        </is>
      </c>
      <c r="E5314" t="inlineStr">
        <is>
          <t>GÄVLE</t>
        </is>
      </c>
      <c r="F5314" t="inlineStr">
        <is>
          <t>Kommuner</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20166-2022</t>
        </is>
      </c>
      <c r="B5315" s="1" t="n">
        <v>44698</v>
      </c>
      <c r="C5315" s="1" t="n">
        <v>45883</v>
      </c>
      <c r="D5315" t="inlineStr">
        <is>
          <t>GÄVLEBORGS LÄN</t>
        </is>
      </c>
      <c r="E5315" t="inlineStr">
        <is>
          <t>SÖDERHAMN</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23930-2025</t>
        </is>
      </c>
      <c r="B5316" s="1" t="n">
        <v>45795.6452662037</v>
      </c>
      <c r="C5316" s="1" t="n">
        <v>45883</v>
      </c>
      <c r="D5316" t="inlineStr">
        <is>
          <t>GÄVLEBORGS LÄN</t>
        </is>
      </c>
      <c r="E5316" t="inlineStr">
        <is>
          <t>BOLLNÄS</t>
        </is>
      </c>
      <c r="G5316" t="n">
        <v>7.9</v>
      </c>
      <c r="H5316" t="n">
        <v>0</v>
      </c>
      <c r="I5316" t="n">
        <v>0</v>
      </c>
      <c r="J5316" t="n">
        <v>0</v>
      </c>
      <c r="K5316" t="n">
        <v>0</v>
      </c>
      <c r="L5316" t="n">
        <v>0</v>
      </c>
      <c r="M5316" t="n">
        <v>0</v>
      </c>
      <c r="N5316" t="n">
        <v>0</v>
      </c>
      <c r="O5316" t="n">
        <v>0</v>
      </c>
      <c r="P5316" t="n">
        <v>0</v>
      </c>
      <c r="Q5316" t="n">
        <v>0</v>
      </c>
      <c r="R5316" s="2" t="inlineStr"/>
    </row>
    <row r="5317" ht="15" customHeight="1">
      <c r="A5317" t="inlineStr">
        <is>
          <t>A 52722-2024</t>
        </is>
      </c>
      <c r="B5317" s="1" t="n">
        <v>45610.43961805556</v>
      </c>
      <c r="C5317" s="1" t="n">
        <v>45883</v>
      </c>
      <c r="D5317" t="inlineStr">
        <is>
          <t>GÄVLEBORGS LÄN</t>
        </is>
      </c>
      <c r="E5317" t="inlineStr">
        <is>
          <t>LJUSDAL</t>
        </is>
      </c>
      <c r="G5317" t="n">
        <v>4.4</v>
      </c>
      <c r="H5317" t="n">
        <v>0</v>
      </c>
      <c r="I5317" t="n">
        <v>0</v>
      </c>
      <c r="J5317" t="n">
        <v>0</v>
      </c>
      <c r="K5317" t="n">
        <v>0</v>
      </c>
      <c r="L5317" t="n">
        <v>0</v>
      </c>
      <c r="M5317" t="n">
        <v>0</v>
      </c>
      <c r="N5317" t="n">
        <v>0</v>
      </c>
      <c r="O5317" t="n">
        <v>0</v>
      </c>
      <c r="P5317" t="n">
        <v>0</v>
      </c>
      <c r="Q5317" t="n">
        <v>0</v>
      </c>
      <c r="R5317" s="2" t="inlineStr"/>
    </row>
    <row r="5318" ht="15" customHeight="1">
      <c r="A5318" t="inlineStr">
        <is>
          <t>A 23788-2025</t>
        </is>
      </c>
      <c r="B5318" s="1" t="n">
        <v>45793.5347800926</v>
      </c>
      <c r="C5318" s="1" t="n">
        <v>45883</v>
      </c>
      <c r="D5318" t="inlineStr">
        <is>
          <t>GÄVLEBORGS LÄN</t>
        </is>
      </c>
      <c r="E5318" t="inlineStr">
        <is>
          <t>NORDANSTIG</t>
        </is>
      </c>
      <c r="F5318" t="inlineStr">
        <is>
          <t>Holmen skog AB</t>
        </is>
      </c>
      <c r="G5318" t="n">
        <v>2.8</v>
      </c>
      <c r="H5318" t="n">
        <v>0</v>
      </c>
      <c r="I5318" t="n">
        <v>0</v>
      </c>
      <c r="J5318" t="n">
        <v>0</v>
      </c>
      <c r="K5318" t="n">
        <v>0</v>
      </c>
      <c r="L5318" t="n">
        <v>0</v>
      </c>
      <c r="M5318" t="n">
        <v>0</v>
      </c>
      <c r="N5318" t="n">
        <v>0</v>
      </c>
      <c r="O5318" t="n">
        <v>0</v>
      </c>
      <c r="P5318" t="n">
        <v>0</v>
      </c>
      <c r="Q5318" t="n">
        <v>0</v>
      </c>
      <c r="R5318" s="2" t="inlineStr"/>
    </row>
    <row r="5319" ht="15" customHeight="1">
      <c r="A5319" t="inlineStr">
        <is>
          <t>A 16925-2021</t>
        </is>
      </c>
      <c r="B5319" s="1" t="n">
        <v>44295</v>
      </c>
      <c r="C5319" s="1" t="n">
        <v>45883</v>
      </c>
      <c r="D5319" t="inlineStr">
        <is>
          <t>GÄVLEBORGS LÄN</t>
        </is>
      </c>
      <c r="E5319" t="inlineStr">
        <is>
          <t>LJUSDAL</t>
        </is>
      </c>
      <c r="F5319" t="inlineStr">
        <is>
          <t>Bergvik skog väst AB</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23023-2022</t>
        </is>
      </c>
      <c r="B5320" s="1" t="n">
        <v>44719.38415509259</v>
      </c>
      <c r="C5320" s="1" t="n">
        <v>45883</v>
      </c>
      <c r="D5320" t="inlineStr">
        <is>
          <t>GÄVLEBORGS LÄN</t>
        </is>
      </c>
      <c r="E5320" t="inlineStr">
        <is>
          <t>OVANÅKER</t>
        </is>
      </c>
      <c r="G5320" t="n">
        <v>6.1</v>
      </c>
      <c r="H5320" t="n">
        <v>0</v>
      </c>
      <c r="I5320" t="n">
        <v>0</v>
      </c>
      <c r="J5320" t="n">
        <v>0</v>
      </c>
      <c r="K5320" t="n">
        <v>0</v>
      </c>
      <c r="L5320" t="n">
        <v>0</v>
      </c>
      <c r="M5320" t="n">
        <v>0</v>
      </c>
      <c r="N5320" t="n">
        <v>0</v>
      </c>
      <c r="O5320" t="n">
        <v>0</v>
      </c>
      <c r="P5320" t="n">
        <v>0</v>
      </c>
      <c r="Q5320" t="n">
        <v>0</v>
      </c>
      <c r="R5320" s="2" t="inlineStr"/>
    </row>
    <row r="5321" ht="15" customHeight="1">
      <c r="A5321" t="inlineStr">
        <is>
          <t>A 781-2025</t>
        </is>
      </c>
      <c r="B5321" s="1" t="n">
        <v>45665.4825</v>
      </c>
      <c r="C5321" s="1" t="n">
        <v>45883</v>
      </c>
      <c r="D5321" t="inlineStr">
        <is>
          <t>GÄVLEBORGS LÄN</t>
        </is>
      </c>
      <c r="E5321" t="inlineStr">
        <is>
          <t>SANDVIKEN</t>
        </is>
      </c>
      <c r="G5321" t="n">
        <v>6.3</v>
      </c>
      <c r="H5321" t="n">
        <v>0</v>
      </c>
      <c r="I5321" t="n">
        <v>0</v>
      </c>
      <c r="J5321" t="n">
        <v>0</v>
      </c>
      <c r="K5321" t="n">
        <v>0</v>
      </c>
      <c r="L5321" t="n">
        <v>0</v>
      </c>
      <c r="M5321" t="n">
        <v>0</v>
      </c>
      <c r="N5321" t="n">
        <v>0</v>
      </c>
      <c r="O5321" t="n">
        <v>0</v>
      </c>
      <c r="P5321" t="n">
        <v>0</v>
      </c>
      <c r="Q5321" t="n">
        <v>0</v>
      </c>
      <c r="R5321" s="2" t="inlineStr"/>
    </row>
    <row r="5322" ht="15" customHeight="1">
      <c r="A5322" t="inlineStr">
        <is>
          <t>A 44177-2022</t>
        </is>
      </c>
      <c r="B5322" s="1" t="n">
        <v>44839</v>
      </c>
      <c r="C5322" s="1" t="n">
        <v>45883</v>
      </c>
      <c r="D5322" t="inlineStr">
        <is>
          <t>GÄVLEBORGS LÄN</t>
        </is>
      </c>
      <c r="E5322" t="inlineStr">
        <is>
          <t>BOLLNÄS</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6724-2024</t>
        </is>
      </c>
      <c r="B5323" s="1" t="n">
        <v>45342.3765162037</v>
      </c>
      <c r="C5323" s="1" t="n">
        <v>45883</v>
      </c>
      <c r="D5323" t="inlineStr">
        <is>
          <t>GÄVLEBORGS LÄN</t>
        </is>
      </c>
      <c r="E5323" t="inlineStr">
        <is>
          <t>LJUSDAL</t>
        </is>
      </c>
      <c r="F5323" t="inlineStr">
        <is>
          <t>Bergvik skog väst AB</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25655-2024</t>
        </is>
      </c>
      <c r="B5324" s="1" t="n">
        <v>45463.68395833333</v>
      </c>
      <c r="C5324" s="1" t="n">
        <v>45883</v>
      </c>
      <c r="D5324" t="inlineStr">
        <is>
          <t>GÄVLEBORGS LÄN</t>
        </is>
      </c>
      <c r="E5324" t="inlineStr">
        <is>
          <t>GÄVLE</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25182-2024</t>
        </is>
      </c>
      <c r="B5325" s="1" t="n">
        <v>45462.55569444445</v>
      </c>
      <c r="C5325" s="1" t="n">
        <v>45883</v>
      </c>
      <c r="D5325" t="inlineStr">
        <is>
          <t>GÄVLEBORGS LÄN</t>
        </is>
      </c>
      <c r="E5325" t="inlineStr">
        <is>
          <t>HUDIKSVALL</t>
        </is>
      </c>
      <c r="F5325" t="inlineStr">
        <is>
          <t>Holmen skog AB</t>
        </is>
      </c>
      <c r="G5325" t="n">
        <v>3.5</v>
      </c>
      <c r="H5325" t="n">
        <v>0</v>
      </c>
      <c r="I5325" t="n">
        <v>0</v>
      </c>
      <c r="J5325" t="n">
        <v>0</v>
      </c>
      <c r="K5325" t="n">
        <v>0</v>
      </c>
      <c r="L5325" t="n">
        <v>0</v>
      </c>
      <c r="M5325" t="n">
        <v>0</v>
      </c>
      <c r="N5325" t="n">
        <v>0</v>
      </c>
      <c r="O5325" t="n">
        <v>0</v>
      </c>
      <c r="P5325" t="n">
        <v>0</v>
      </c>
      <c r="Q5325" t="n">
        <v>0</v>
      </c>
      <c r="R5325" s="2" t="inlineStr"/>
    </row>
    <row r="5326" ht="15" customHeight="1">
      <c r="A5326" t="inlineStr">
        <is>
          <t>A 44571-2024</t>
        </is>
      </c>
      <c r="B5326" s="1" t="n">
        <v>45574</v>
      </c>
      <c r="C5326" s="1" t="n">
        <v>45883</v>
      </c>
      <c r="D5326" t="inlineStr">
        <is>
          <t>GÄVLEBORGS LÄN</t>
        </is>
      </c>
      <c r="E5326" t="inlineStr">
        <is>
          <t>OVANÅKER</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24101-2025</t>
        </is>
      </c>
      <c r="B5327" s="1" t="n">
        <v>45796.59533564815</v>
      </c>
      <c r="C5327" s="1" t="n">
        <v>45883</v>
      </c>
      <c r="D5327" t="inlineStr">
        <is>
          <t>GÄVLEBORGS LÄN</t>
        </is>
      </c>
      <c r="E5327" t="inlineStr">
        <is>
          <t>NORDANSTIG</t>
        </is>
      </c>
      <c r="G5327" t="n">
        <v>4.9</v>
      </c>
      <c r="H5327" t="n">
        <v>0</v>
      </c>
      <c r="I5327" t="n">
        <v>0</v>
      </c>
      <c r="J5327" t="n">
        <v>0</v>
      </c>
      <c r="K5327" t="n">
        <v>0</v>
      </c>
      <c r="L5327" t="n">
        <v>0</v>
      </c>
      <c r="M5327" t="n">
        <v>0</v>
      </c>
      <c r="N5327" t="n">
        <v>0</v>
      </c>
      <c r="O5327" t="n">
        <v>0</v>
      </c>
      <c r="P5327" t="n">
        <v>0</v>
      </c>
      <c r="Q5327" t="n">
        <v>0</v>
      </c>
      <c r="R5327" s="2" t="inlineStr"/>
    </row>
    <row r="5328" ht="15" customHeight="1">
      <c r="A5328" t="inlineStr">
        <is>
          <t>A 57781-2024</t>
        </is>
      </c>
      <c r="B5328" s="1" t="n">
        <v>45631</v>
      </c>
      <c r="C5328" s="1" t="n">
        <v>45883</v>
      </c>
      <c r="D5328" t="inlineStr">
        <is>
          <t>GÄVLEBORGS LÄN</t>
        </is>
      </c>
      <c r="E5328" t="inlineStr">
        <is>
          <t>BOLLNÄS</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14482-2021</t>
        </is>
      </c>
      <c r="B5329" s="1" t="n">
        <v>44279</v>
      </c>
      <c r="C5329" s="1" t="n">
        <v>45883</v>
      </c>
      <c r="D5329" t="inlineStr">
        <is>
          <t>GÄVLEBORGS LÄN</t>
        </is>
      </c>
      <c r="E5329" t="inlineStr">
        <is>
          <t>BOLLNÄS</t>
        </is>
      </c>
      <c r="F5329" t="inlineStr">
        <is>
          <t>Kommuner</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33334-2024</t>
        </is>
      </c>
      <c r="B5330" s="1" t="n">
        <v>45519.31891203704</v>
      </c>
      <c r="C5330" s="1" t="n">
        <v>45883</v>
      </c>
      <c r="D5330" t="inlineStr">
        <is>
          <t>GÄVLEBORGS LÄN</t>
        </is>
      </c>
      <c r="E5330" t="inlineStr">
        <is>
          <t>OCKELBO</t>
        </is>
      </c>
      <c r="F5330" t="inlineStr">
        <is>
          <t>Bergvik skog väst AB</t>
        </is>
      </c>
      <c r="G5330" t="n">
        <v>7.9</v>
      </c>
      <c r="H5330" t="n">
        <v>0</v>
      </c>
      <c r="I5330" t="n">
        <v>0</v>
      </c>
      <c r="J5330" t="n">
        <v>0</v>
      </c>
      <c r="K5330" t="n">
        <v>0</v>
      </c>
      <c r="L5330" t="n">
        <v>0</v>
      </c>
      <c r="M5330" t="n">
        <v>0</v>
      </c>
      <c r="N5330" t="n">
        <v>0</v>
      </c>
      <c r="O5330" t="n">
        <v>0</v>
      </c>
      <c r="P5330" t="n">
        <v>0</v>
      </c>
      <c r="Q5330" t="n">
        <v>0</v>
      </c>
      <c r="R5330" s="2" t="inlineStr"/>
    </row>
    <row r="5331" ht="15" customHeight="1">
      <c r="A5331" t="inlineStr">
        <is>
          <t>A 18991-2025</t>
        </is>
      </c>
      <c r="B5331" s="1" t="n">
        <v>45764.57142361111</v>
      </c>
      <c r="C5331" s="1" t="n">
        <v>45883</v>
      </c>
      <c r="D5331" t="inlineStr">
        <is>
          <t>GÄVLEBORGS LÄN</t>
        </is>
      </c>
      <c r="E5331" t="inlineStr">
        <is>
          <t>HUDIKSVALL</t>
        </is>
      </c>
      <c r="F5331" t="inlineStr">
        <is>
          <t>Holmen skog AB</t>
        </is>
      </c>
      <c r="G5331" t="n">
        <v>6.8</v>
      </c>
      <c r="H5331" t="n">
        <v>0</v>
      </c>
      <c r="I5331" t="n">
        <v>0</v>
      </c>
      <c r="J5331" t="n">
        <v>0</v>
      </c>
      <c r="K5331" t="n">
        <v>0</v>
      </c>
      <c r="L5331" t="n">
        <v>0</v>
      </c>
      <c r="M5331" t="n">
        <v>0</v>
      </c>
      <c r="N5331" t="n">
        <v>0</v>
      </c>
      <c r="O5331" t="n">
        <v>0</v>
      </c>
      <c r="P5331" t="n">
        <v>0</v>
      </c>
      <c r="Q5331" t="n">
        <v>0</v>
      </c>
      <c r="R5331" s="2" t="inlineStr"/>
    </row>
    <row r="5332" ht="15" customHeight="1">
      <c r="A5332" t="inlineStr">
        <is>
          <t>A 23922-2025</t>
        </is>
      </c>
      <c r="B5332" s="1" t="n">
        <v>45795.34521990741</v>
      </c>
      <c r="C5332" s="1" t="n">
        <v>45883</v>
      </c>
      <c r="D5332" t="inlineStr">
        <is>
          <t>GÄVLEBORGS LÄN</t>
        </is>
      </c>
      <c r="E5332" t="inlineStr">
        <is>
          <t>LJUSDAL</t>
        </is>
      </c>
      <c r="F5332" t="inlineStr">
        <is>
          <t>SCA</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18997-2025</t>
        </is>
      </c>
      <c r="B5333" s="1" t="n">
        <v>45764.57668981481</v>
      </c>
      <c r="C5333" s="1" t="n">
        <v>45883</v>
      </c>
      <c r="D5333" t="inlineStr">
        <is>
          <t>GÄVLEBORGS LÄN</t>
        </is>
      </c>
      <c r="E5333" t="inlineStr">
        <is>
          <t>HUDIKSVALL</t>
        </is>
      </c>
      <c r="F5333" t="inlineStr">
        <is>
          <t>Holmen skog AB</t>
        </is>
      </c>
      <c r="G5333" t="n">
        <v>3.5</v>
      </c>
      <c r="H5333" t="n">
        <v>0</v>
      </c>
      <c r="I5333" t="n">
        <v>0</v>
      </c>
      <c r="J5333" t="n">
        <v>0</v>
      </c>
      <c r="K5333" t="n">
        <v>0</v>
      </c>
      <c r="L5333" t="n">
        <v>0</v>
      </c>
      <c r="M5333" t="n">
        <v>0</v>
      </c>
      <c r="N5333" t="n">
        <v>0</v>
      </c>
      <c r="O5333" t="n">
        <v>0</v>
      </c>
      <c r="P5333" t="n">
        <v>0</v>
      </c>
      <c r="Q5333" t="n">
        <v>0</v>
      </c>
      <c r="R5333" s="2" t="inlineStr"/>
    </row>
    <row r="5334" ht="15" customHeight="1">
      <c r="A5334" t="inlineStr">
        <is>
          <t>A 2176-2025</t>
        </is>
      </c>
      <c r="B5334" s="1" t="n">
        <v>45673.33479166667</v>
      </c>
      <c r="C5334" s="1" t="n">
        <v>45883</v>
      </c>
      <c r="D5334" t="inlineStr">
        <is>
          <t>GÄVLEBORGS LÄN</t>
        </is>
      </c>
      <c r="E5334" t="inlineStr">
        <is>
          <t>OVANÅKER</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23663-2025</t>
        </is>
      </c>
      <c r="B5335" s="1" t="n">
        <v>45792.81592592593</v>
      </c>
      <c r="C5335" s="1" t="n">
        <v>45883</v>
      </c>
      <c r="D5335" t="inlineStr">
        <is>
          <t>GÄVLEBORGS LÄN</t>
        </is>
      </c>
      <c r="E5335" t="inlineStr">
        <is>
          <t>HUDIKSVALL</t>
        </is>
      </c>
      <c r="F5335" t="inlineStr">
        <is>
          <t>Holmen skog AB</t>
        </is>
      </c>
      <c r="G5335" t="n">
        <v>24.7</v>
      </c>
      <c r="H5335" t="n">
        <v>0</v>
      </c>
      <c r="I5335" t="n">
        <v>0</v>
      </c>
      <c r="J5335" t="n">
        <v>0</v>
      </c>
      <c r="K5335" t="n">
        <v>0</v>
      </c>
      <c r="L5335" t="n">
        <v>0</v>
      </c>
      <c r="M5335" t="n">
        <v>0</v>
      </c>
      <c r="N5335" t="n">
        <v>0</v>
      </c>
      <c r="O5335" t="n">
        <v>0</v>
      </c>
      <c r="P5335" t="n">
        <v>0</v>
      </c>
      <c r="Q5335" t="n">
        <v>0</v>
      </c>
      <c r="R5335" s="2" t="inlineStr"/>
    </row>
    <row r="5336" ht="15" customHeight="1">
      <c r="A5336" t="inlineStr">
        <is>
          <t>A 23666-2025</t>
        </is>
      </c>
      <c r="B5336" s="1" t="n">
        <v>45792.84364583333</v>
      </c>
      <c r="C5336" s="1" t="n">
        <v>45883</v>
      </c>
      <c r="D5336" t="inlineStr">
        <is>
          <t>GÄVLEBORGS LÄN</t>
        </is>
      </c>
      <c r="E5336" t="inlineStr">
        <is>
          <t>HOFORS</t>
        </is>
      </c>
      <c r="G5336" t="n">
        <v>0.4</v>
      </c>
      <c r="H5336" t="n">
        <v>0</v>
      </c>
      <c r="I5336" t="n">
        <v>0</v>
      </c>
      <c r="J5336" t="n">
        <v>0</v>
      </c>
      <c r="K5336" t="n">
        <v>0</v>
      </c>
      <c r="L5336" t="n">
        <v>0</v>
      </c>
      <c r="M5336" t="n">
        <v>0</v>
      </c>
      <c r="N5336" t="n">
        <v>0</v>
      </c>
      <c r="O5336" t="n">
        <v>0</v>
      </c>
      <c r="P5336" t="n">
        <v>0</v>
      </c>
      <c r="Q5336" t="n">
        <v>0</v>
      </c>
      <c r="R5336" s="2" t="inlineStr"/>
    </row>
    <row r="5337" ht="15" customHeight="1">
      <c r="A5337" t="inlineStr">
        <is>
          <t>A 21263-2024</t>
        </is>
      </c>
      <c r="B5337" s="1" t="n">
        <v>45440</v>
      </c>
      <c r="C5337" s="1" t="n">
        <v>45883</v>
      </c>
      <c r="D5337" t="inlineStr">
        <is>
          <t>GÄVLEBORGS LÄN</t>
        </is>
      </c>
      <c r="E5337" t="inlineStr">
        <is>
          <t>OVANÅKER</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8979-2024</t>
        </is>
      </c>
      <c r="B5338" s="1" t="n">
        <v>45357</v>
      </c>
      <c r="C5338" s="1" t="n">
        <v>45883</v>
      </c>
      <c r="D5338" t="inlineStr">
        <is>
          <t>GÄVLEBORGS LÄN</t>
        </is>
      </c>
      <c r="E5338" t="inlineStr">
        <is>
          <t>LJUSDAL</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26728-2022</t>
        </is>
      </c>
      <c r="B5339" s="1" t="n">
        <v>44739.92518518519</v>
      </c>
      <c r="C5339" s="1" t="n">
        <v>45883</v>
      </c>
      <c r="D5339" t="inlineStr">
        <is>
          <t>GÄVLEBORGS LÄN</t>
        </is>
      </c>
      <c r="E5339" t="inlineStr">
        <is>
          <t>NORDANSTIG</t>
        </is>
      </c>
      <c r="G5339" t="n">
        <v>6.5</v>
      </c>
      <c r="H5339" t="n">
        <v>0</v>
      </c>
      <c r="I5339" t="n">
        <v>0</v>
      </c>
      <c r="J5339" t="n">
        <v>0</v>
      </c>
      <c r="K5339" t="n">
        <v>0</v>
      </c>
      <c r="L5339" t="n">
        <v>0</v>
      </c>
      <c r="M5339" t="n">
        <v>0</v>
      </c>
      <c r="N5339" t="n">
        <v>0</v>
      </c>
      <c r="O5339" t="n">
        <v>0</v>
      </c>
      <c r="P5339" t="n">
        <v>0</v>
      </c>
      <c r="Q5339" t="n">
        <v>0</v>
      </c>
      <c r="R5339" s="2" t="inlineStr"/>
    </row>
    <row r="5340" ht="15" customHeight="1">
      <c r="A5340" t="inlineStr">
        <is>
          <t>A 53719-2024</t>
        </is>
      </c>
      <c r="B5340" s="1" t="n">
        <v>45615.43756944445</v>
      </c>
      <c r="C5340" s="1" t="n">
        <v>45883</v>
      </c>
      <c r="D5340" t="inlineStr">
        <is>
          <t>GÄVLEBORGS LÄN</t>
        </is>
      </c>
      <c r="E5340" t="inlineStr">
        <is>
          <t>SANDVIKEN</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53804-2024</t>
        </is>
      </c>
      <c r="B5341" s="1" t="n">
        <v>45615.59229166667</v>
      </c>
      <c r="C5341" s="1" t="n">
        <v>45883</v>
      </c>
      <c r="D5341" t="inlineStr">
        <is>
          <t>GÄVLEBORGS LÄN</t>
        </is>
      </c>
      <c r="E5341" t="inlineStr">
        <is>
          <t>LJUSDAL</t>
        </is>
      </c>
      <c r="G5341" t="n">
        <v>34.2</v>
      </c>
      <c r="H5341" t="n">
        <v>0</v>
      </c>
      <c r="I5341" t="n">
        <v>0</v>
      </c>
      <c r="J5341" t="n">
        <v>0</v>
      </c>
      <c r="K5341" t="n">
        <v>0</v>
      </c>
      <c r="L5341" t="n">
        <v>0</v>
      </c>
      <c r="M5341" t="n">
        <v>0</v>
      </c>
      <c r="N5341" t="n">
        <v>0</v>
      </c>
      <c r="O5341" t="n">
        <v>0</v>
      </c>
      <c r="P5341" t="n">
        <v>0</v>
      </c>
      <c r="Q5341" t="n">
        <v>0</v>
      </c>
      <c r="R5341" s="2" t="inlineStr"/>
    </row>
    <row r="5342" ht="15" customHeight="1">
      <c r="A5342" t="inlineStr">
        <is>
          <t>A 45509-2024</t>
        </is>
      </c>
      <c r="B5342" s="1" t="n">
        <v>45578</v>
      </c>
      <c r="C5342" s="1" t="n">
        <v>45883</v>
      </c>
      <c r="D5342" t="inlineStr">
        <is>
          <t>GÄVLEBORGS LÄN</t>
        </is>
      </c>
      <c r="E5342" t="inlineStr">
        <is>
          <t>LJUSDAL</t>
        </is>
      </c>
      <c r="F5342" t="inlineStr">
        <is>
          <t>Naturvårdsverket</t>
        </is>
      </c>
      <c r="G5342" t="n">
        <v>11.9</v>
      </c>
      <c r="H5342" t="n">
        <v>0</v>
      </c>
      <c r="I5342" t="n">
        <v>0</v>
      </c>
      <c r="J5342" t="n">
        <v>0</v>
      </c>
      <c r="K5342" t="n">
        <v>0</v>
      </c>
      <c r="L5342" t="n">
        <v>0</v>
      </c>
      <c r="M5342" t="n">
        <v>0</v>
      </c>
      <c r="N5342" t="n">
        <v>0</v>
      </c>
      <c r="O5342" t="n">
        <v>0</v>
      </c>
      <c r="P5342" t="n">
        <v>0</v>
      </c>
      <c r="Q5342" t="n">
        <v>0</v>
      </c>
      <c r="R5342" s="2" t="inlineStr"/>
    </row>
    <row r="5343" ht="15" customHeight="1">
      <c r="A5343" t="inlineStr">
        <is>
          <t>A 15403-2022</t>
        </is>
      </c>
      <c r="B5343" s="1" t="n">
        <v>44659</v>
      </c>
      <c r="C5343" s="1" t="n">
        <v>45883</v>
      </c>
      <c r="D5343" t="inlineStr">
        <is>
          <t>GÄVLEBORGS LÄN</t>
        </is>
      </c>
      <c r="E5343" t="inlineStr">
        <is>
          <t>OCKELBO</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18966-2025</t>
        </is>
      </c>
      <c r="B5344" s="1" t="n">
        <v>45764</v>
      </c>
      <c r="C5344" s="1" t="n">
        <v>45883</v>
      </c>
      <c r="D5344" t="inlineStr">
        <is>
          <t>GÄVLEBORGS LÄN</t>
        </is>
      </c>
      <c r="E5344" t="inlineStr">
        <is>
          <t>GÄVLE</t>
        </is>
      </c>
      <c r="F5344" t="inlineStr">
        <is>
          <t>Bergvik skog väst AB</t>
        </is>
      </c>
      <c r="G5344" t="n">
        <v>11.6</v>
      </c>
      <c r="H5344" t="n">
        <v>0</v>
      </c>
      <c r="I5344" t="n">
        <v>0</v>
      </c>
      <c r="J5344" t="n">
        <v>0</v>
      </c>
      <c r="K5344" t="n">
        <v>0</v>
      </c>
      <c r="L5344" t="n">
        <v>0</v>
      </c>
      <c r="M5344" t="n">
        <v>0</v>
      </c>
      <c r="N5344" t="n">
        <v>0</v>
      </c>
      <c r="O5344" t="n">
        <v>0</v>
      </c>
      <c r="P5344" t="n">
        <v>0</v>
      </c>
      <c r="Q5344" t="n">
        <v>0</v>
      </c>
      <c r="R5344" s="2" t="inlineStr"/>
    </row>
    <row r="5345" ht="15" customHeight="1">
      <c r="A5345" t="inlineStr">
        <is>
          <t>A 47894-2024</t>
        </is>
      </c>
      <c r="B5345" s="1" t="n">
        <v>45588.87435185185</v>
      </c>
      <c r="C5345" s="1" t="n">
        <v>45883</v>
      </c>
      <c r="D5345" t="inlineStr">
        <is>
          <t>GÄVLEBORGS LÄN</t>
        </is>
      </c>
      <c r="E5345" t="inlineStr">
        <is>
          <t>BOLLNÄS</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48628-2024</t>
        </is>
      </c>
      <c r="B5346" s="1" t="n">
        <v>45593</v>
      </c>
      <c r="C5346" s="1" t="n">
        <v>45883</v>
      </c>
      <c r="D5346" t="inlineStr">
        <is>
          <t>GÄVLEBORGS LÄN</t>
        </is>
      </c>
      <c r="E5346" t="inlineStr">
        <is>
          <t>OCKELBO</t>
        </is>
      </c>
      <c r="G5346" t="n">
        <v>7.9</v>
      </c>
      <c r="H5346" t="n">
        <v>0</v>
      </c>
      <c r="I5346" t="n">
        <v>0</v>
      </c>
      <c r="J5346" t="n">
        <v>0</v>
      </c>
      <c r="K5346" t="n">
        <v>0</v>
      </c>
      <c r="L5346" t="n">
        <v>0</v>
      </c>
      <c r="M5346" t="n">
        <v>0</v>
      </c>
      <c r="N5346" t="n">
        <v>0</v>
      </c>
      <c r="O5346" t="n">
        <v>0</v>
      </c>
      <c r="P5346" t="n">
        <v>0</v>
      </c>
      <c r="Q5346" t="n">
        <v>0</v>
      </c>
      <c r="R5346" s="2" t="inlineStr"/>
    </row>
    <row r="5347" ht="15" customHeight="1">
      <c r="A5347" t="inlineStr">
        <is>
          <t>A 50480-2024</t>
        </is>
      </c>
      <c r="B5347" s="1" t="n">
        <v>45601.47907407407</v>
      </c>
      <c r="C5347" s="1" t="n">
        <v>45883</v>
      </c>
      <c r="D5347" t="inlineStr">
        <is>
          <t>GÄVLEBORGS LÄN</t>
        </is>
      </c>
      <c r="E5347" t="inlineStr">
        <is>
          <t>OVANÅKER</t>
        </is>
      </c>
      <c r="G5347" t="n">
        <v>3.8</v>
      </c>
      <c r="H5347" t="n">
        <v>0</v>
      </c>
      <c r="I5347" t="n">
        <v>0</v>
      </c>
      <c r="J5347" t="n">
        <v>0</v>
      </c>
      <c r="K5347" t="n">
        <v>0</v>
      </c>
      <c r="L5347" t="n">
        <v>0</v>
      </c>
      <c r="M5347" t="n">
        <v>0</v>
      </c>
      <c r="N5347" t="n">
        <v>0</v>
      </c>
      <c r="O5347" t="n">
        <v>0</v>
      </c>
      <c r="P5347" t="n">
        <v>0</v>
      </c>
      <c r="Q5347" t="n">
        <v>0</v>
      </c>
      <c r="R5347" s="2" t="inlineStr"/>
    </row>
    <row r="5348" ht="15" customHeight="1">
      <c r="A5348" t="inlineStr">
        <is>
          <t>A 53624-2024</t>
        </is>
      </c>
      <c r="B5348" s="1" t="n">
        <v>45614</v>
      </c>
      <c r="C5348" s="1" t="n">
        <v>45883</v>
      </c>
      <c r="D5348" t="inlineStr">
        <is>
          <t>GÄVLEBORGS LÄN</t>
        </is>
      </c>
      <c r="E5348" t="inlineStr">
        <is>
          <t>HUDIKSVALL</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47688-2024</t>
        </is>
      </c>
      <c r="B5349" s="1" t="n">
        <v>45588.44521990741</v>
      </c>
      <c r="C5349" s="1" t="n">
        <v>45883</v>
      </c>
      <c r="D5349" t="inlineStr">
        <is>
          <t>GÄVLEBORGS LÄN</t>
        </is>
      </c>
      <c r="E5349" t="inlineStr">
        <is>
          <t>HUDIKSVALL</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61131-2024</t>
        </is>
      </c>
      <c r="B5350" s="1" t="n">
        <v>45645.58155092593</v>
      </c>
      <c r="C5350" s="1" t="n">
        <v>45883</v>
      </c>
      <c r="D5350" t="inlineStr">
        <is>
          <t>GÄVLEBORGS LÄN</t>
        </is>
      </c>
      <c r="E5350" t="inlineStr">
        <is>
          <t>GÄVLE</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17735-2024</t>
        </is>
      </c>
      <c r="B5351" s="1" t="n">
        <v>45418.5744675926</v>
      </c>
      <c r="C5351" s="1" t="n">
        <v>45883</v>
      </c>
      <c r="D5351" t="inlineStr">
        <is>
          <t>GÄVLEBORGS LÄN</t>
        </is>
      </c>
      <c r="E5351" t="inlineStr">
        <is>
          <t>SANDVIKEN</t>
        </is>
      </c>
      <c r="G5351" t="n">
        <v>5.1</v>
      </c>
      <c r="H5351" t="n">
        <v>0</v>
      </c>
      <c r="I5351" t="n">
        <v>0</v>
      </c>
      <c r="J5351" t="n">
        <v>0</v>
      </c>
      <c r="K5351" t="n">
        <v>0</v>
      </c>
      <c r="L5351" t="n">
        <v>0</v>
      </c>
      <c r="M5351" t="n">
        <v>0</v>
      </c>
      <c r="N5351" t="n">
        <v>0</v>
      </c>
      <c r="O5351" t="n">
        <v>0</v>
      </c>
      <c r="P5351" t="n">
        <v>0</v>
      </c>
      <c r="Q5351" t="n">
        <v>0</v>
      </c>
      <c r="R5351" s="2" t="inlineStr"/>
    </row>
    <row r="5352" ht="15" customHeight="1">
      <c r="A5352" t="inlineStr">
        <is>
          <t>A 2802-2025</t>
        </is>
      </c>
      <c r="B5352" s="1" t="n">
        <v>45677.58137731482</v>
      </c>
      <c r="C5352" s="1" t="n">
        <v>45883</v>
      </c>
      <c r="D5352" t="inlineStr">
        <is>
          <t>GÄVLEBORGS LÄN</t>
        </is>
      </c>
      <c r="E5352" t="inlineStr">
        <is>
          <t>BOLLNÄS</t>
        </is>
      </c>
      <c r="G5352" t="n">
        <v>4.4</v>
      </c>
      <c r="H5352" t="n">
        <v>0</v>
      </c>
      <c r="I5352" t="n">
        <v>0</v>
      </c>
      <c r="J5352" t="n">
        <v>0</v>
      </c>
      <c r="K5352" t="n">
        <v>0</v>
      </c>
      <c r="L5352" t="n">
        <v>0</v>
      </c>
      <c r="M5352" t="n">
        <v>0</v>
      </c>
      <c r="N5352" t="n">
        <v>0</v>
      </c>
      <c r="O5352" t="n">
        <v>0</v>
      </c>
      <c r="P5352" t="n">
        <v>0</v>
      </c>
      <c r="Q5352" t="n">
        <v>0</v>
      </c>
      <c r="R5352" s="2" t="inlineStr"/>
    </row>
    <row r="5353" ht="15" customHeight="1">
      <c r="A5353" t="inlineStr">
        <is>
          <t>A 12184-2025</t>
        </is>
      </c>
      <c r="B5353" s="1" t="n">
        <v>45729.46375</v>
      </c>
      <c r="C5353" s="1" t="n">
        <v>45883</v>
      </c>
      <c r="D5353" t="inlineStr">
        <is>
          <t>GÄVLEBORGS LÄN</t>
        </is>
      </c>
      <c r="E5353" t="inlineStr">
        <is>
          <t>GÄVLE</t>
        </is>
      </c>
      <c r="F5353" t="inlineStr">
        <is>
          <t>Bergvik skog öst AB</t>
        </is>
      </c>
      <c r="G5353" t="n">
        <v>7.8</v>
      </c>
      <c r="H5353" t="n">
        <v>0</v>
      </c>
      <c r="I5353" t="n">
        <v>0</v>
      </c>
      <c r="J5353" t="n">
        <v>0</v>
      </c>
      <c r="K5353" t="n">
        <v>0</v>
      </c>
      <c r="L5353" t="n">
        <v>0</v>
      </c>
      <c r="M5353" t="n">
        <v>0</v>
      </c>
      <c r="N5353" t="n">
        <v>0</v>
      </c>
      <c r="O5353" t="n">
        <v>0</v>
      </c>
      <c r="P5353" t="n">
        <v>0</v>
      </c>
      <c r="Q5353" t="n">
        <v>0</v>
      </c>
      <c r="R5353" s="2" t="inlineStr"/>
    </row>
    <row r="5354" ht="15" customHeight="1">
      <c r="A5354" t="inlineStr">
        <is>
          <t>A 58867-2024</t>
        </is>
      </c>
      <c r="B5354" s="1" t="n">
        <v>45636.4278125</v>
      </c>
      <c r="C5354" s="1" t="n">
        <v>45883</v>
      </c>
      <c r="D5354" t="inlineStr">
        <is>
          <t>GÄVLEBORGS LÄN</t>
        </is>
      </c>
      <c r="E5354" t="inlineStr">
        <is>
          <t>SÖDERHAMN</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58872-2024</t>
        </is>
      </c>
      <c r="B5355" s="1" t="n">
        <v>45636.44068287037</v>
      </c>
      <c r="C5355" s="1" t="n">
        <v>45883</v>
      </c>
      <c r="D5355" t="inlineStr">
        <is>
          <t>GÄVLEBORGS LÄN</t>
        </is>
      </c>
      <c r="E5355" t="inlineStr">
        <is>
          <t>NORDANSTIG</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57485-2024</t>
        </is>
      </c>
      <c r="B5356" s="1" t="n">
        <v>45630.35421296296</v>
      </c>
      <c r="C5356" s="1" t="n">
        <v>45883</v>
      </c>
      <c r="D5356" t="inlineStr">
        <is>
          <t>GÄVLEBORGS LÄN</t>
        </is>
      </c>
      <c r="E5356" t="inlineStr">
        <is>
          <t>OCKELBO</t>
        </is>
      </c>
      <c r="G5356" t="n">
        <v>9.199999999999999</v>
      </c>
      <c r="H5356" t="n">
        <v>0</v>
      </c>
      <c r="I5356" t="n">
        <v>0</v>
      </c>
      <c r="J5356" t="n">
        <v>0</v>
      </c>
      <c r="K5356" t="n">
        <v>0</v>
      </c>
      <c r="L5356" t="n">
        <v>0</v>
      </c>
      <c r="M5356" t="n">
        <v>0</v>
      </c>
      <c r="N5356" t="n">
        <v>0</v>
      </c>
      <c r="O5356" t="n">
        <v>0</v>
      </c>
      <c r="P5356" t="n">
        <v>0</v>
      </c>
      <c r="Q5356" t="n">
        <v>0</v>
      </c>
      <c r="R5356" s="2" t="inlineStr"/>
    </row>
    <row r="5357" ht="15" customHeight="1">
      <c r="A5357" t="inlineStr">
        <is>
          <t>A 58538-2024</t>
        </is>
      </c>
      <c r="B5357" s="1" t="n">
        <v>45635.45099537037</v>
      </c>
      <c r="C5357" s="1" t="n">
        <v>45883</v>
      </c>
      <c r="D5357" t="inlineStr">
        <is>
          <t>GÄVLEBORGS LÄN</t>
        </is>
      </c>
      <c r="E5357" t="inlineStr">
        <is>
          <t>HUDIKSVALL</t>
        </is>
      </c>
      <c r="G5357" t="n">
        <v>6.3</v>
      </c>
      <c r="H5357" t="n">
        <v>0</v>
      </c>
      <c r="I5357" t="n">
        <v>0</v>
      </c>
      <c r="J5357" t="n">
        <v>0</v>
      </c>
      <c r="K5357" t="n">
        <v>0</v>
      </c>
      <c r="L5357" t="n">
        <v>0</v>
      </c>
      <c r="M5357" t="n">
        <v>0</v>
      </c>
      <c r="N5357" t="n">
        <v>0</v>
      </c>
      <c r="O5357" t="n">
        <v>0</v>
      </c>
      <c r="P5357" t="n">
        <v>0</v>
      </c>
      <c r="Q5357" t="n">
        <v>0</v>
      </c>
      <c r="R5357" s="2" t="inlineStr"/>
    </row>
    <row r="5358" ht="15" customHeight="1">
      <c r="A5358" t="inlineStr">
        <is>
          <t>A 17241-2023</t>
        </is>
      </c>
      <c r="B5358" s="1" t="n">
        <v>45035.35208333333</v>
      </c>
      <c r="C5358" s="1" t="n">
        <v>45883</v>
      </c>
      <c r="D5358" t="inlineStr">
        <is>
          <t>GÄVLEBORGS LÄN</t>
        </is>
      </c>
      <c r="E5358" t="inlineStr">
        <is>
          <t>LJUSDAL</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30208-2022</t>
        </is>
      </c>
      <c r="B5359" s="1" t="n">
        <v>44757.75127314815</v>
      </c>
      <c r="C5359" s="1" t="n">
        <v>45883</v>
      </c>
      <c r="D5359" t="inlineStr">
        <is>
          <t>GÄVLEBORGS LÄN</t>
        </is>
      </c>
      <c r="E5359" t="inlineStr">
        <is>
          <t>SÖDERHAMN</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26085-2024</t>
        </is>
      </c>
      <c r="B5360" s="1" t="n">
        <v>45468.38417824074</v>
      </c>
      <c r="C5360" s="1" t="n">
        <v>45883</v>
      </c>
      <c r="D5360" t="inlineStr">
        <is>
          <t>GÄVLEBORGS LÄN</t>
        </is>
      </c>
      <c r="E5360" t="inlineStr">
        <is>
          <t>OCKELBO</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56755-2022</t>
        </is>
      </c>
      <c r="B5361" s="1" t="n">
        <v>44894</v>
      </c>
      <c r="C5361" s="1" t="n">
        <v>45883</v>
      </c>
      <c r="D5361" t="inlineStr">
        <is>
          <t>GÄVLEBORGS LÄN</t>
        </is>
      </c>
      <c r="E5361" t="inlineStr">
        <is>
          <t>BOLLNÄS</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16752-2025</t>
        </is>
      </c>
      <c r="B5362" s="1" t="n">
        <v>45754.56815972222</v>
      </c>
      <c r="C5362" s="1" t="n">
        <v>45883</v>
      </c>
      <c r="D5362" t="inlineStr">
        <is>
          <t>GÄVLEBORGS LÄN</t>
        </is>
      </c>
      <c r="E5362" t="inlineStr">
        <is>
          <t>OCKELBO</t>
        </is>
      </c>
      <c r="G5362" t="n">
        <v>4.5</v>
      </c>
      <c r="H5362" t="n">
        <v>0</v>
      </c>
      <c r="I5362" t="n">
        <v>0</v>
      </c>
      <c r="J5362" t="n">
        <v>0</v>
      </c>
      <c r="K5362" t="n">
        <v>0</v>
      </c>
      <c r="L5362" t="n">
        <v>0</v>
      </c>
      <c r="M5362" t="n">
        <v>0</v>
      </c>
      <c r="N5362" t="n">
        <v>0</v>
      </c>
      <c r="O5362" t="n">
        <v>0</v>
      </c>
      <c r="P5362" t="n">
        <v>0</v>
      </c>
      <c r="Q5362" t="n">
        <v>0</v>
      </c>
      <c r="R5362" s="2" t="inlineStr"/>
    </row>
    <row r="5363" ht="15" customHeight="1">
      <c r="A5363" t="inlineStr">
        <is>
          <t>A 7569-2022</t>
        </is>
      </c>
      <c r="B5363" s="1" t="n">
        <v>44607</v>
      </c>
      <c r="C5363" s="1" t="n">
        <v>45883</v>
      </c>
      <c r="D5363" t="inlineStr">
        <is>
          <t>GÄVLEBORGS LÄN</t>
        </is>
      </c>
      <c r="E5363" t="inlineStr">
        <is>
          <t>OVANÅKER</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64000-2023</t>
        </is>
      </c>
      <c r="B5364" s="1" t="n">
        <v>45278</v>
      </c>
      <c r="C5364" s="1" t="n">
        <v>45883</v>
      </c>
      <c r="D5364" t="inlineStr">
        <is>
          <t>GÄVLEBORGS LÄN</t>
        </is>
      </c>
      <c r="E5364" t="inlineStr">
        <is>
          <t>SANDVIKEN</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28162-2021</t>
        </is>
      </c>
      <c r="B5365" s="1" t="n">
        <v>44355.59233796296</v>
      </c>
      <c r="C5365" s="1" t="n">
        <v>45883</v>
      </c>
      <c r="D5365" t="inlineStr">
        <is>
          <t>GÄVLEBORGS LÄN</t>
        </is>
      </c>
      <c r="E5365" t="inlineStr">
        <is>
          <t>BOLLNÄS</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12480-2021</t>
        </is>
      </c>
      <c r="B5366" s="1" t="n">
        <v>44267.69099537037</v>
      </c>
      <c r="C5366" s="1" t="n">
        <v>45883</v>
      </c>
      <c r="D5366" t="inlineStr">
        <is>
          <t>GÄVLEBORGS LÄN</t>
        </is>
      </c>
      <c r="E5366" t="inlineStr">
        <is>
          <t>OCKELBO</t>
        </is>
      </c>
      <c r="F5366" t="inlineStr">
        <is>
          <t>Bergvik skog väst AB</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44577-2024</t>
        </is>
      </c>
      <c r="B5367" s="1" t="n">
        <v>45574.4846875</v>
      </c>
      <c r="C5367" s="1" t="n">
        <v>45883</v>
      </c>
      <c r="D5367" t="inlineStr">
        <is>
          <t>GÄVLEBORGS LÄN</t>
        </is>
      </c>
      <c r="E5367" t="inlineStr">
        <is>
          <t>OVANÅKER</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5345-2025</t>
        </is>
      </c>
      <c r="B5368" s="1" t="n">
        <v>45688</v>
      </c>
      <c r="C5368" s="1" t="n">
        <v>45883</v>
      </c>
      <c r="D5368" t="inlineStr">
        <is>
          <t>GÄVLEBORGS LÄN</t>
        </is>
      </c>
      <c r="E5368" t="inlineStr">
        <is>
          <t>HUDIKSVALL</t>
        </is>
      </c>
      <c r="G5368" t="n">
        <v>3.6</v>
      </c>
      <c r="H5368" t="n">
        <v>0</v>
      </c>
      <c r="I5368" t="n">
        <v>0</v>
      </c>
      <c r="J5368" t="n">
        <v>0</v>
      </c>
      <c r="K5368" t="n">
        <v>0</v>
      </c>
      <c r="L5368" t="n">
        <v>0</v>
      </c>
      <c r="M5368" t="n">
        <v>0</v>
      </c>
      <c r="N5368" t="n">
        <v>0</v>
      </c>
      <c r="O5368" t="n">
        <v>0</v>
      </c>
      <c r="P5368" t="n">
        <v>0</v>
      </c>
      <c r="Q5368" t="n">
        <v>0</v>
      </c>
      <c r="R5368" s="2" t="inlineStr"/>
    </row>
    <row r="5369" ht="15" customHeight="1">
      <c r="A5369" t="inlineStr">
        <is>
          <t>A 58373-2024</t>
        </is>
      </c>
      <c r="B5369" s="1" t="n">
        <v>45632</v>
      </c>
      <c r="C5369" s="1" t="n">
        <v>45883</v>
      </c>
      <c r="D5369" t="inlineStr">
        <is>
          <t>GÄVLEBORGS LÄN</t>
        </is>
      </c>
      <c r="E5369" t="inlineStr">
        <is>
          <t>GÄVLE</t>
        </is>
      </c>
      <c r="G5369" t="n">
        <v>13.1</v>
      </c>
      <c r="H5369" t="n">
        <v>0</v>
      </c>
      <c r="I5369" t="n">
        <v>0</v>
      </c>
      <c r="J5369" t="n">
        <v>0</v>
      </c>
      <c r="K5369" t="n">
        <v>0</v>
      </c>
      <c r="L5369" t="n">
        <v>0</v>
      </c>
      <c r="M5369" t="n">
        <v>0</v>
      </c>
      <c r="N5369" t="n">
        <v>0</v>
      </c>
      <c r="O5369" t="n">
        <v>0</v>
      </c>
      <c r="P5369" t="n">
        <v>0</v>
      </c>
      <c r="Q5369" t="n">
        <v>0</v>
      </c>
      <c r="R5369" s="2" t="inlineStr"/>
    </row>
    <row r="5370" ht="15" customHeight="1">
      <c r="A5370" t="inlineStr">
        <is>
          <t>A 57464-2024</t>
        </is>
      </c>
      <c r="B5370" s="1" t="n">
        <v>45630.32444444444</v>
      </c>
      <c r="C5370" s="1" t="n">
        <v>45883</v>
      </c>
      <c r="D5370" t="inlineStr">
        <is>
          <t>GÄVLEBORGS LÄN</t>
        </is>
      </c>
      <c r="E5370" t="inlineStr">
        <is>
          <t>GÄVLE</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60292-2024</t>
        </is>
      </c>
      <c r="B5371" s="1" t="n">
        <v>45643.28773148148</v>
      </c>
      <c r="C5371" s="1" t="n">
        <v>45883</v>
      </c>
      <c r="D5371" t="inlineStr">
        <is>
          <t>GÄVLEBORGS LÄN</t>
        </is>
      </c>
      <c r="E5371" t="inlineStr">
        <is>
          <t>SÖDERHAMN</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57302-2024</t>
        </is>
      </c>
      <c r="B5372" s="1" t="n">
        <v>45629.60164351852</v>
      </c>
      <c r="C5372" s="1" t="n">
        <v>45883</v>
      </c>
      <c r="D5372" t="inlineStr">
        <is>
          <t>GÄVLEBORGS LÄN</t>
        </is>
      </c>
      <c r="E5372" t="inlineStr">
        <is>
          <t>SANDVIKEN</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29670-2022</t>
        </is>
      </c>
      <c r="B5373" s="1" t="n">
        <v>44754.81971064815</v>
      </c>
      <c r="C5373" s="1" t="n">
        <v>45883</v>
      </c>
      <c r="D5373" t="inlineStr">
        <is>
          <t>GÄVLEBORGS LÄN</t>
        </is>
      </c>
      <c r="E5373" t="inlineStr">
        <is>
          <t>SANDVIKEN</t>
        </is>
      </c>
      <c r="F5373" t="inlineStr">
        <is>
          <t>Sveaskog</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46481-2024</t>
        </is>
      </c>
      <c r="B5374" s="1" t="n">
        <v>45582.57228009259</v>
      </c>
      <c r="C5374" s="1" t="n">
        <v>45883</v>
      </c>
      <c r="D5374" t="inlineStr">
        <is>
          <t>GÄVLEBORGS LÄN</t>
        </is>
      </c>
      <c r="E5374" t="inlineStr">
        <is>
          <t>OCKELBO</t>
        </is>
      </c>
      <c r="F5374" t="inlineStr">
        <is>
          <t>Bergvik skog väst AB</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24610-2025</t>
        </is>
      </c>
      <c r="B5375" s="1" t="n">
        <v>45798.58113425926</v>
      </c>
      <c r="C5375" s="1" t="n">
        <v>45883</v>
      </c>
      <c r="D5375" t="inlineStr">
        <is>
          <t>GÄVLEBORGS LÄN</t>
        </is>
      </c>
      <c r="E5375" t="inlineStr">
        <is>
          <t>SÖDERHAMN</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24616-2025</t>
        </is>
      </c>
      <c r="B5376" s="1" t="n">
        <v>45798.5837962963</v>
      </c>
      <c r="C5376" s="1" t="n">
        <v>45883</v>
      </c>
      <c r="D5376" t="inlineStr">
        <is>
          <t>GÄVLEBORGS LÄN</t>
        </is>
      </c>
      <c r="E5376" t="inlineStr">
        <is>
          <t>GÄVLE</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46449-2024</t>
        </is>
      </c>
      <c r="B5377" s="1" t="n">
        <v>45582.5039699074</v>
      </c>
      <c r="C5377" s="1" t="n">
        <v>45883</v>
      </c>
      <c r="D5377" t="inlineStr">
        <is>
          <t>GÄVLEBORGS LÄN</t>
        </is>
      </c>
      <c r="E5377" t="inlineStr">
        <is>
          <t>GÄVLE</t>
        </is>
      </c>
      <c r="F5377" t="inlineStr">
        <is>
          <t>Bergvik skog väst AB</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57570-2024</t>
        </is>
      </c>
      <c r="B5378" s="1" t="n">
        <v>45630.46627314815</v>
      </c>
      <c r="C5378" s="1" t="n">
        <v>45883</v>
      </c>
      <c r="D5378" t="inlineStr">
        <is>
          <t>GÄVLEBORGS LÄN</t>
        </is>
      </c>
      <c r="E5378" t="inlineStr">
        <is>
          <t>GÄVLE</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44229-2024</t>
        </is>
      </c>
      <c r="B5379" s="1" t="n">
        <v>45573.39869212963</v>
      </c>
      <c r="C5379" s="1" t="n">
        <v>45883</v>
      </c>
      <c r="D5379" t="inlineStr">
        <is>
          <t>GÄVLEBORGS LÄN</t>
        </is>
      </c>
      <c r="E5379" t="inlineStr">
        <is>
          <t>HUDIKSVALL</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24382-2025</t>
        </is>
      </c>
      <c r="B5380" s="1" t="n">
        <v>45797.62836805556</v>
      </c>
      <c r="C5380" s="1" t="n">
        <v>45883</v>
      </c>
      <c r="D5380" t="inlineStr">
        <is>
          <t>GÄVLEBORGS LÄN</t>
        </is>
      </c>
      <c r="E5380" t="inlineStr">
        <is>
          <t>HUDIKSVALL</t>
        </is>
      </c>
      <c r="G5380" t="n">
        <v>11.6</v>
      </c>
      <c r="H5380" t="n">
        <v>0</v>
      </c>
      <c r="I5380" t="n">
        <v>0</v>
      </c>
      <c r="J5380" t="n">
        <v>0</v>
      </c>
      <c r="K5380" t="n">
        <v>0</v>
      </c>
      <c r="L5380" t="n">
        <v>0</v>
      </c>
      <c r="M5380" t="n">
        <v>0</v>
      </c>
      <c r="N5380" t="n">
        <v>0</v>
      </c>
      <c r="O5380" t="n">
        <v>0</v>
      </c>
      <c r="P5380" t="n">
        <v>0</v>
      </c>
      <c r="Q5380" t="n">
        <v>0</v>
      </c>
      <c r="R5380" s="2" t="inlineStr"/>
    </row>
    <row r="5381" ht="15" customHeight="1">
      <c r="A5381" t="inlineStr">
        <is>
          <t>A 24417-2025</t>
        </is>
      </c>
      <c r="B5381" s="1" t="n">
        <v>45797.67623842593</v>
      </c>
      <c r="C5381" s="1" t="n">
        <v>45883</v>
      </c>
      <c r="D5381" t="inlineStr">
        <is>
          <t>GÄVLEBORGS LÄN</t>
        </is>
      </c>
      <c r="E5381" t="inlineStr">
        <is>
          <t>SÖDERHAMN</t>
        </is>
      </c>
      <c r="F5381" t="inlineStr">
        <is>
          <t>Bergvik skog väst AB</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24405-2025</t>
        </is>
      </c>
      <c r="B5382" s="1" t="n">
        <v>45797.65386574074</v>
      </c>
      <c r="C5382" s="1" t="n">
        <v>45883</v>
      </c>
      <c r="D5382" t="inlineStr">
        <is>
          <t>GÄVLEBORGS LÄN</t>
        </is>
      </c>
      <c r="E5382" t="inlineStr">
        <is>
          <t>LJUSDAL</t>
        </is>
      </c>
      <c r="G5382" t="n">
        <v>9.1</v>
      </c>
      <c r="H5382" t="n">
        <v>0</v>
      </c>
      <c r="I5382" t="n">
        <v>0</v>
      </c>
      <c r="J5382" t="n">
        <v>0</v>
      </c>
      <c r="K5382" t="n">
        <v>0</v>
      </c>
      <c r="L5382" t="n">
        <v>0</v>
      </c>
      <c r="M5382" t="n">
        <v>0</v>
      </c>
      <c r="N5382" t="n">
        <v>0</v>
      </c>
      <c r="O5382" t="n">
        <v>0</v>
      </c>
      <c r="P5382" t="n">
        <v>0</v>
      </c>
      <c r="Q5382" t="n">
        <v>0</v>
      </c>
      <c r="R5382" s="2" t="inlineStr"/>
    </row>
    <row r="5383" ht="15" customHeight="1">
      <c r="A5383" t="inlineStr">
        <is>
          <t>A 53517-2024</t>
        </is>
      </c>
      <c r="B5383" s="1" t="n">
        <v>45614.60436342593</v>
      </c>
      <c r="C5383" s="1" t="n">
        <v>45883</v>
      </c>
      <c r="D5383" t="inlineStr">
        <is>
          <t>GÄVLEBORGS LÄN</t>
        </is>
      </c>
      <c r="E5383" t="inlineStr">
        <is>
          <t>HOFORS</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34783-2022</t>
        </is>
      </c>
      <c r="B5384" s="1" t="n">
        <v>44795</v>
      </c>
      <c r="C5384" s="1" t="n">
        <v>45883</v>
      </c>
      <c r="D5384" t="inlineStr">
        <is>
          <t>GÄVLEBORGS LÄN</t>
        </is>
      </c>
      <c r="E5384" t="inlineStr">
        <is>
          <t>NORDANSTIG</t>
        </is>
      </c>
      <c r="G5384" t="n">
        <v>7.8</v>
      </c>
      <c r="H5384" t="n">
        <v>0</v>
      </c>
      <c r="I5384" t="n">
        <v>0</v>
      </c>
      <c r="J5384" t="n">
        <v>0</v>
      </c>
      <c r="K5384" t="n">
        <v>0</v>
      </c>
      <c r="L5384" t="n">
        <v>0</v>
      </c>
      <c r="M5384" t="n">
        <v>0</v>
      </c>
      <c r="N5384" t="n">
        <v>0</v>
      </c>
      <c r="O5384" t="n">
        <v>0</v>
      </c>
      <c r="P5384" t="n">
        <v>0</v>
      </c>
      <c r="Q5384" t="n">
        <v>0</v>
      </c>
      <c r="R5384" s="2" t="inlineStr"/>
    </row>
    <row r="5385" ht="15" customHeight="1">
      <c r="A5385" t="inlineStr">
        <is>
          <t>A 25723-2024</t>
        </is>
      </c>
      <c r="B5385" s="1" t="n">
        <v>45463.95457175926</v>
      </c>
      <c r="C5385" s="1" t="n">
        <v>45883</v>
      </c>
      <c r="D5385" t="inlineStr">
        <is>
          <t>GÄVLEBORGS LÄN</t>
        </is>
      </c>
      <c r="E5385" t="inlineStr">
        <is>
          <t>NORDANSTIG</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40653-2023</t>
        </is>
      </c>
      <c r="B5386" s="1" t="n">
        <v>45169</v>
      </c>
      <c r="C5386" s="1" t="n">
        <v>45883</v>
      </c>
      <c r="D5386" t="inlineStr">
        <is>
          <t>GÄVLEBORGS LÄN</t>
        </is>
      </c>
      <c r="E5386" t="inlineStr">
        <is>
          <t>BOLLNÄS</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43556-2023</t>
        </is>
      </c>
      <c r="B5387" s="1" t="n">
        <v>45184.57194444445</v>
      </c>
      <c r="C5387" s="1" t="n">
        <v>45883</v>
      </c>
      <c r="D5387" t="inlineStr">
        <is>
          <t>GÄVLEBORGS LÄN</t>
        </is>
      </c>
      <c r="E5387" t="inlineStr">
        <is>
          <t>GÄVLE</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21927-2024</t>
        </is>
      </c>
      <c r="B5388" s="1" t="n">
        <v>45443.46575231481</v>
      </c>
      <c r="C5388" s="1" t="n">
        <v>45883</v>
      </c>
      <c r="D5388" t="inlineStr">
        <is>
          <t>GÄVLEBORGS LÄN</t>
        </is>
      </c>
      <c r="E5388" t="inlineStr">
        <is>
          <t>HUDIKSVALL</t>
        </is>
      </c>
      <c r="F5388" t="inlineStr">
        <is>
          <t>Holmen skog AB</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21940-2024</t>
        </is>
      </c>
      <c r="B5389" s="1" t="n">
        <v>45443.4759375</v>
      </c>
      <c r="C5389" s="1" t="n">
        <v>45883</v>
      </c>
      <c r="D5389" t="inlineStr">
        <is>
          <t>GÄVLEBORGS LÄN</t>
        </is>
      </c>
      <c r="E5389" t="inlineStr">
        <is>
          <t>HUDIKSVALL</t>
        </is>
      </c>
      <c r="F5389" t="inlineStr">
        <is>
          <t>Holmen skog AB</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24619-2025</t>
        </is>
      </c>
      <c r="B5390" s="1" t="n">
        <v>45798.59127314815</v>
      </c>
      <c r="C5390" s="1" t="n">
        <v>45883</v>
      </c>
      <c r="D5390" t="inlineStr">
        <is>
          <t>GÄVLEBORGS LÄN</t>
        </is>
      </c>
      <c r="E5390" t="inlineStr">
        <is>
          <t>GÄVLE</t>
        </is>
      </c>
      <c r="G5390" t="n">
        <v>3.5</v>
      </c>
      <c r="H5390" t="n">
        <v>0</v>
      </c>
      <c r="I5390" t="n">
        <v>0</v>
      </c>
      <c r="J5390" t="n">
        <v>0</v>
      </c>
      <c r="K5390" t="n">
        <v>0</v>
      </c>
      <c r="L5390" t="n">
        <v>0</v>
      </c>
      <c r="M5390" t="n">
        <v>0</v>
      </c>
      <c r="N5390" t="n">
        <v>0</v>
      </c>
      <c r="O5390" t="n">
        <v>0</v>
      </c>
      <c r="P5390" t="n">
        <v>0</v>
      </c>
      <c r="Q5390" t="n">
        <v>0</v>
      </c>
      <c r="R5390" s="2" t="inlineStr"/>
    </row>
    <row r="5391" ht="15" customHeight="1">
      <c r="A5391" t="inlineStr">
        <is>
          <t>A 24585-2025</t>
        </is>
      </c>
      <c r="B5391" s="1" t="n">
        <v>45798.5110300926</v>
      </c>
      <c r="C5391" s="1" t="n">
        <v>45883</v>
      </c>
      <c r="D5391" t="inlineStr">
        <is>
          <t>GÄVLEBORGS LÄN</t>
        </is>
      </c>
      <c r="E5391" t="inlineStr">
        <is>
          <t>SANDVIKEN</t>
        </is>
      </c>
      <c r="G5391" t="n">
        <v>10.5</v>
      </c>
      <c r="H5391" t="n">
        <v>0</v>
      </c>
      <c r="I5391" t="n">
        <v>0</v>
      </c>
      <c r="J5391" t="n">
        <v>0</v>
      </c>
      <c r="K5391" t="n">
        <v>0</v>
      </c>
      <c r="L5391" t="n">
        <v>0</v>
      </c>
      <c r="M5391" t="n">
        <v>0</v>
      </c>
      <c r="N5391" t="n">
        <v>0</v>
      </c>
      <c r="O5391" t="n">
        <v>0</v>
      </c>
      <c r="P5391" t="n">
        <v>0</v>
      </c>
      <c r="Q5391" t="n">
        <v>0</v>
      </c>
      <c r="R5391" s="2" t="inlineStr"/>
    </row>
    <row r="5392" ht="15" customHeight="1">
      <c r="A5392" t="inlineStr">
        <is>
          <t>A 24240-2025</t>
        </is>
      </c>
      <c r="B5392" s="1" t="n">
        <v>45797</v>
      </c>
      <c r="C5392" s="1" t="n">
        <v>45883</v>
      </c>
      <c r="D5392" t="inlineStr">
        <is>
          <t>GÄVLEBORGS LÄN</t>
        </is>
      </c>
      <c r="E5392" t="inlineStr">
        <is>
          <t>HUDIKSVALL</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24307-2025</t>
        </is>
      </c>
      <c r="B5393" s="1" t="n">
        <v>45797.49787037037</v>
      </c>
      <c r="C5393" s="1" t="n">
        <v>45883</v>
      </c>
      <c r="D5393" t="inlineStr">
        <is>
          <t>GÄVLEBORGS LÄN</t>
        </is>
      </c>
      <c r="E5393" t="inlineStr">
        <is>
          <t>SÖDERHAMN</t>
        </is>
      </c>
      <c r="F5393" t="inlineStr">
        <is>
          <t>Bergvik skog väst AB</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28240-2023</t>
        </is>
      </c>
      <c r="B5394" s="1" t="n">
        <v>45099.58393518518</v>
      </c>
      <c r="C5394" s="1" t="n">
        <v>45883</v>
      </c>
      <c r="D5394" t="inlineStr">
        <is>
          <t>GÄVLEBORGS LÄN</t>
        </is>
      </c>
      <c r="E5394" t="inlineStr">
        <is>
          <t>LJUSDAL</t>
        </is>
      </c>
      <c r="F5394" t="inlineStr">
        <is>
          <t>Holmen skog AB</t>
        </is>
      </c>
      <c r="G5394" t="n">
        <v>5.8</v>
      </c>
      <c r="H5394" t="n">
        <v>0</v>
      </c>
      <c r="I5394" t="n">
        <v>0</v>
      </c>
      <c r="J5394" t="n">
        <v>0</v>
      </c>
      <c r="K5394" t="n">
        <v>0</v>
      </c>
      <c r="L5394" t="n">
        <v>0</v>
      </c>
      <c r="M5394" t="n">
        <v>0</v>
      </c>
      <c r="N5394" t="n">
        <v>0</v>
      </c>
      <c r="O5394" t="n">
        <v>0</v>
      </c>
      <c r="P5394" t="n">
        <v>0</v>
      </c>
      <c r="Q5394" t="n">
        <v>0</v>
      </c>
      <c r="R5394" s="2" t="inlineStr"/>
    </row>
    <row r="5395" ht="15" customHeight="1">
      <c r="A5395" t="inlineStr">
        <is>
          <t>A 28248-2023</t>
        </is>
      </c>
      <c r="B5395" s="1" t="n">
        <v>45099.59758101852</v>
      </c>
      <c r="C5395" s="1" t="n">
        <v>45883</v>
      </c>
      <c r="D5395" t="inlineStr">
        <is>
          <t>GÄVLEBORGS LÄN</t>
        </is>
      </c>
      <c r="E5395" t="inlineStr">
        <is>
          <t>LJUSDAL</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22013-2021</t>
        </is>
      </c>
      <c r="B5396" s="1" t="n">
        <v>44323.46296296296</v>
      </c>
      <c r="C5396" s="1" t="n">
        <v>45883</v>
      </c>
      <c r="D5396" t="inlineStr">
        <is>
          <t>GÄVLEBORGS LÄN</t>
        </is>
      </c>
      <c r="E5396" t="inlineStr">
        <is>
          <t>LJUSDAL</t>
        </is>
      </c>
      <c r="F5396" t="inlineStr">
        <is>
          <t>Sveaskog</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31676-2022</t>
        </is>
      </c>
      <c r="B5397" s="1" t="n">
        <v>44776</v>
      </c>
      <c r="C5397" s="1" t="n">
        <v>45883</v>
      </c>
      <c r="D5397" t="inlineStr">
        <is>
          <t>GÄVLEBORGS LÄN</t>
        </is>
      </c>
      <c r="E5397" t="inlineStr">
        <is>
          <t>SÖDERHAMN</t>
        </is>
      </c>
      <c r="F5397" t="inlineStr">
        <is>
          <t>Bergvik skog väst AB</t>
        </is>
      </c>
      <c r="G5397" t="n">
        <v>4.6</v>
      </c>
      <c r="H5397" t="n">
        <v>0</v>
      </c>
      <c r="I5397" t="n">
        <v>0</v>
      </c>
      <c r="J5397" t="n">
        <v>0</v>
      </c>
      <c r="K5397" t="n">
        <v>0</v>
      </c>
      <c r="L5397" t="n">
        <v>0</v>
      </c>
      <c r="M5397" t="n">
        <v>0</v>
      </c>
      <c r="N5397" t="n">
        <v>0</v>
      </c>
      <c r="O5397" t="n">
        <v>0</v>
      </c>
      <c r="P5397" t="n">
        <v>0</v>
      </c>
      <c r="Q5397" t="n">
        <v>0</v>
      </c>
      <c r="R5397" s="2" t="inlineStr"/>
    </row>
    <row r="5398" ht="15" customHeight="1">
      <c r="A5398" t="inlineStr">
        <is>
          <t>A 11734-2025</t>
        </is>
      </c>
      <c r="B5398" s="1" t="n">
        <v>45727.61972222223</v>
      </c>
      <c r="C5398" s="1" t="n">
        <v>45883</v>
      </c>
      <c r="D5398" t="inlineStr">
        <is>
          <t>GÄVLEBORGS LÄN</t>
        </is>
      </c>
      <c r="E5398" t="inlineStr">
        <is>
          <t>OCKELBO</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23077-2025</t>
        </is>
      </c>
      <c r="B5399" s="1" t="n">
        <v>45791.00363425926</v>
      </c>
      <c r="C5399" s="1" t="n">
        <v>45883</v>
      </c>
      <c r="D5399" t="inlineStr">
        <is>
          <t>GÄVLEBORGS LÄN</t>
        </is>
      </c>
      <c r="E5399" t="inlineStr">
        <is>
          <t>HOFORS</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5629-2025</t>
        </is>
      </c>
      <c r="B5400" s="1" t="n">
        <v>45693.65769675926</v>
      </c>
      <c r="C5400" s="1" t="n">
        <v>45883</v>
      </c>
      <c r="D5400" t="inlineStr">
        <is>
          <t>GÄVLEBORGS LÄN</t>
        </is>
      </c>
      <c r="E5400" t="inlineStr">
        <is>
          <t>OVANÅKER</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40253-2023</t>
        </is>
      </c>
      <c r="B5401" s="1" t="n">
        <v>45169</v>
      </c>
      <c r="C5401" s="1" t="n">
        <v>45883</v>
      </c>
      <c r="D5401" t="inlineStr">
        <is>
          <t>GÄVLEBORGS LÄN</t>
        </is>
      </c>
      <c r="E5401" t="inlineStr">
        <is>
          <t>LJUSDAL</t>
        </is>
      </c>
      <c r="G5401" t="n">
        <v>9.300000000000001</v>
      </c>
      <c r="H5401" t="n">
        <v>0</v>
      </c>
      <c r="I5401" t="n">
        <v>0</v>
      </c>
      <c r="J5401" t="n">
        <v>0</v>
      </c>
      <c r="K5401" t="n">
        <v>0</v>
      </c>
      <c r="L5401" t="n">
        <v>0</v>
      </c>
      <c r="M5401" t="n">
        <v>0</v>
      </c>
      <c r="N5401" t="n">
        <v>0</v>
      </c>
      <c r="O5401" t="n">
        <v>0</v>
      </c>
      <c r="P5401" t="n">
        <v>0</v>
      </c>
      <c r="Q5401" t="n">
        <v>0</v>
      </c>
      <c r="R5401" s="2" t="inlineStr"/>
    </row>
    <row r="5402" ht="15" customHeight="1">
      <c r="A5402" t="inlineStr">
        <is>
          <t>A 40261-2023</t>
        </is>
      </c>
      <c r="B5402" s="1" t="n">
        <v>45169.5165625</v>
      </c>
      <c r="C5402" s="1" t="n">
        <v>45883</v>
      </c>
      <c r="D5402" t="inlineStr">
        <is>
          <t>GÄVLEBORGS LÄN</t>
        </is>
      </c>
      <c r="E5402" t="inlineStr">
        <is>
          <t>NORDANSTIG</t>
        </is>
      </c>
      <c r="F5402" t="inlineStr">
        <is>
          <t>Holmen skog AB</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47700-2024</t>
        </is>
      </c>
      <c r="B5403" s="1" t="n">
        <v>45588.46262731482</v>
      </c>
      <c r="C5403" s="1" t="n">
        <v>45883</v>
      </c>
      <c r="D5403" t="inlineStr">
        <is>
          <t>GÄVLEBORGS LÄN</t>
        </is>
      </c>
      <c r="E5403" t="inlineStr">
        <is>
          <t>HUDIKSVALL</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35741-2024</t>
        </is>
      </c>
      <c r="B5404" s="1" t="n">
        <v>45532.53859953704</v>
      </c>
      <c r="C5404" s="1" t="n">
        <v>45883</v>
      </c>
      <c r="D5404" t="inlineStr">
        <is>
          <t>GÄVLEBORGS LÄN</t>
        </is>
      </c>
      <c r="E5404" t="inlineStr">
        <is>
          <t>NORDANSTIG</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40281-2023</t>
        </is>
      </c>
      <c r="B5405" s="1" t="n">
        <v>45169</v>
      </c>
      <c r="C5405" s="1" t="n">
        <v>45883</v>
      </c>
      <c r="D5405" t="inlineStr">
        <is>
          <t>GÄVLEBORGS LÄN</t>
        </is>
      </c>
      <c r="E5405" t="inlineStr">
        <is>
          <t>LJUSDAL</t>
        </is>
      </c>
      <c r="F5405" t="inlineStr">
        <is>
          <t>Sveaskog</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59615-2023</t>
        </is>
      </c>
      <c r="B5406" s="1" t="n">
        <v>45254</v>
      </c>
      <c r="C5406" s="1" t="n">
        <v>45883</v>
      </c>
      <c r="D5406" t="inlineStr">
        <is>
          <t>GÄVLEBORGS LÄN</t>
        </is>
      </c>
      <c r="E5406" t="inlineStr">
        <is>
          <t>HOFORS</t>
        </is>
      </c>
      <c r="F5406" t="inlineStr">
        <is>
          <t>Sveaskog</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49944-2024</t>
        </is>
      </c>
      <c r="B5407" s="1" t="n">
        <v>45597.60057870371</v>
      </c>
      <c r="C5407" s="1" t="n">
        <v>45883</v>
      </c>
      <c r="D5407" t="inlineStr">
        <is>
          <t>GÄVLEBORGS LÄN</t>
        </is>
      </c>
      <c r="E5407" t="inlineStr">
        <is>
          <t>SÖDERHAMN</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24225-2025</t>
        </is>
      </c>
      <c r="B5408" s="1" t="n">
        <v>45797.36991898148</v>
      </c>
      <c r="C5408" s="1" t="n">
        <v>45883</v>
      </c>
      <c r="D5408" t="inlineStr">
        <is>
          <t>GÄVLEBORGS LÄN</t>
        </is>
      </c>
      <c r="E5408" t="inlineStr">
        <is>
          <t>GÄVLE</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25900-2024</t>
        </is>
      </c>
      <c r="B5409" s="1" t="n">
        <v>45467.55809027778</v>
      </c>
      <c r="C5409" s="1" t="n">
        <v>45883</v>
      </c>
      <c r="D5409" t="inlineStr">
        <is>
          <t>GÄVLEBORGS LÄN</t>
        </is>
      </c>
      <c r="E5409" t="inlineStr">
        <is>
          <t>SÖDERHAMN</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36316-2023</t>
        </is>
      </c>
      <c r="B5410" s="1" t="n">
        <v>45152.41521990741</v>
      </c>
      <c r="C5410" s="1" t="n">
        <v>45883</v>
      </c>
      <c r="D5410" t="inlineStr">
        <is>
          <t>GÄVLEBORGS LÄN</t>
        </is>
      </c>
      <c r="E5410" t="inlineStr">
        <is>
          <t>OVANÅKER</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36321-2023</t>
        </is>
      </c>
      <c r="B5411" s="1" t="n">
        <v>45152.425</v>
      </c>
      <c r="C5411" s="1" t="n">
        <v>45883</v>
      </c>
      <c r="D5411" t="inlineStr">
        <is>
          <t>GÄVLEBORGS LÄN</t>
        </is>
      </c>
      <c r="E5411" t="inlineStr">
        <is>
          <t>LJUSDAL</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24611-2025</t>
        </is>
      </c>
      <c r="B5412" s="1" t="n">
        <v>45798.58106481482</v>
      </c>
      <c r="C5412" s="1" t="n">
        <v>45883</v>
      </c>
      <c r="D5412" t="inlineStr">
        <is>
          <t>GÄVLEBORGS LÄN</t>
        </is>
      </c>
      <c r="E5412" t="inlineStr">
        <is>
          <t>GÄVLE</t>
        </is>
      </c>
      <c r="G5412" t="n">
        <v>4.8</v>
      </c>
      <c r="H5412" t="n">
        <v>0</v>
      </c>
      <c r="I5412" t="n">
        <v>0</v>
      </c>
      <c r="J5412" t="n">
        <v>0</v>
      </c>
      <c r="K5412" t="n">
        <v>0</v>
      </c>
      <c r="L5412" t="n">
        <v>0</v>
      </c>
      <c r="M5412" t="n">
        <v>0</v>
      </c>
      <c r="N5412" t="n">
        <v>0</v>
      </c>
      <c r="O5412" t="n">
        <v>0</v>
      </c>
      <c r="P5412" t="n">
        <v>0</v>
      </c>
      <c r="Q5412" t="n">
        <v>0</v>
      </c>
      <c r="R5412" s="2" t="inlineStr"/>
    </row>
    <row r="5413" ht="15" customHeight="1">
      <c r="A5413" t="inlineStr">
        <is>
          <t>A 24239-2025</t>
        </is>
      </c>
      <c r="B5413" s="1" t="n">
        <v>45797</v>
      </c>
      <c r="C5413" s="1" t="n">
        <v>45883</v>
      </c>
      <c r="D5413" t="inlineStr">
        <is>
          <t>GÄVLEBORGS LÄN</t>
        </is>
      </c>
      <c r="E5413" t="inlineStr">
        <is>
          <t>HUDIKSVALL</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24612-2025</t>
        </is>
      </c>
      <c r="B5414" s="1" t="n">
        <v>45798</v>
      </c>
      <c r="C5414" s="1" t="n">
        <v>45883</v>
      </c>
      <c r="D5414" t="inlineStr">
        <is>
          <t>GÄVLEBORGS LÄN</t>
        </is>
      </c>
      <c r="E5414" t="inlineStr">
        <is>
          <t>GÄVLE</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24614-2025</t>
        </is>
      </c>
      <c r="B5415" s="1" t="n">
        <v>45798.58292824074</v>
      </c>
      <c r="C5415" s="1" t="n">
        <v>45883</v>
      </c>
      <c r="D5415" t="inlineStr">
        <is>
          <t>GÄVLEBORGS LÄN</t>
        </is>
      </c>
      <c r="E5415" t="inlineStr">
        <is>
          <t>GÄVLE</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7235-2025</t>
        </is>
      </c>
      <c r="B5416" s="1" t="n">
        <v>45702.51921296296</v>
      </c>
      <c r="C5416" s="1" t="n">
        <v>45883</v>
      </c>
      <c r="D5416" t="inlineStr">
        <is>
          <t>GÄVLEBORGS LÄN</t>
        </is>
      </c>
      <c r="E5416" t="inlineStr">
        <is>
          <t>GÄVLE</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21229-2025</t>
        </is>
      </c>
      <c r="B5417" s="1" t="n">
        <v>45779</v>
      </c>
      <c r="C5417" s="1" t="n">
        <v>45883</v>
      </c>
      <c r="D5417" t="inlineStr">
        <is>
          <t>GÄVLEBORGS LÄN</t>
        </is>
      </c>
      <c r="E5417" t="inlineStr">
        <is>
          <t>HUDIKSVALL</t>
        </is>
      </c>
      <c r="F5417" t="inlineStr">
        <is>
          <t>Holmen skog AB</t>
        </is>
      </c>
      <c r="G5417" t="n">
        <v>38.1</v>
      </c>
      <c r="H5417" t="n">
        <v>0</v>
      </c>
      <c r="I5417" t="n">
        <v>0</v>
      </c>
      <c r="J5417" t="n">
        <v>0</v>
      </c>
      <c r="K5417" t="n">
        <v>0</v>
      </c>
      <c r="L5417" t="n">
        <v>0</v>
      </c>
      <c r="M5417" t="n">
        <v>0</v>
      </c>
      <c r="N5417" t="n">
        <v>0</v>
      </c>
      <c r="O5417" t="n">
        <v>0</v>
      </c>
      <c r="P5417" t="n">
        <v>0</v>
      </c>
      <c r="Q5417" t="n">
        <v>0</v>
      </c>
      <c r="R5417" s="2" t="inlineStr"/>
    </row>
    <row r="5418" ht="15" customHeight="1">
      <c r="A5418" t="inlineStr">
        <is>
          <t>A 22039-2023</t>
        </is>
      </c>
      <c r="B5418" s="1" t="n">
        <v>45069</v>
      </c>
      <c r="C5418" s="1" t="n">
        <v>45883</v>
      </c>
      <c r="D5418" t="inlineStr">
        <is>
          <t>GÄVLEBORGS LÄN</t>
        </is>
      </c>
      <c r="E5418" t="inlineStr">
        <is>
          <t>LJUSDAL</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2141-2024</t>
        </is>
      </c>
      <c r="B5419" s="1" t="n">
        <v>45309.55506944445</v>
      </c>
      <c r="C5419" s="1" t="n">
        <v>45883</v>
      </c>
      <c r="D5419" t="inlineStr">
        <is>
          <t>GÄVLEBORGS LÄN</t>
        </is>
      </c>
      <c r="E5419" t="inlineStr">
        <is>
          <t>NORDANSTIG</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32996-2024</t>
        </is>
      </c>
      <c r="B5420" s="1" t="n">
        <v>45517.47853009259</v>
      </c>
      <c r="C5420" s="1" t="n">
        <v>45883</v>
      </c>
      <c r="D5420" t="inlineStr">
        <is>
          <t>GÄVLEBORGS LÄN</t>
        </is>
      </c>
      <c r="E5420" t="inlineStr">
        <is>
          <t>OVANÅKER</t>
        </is>
      </c>
      <c r="F5420" t="inlineStr">
        <is>
          <t>Bergvik skog väst AB</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60282-2024</t>
        </is>
      </c>
      <c r="B5421" s="1" t="n">
        <v>45642.91938657407</v>
      </c>
      <c r="C5421" s="1" t="n">
        <v>45883</v>
      </c>
      <c r="D5421" t="inlineStr">
        <is>
          <t>GÄVLEBORGS LÄN</t>
        </is>
      </c>
      <c r="E5421" t="inlineStr">
        <is>
          <t>LJUSDAL</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60285-2024</t>
        </is>
      </c>
      <c r="B5422" s="1" t="n">
        <v>45642.92408564815</v>
      </c>
      <c r="C5422" s="1" t="n">
        <v>45883</v>
      </c>
      <c r="D5422" t="inlineStr">
        <is>
          <t>GÄVLEBORGS LÄN</t>
        </is>
      </c>
      <c r="E5422" t="inlineStr">
        <is>
          <t>NORDANSTIG</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58180-2024</t>
        </is>
      </c>
      <c r="B5423" s="1" t="n">
        <v>45632.46930555555</v>
      </c>
      <c r="C5423" s="1" t="n">
        <v>45883</v>
      </c>
      <c r="D5423" t="inlineStr">
        <is>
          <t>GÄVLEBORGS LÄN</t>
        </is>
      </c>
      <c r="E5423" t="inlineStr">
        <is>
          <t>SÖDERHAMN</t>
        </is>
      </c>
      <c r="F5423" t="inlineStr">
        <is>
          <t>Bergvik skog väst AB</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15502-2025</t>
        </is>
      </c>
      <c r="B5424" s="1" t="n">
        <v>45747.58980324074</v>
      </c>
      <c r="C5424" s="1" t="n">
        <v>45883</v>
      </c>
      <c r="D5424" t="inlineStr">
        <is>
          <t>GÄVLEBORGS LÄN</t>
        </is>
      </c>
      <c r="E5424" t="inlineStr">
        <is>
          <t>OCKELBO</t>
        </is>
      </c>
      <c r="F5424" t="inlineStr">
        <is>
          <t>Bergvik skog väst AB</t>
        </is>
      </c>
      <c r="G5424" t="n">
        <v>5.7</v>
      </c>
      <c r="H5424" t="n">
        <v>0</v>
      </c>
      <c r="I5424" t="n">
        <v>0</v>
      </c>
      <c r="J5424" t="n">
        <v>0</v>
      </c>
      <c r="K5424" t="n">
        <v>0</v>
      </c>
      <c r="L5424" t="n">
        <v>0</v>
      </c>
      <c r="M5424" t="n">
        <v>0</v>
      </c>
      <c r="N5424" t="n">
        <v>0</v>
      </c>
      <c r="O5424" t="n">
        <v>0</v>
      </c>
      <c r="P5424" t="n">
        <v>0</v>
      </c>
      <c r="Q5424" t="n">
        <v>0</v>
      </c>
      <c r="R5424" s="2" t="inlineStr"/>
    </row>
    <row r="5425" ht="15" customHeight="1">
      <c r="A5425" t="inlineStr">
        <is>
          <t>A 37641-2024</t>
        </is>
      </c>
      <c r="B5425" s="1" t="n">
        <v>45541</v>
      </c>
      <c r="C5425" s="1" t="n">
        <v>45883</v>
      </c>
      <c r="D5425" t="inlineStr">
        <is>
          <t>GÄVLEBORGS LÄN</t>
        </is>
      </c>
      <c r="E5425" t="inlineStr">
        <is>
          <t>SANDVIKEN</t>
        </is>
      </c>
      <c r="F5425" t="inlineStr">
        <is>
          <t>Sveaskog</t>
        </is>
      </c>
      <c r="G5425" t="n">
        <v>4.8</v>
      </c>
      <c r="H5425" t="n">
        <v>0</v>
      </c>
      <c r="I5425" t="n">
        <v>0</v>
      </c>
      <c r="J5425" t="n">
        <v>0</v>
      </c>
      <c r="K5425" t="n">
        <v>0</v>
      </c>
      <c r="L5425" t="n">
        <v>0</v>
      </c>
      <c r="M5425" t="n">
        <v>0</v>
      </c>
      <c r="N5425" t="n">
        <v>0</v>
      </c>
      <c r="O5425" t="n">
        <v>0</v>
      </c>
      <c r="P5425" t="n">
        <v>0</v>
      </c>
      <c r="Q5425" t="n">
        <v>0</v>
      </c>
      <c r="R5425" s="2" t="inlineStr"/>
    </row>
    <row r="5426" ht="15" customHeight="1">
      <c r="A5426" t="inlineStr">
        <is>
          <t>A 24215-2025</t>
        </is>
      </c>
      <c r="B5426" s="1" t="n">
        <v>45797.35431712963</v>
      </c>
      <c r="C5426" s="1" t="n">
        <v>45883</v>
      </c>
      <c r="D5426" t="inlineStr">
        <is>
          <t>GÄVLEBORGS LÄN</t>
        </is>
      </c>
      <c r="E5426" t="inlineStr">
        <is>
          <t>GÄVLE</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37294-2024</t>
        </is>
      </c>
      <c r="B5427" s="1" t="n">
        <v>45540.44701388889</v>
      </c>
      <c r="C5427" s="1" t="n">
        <v>45883</v>
      </c>
      <c r="D5427" t="inlineStr">
        <is>
          <t>GÄVLEBORGS LÄN</t>
        </is>
      </c>
      <c r="E5427" t="inlineStr">
        <is>
          <t>NORDANSTIG</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59154-2024</t>
        </is>
      </c>
      <c r="B5428" s="1" t="n">
        <v>45637</v>
      </c>
      <c r="C5428" s="1" t="n">
        <v>45883</v>
      </c>
      <c r="D5428" t="inlineStr">
        <is>
          <t>GÄVLEBORGS LÄN</t>
        </is>
      </c>
      <c r="E5428" t="inlineStr">
        <is>
          <t>GÄVLE</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24395-2025</t>
        </is>
      </c>
      <c r="B5429" s="1" t="n">
        <v>45797.63881944444</v>
      </c>
      <c r="C5429" s="1" t="n">
        <v>45883</v>
      </c>
      <c r="D5429" t="inlineStr">
        <is>
          <t>GÄVLEBORGS LÄN</t>
        </is>
      </c>
      <c r="E5429" t="inlineStr">
        <is>
          <t>HOFORS</t>
        </is>
      </c>
      <c r="G5429" t="n">
        <v>3.5</v>
      </c>
      <c r="H5429" t="n">
        <v>0</v>
      </c>
      <c r="I5429" t="n">
        <v>0</v>
      </c>
      <c r="J5429" t="n">
        <v>0</v>
      </c>
      <c r="K5429" t="n">
        <v>0</v>
      </c>
      <c r="L5429" t="n">
        <v>0</v>
      </c>
      <c r="M5429" t="n">
        <v>0</v>
      </c>
      <c r="N5429" t="n">
        <v>0</v>
      </c>
      <c r="O5429" t="n">
        <v>0</v>
      </c>
      <c r="P5429" t="n">
        <v>0</v>
      </c>
      <c r="Q5429" t="n">
        <v>0</v>
      </c>
      <c r="R5429" s="2" t="inlineStr"/>
    </row>
    <row r="5430" ht="15" customHeight="1">
      <c r="A5430" t="inlineStr">
        <is>
          <t>A 57205-2020</t>
        </is>
      </c>
      <c r="B5430" s="1" t="n">
        <v>44139</v>
      </c>
      <c r="C5430" s="1" t="n">
        <v>45883</v>
      </c>
      <c r="D5430" t="inlineStr">
        <is>
          <t>GÄVLEBORGS LÄN</t>
        </is>
      </c>
      <c r="E5430" t="inlineStr">
        <is>
          <t>SÖDERHAMN</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24370-2025</t>
        </is>
      </c>
      <c r="B5431" s="1" t="n">
        <v>45797.60760416667</v>
      </c>
      <c r="C5431" s="1" t="n">
        <v>45883</v>
      </c>
      <c r="D5431" t="inlineStr">
        <is>
          <t>GÄVLEBORGS LÄN</t>
        </is>
      </c>
      <c r="E5431" t="inlineStr">
        <is>
          <t>HUDIKSVALL</t>
        </is>
      </c>
      <c r="F5431" t="inlineStr">
        <is>
          <t>Holmen skog AB</t>
        </is>
      </c>
      <c r="G5431" t="n">
        <v>6.9</v>
      </c>
      <c r="H5431" t="n">
        <v>0</v>
      </c>
      <c r="I5431" t="n">
        <v>0</v>
      </c>
      <c r="J5431" t="n">
        <v>0</v>
      </c>
      <c r="K5431" t="n">
        <v>0</v>
      </c>
      <c r="L5431" t="n">
        <v>0</v>
      </c>
      <c r="M5431" t="n">
        <v>0</v>
      </c>
      <c r="N5431" t="n">
        <v>0</v>
      </c>
      <c r="O5431" t="n">
        <v>0</v>
      </c>
      <c r="P5431" t="n">
        <v>0</v>
      </c>
      <c r="Q5431" t="n">
        <v>0</v>
      </c>
      <c r="R5431" s="2" t="inlineStr"/>
    </row>
    <row r="5432" ht="15" customHeight="1">
      <c r="A5432" t="inlineStr">
        <is>
          <t>A 24229-2025</t>
        </is>
      </c>
      <c r="B5432" s="1" t="n">
        <v>45797.37581018519</v>
      </c>
      <c r="C5432" s="1" t="n">
        <v>45883</v>
      </c>
      <c r="D5432" t="inlineStr">
        <is>
          <t>GÄVLEBORGS LÄN</t>
        </is>
      </c>
      <c r="E5432" t="inlineStr">
        <is>
          <t>GÄVLE</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49470-2024</t>
        </is>
      </c>
      <c r="B5433" s="1" t="n">
        <v>45596.34179398148</v>
      </c>
      <c r="C5433" s="1" t="n">
        <v>45883</v>
      </c>
      <c r="D5433" t="inlineStr">
        <is>
          <t>GÄVLEBORGS LÄN</t>
        </is>
      </c>
      <c r="E5433" t="inlineStr">
        <is>
          <t>OCKELBO</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33981-2024</t>
        </is>
      </c>
      <c r="B5434" s="1" t="n">
        <v>45523.52111111111</v>
      </c>
      <c r="C5434" s="1" t="n">
        <v>45883</v>
      </c>
      <c r="D5434" t="inlineStr">
        <is>
          <t>GÄVLEBORGS LÄN</t>
        </is>
      </c>
      <c r="E5434" t="inlineStr">
        <is>
          <t>HOFORS</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24228-2025</t>
        </is>
      </c>
      <c r="B5435" s="1" t="n">
        <v>45797.37373842593</v>
      </c>
      <c r="C5435" s="1" t="n">
        <v>45883</v>
      </c>
      <c r="D5435" t="inlineStr">
        <is>
          <t>GÄVLEBORGS LÄN</t>
        </is>
      </c>
      <c r="E5435" t="inlineStr">
        <is>
          <t>GÄVLE</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3119-2022</t>
        </is>
      </c>
      <c r="B5436" s="1" t="n">
        <v>44582</v>
      </c>
      <c r="C5436" s="1" t="n">
        <v>45883</v>
      </c>
      <c r="D5436" t="inlineStr">
        <is>
          <t>GÄVLEBORGS LÄN</t>
        </is>
      </c>
      <c r="E5436" t="inlineStr">
        <is>
          <t>SANDVIKEN</t>
        </is>
      </c>
      <c r="F5436" t="inlineStr">
        <is>
          <t>Kyrkan</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24452-2025</t>
        </is>
      </c>
      <c r="B5437" s="1" t="n">
        <v>45798.34284722222</v>
      </c>
      <c r="C5437" s="1" t="n">
        <v>45883</v>
      </c>
      <c r="D5437" t="inlineStr">
        <is>
          <t>GÄVLEBORGS LÄN</t>
        </is>
      </c>
      <c r="E5437" t="inlineStr">
        <is>
          <t>LJUSDAL</t>
        </is>
      </c>
      <c r="F5437" t="inlineStr">
        <is>
          <t>Holmen skog AB</t>
        </is>
      </c>
      <c r="G5437" t="n">
        <v>19.7</v>
      </c>
      <c r="H5437" t="n">
        <v>0</v>
      </c>
      <c r="I5437" t="n">
        <v>0</v>
      </c>
      <c r="J5437" t="n">
        <v>0</v>
      </c>
      <c r="K5437" t="n">
        <v>0</v>
      </c>
      <c r="L5437" t="n">
        <v>0</v>
      </c>
      <c r="M5437" t="n">
        <v>0</v>
      </c>
      <c r="N5437" t="n">
        <v>0</v>
      </c>
      <c r="O5437" t="n">
        <v>0</v>
      </c>
      <c r="P5437" t="n">
        <v>0</v>
      </c>
      <c r="Q5437" t="n">
        <v>0</v>
      </c>
      <c r="R5437" s="2" t="inlineStr"/>
    </row>
    <row r="5438" ht="15" customHeight="1">
      <c r="A5438" t="inlineStr">
        <is>
          <t>A 19730-2022</t>
        </is>
      </c>
      <c r="B5438" s="1" t="n">
        <v>44694</v>
      </c>
      <c r="C5438" s="1" t="n">
        <v>45883</v>
      </c>
      <c r="D5438" t="inlineStr">
        <is>
          <t>GÄVLEBORGS LÄN</t>
        </is>
      </c>
      <c r="E5438" t="inlineStr">
        <is>
          <t>GÄVLE</t>
        </is>
      </c>
      <c r="F5438" t="inlineStr">
        <is>
          <t>Bergvik skog väst AB</t>
        </is>
      </c>
      <c r="G5438" t="n">
        <v>3.5</v>
      </c>
      <c r="H5438" t="n">
        <v>0</v>
      </c>
      <c r="I5438" t="n">
        <v>0</v>
      </c>
      <c r="J5438" t="n">
        <v>0</v>
      </c>
      <c r="K5438" t="n">
        <v>0</v>
      </c>
      <c r="L5438" t="n">
        <v>0</v>
      </c>
      <c r="M5438" t="n">
        <v>0</v>
      </c>
      <c r="N5438" t="n">
        <v>0</v>
      </c>
      <c r="O5438" t="n">
        <v>0</v>
      </c>
      <c r="P5438" t="n">
        <v>0</v>
      </c>
      <c r="Q5438" t="n">
        <v>0</v>
      </c>
      <c r="R5438" s="2" t="inlineStr"/>
    </row>
    <row r="5439" ht="15" customHeight="1">
      <c r="A5439" t="inlineStr">
        <is>
          <t>A 628-2025</t>
        </is>
      </c>
      <c r="B5439" s="1" t="n">
        <v>45664</v>
      </c>
      <c r="C5439" s="1" t="n">
        <v>45883</v>
      </c>
      <c r="D5439" t="inlineStr">
        <is>
          <t>GÄVLEBORGS LÄN</t>
        </is>
      </c>
      <c r="E5439" t="inlineStr">
        <is>
          <t>OVANÅKER</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31367-2024</t>
        </is>
      </c>
      <c r="B5440" s="1" t="n">
        <v>45505.38290509259</v>
      </c>
      <c r="C5440" s="1" t="n">
        <v>45883</v>
      </c>
      <c r="D5440" t="inlineStr">
        <is>
          <t>GÄVLEBORGS LÄN</t>
        </is>
      </c>
      <c r="E5440" t="inlineStr">
        <is>
          <t>GÄVLE</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24398-2025</t>
        </is>
      </c>
      <c r="B5441" s="1" t="n">
        <v>45797.64421296296</v>
      </c>
      <c r="C5441" s="1" t="n">
        <v>45883</v>
      </c>
      <c r="D5441" t="inlineStr">
        <is>
          <t>GÄVLEBORGS LÄN</t>
        </is>
      </c>
      <c r="E5441" t="inlineStr">
        <is>
          <t>LJUSDAL</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24400-2025</t>
        </is>
      </c>
      <c r="B5442" s="1" t="n">
        <v>45797.64821759259</v>
      </c>
      <c r="C5442" s="1" t="n">
        <v>45883</v>
      </c>
      <c r="D5442" t="inlineStr">
        <is>
          <t>GÄVLEBORGS LÄN</t>
        </is>
      </c>
      <c r="E5442" t="inlineStr">
        <is>
          <t>LJUSDAL</t>
        </is>
      </c>
      <c r="G5442" t="n">
        <v>4.9</v>
      </c>
      <c r="H5442" t="n">
        <v>0</v>
      </c>
      <c r="I5442" t="n">
        <v>0</v>
      </c>
      <c r="J5442" t="n">
        <v>0</v>
      </c>
      <c r="K5442" t="n">
        <v>0</v>
      </c>
      <c r="L5442" t="n">
        <v>0</v>
      </c>
      <c r="M5442" t="n">
        <v>0</v>
      </c>
      <c r="N5442" t="n">
        <v>0</v>
      </c>
      <c r="O5442" t="n">
        <v>0</v>
      </c>
      <c r="P5442" t="n">
        <v>0</v>
      </c>
      <c r="Q5442" t="n">
        <v>0</v>
      </c>
      <c r="R5442" s="2" t="inlineStr"/>
    </row>
    <row r="5443" ht="15" customHeight="1">
      <c r="A5443" t="inlineStr">
        <is>
          <t>A 53322-2024</t>
        </is>
      </c>
      <c r="B5443" s="1" t="n">
        <v>45614.40765046296</v>
      </c>
      <c r="C5443" s="1" t="n">
        <v>45883</v>
      </c>
      <c r="D5443" t="inlineStr">
        <is>
          <t>GÄVLEBORGS LÄN</t>
        </is>
      </c>
      <c r="E5443" t="inlineStr">
        <is>
          <t>SANDVIKEN</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24206-2025</t>
        </is>
      </c>
      <c r="B5444" s="1" t="n">
        <v>45797</v>
      </c>
      <c r="C5444" s="1" t="n">
        <v>45883</v>
      </c>
      <c r="D5444" t="inlineStr">
        <is>
          <t>GÄVLEBORGS LÄN</t>
        </is>
      </c>
      <c r="E5444" t="inlineStr">
        <is>
          <t>SÖDERHAMN</t>
        </is>
      </c>
      <c r="F5444" t="inlineStr">
        <is>
          <t>Bergvik skog väst AB</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24330-2025</t>
        </is>
      </c>
      <c r="B5445" s="1" t="n">
        <v>45797.5678587963</v>
      </c>
      <c r="C5445" s="1" t="n">
        <v>45883</v>
      </c>
      <c r="D5445" t="inlineStr">
        <is>
          <t>GÄVLEBORGS LÄN</t>
        </is>
      </c>
      <c r="E5445" t="inlineStr">
        <is>
          <t>HUDIKSVALL</t>
        </is>
      </c>
      <c r="F5445" t="inlineStr">
        <is>
          <t>Kommuner</t>
        </is>
      </c>
      <c r="G5445" t="n">
        <v>0.3</v>
      </c>
      <c r="H5445" t="n">
        <v>0</v>
      </c>
      <c r="I5445" t="n">
        <v>0</v>
      </c>
      <c r="J5445" t="n">
        <v>0</v>
      </c>
      <c r="K5445" t="n">
        <v>0</v>
      </c>
      <c r="L5445" t="n">
        <v>0</v>
      </c>
      <c r="M5445" t="n">
        <v>0</v>
      </c>
      <c r="N5445" t="n">
        <v>0</v>
      </c>
      <c r="O5445" t="n">
        <v>0</v>
      </c>
      <c r="P5445" t="n">
        <v>0</v>
      </c>
      <c r="Q5445" t="n">
        <v>0</v>
      </c>
      <c r="R5445" s="2" t="inlineStr"/>
    </row>
    <row r="5446" ht="15" customHeight="1">
      <c r="A5446" t="inlineStr">
        <is>
          <t>A 2358-2025</t>
        </is>
      </c>
      <c r="B5446" s="1" t="n">
        <v>45673</v>
      </c>
      <c r="C5446" s="1" t="n">
        <v>45883</v>
      </c>
      <c r="D5446" t="inlineStr">
        <is>
          <t>GÄVLEBORGS LÄN</t>
        </is>
      </c>
      <c r="E5446" t="inlineStr">
        <is>
          <t>SANDVIKEN</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7012-2025</t>
        </is>
      </c>
      <c r="B5447" s="1" t="n">
        <v>45701.60899305555</v>
      </c>
      <c r="C5447" s="1" t="n">
        <v>45883</v>
      </c>
      <c r="D5447" t="inlineStr">
        <is>
          <t>GÄVLEBORGS LÄN</t>
        </is>
      </c>
      <c r="E5447" t="inlineStr">
        <is>
          <t>NORDANSTIG</t>
        </is>
      </c>
      <c r="F5447" t="inlineStr">
        <is>
          <t>Holmen skog AB</t>
        </is>
      </c>
      <c r="G5447" t="n">
        <v>6.9</v>
      </c>
      <c r="H5447" t="n">
        <v>0</v>
      </c>
      <c r="I5447" t="n">
        <v>0</v>
      </c>
      <c r="J5447" t="n">
        <v>0</v>
      </c>
      <c r="K5447" t="n">
        <v>0</v>
      </c>
      <c r="L5447" t="n">
        <v>0</v>
      </c>
      <c r="M5447" t="n">
        <v>0</v>
      </c>
      <c r="N5447" t="n">
        <v>0</v>
      </c>
      <c r="O5447" t="n">
        <v>0</v>
      </c>
      <c r="P5447" t="n">
        <v>0</v>
      </c>
      <c r="Q5447" t="n">
        <v>0</v>
      </c>
      <c r="R5447" s="2" t="inlineStr"/>
    </row>
    <row r="5448" ht="15" customHeight="1">
      <c r="A5448" t="inlineStr">
        <is>
          <t>A 7015-2025</t>
        </is>
      </c>
      <c r="B5448" s="1" t="n">
        <v>45701.61202546296</v>
      </c>
      <c r="C5448" s="1" t="n">
        <v>45883</v>
      </c>
      <c r="D5448" t="inlineStr">
        <is>
          <t>GÄVLEBORGS LÄN</t>
        </is>
      </c>
      <c r="E5448" t="inlineStr">
        <is>
          <t>BOLLNÄS</t>
        </is>
      </c>
      <c r="G5448" t="n">
        <v>3.2</v>
      </c>
      <c r="H5448" t="n">
        <v>0</v>
      </c>
      <c r="I5448" t="n">
        <v>0</v>
      </c>
      <c r="J5448" t="n">
        <v>0</v>
      </c>
      <c r="K5448" t="n">
        <v>0</v>
      </c>
      <c r="L5448" t="n">
        <v>0</v>
      </c>
      <c r="M5448" t="n">
        <v>0</v>
      </c>
      <c r="N5448" t="n">
        <v>0</v>
      </c>
      <c r="O5448" t="n">
        <v>0</v>
      </c>
      <c r="P5448" t="n">
        <v>0</v>
      </c>
      <c r="Q5448" t="n">
        <v>0</v>
      </c>
      <c r="R5448" s="2" t="inlineStr"/>
    </row>
    <row r="5449" ht="15" customHeight="1">
      <c r="A5449" t="inlineStr">
        <is>
          <t>A 19942-2025</t>
        </is>
      </c>
      <c r="B5449" s="1" t="n">
        <v>45771.64755787037</v>
      </c>
      <c r="C5449" s="1" t="n">
        <v>45883</v>
      </c>
      <c r="D5449" t="inlineStr">
        <is>
          <t>GÄVLEBORGS LÄN</t>
        </is>
      </c>
      <c r="E5449" t="inlineStr">
        <is>
          <t>HUDIKSVALL</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16070-2025</t>
        </is>
      </c>
      <c r="B5450" s="1" t="n">
        <v>45749.67291666667</v>
      </c>
      <c r="C5450" s="1" t="n">
        <v>45883</v>
      </c>
      <c r="D5450" t="inlineStr">
        <is>
          <t>GÄVLEBORGS LÄN</t>
        </is>
      </c>
      <c r="E5450" t="inlineStr">
        <is>
          <t>HUDIKSVALL</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47403-2024</t>
        </is>
      </c>
      <c r="B5451" s="1" t="n">
        <v>45587.47396990741</v>
      </c>
      <c r="C5451" s="1" t="n">
        <v>45883</v>
      </c>
      <c r="D5451" t="inlineStr">
        <is>
          <t>GÄVLEBORGS LÄN</t>
        </is>
      </c>
      <c r="E5451" t="inlineStr">
        <is>
          <t>LJUSDAL</t>
        </is>
      </c>
      <c r="F5451" t="inlineStr">
        <is>
          <t>Bergvik skog väst AB</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24584-2025</t>
        </is>
      </c>
      <c r="B5452" s="1" t="n">
        <v>45798.5106712963</v>
      </c>
      <c r="C5452" s="1" t="n">
        <v>45883</v>
      </c>
      <c r="D5452" t="inlineStr">
        <is>
          <t>GÄVLEBORGS LÄN</t>
        </is>
      </c>
      <c r="E5452" t="inlineStr">
        <is>
          <t>HUDIKSVALL</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59638-2024</t>
        </is>
      </c>
      <c r="B5453" s="1" t="n">
        <v>45639.28372685185</v>
      </c>
      <c r="C5453" s="1" t="n">
        <v>45883</v>
      </c>
      <c r="D5453" t="inlineStr">
        <is>
          <t>GÄVLEBORGS LÄN</t>
        </is>
      </c>
      <c r="E5453" t="inlineStr">
        <is>
          <t>BOLLNÄS</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7032-2025</t>
        </is>
      </c>
      <c r="B5454" s="1" t="n">
        <v>45701.63517361111</v>
      </c>
      <c r="C5454" s="1" t="n">
        <v>45883</v>
      </c>
      <c r="D5454" t="inlineStr">
        <is>
          <t>GÄVLEBORGS LÄN</t>
        </is>
      </c>
      <c r="E5454" t="inlineStr">
        <is>
          <t>SANDVIKEN</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13064-2022</t>
        </is>
      </c>
      <c r="B5455" s="1" t="n">
        <v>44643.66391203704</v>
      </c>
      <c r="C5455" s="1" t="n">
        <v>45883</v>
      </c>
      <c r="D5455" t="inlineStr">
        <is>
          <t>GÄVLEBORGS LÄN</t>
        </is>
      </c>
      <c r="E5455" t="inlineStr">
        <is>
          <t>LJUSDAL</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43929-2023</t>
        </is>
      </c>
      <c r="B5456" s="1" t="n">
        <v>45187.76679398148</v>
      </c>
      <c r="C5456" s="1" t="n">
        <v>45883</v>
      </c>
      <c r="D5456" t="inlineStr">
        <is>
          <t>GÄVLEBORGS LÄN</t>
        </is>
      </c>
      <c r="E5456" t="inlineStr">
        <is>
          <t>HUDIKSVALL</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24320-2025</t>
        </is>
      </c>
      <c r="B5457" s="1" t="n">
        <v>45797.55208333334</v>
      </c>
      <c r="C5457" s="1" t="n">
        <v>45883</v>
      </c>
      <c r="D5457" t="inlineStr">
        <is>
          <t>GÄVLEBORGS LÄN</t>
        </is>
      </c>
      <c r="E5457" t="inlineStr">
        <is>
          <t>HUDIKSVALL</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24241-2025</t>
        </is>
      </c>
      <c r="B5458" s="1" t="n">
        <v>45797.38637731481</v>
      </c>
      <c r="C5458" s="1" t="n">
        <v>45883</v>
      </c>
      <c r="D5458" t="inlineStr">
        <is>
          <t>GÄVLEBORGS LÄN</t>
        </is>
      </c>
      <c r="E5458" t="inlineStr">
        <is>
          <t>HUDIKSVALL</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24286-2025</t>
        </is>
      </c>
      <c r="B5459" s="1" t="n">
        <v>45797.46030092592</v>
      </c>
      <c r="C5459" s="1" t="n">
        <v>45883</v>
      </c>
      <c r="D5459" t="inlineStr">
        <is>
          <t>GÄVLEBORGS LÄN</t>
        </is>
      </c>
      <c r="E5459" t="inlineStr">
        <is>
          <t>LJUSDAL</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56820-2023</t>
        </is>
      </c>
      <c r="B5460" s="1" t="n">
        <v>45244.45385416667</v>
      </c>
      <c r="C5460" s="1" t="n">
        <v>45883</v>
      </c>
      <c r="D5460" t="inlineStr">
        <is>
          <t>GÄVLEBORGS LÄN</t>
        </is>
      </c>
      <c r="E5460" t="inlineStr">
        <is>
          <t>HUDIKSVALL</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389-2025</t>
        </is>
      </c>
      <c r="B5461" s="1" t="n">
        <v>45662.74996527778</v>
      </c>
      <c r="C5461" s="1" t="n">
        <v>45883</v>
      </c>
      <c r="D5461" t="inlineStr">
        <is>
          <t>GÄVLEBORGS LÄN</t>
        </is>
      </c>
      <c r="E5461" t="inlineStr">
        <is>
          <t>SANDVIKEN</t>
        </is>
      </c>
      <c r="G5461" t="n">
        <v>6</v>
      </c>
      <c r="H5461" t="n">
        <v>0</v>
      </c>
      <c r="I5461" t="n">
        <v>0</v>
      </c>
      <c r="J5461" t="n">
        <v>0</v>
      </c>
      <c r="K5461" t="n">
        <v>0</v>
      </c>
      <c r="L5461" t="n">
        <v>0</v>
      </c>
      <c r="M5461" t="n">
        <v>0</v>
      </c>
      <c r="N5461" t="n">
        <v>0</v>
      </c>
      <c r="O5461" t="n">
        <v>0</v>
      </c>
      <c r="P5461" t="n">
        <v>0</v>
      </c>
      <c r="Q5461" t="n">
        <v>0</v>
      </c>
      <c r="R5461" s="2" t="inlineStr"/>
    </row>
    <row r="5462" ht="15" customHeight="1">
      <c r="A5462" t="inlineStr">
        <is>
          <t>A 54926-2024</t>
        </is>
      </c>
      <c r="B5462" s="1" t="n">
        <v>45618.71902777778</v>
      </c>
      <c r="C5462" s="1" t="n">
        <v>45883</v>
      </c>
      <c r="D5462" t="inlineStr">
        <is>
          <t>GÄVLEBORGS LÄN</t>
        </is>
      </c>
      <c r="E5462" t="inlineStr">
        <is>
          <t>LJUSDAL</t>
        </is>
      </c>
      <c r="F5462" t="inlineStr">
        <is>
          <t>SCA</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55477-2024</t>
        </is>
      </c>
      <c r="B5463" s="1" t="n">
        <v>45622</v>
      </c>
      <c r="C5463" s="1" t="n">
        <v>45883</v>
      </c>
      <c r="D5463" t="inlineStr">
        <is>
          <t>GÄVLEBORGS LÄN</t>
        </is>
      </c>
      <c r="E5463" t="inlineStr">
        <is>
          <t>NORDANSTIG</t>
        </is>
      </c>
      <c r="F5463" t="inlineStr">
        <is>
          <t>Holmen skog AB</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60904-2024</t>
        </is>
      </c>
      <c r="B5464" s="1" t="n">
        <v>45645.30571759259</v>
      </c>
      <c r="C5464" s="1" t="n">
        <v>45883</v>
      </c>
      <c r="D5464" t="inlineStr">
        <is>
          <t>GÄVLEBORGS LÄN</t>
        </is>
      </c>
      <c r="E5464" t="inlineStr">
        <is>
          <t>HUDIKSVALL</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24256-2025</t>
        </is>
      </c>
      <c r="B5465" s="1" t="n">
        <v>45797.40541666667</v>
      </c>
      <c r="C5465" s="1" t="n">
        <v>45883</v>
      </c>
      <c r="D5465" t="inlineStr">
        <is>
          <t>GÄVLEBORGS LÄN</t>
        </is>
      </c>
      <c r="E5465" t="inlineStr">
        <is>
          <t>LJUSDAL</t>
        </is>
      </c>
      <c r="G5465" t="n">
        <v>14.9</v>
      </c>
      <c r="H5465" t="n">
        <v>0</v>
      </c>
      <c r="I5465" t="n">
        <v>0</v>
      </c>
      <c r="J5465" t="n">
        <v>0</v>
      </c>
      <c r="K5465" t="n">
        <v>0</v>
      </c>
      <c r="L5465" t="n">
        <v>0</v>
      </c>
      <c r="M5465" t="n">
        <v>0</v>
      </c>
      <c r="N5465" t="n">
        <v>0</v>
      </c>
      <c r="O5465" t="n">
        <v>0</v>
      </c>
      <c r="P5465" t="n">
        <v>0</v>
      </c>
      <c r="Q5465" t="n">
        <v>0</v>
      </c>
      <c r="R5465" s="2" t="inlineStr"/>
    </row>
    <row r="5466" ht="15" customHeight="1">
      <c r="A5466" t="inlineStr">
        <is>
          <t>A 4445-2025</t>
        </is>
      </c>
      <c r="B5466" s="1" t="n">
        <v>45686.56731481481</v>
      </c>
      <c r="C5466" s="1" t="n">
        <v>45883</v>
      </c>
      <c r="D5466" t="inlineStr">
        <is>
          <t>GÄVLEBORGS LÄN</t>
        </is>
      </c>
      <c r="E5466" t="inlineStr">
        <is>
          <t>NORDANSTIG</t>
        </is>
      </c>
      <c r="F5466" t="inlineStr">
        <is>
          <t>Holmen skog AB</t>
        </is>
      </c>
      <c r="G5466" t="n">
        <v>13.4</v>
      </c>
      <c r="H5466" t="n">
        <v>0</v>
      </c>
      <c r="I5466" t="n">
        <v>0</v>
      </c>
      <c r="J5466" t="n">
        <v>0</v>
      </c>
      <c r="K5466" t="n">
        <v>0</v>
      </c>
      <c r="L5466" t="n">
        <v>0</v>
      </c>
      <c r="M5466" t="n">
        <v>0</v>
      </c>
      <c r="N5466" t="n">
        <v>0</v>
      </c>
      <c r="O5466" t="n">
        <v>0</v>
      </c>
      <c r="P5466" t="n">
        <v>0</v>
      </c>
      <c r="Q5466" t="n">
        <v>0</v>
      </c>
      <c r="R5466" s="2" t="inlineStr"/>
    </row>
    <row r="5467" ht="15" customHeight="1">
      <c r="A5467" t="inlineStr">
        <is>
          <t>A 8051-2024</t>
        </is>
      </c>
      <c r="B5467" s="1" t="n">
        <v>45351</v>
      </c>
      <c r="C5467" s="1" t="n">
        <v>45883</v>
      </c>
      <c r="D5467" t="inlineStr">
        <is>
          <t>GÄVLEBORGS LÄN</t>
        </is>
      </c>
      <c r="E5467" t="inlineStr">
        <is>
          <t>HUDIKSVALL</t>
        </is>
      </c>
      <c r="F5467" t="inlineStr">
        <is>
          <t>Holmen skog AB</t>
        </is>
      </c>
      <c r="G5467" t="n">
        <v>12.9</v>
      </c>
      <c r="H5467" t="n">
        <v>0</v>
      </c>
      <c r="I5467" t="n">
        <v>0</v>
      </c>
      <c r="J5467" t="n">
        <v>0</v>
      </c>
      <c r="K5467" t="n">
        <v>0</v>
      </c>
      <c r="L5467" t="n">
        <v>0</v>
      </c>
      <c r="M5467" t="n">
        <v>0</v>
      </c>
      <c r="N5467" t="n">
        <v>0</v>
      </c>
      <c r="O5467" t="n">
        <v>0</v>
      </c>
      <c r="P5467" t="n">
        <v>0</v>
      </c>
      <c r="Q5467" t="n">
        <v>0</v>
      </c>
      <c r="R5467" s="2" t="inlineStr"/>
    </row>
    <row r="5468" ht="15" customHeight="1">
      <c r="A5468" t="inlineStr">
        <is>
          <t>A 8096-2024</t>
        </is>
      </c>
      <c r="B5468" s="1" t="n">
        <v>45351.45673611111</v>
      </c>
      <c r="C5468" s="1" t="n">
        <v>45883</v>
      </c>
      <c r="D5468" t="inlineStr">
        <is>
          <t>GÄVLEBORGS LÄN</t>
        </is>
      </c>
      <c r="E5468" t="inlineStr">
        <is>
          <t>HUDIKSVALL</t>
        </is>
      </c>
      <c r="F5468" t="inlineStr">
        <is>
          <t>Holmen skog AB</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24305-2025</t>
        </is>
      </c>
      <c r="B5469" s="1" t="n">
        <v>45797.49285879629</v>
      </c>
      <c r="C5469" s="1" t="n">
        <v>45883</v>
      </c>
      <c r="D5469" t="inlineStr">
        <is>
          <t>GÄVLEBORGS LÄN</t>
        </is>
      </c>
      <c r="E5469" t="inlineStr">
        <is>
          <t>SÖDERHAMN</t>
        </is>
      </c>
      <c r="F5469" t="inlineStr">
        <is>
          <t>Bergvik skog väst AB</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24314-2025</t>
        </is>
      </c>
      <c r="B5470" s="1" t="n">
        <v>45797.52796296297</v>
      </c>
      <c r="C5470" s="1" t="n">
        <v>45883</v>
      </c>
      <c r="D5470" t="inlineStr">
        <is>
          <t>GÄVLEBORGS LÄN</t>
        </is>
      </c>
      <c r="E5470" t="inlineStr">
        <is>
          <t>BOLLNÄS</t>
        </is>
      </c>
      <c r="G5470" t="n">
        <v>3.9</v>
      </c>
      <c r="H5470" t="n">
        <v>0</v>
      </c>
      <c r="I5470" t="n">
        <v>0</v>
      </c>
      <c r="J5470" t="n">
        <v>0</v>
      </c>
      <c r="K5470" t="n">
        <v>0</v>
      </c>
      <c r="L5470" t="n">
        <v>0</v>
      </c>
      <c r="M5470" t="n">
        <v>0</v>
      </c>
      <c r="N5470" t="n">
        <v>0</v>
      </c>
      <c r="O5470" t="n">
        <v>0</v>
      </c>
      <c r="P5470" t="n">
        <v>0</v>
      </c>
      <c r="Q5470" t="n">
        <v>0</v>
      </c>
      <c r="R5470" s="2" t="inlineStr"/>
    </row>
    <row r="5471" ht="15" customHeight="1">
      <c r="A5471" t="inlineStr">
        <is>
          <t>A 24319-2025</t>
        </is>
      </c>
      <c r="B5471" s="1" t="n">
        <v>45797.55027777778</v>
      </c>
      <c r="C5471" s="1" t="n">
        <v>45883</v>
      </c>
      <c r="D5471" t="inlineStr">
        <is>
          <t>GÄVLEBORGS LÄN</t>
        </is>
      </c>
      <c r="E5471" t="inlineStr">
        <is>
          <t>BOLLNÄS</t>
        </is>
      </c>
      <c r="G5471" t="n">
        <v>7.6</v>
      </c>
      <c r="H5471" t="n">
        <v>0</v>
      </c>
      <c r="I5471" t="n">
        <v>0</v>
      </c>
      <c r="J5471" t="n">
        <v>0</v>
      </c>
      <c r="K5471" t="n">
        <v>0</v>
      </c>
      <c r="L5471" t="n">
        <v>0</v>
      </c>
      <c r="M5471" t="n">
        <v>0</v>
      </c>
      <c r="N5471" t="n">
        <v>0</v>
      </c>
      <c r="O5471" t="n">
        <v>0</v>
      </c>
      <c r="P5471" t="n">
        <v>0</v>
      </c>
      <c r="Q5471" t="n">
        <v>0</v>
      </c>
      <c r="R5471" s="2" t="inlineStr"/>
    </row>
    <row r="5472" ht="15" customHeight="1">
      <c r="A5472" t="inlineStr">
        <is>
          <t>A 47238-2024</t>
        </is>
      </c>
      <c r="B5472" s="1" t="n">
        <v>45586.69104166667</v>
      </c>
      <c r="C5472" s="1" t="n">
        <v>45883</v>
      </c>
      <c r="D5472" t="inlineStr">
        <is>
          <t>GÄVLEBORGS LÄN</t>
        </is>
      </c>
      <c r="E5472" t="inlineStr">
        <is>
          <t>NORDANSTIG</t>
        </is>
      </c>
      <c r="G5472" t="n">
        <v>4.2</v>
      </c>
      <c r="H5472" t="n">
        <v>0</v>
      </c>
      <c r="I5472" t="n">
        <v>0</v>
      </c>
      <c r="J5472" t="n">
        <v>0</v>
      </c>
      <c r="K5472" t="n">
        <v>0</v>
      </c>
      <c r="L5472" t="n">
        <v>0</v>
      </c>
      <c r="M5472" t="n">
        <v>0</v>
      </c>
      <c r="N5472" t="n">
        <v>0</v>
      </c>
      <c r="O5472" t="n">
        <v>0</v>
      </c>
      <c r="P5472" t="n">
        <v>0</v>
      </c>
      <c r="Q5472" t="n">
        <v>0</v>
      </c>
      <c r="R5472" s="2" t="inlineStr"/>
    </row>
    <row r="5473" ht="15" customHeight="1">
      <c r="A5473" t="inlineStr">
        <is>
          <t>A 10762-2025</t>
        </is>
      </c>
      <c r="B5473" s="1" t="n">
        <v>45722.45832175926</v>
      </c>
      <c r="C5473" s="1" t="n">
        <v>45883</v>
      </c>
      <c r="D5473" t="inlineStr">
        <is>
          <t>GÄVLEBORGS LÄN</t>
        </is>
      </c>
      <c r="E5473" t="inlineStr">
        <is>
          <t>OVANÅKER</t>
        </is>
      </c>
      <c r="G5473" t="n">
        <v>0.4</v>
      </c>
      <c r="H5473" t="n">
        <v>0</v>
      </c>
      <c r="I5473" t="n">
        <v>0</v>
      </c>
      <c r="J5473" t="n">
        <v>0</v>
      </c>
      <c r="K5473" t="n">
        <v>0</v>
      </c>
      <c r="L5473" t="n">
        <v>0</v>
      </c>
      <c r="M5473" t="n">
        <v>0</v>
      </c>
      <c r="N5473" t="n">
        <v>0</v>
      </c>
      <c r="O5473" t="n">
        <v>0</v>
      </c>
      <c r="P5473" t="n">
        <v>0</v>
      </c>
      <c r="Q5473" t="n">
        <v>0</v>
      </c>
      <c r="R5473" s="2" t="inlineStr"/>
    </row>
    <row r="5474" ht="15" customHeight="1">
      <c r="A5474" t="inlineStr">
        <is>
          <t>A 59772-2024</t>
        </is>
      </c>
      <c r="B5474" s="1" t="n">
        <v>45639.56792824074</v>
      </c>
      <c r="C5474" s="1" t="n">
        <v>45883</v>
      </c>
      <c r="D5474" t="inlineStr">
        <is>
          <t>GÄVLEBORGS LÄN</t>
        </is>
      </c>
      <c r="E5474" t="inlineStr">
        <is>
          <t>SÖDERHAMN</t>
        </is>
      </c>
      <c r="G5474" t="n">
        <v>3.9</v>
      </c>
      <c r="H5474" t="n">
        <v>0</v>
      </c>
      <c r="I5474" t="n">
        <v>0</v>
      </c>
      <c r="J5474" t="n">
        <v>0</v>
      </c>
      <c r="K5474" t="n">
        <v>0</v>
      </c>
      <c r="L5474" t="n">
        <v>0</v>
      </c>
      <c r="M5474" t="n">
        <v>0</v>
      </c>
      <c r="N5474" t="n">
        <v>0</v>
      </c>
      <c r="O5474" t="n">
        <v>0</v>
      </c>
      <c r="P5474" t="n">
        <v>0</v>
      </c>
      <c r="Q5474" t="n">
        <v>0</v>
      </c>
      <c r="R5474" s="2" t="inlineStr"/>
    </row>
    <row r="5475" ht="15" customHeight="1">
      <c r="A5475" t="inlineStr">
        <is>
          <t>A 18725-2025</t>
        </is>
      </c>
      <c r="B5475" s="1" t="n">
        <v>45763.66766203703</v>
      </c>
      <c r="C5475" s="1" t="n">
        <v>45883</v>
      </c>
      <c r="D5475" t="inlineStr">
        <is>
          <t>GÄVLEBORGS LÄN</t>
        </is>
      </c>
      <c r="E5475" t="inlineStr">
        <is>
          <t>SANDVIKEN</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24227-2025</t>
        </is>
      </c>
      <c r="B5476" s="1" t="n">
        <v>45797.37197916667</v>
      </c>
      <c r="C5476" s="1" t="n">
        <v>45883</v>
      </c>
      <c r="D5476" t="inlineStr">
        <is>
          <t>GÄVLEBORGS LÄN</t>
        </is>
      </c>
      <c r="E5476" t="inlineStr">
        <is>
          <t>GÄVLE</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24257-2025</t>
        </is>
      </c>
      <c r="B5477" s="1" t="n">
        <v>45797.40664351852</v>
      </c>
      <c r="C5477" s="1" t="n">
        <v>45883</v>
      </c>
      <c r="D5477" t="inlineStr">
        <is>
          <t>GÄVLEBORGS LÄN</t>
        </is>
      </c>
      <c r="E5477" t="inlineStr">
        <is>
          <t>LJUSDAL</t>
        </is>
      </c>
      <c r="G5477" t="n">
        <v>26.5</v>
      </c>
      <c r="H5477" t="n">
        <v>0</v>
      </c>
      <c r="I5477" t="n">
        <v>0</v>
      </c>
      <c r="J5477" t="n">
        <v>0</v>
      </c>
      <c r="K5477" t="n">
        <v>0</v>
      </c>
      <c r="L5477" t="n">
        <v>0</v>
      </c>
      <c r="M5477" t="n">
        <v>0</v>
      </c>
      <c r="N5477" t="n">
        <v>0</v>
      </c>
      <c r="O5477" t="n">
        <v>0</v>
      </c>
      <c r="P5477" t="n">
        <v>0</v>
      </c>
      <c r="Q5477" t="n">
        <v>0</v>
      </c>
      <c r="R5477" s="2" t="inlineStr"/>
    </row>
    <row r="5478" ht="15" customHeight="1">
      <c r="A5478" t="inlineStr">
        <is>
          <t>A 31002-2024</t>
        </is>
      </c>
      <c r="B5478" s="1" t="n">
        <v>45499.62605324074</v>
      </c>
      <c r="C5478" s="1" t="n">
        <v>45883</v>
      </c>
      <c r="D5478" t="inlineStr">
        <is>
          <t>GÄVLEBORGS LÄN</t>
        </is>
      </c>
      <c r="E5478" t="inlineStr">
        <is>
          <t>NORDANSTIG</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31022-2024</t>
        </is>
      </c>
      <c r="B5479" s="1" t="n">
        <v>45500.42336805556</v>
      </c>
      <c r="C5479" s="1" t="n">
        <v>45883</v>
      </c>
      <c r="D5479" t="inlineStr">
        <is>
          <t>GÄVLEBORGS LÄN</t>
        </is>
      </c>
      <c r="E5479" t="inlineStr">
        <is>
          <t>BOLLNÄS</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61389-2024</t>
        </is>
      </c>
      <c r="B5480" s="1" t="n">
        <v>45646.41528935185</v>
      </c>
      <c r="C5480" s="1" t="n">
        <v>45883</v>
      </c>
      <c r="D5480" t="inlineStr">
        <is>
          <t>GÄVLEBORGS LÄN</t>
        </is>
      </c>
      <c r="E5480" t="inlineStr">
        <is>
          <t>OCKELBO</t>
        </is>
      </c>
      <c r="F5480" t="inlineStr">
        <is>
          <t>Bergvik skog öst AB</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61420-2024</t>
        </is>
      </c>
      <c r="B5481" s="1" t="n">
        <v>45646.45043981481</v>
      </c>
      <c r="C5481" s="1" t="n">
        <v>45883</v>
      </c>
      <c r="D5481" t="inlineStr">
        <is>
          <t>GÄVLEBORGS LÄN</t>
        </is>
      </c>
      <c r="E5481" t="inlineStr">
        <is>
          <t>LJUSDAL</t>
        </is>
      </c>
      <c r="F5481" t="inlineStr">
        <is>
          <t>Sveaskog</t>
        </is>
      </c>
      <c r="G5481" t="n">
        <v>3.1</v>
      </c>
      <c r="H5481" t="n">
        <v>0</v>
      </c>
      <c r="I5481" t="n">
        <v>0</v>
      </c>
      <c r="J5481" t="n">
        <v>0</v>
      </c>
      <c r="K5481" t="n">
        <v>0</v>
      </c>
      <c r="L5481" t="n">
        <v>0</v>
      </c>
      <c r="M5481" t="n">
        <v>0</v>
      </c>
      <c r="N5481" t="n">
        <v>0</v>
      </c>
      <c r="O5481" t="n">
        <v>0</v>
      </c>
      <c r="P5481" t="n">
        <v>0</v>
      </c>
      <c r="Q5481" t="n">
        <v>0</v>
      </c>
      <c r="R5481" s="2" t="inlineStr"/>
    </row>
    <row r="5482" ht="15" customHeight="1">
      <c r="A5482" t="inlineStr">
        <is>
          <t>A 28658-2024</t>
        </is>
      </c>
      <c r="B5482" s="1" t="n">
        <v>45478.47041666666</v>
      </c>
      <c r="C5482" s="1" t="n">
        <v>45883</v>
      </c>
      <c r="D5482" t="inlineStr">
        <is>
          <t>GÄVLEBORGS LÄN</t>
        </is>
      </c>
      <c r="E5482" t="inlineStr">
        <is>
          <t>BOLLNÄS</t>
        </is>
      </c>
      <c r="F5482" t="inlineStr">
        <is>
          <t>Bergvik skog väst AB</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24366-2025</t>
        </is>
      </c>
      <c r="B5483" s="1" t="n">
        <v>45797.6044675926</v>
      </c>
      <c r="C5483" s="1" t="n">
        <v>45883</v>
      </c>
      <c r="D5483" t="inlineStr">
        <is>
          <t>GÄVLEBORGS LÄN</t>
        </is>
      </c>
      <c r="E5483" t="inlineStr">
        <is>
          <t>SANDVIKEN</t>
        </is>
      </c>
      <c r="G5483" t="n">
        <v>9.1</v>
      </c>
      <c r="H5483" t="n">
        <v>0</v>
      </c>
      <c r="I5483" t="n">
        <v>0</v>
      </c>
      <c r="J5483" t="n">
        <v>0</v>
      </c>
      <c r="K5483" t="n">
        <v>0</v>
      </c>
      <c r="L5483" t="n">
        <v>0</v>
      </c>
      <c r="M5483" t="n">
        <v>0</v>
      </c>
      <c r="N5483" t="n">
        <v>0</v>
      </c>
      <c r="O5483" t="n">
        <v>0</v>
      </c>
      <c r="P5483" t="n">
        <v>0</v>
      </c>
      <c r="Q5483" t="n">
        <v>0</v>
      </c>
      <c r="R5483" s="2" t="inlineStr"/>
    </row>
    <row r="5484" ht="15" customHeight="1">
      <c r="A5484" t="inlineStr">
        <is>
          <t>A 57315-2024</t>
        </is>
      </c>
      <c r="B5484" s="1" t="n">
        <v>45629.61274305556</v>
      </c>
      <c r="C5484" s="1" t="n">
        <v>45883</v>
      </c>
      <c r="D5484" t="inlineStr">
        <is>
          <t>GÄVLEBORGS LÄN</t>
        </is>
      </c>
      <c r="E5484" t="inlineStr">
        <is>
          <t>LJUSDAL</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60675-2024</t>
        </is>
      </c>
      <c r="B5485" s="1" t="n">
        <v>45644.45839120371</v>
      </c>
      <c r="C5485" s="1" t="n">
        <v>45883</v>
      </c>
      <c r="D5485" t="inlineStr">
        <is>
          <t>GÄVLEBORGS LÄN</t>
        </is>
      </c>
      <c r="E5485" t="inlineStr">
        <is>
          <t>NORDANSTIG</t>
        </is>
      </c>
      <c r="F5485" t="inlineStr">
        <is>
          <t>Holmen skog AB</t>
        </is>
      </c>
      <c r="G5485" t="n">
        <v>4</v>
      </c>
      <c r="H5485" t="n">
        <v>0</v>
      </c>
      <c r="I5485" t="n">
        <v>0</v>
      </c>
      <c r="J5485" t="n">
        <v>0</v>
      </c>
      <c r="K5485" t="n">
        <v>0</v>
      </c>
      <c r="L5485" t="n">
        <v>0</v>
      </c>
      <c r="M5485" t="n">
        <v>0</v>
      </c>
      <c r="N5485" t="n">
        <v>0</v>
      </c>
      <c r="O5485" t="n">
        <v>0</v>
      </c>
      <c r="P5485" t="n">
        <v>0</v>
      </c>
      <c r="Q5485" t="n">
        <v>0</v>
      </c>
      <c r="R5485" s="2" t="inlineStr"/>
    </row>
    <row r="5486" ht="15" customHeight="1">
      <c r="A5486" t="inlineStr">
        <is>
          <t>A 49740-2024</t>
        </is>
      </c>
      <c r="B5486" s="1" t="n">
        <v>45596.92895833333</v>
      </c>
      <c r="C5486" s="1" t="n">
        <v>45883</v>
      </c>
      <c r="D5486" t="inlineStr">
        <is>
          <t>GÄVLEBORGS LÄN</t>
        </is>
      </c>
      <c r="E5486" t="inlineStr">
        <is>
          <t>OCKELBO</t>
        </is>
      </c>
      <c r="F5486" t="inlineStr">
        <is>
          <t>Bergvik skog väst AB</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49765-2024</t>
        </is>
      </c>
      <c r="B5487" s="1" t="n">
        <v>45597.34137731481</v>
      </c>
      <c r="C5487" s="1" t="n">
        <v>45883</v>
      </c>
      <c r="D5487" t="inlineStr">
        <is>
          <t>GÄVLEBORGS LÄN</t>
        </is>
      </c>
      <c r="E5487" t="inlineStr">
        <is>
          <t>SÖDERHAMN</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60699-2024</t>
        </is>
      </c>
      <c r="B5488" s="1" t="n">
        <v>45644.48552083333</v>
      </c>
      <c r="C5488" s="1" t="n">
        <v>45883</v>
      </c>
      <c r="D5488" t="inlineStr">
        <is>
          <t>GÄVLEBORGS LÄN</t>
        </is>
      </c>
      <c r="E5488" t="inlineStr">
        <is>
          <t>OCKELBO</t>
        </is>
      </c>
      <c r="F5488" t="inlineStr">
        <is>
          <t>Bergvik skog väst AB</t>
        </is>
      </c>
      <c r="G5488" t="n">
        <v>5.3</v>
      </c>
      <c r="H5488" t="n">
        <v>0</v>
      </c>
      <c r="I5488" t="n">
        <v>0</v>
      </c>
      <c r="J5488" t="n">
        <v>0</v>
      </c>
      <c r="K5488" t="n">
        <v>0</v>
      </c>
      <c r="L5488" t="n">
        <v>0</v>
      </c>
      <c r="M5488" t="n">
        <v>0</v>
      </c>
      <c r="N5488" t="n">
        <v>0</v>
      </c>
      <c r="O5488" t="n">
        <v>0</v>
      </c>
      <c r="P5488" t="n">
        <v>0</v>
      </c>
      <c r="Q5488" t="n">
        <v>0</v>
      </c>
      <c r="R5488" s="2" t="inlineStr"/>
    </row>
    <row r="5489" ht="15" customHeight="1">
      <c r="A5489" t="inlineStr">
        <is>
          <t>A 62635-2020</t>
        </is>
      </c>
      <c r="B5489" s="1" t="n">
        <v>44161</v>
      </c>
      <c r="C5489" s="1" t="n">
        <v>45883</v>
      </c>
      <c r="D5489" t="inlineStr">
        <is>
          <t>GÄVLEBORGS LÄN</t>
        </is>
      </c>
      <c r="E5489" t="inlineStr">
        <is>
          <t>BOLLNÄS</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50194-2024</t>
        </is>
      </c>
      <c r="B5490" s="1" t="n">
        <v>45600.48512731482</v>
      </c>
      <c r="C5490" s="1" t="n">
        <v>45883</v>
      </c>
      <c r="D5490" t="inlineStr">
        <is>
          <t>GÄVLEBORGS LÄN</t>
        </is>
      </c>
      <c r="E5490" t="inlineStr">
        <is>
          <t>OCKELBO</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25365-2025</t>
        </is>
      </c>
      <c r="B5491" s="1" t="n">
        <v>45800.62809027778</v>
      </c>
      <c r="C5491" s="1" t="n">
        <v>45883</v>
      </c>
      <c r="D5491" t="inlineStr">
        <is>
          <t>GÄVLEBORGS LÄN</t>
        </is>
      </c>
      <c r="E5491" t="inlineStr">
        <is>
          <t>SÖDERHAMN</t>
        </is>
      </c>
      <c r="G5491" t="n">
        <v>3.1</v>
      </c>
      <c r="H5491" t="n">
        <v>0</v>
      </c>
      <c r="I5491" t="n">
        <v>0</v>
      </c>
      <c r="J5491" t="n">
        <v>0</v>
      </c>
      <c r="K5491" t="n">
        <v>0</v>
      </c>
      <c r="L5491" t="n">
        <v>0</v>
      </c>
      <c r="M5491" t="n">
        <v>0</v>
      </c>
      <c r="N5491" t="n">
        <v>0</v>
      </c>
      <c r="O5491" t="n">
        <v>0</v>
      </c>
      <c r="P5491" t="n">
        <v>0</v>
      </c>
      <c r="Q5491" t="n">
        <v>0</v>
      </c>
      <c r="R5491" s="2" t="inlineStr"/>
    </row>
    <row r="5492" ht="15" customHeight="1">
      <c r="A5492" t="inlineStr">
        <is>
          <t>A 29715-2024</t>
        </is>
      </c>
      <c r="B5492" s="1" t="n">
        <v>45485.35292824074</v>
      </c>
      <c r="C5492" s="1" t="n">
        <v>45883</v>
      </c>
      <c r="D5492" t="inlineStr">
        <is>
          <t>GÄVLEBORGS LÄN</t>
        </is>
      </c>
      <c r="E5492" t="inlineStr">
        <is>
          <t>BOLLNÄS</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25278-2025</t>
        </is>
      </c>
      <c r="B5493" s="1" t="n">
        <v>45800.55554398148</v>
      </c>
      <c r="C5493" s="1" t="n">
        <v>45883</v>
      </c>
      <c r="D5493" t="inlineStr">
        <is>
          <t>GÄVLEBORGS LÄN</t>
        </is>
      </c>
      <c r="E5493" t="inlineStr">
        <is>
          <t>OVANÅKER</t>
        </is>
      </c>
      <c r="F5493" t="inlineStr">
        <is>
          <t>Bergvik skog öst AB</t>
        </is>
      </c>
      <c r="G5493" t="n">
        <v>6.1</v>
      </c>
      <c r="H5493" t="n">
        <v>0</v>
      </c>
      <c r="I5493" t="n">
        <v>0</v>
      </c>
      <c r="J5493" t="n">
        <v>0</v>
      </c>
      <c r="K5493" t="n">
        <v>0</v>
      </c>
      <c r="L5493" t="n">
        <v>0</v>
      </c>
      <c r="M5493" t="n">
        <v>0</v>
      </c>
      <c r="N5493" t="n">
        <v>0</v>
      </c>
      <c r="O5493" t="n">
        <v>0</v>
      </c>
      <c r="P5493" t="n">
        <v>0</v>
      </c>
      <c r="Q5493" t="n">
        <v>0</v>
      </c>
      <c r="R5493" s="2" t="inlineStr"/>
    </row>
    <row r="5494" ht="15" customHeight="1">
      <c r="A5494" t="inlineStr">
        <is>
          <t>A 25300-2025</t>
        </is>
      </c>
      <c r="B5494" s="1" t="n">
        <v>45800.57034722222</v>
      </c>
      <c r="C5494" s="1" t="n">
        <v>45883</v>
      </c>
      <c r="D5494" t="inlineStr">
        <is>
          <t>GÄVLEBORGS LÄN</t>
        </is>
      </c>
      <c r="E5494" t="inlineStr">
        <is>
          <t>SANDVIKEN</t>
        </is>
      </c>
      <c r="F5494" t="inlineStr">
        <is>
          <t>Sveaskog</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25327-2025</t>
        </is>
      </c>
      <c r="B5495" s="1" t="n">
        <v>45800.58903935185</v>
      </c>
      <c r="C5495" s="1" t="n">
        <v>45883</v>
      </c>
      <c r="D5495" t="inlineStr">
        <is>
          <t>GÄVLEBORGS LÄN</t>
        </is>
      </c>
      <c r="E5495" t="inlineStr">
        <is>
          <t>SANDVIKEN</t>
        </is>
      </c>
      <c r="F5495" t="inlineStr">
        <is>
          <t>Sveaskog</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25337-2025</t>
        </is>
      </c>
      <c r="B5496" s="1" t="n">
        <v>45800.59858796297</v>
      </c>
      <c r="C5496" s="1" t="n">
        <v>45883</v>
      </c>
      <c r="D5496" t="inlineStr">
        <is>
          <t>GÄVLEBORGS LÄN</t>
        </is>
      </c>
      <c r="E5496" t="inlineStr">
        <is>
          <t>OVANÅKER</t>
        </is>
      </c>
      <c r="F5496" t="inlineStr">
        <is>
          <t>Bergvik skog väst AB</t>
        </is>
      </c>
      <c r="G5496" t="n">
        <v>4.5</v>
      </c>
      <c r="H5496" t="n">
        <v>0</v>
      </c>
      <c r="I5496" t="n">
        <v>0</v>
      </c>
      <c r="J5496" t="n">
        <v>0</v>
      </c>
      <c r="K5496" t="n">
        <v>0</v>
      </c>
      <c r="L5496" t="n">
        <v>0</v>
      </c>
      <c r="M5496" t="n">
        <v>0</v>
      </c>
      <c r="N5496" t="n">
        <v>0</v>
      </c>
      <c r="O5496" t="n">
        <v>0</v>
      </c>
      <c r="P5496" t="n">
        <v>0</v>
      </c>
      <c r="Q5496" t="n">
        <v>0</v>
      </c>
      <c r="R5496" s="2" t="inlineStr"/>
    </row>
    <row r="5497" ht="15" customHeight="1">
      <c r="A5497" t="inlineStr">
        <is>
          <t>A 25602-2025</t>
        </is>
      </c>
      <c r="B5497" s="1" t="n">
        <v>45800</v>
      </c>
      <c r="C5497" s="1" t="n">
        <v>45883</v>
      </c>
      <c r="D5497" t="inlineStr">
        <is>
          <t>GÄVLEBORGS LÄN</t>
        </is>
      </c>
      <c r="E5497" t="inlineStr">
        <is>
          <t>LJUSDAL</t>
        </is>
      </c>
      <c r="G5497" t="n">
        <v>4.7</v>
      </c>
      <c r="H5497" t="n">
        <v>0</v>
      </c>
      <c r="I5497" t="n">
        <v>0</v>
      </c>
      <c r="J5497" t="n">
        <v>0</v>
      </c>
      <c r="K5497" t="n">
        <v>0</v>
      </c>
      <c r="L5497" t="n">
        <v>0</v>
      </c>
      <c r="M5497" t="n">
        <v>0</v>
      </c>
      <c r="N5497" t="n">
        <v>0</v>
      </c>
      <c r="O5497" t="n">
        <v>0</v>
      </c>
      <c r="P5497" t="n">
        <v>0</v>
      </c>
      <c r="Q5497" t="n">
        <v>0</v>
      </c>
      <c r="R5497" s="2" t="inlineStr"/>
    </row>
    <row r="5498" ht="15" customHeight="1">
      <c r="A5498" t="inlineStr">
        <is>
          <t>A 25613-2025</t>
        </is>
      </c>
      <c r="B5498" s="1" t="n">
        <v>45800</v>
      </c>
      <c r="C5498" s="1" t="n">
        <v>45883</v>
      </c>
      <c r="D5498" t="inlineStr">
        <is>
          <t>GÄVLEBORGS LÄN</t>
        </is>
      </c>
      <c r="E5498" t="inlineStr">
        <is>
          <t>LJUSDAL</t>
        </is>
      </c>
      <c r="G5498" t="n">
        <v>5</v>
      </c>
      <c r="H5498" t="n">
        <v>0</v>
      </c>
      <c r="I5498" t="n">
        <v>0</v>
      </c>
      <c r="J5498" t="n">
        <v>0</v>
      </c>
      <c r="K5498" t="n">
        <v>0</v>
      </c>
      <c r="L5498" t="n">
        <v>0</v>
      </c>
      <c r="M5498" t="n">
        <v>0</v>
      </c>
      <c r="N5498" t="n">
        <v>0</v>
      </c>
      <c r="O5498" t="n">
        <v>0</v>
      </c>
      <c r="P5498" t="n">
        <v>0</v>
      </c>
      <c r="Q5498" t="n">
        <v>0</v>
      </c>
      <c r="R5498" s="2" t="inlineStr"/>
    </row>
    <row r="5499" ht="15" customHeight="1">
      <c r="A5499" t="inlineStr">
        <is>
          <t>A 25289-2025</t>
        </is>
      </c>
      <c r="B5499" s="1" t="n">
        <v>45800.5633912037</v>
      </c>
      <c r="C5499" s="1" t="n">
        <v>45883</v>
      </c>
      <c r="D5499" t="inlineStr">
        <is>
          <t>GÄVLEBORGS LÄN</t>
        </is>
      </c>
      <c r="E5499" t="inlineStr">
        <is>
          <t>OVANÅKER</t>
        </is>
      </c>
      <c r="F5499" t="inlineStr">
        <is>
          <t>Bergvik skog öst AB</t>
        </is>
      </c>
      <c r="G5499" t="n">
        <v>0.4</v>
      </c>
      <c r="H5499" t="n">
        <v>0</v>
      </c>
      <c r="I5499" t="n">
        <v>0</v>
      </c>
      <c r="J5499" t="n">
        <v>0</v>
      </c>
      <c r="K5499" t="n">
        <v>0</v>
      </c>
      <c r="L5499" t="n">
        <v>0</v>
      </c>
      <c r="M5499" t="n">
        <v>0</v>
      </c>
      <c r="N5499" t="n">
        <v>0</v>
      </c>
      <c r="O5499" t="n">
        <v>0</v>
      </c>
      <c r="P5499" t="n">
        <v>0</v>
      </c>
      <c r="Q5499" t="n">
        <v>0</v>
      </c>
      <c r="R5499" s="2" t="inlineStr"/>
    </row>
    <row r="5500" ht="15" customHeight="1">
      <c r="A5500" t="inlineStr">
        <is>
          <t>A 25317-2025</t>
        </is>
      </c>
      <c r="B5500" s="1" t="n">
        <v>45800.58108796296</v>
      </c>
      <c r="C5500" s="1" t="n">
        <v>45883</v>
      </c>
      <c r="D5500" t="inlineStr">
        <is>
          <t>GÄVLEBORGS LÄN</t>
        </is>
      </c>
      <c r="E5500" t="inlineStr">
        <is>
          <t>SANDVIKEN</t>
        </is>
      </c>
      <c r="F5500" t="inlineStr">
        <is>
          <t>Sveaskog</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33941-2025</t>
        </is>
      </c>
      <c r="B5501" s="1" t="n">
        <v>45842.64204861111</v>
      </c>
      <c r="C5501" s="1" t="n">
        <v>45883</v>
      </c>
      <c r="D5501" t="inlineStr">
        <is>
          <t>GÄVLEBORGS LÄN</t>
        </is>
      </c>
      <c r="E5501" t="inlineStr">
        <is>
          <t>SÖDERHAMN</t>
        </is>
      </c>
      <c r="G5501" t="n">
        <v>4</v>
      </c>
      <c r="H5501" t="n">
        <v>0</v>
      </c>
      <c r="I5501" t="n">
        <v>0</v>
      </c>
      <c r="J5501" t="n">
        <v>0</v>
      </c>
      <c r="K5501" t="n">
        <v>0</v>
      </c>
      <c r="L5501" t="n">
        <v>0</v>
      </c>
      <c r="M5501" t="n">
        <v>0</v>
      </c>
      <c r="N5501" t="n">
        <v>0</v>
      </c>
      <c r="O5501" t="n">
        <v>0</v>
      </c>
      <c r="P5501" t="n">
        <v>0</v>
      </c>
      <c r="Q5501" t="n">
        <v>0</v>
      </c>
      <c r="R5501" s="2" t="inlineStr"/>
    </row>
    <row r="5502" ht="15" customHeight="1">
      <c r="A5502" t="inlineStr">
        <is>
          <t>A 24918-2025</t>
        </is>
      </c>
      <c r="B5502" s="1" t="n">
        <v>45799.54648148148</v>
      </c>
      <c r="C5502" s="1" t="n">
        <v>45883</v>
      </c>
      <c r="D5502" t="inlineStr">
        <is>
          <t>GÄVLEBORGS LÄN</t>
        </is>
      </c>
      <c r="E5502" t="inlineStr">
        <is>
          <t>BOLLNÄS</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24920-2025</t>
        </is>
      </c>
      <c r="B5503" s="1" t="n">
        <v>45799.55019675926</v>
      </c>
      <c r="C5503" s="1" t="n">
        <v>45883</v>
      </c>
      <c r="D5503" t="inlineStr">
        <is>
          <t>GÄVLEBORGS LÄN</t>
        </is>
      </c>
      <c r="E5503" t="inlineStr">
        <is>
          <t>BOLLNÄS</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24942-2025</t>
        </is>
      </c>
      <c r="B5504" s="1" t="n">
        <v>45799.56214120371</v>
      </c>
      <c r="C5504" s="1" t="n">
        <v>45883</v>
      </c>
      <c r="D5504" t="inlineStr">
        <is>
          <t>GÄVLEBORGS LÄN</t>
        </is>
      </c>
      <c r="E5504" t="inlineStr">
        <is>
          <t>HUDIKSVALL</t>
        </is>
      </c>
      <c r="F5504" t="inlineStr">
        <is>
          <t>Holmen skog AB</t>
        </is>
      </c>
      <c r="G5504" t="n">
        <v>33.5</v>
      </c>
      <c r="H5504" t="n">
        <v>0</v>
      </c>
      <c r="I5504" t="n">
        <v>0</v>
      </c>
      <c r="J5504" t="n">
        <v>0</v>
      </c>
      <c r="K5504" t="n">
        <v>0</v>
      </c>
      <c r="L5504" t="n">
        <v>0</v>
      </c>
      <c r="M5504" t="n">
        <v>0</v>
      </c>
      <c r="N5504" t="n">
        <v>0</v>
      </c>
      <c r="O5504" t="n">
        <v>0</v>
      </c>
      <c r="P5504" t="n">
        <v>0</v>
      </c>
      <c r="Q5504" t="n">
        <v>0</v>
      </c>
      <c r="R5504" s="2" t="inlineStr"/>
    </row>
    <row r="5505" ht="15" customHeight="1">
      <c r="A5505" t="inlineStr">
        <is>
          <t>A 17052-2023</t>
        </is>
      </c>
      <c r="B5505" s="1" t="n">
        <v>45034.44483796296</v>
      </c>
      <c r="C5505" s="1" t="n">
        <v>45883</v>
      </c>
      <c r="D5505" t="inlineStr">
        <is>
          <t>GÄVLEBORGS LÄN</t>
        </is>
      </c>
      <c r="E5505" t="inlineStr">
        <is>
          <t>NORDANSTIG</t>
        </is>
      </c>
      <c r="F5505" t="inlineStr">
        <is>
          <t>Holmen skog AB</t>
        </is>
      </c>
      <c r="G5505" t="n">
        <v>8.6</v>
      </c>
      <c r="H5505" t="n">
        <v>0</v>
      </c>
      <c r="I5505" t="n">
        <v>0</v>
      </c>
      <c r="J5505" t="n">
        <v>0</v>
      </c>
      <c r="K5505" t="n">
        <v>0</v>
      </c>
      <c r="L5505" t="n">
        <v>0</v>
      </c>
      <c r="M5505" t="n">
        <v>0</v>
      </c>
      <c r="N5505" t="n">
        <v>0</v>
      </c>
      <c r="O5505" t="n">
        <v>0</v>
      </c>
      <c r="P5505" t="n">
        <v>0</v>
      </c>
      <c r="Q5505" t="n">
        <v>0</v>
      </c>
      <c r="R5505" s="2" t="inlineStr"/>
    </row>
    <row r="5506" ht="15" customHeight="1">
      <c r="A5506" t="inlineStr">
        <is>
          <t>A 34725-2022</t>
        </is>
      </c>
      <c r="B5506" s="1" t="n">
        <v>44795.59475694445</v>
      </c>
      <c r="C5506" s="1" t="n">
        <v>45883</v>
      </c>
      <c r="D5506" t="inlineStr">
        <is>
          <t>GÄVLEBORGS LÄN</t>
        </is>
      </c>
      <c r="E5506" t="inlineStr">
        <is>
          <t>SÖDERHAMN</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549-2022</t>
        </is>
      </c>
      <c r="B5507" s="1" t="n">
        <v>44566.65258101852</v>
      </c>
      <c r="C5507" s="1" t="n">
        <v>45883</v>
      </c>
      <c r="D5507" t="inlineStr">
        <is>
          <t>GÄVLEBORGS LÄN</t>
        </is>
      </c>
      <c r="E5507" t="inlineStr">
        <is>
          <t>SANDVIKEN</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574-2022</t>
        </is>
      </c>
      <c r="B5508" s="1" t="n">
        <v>44566</v>
      </c>
      <c r="C5508" s="1" t="n">
        <v>45883</v>
      </c>
      <c r="D5508" t="inlineStr">
        <is>
          <t>GÄVLEBORGS LÄN</t>
        </is>
      </c>
      <c r="E5508" t="inlineStr">
        <is>
          <t>LJUSDAL</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28810-2023</t>
        </is>
      </c>
      <c r="B5509" s="1" t="n">
        <v>45104</v>
      </c>
      <c r="C5509" s="1" t="n">
        <v>45883</v>
      </c>
      <c r="D5509" t="inlineStr">
        <is>
          <t>GÄVLEBORGS LÄN</t>
        </is>
      </c>
      <c r="E5509" t="inlineStr">
        <is>
          <t>HUDIKSVALL</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25939-2021</t>
        </is>
      </c>
      <c r="B5510" s="1" t="n">
        <v>44344.47533564815</v>
      </c>
      <c r="C5510" s="1" t="n">
        <v>45883</v>
      </c>
      <c r="D5510" t="inlineStr">
        <is>
          <t>GÄVLEBORGS LÄN</t>
        </is>
      </c>
      <c r="E5510" t="inlineStr">
        <is>
          <t>OVANÅKER</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24943-2025</t>
        </is>
      </c>
      <c r="B5511" s="1" t="n">
        <v>45799.56239583333</v>
      </c>
      <c r="C5511" s="1" t="n">
        <v>45883</v>
      </c>
      <c r="D5511" t="inlineStr">
        <is>
          <t>GÄVLEBORGS LÄN</t>
        </is>
      </c>
      <c r="E5511" t="inlineStr">
        <is>
          <t>LJUSDAL</t>
        </is>
      </c>
      <c r="F5511" t="inlineStr">
        <is>
          <t>Sveaskog</t>
        </is>
      </c>
      <c r="G5511" t="n">
        <v>5.5</v>
      </c>
      <c r="H5511" t="n">
        <v>0</v>
      </c>
      <c r="I5511" t="n">
        <v>0</v>
      </c>
      <c r="J5511" t="n">
        <v>0</v>
      </c>
      <c r="K5511" t="n">
        <v>0</v>
      </c>
      <c r="L5511" t="n">
        <v>0</v>
      </c>
      <c r="M5511" t="n">
        <v>0</v>
      </c>
      <c r="N5511" t="n">
        <v>0</v>
      </c>
      <c r="O5511" t="n">
        <v>0</v>
      </c>
      <c r="P5511" t="n">
        <v>0</v>
      </c>
      <c r="Q5511" t="n">
        <v>0</v>
      </c>
      <c r="R5511" s="2" t="inlineStr"/>
    </row>
    <row r="5512" ht="15" customHeight="1">
      <c r="A5512" t="inlineStr">
        <is>
          <t>A 24945-2025</t>
        </is>
      </c>
      <c r="B5512" s="1" t="n">
        <v>45799.56395833333</v>
      </c>
      <c r="C5512" s="1" t="n">
        <v>45883</v>
      </c>
      <c r="D5512" t="inlineStr">
        <is>
          <t>GÄVLEBORGS LÄN</t>
        </is>
      </c>
      <c r="E5512" t="inlineStr">
        <is>
          <t>LJUSDAL</t>
        </is>
      </c>
      <c r="F5512" t="inlineStr">
        <is>
          <t>Sveaskog</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54627-2024</t>
        </is>
      </c>
      <c r="B5513" s="1" t="n">
        <v>45617.82288194444</v>
      </c>
      <c r="C5513" s="1" t="n">
        <v>45883</v>
      </c>
      <c r="D5513" t="inlineStr">
        <is>
          <t>GÄVLEBORGS LÄN</t>
        </is>
      </c>
      <c r="E5513" t="inlineStr">
        <is>
          <t>OCKELBO</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35679-2023</t>
        </is>
      </c>
      <c r="B5514" s="1" t="n">
        <v>45147</v>
      </c>
      <c r="C5514" s="1" t="n">
        <v>45883</v>
      </c>
      <c r="D5514" t="inlineStr">
        <is>
          <t>GÄVLEBORGS LÄN</t>
        </is>
      </c>
      <c r="E5514" t="inlineStr">
        <is>
          <t>HUDIKSVALL</t>
        </is>
      </c>
      <c r="F5514" t="inlineStr">
        <is>
          <t>Holmen skog AB</t>
        </is>
      </c>
      <c r="G5514" t="n">
        <v>6.5</v>
      </c>
      <c r="H5514" t="n">
        <v>0</v>
      </c>
      <c r="I5514" t="n">
        <v>0</v>
      </c>
      <c r="J5514" t="n">
        <v>0</v>
      </c>
      <c r="K5514" t="n">
        <v>0</v>
      </c>
      <c r="L5514" t="n">
        <v>0</v>
      </c>
      <c r="M5514" t="n">
        <v>0</v>
      </c>
      <c r="N5514" t="n">
        <v>0</v>
      </c>
      <c r="O5514" t="n">
        <v>0</v>
      </c>
      <c r="P5514" t="n">
        <v>0</v>
      </c>
      <c r="Q5514" t="n">
        <v>0</v>
      </c>
      <c r="R5514" s="2" t="inlineStr"/>
    </row>
    <row r="5515" ht="15" customHeight="1">
      <c r="A5515" t="inlineStr">
        <is>
          <t>A 25209-2025</t>
        </is>
      </c>
      <c r="B5515" s="1" t="n">
        <v>45800.46928240741</v>
      </c>
      <c r="C5515" s="1" t="n">
        <v>45883</v>
      </c>
      <c r="D5515" t="inlineStr">
        <is>
          <t>GÄVLEBORGS LÄN</t>
        </is>
      </c>
      <c r="E5515" t="inlineStr">
        <is>
          <t>SANDVIKEN</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25225-2025</t>
        </is>
      </c>
      <c r="B5516" s="1" t="n">
        <v>45800.48112268518</v>
      </c>
      <c r="C5516" s="1" t="n">
        <v>45883</v>
      </c>
      <c r="D5516" t="inlineStr">
        <is>
          <t>GÄVLEBORGS LÄN</t>
        </is>
      </c>
      <c r="E5516" t="inlineStr">
        <is>
          <t>BOLLNÄS</t>
        </is>
      </c>
      <c r="F5516" t="inlineStr">
        <is>
          <t>Bergvik skog väst AB</t>
        </is>
      </c>
      <c r="G5516" t="n">
        <v>4</v>
      </c>
      <c r="H5516" t="n">
        <v>0</v>
      </c>
      <c r="I5516" t="n">
        <v>0</v>
      </c>
      <c r="J5516" t="n">
        <v>0</v>
      </c>
      <c r="K5516" t="n">
        <v>0</v>
      </c>
      <c r="L5516" t="n">
        <v>0</v>
      </c>
      <c r="M5516" t="n">
        <v>0</v>
      </c>
      <c r="N5516" t="n">
        <v>0</v>
      </c>
      <c r="O5516" t="n">
        <v>0</v>
      </c>
      <c r="P5516" t="n">
        <v>0</v>
      </c>
      <c r="Q5516" t="n">
        <v>0</v>
      </c>
      <c r="R5516" s="2" t="inlineStr"/>
    </row>
    <row r="5517" ht="15" customHeight="1">
      <c r="A5517" t="inlineStr">
        <is>
          <t>A 25281-2025</t>
        </is>
      </c>
      <c r="B5517" s="1" t="n">
        <v>45800.5583912037</v>
      </c>
      <c r="C5517" s="1" t="n">
        <v>45883</v>
      </c>
      <c r="D5517" t="inlineStr">
        <is>
          <t>GÄVLEBORGS LÄN</t>
        </is>
      </c>
      <c r="E5517" t="inlineStr">
        <is>
          <t>OVANÅKER</t>
        </is>
      </c>
      <c r="F5517" t="inlineStr">
        <is>
          <t>Bergvik skog öst AB</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23162-2023</t>
        </is>
      </c>
      <c r="B5518" s="1" t="n">
        <v>45075</v>
      </c>
      <c r="C5518" s="1" t="n">
        <v>45883</v>
      </c>
      <c r="D5518" t="inlineStr">
        <is>
          <t>GÄVLEBORGS LÄN</t>
        </is>
      </c>
      <c r="E5518" t="inlineStr">
        <is>
          <t>SANDVIKEN</t>
        </is>
      </c>
      <c r="F5518" t="inlineStr">
        <is>
          <t>Bergvik skog öst AB</t>
        </is>
      </c>
      <c r="G5518" t="n">
        <v>6.3</v>
      </c>
      <c r="H5518" t="n">
        <v>0</v>
      </c>
      <c r="I5518" t="n">
        <v>0</v>
      </c>
      <c r="J5518" t="n">
        <v>0</v>
      </c>
      <c r="K5518" t="n">
        <v>0</v>
      </c>
      <c r="L5518" t="n">
        <v>0</v>
      </c>
      <c r="M5518" t="n">
        <v>0</v>
      </c>
      <c r="N5518" t="n">
        <v>0</v>
      </c>
      <c r="O5518" t="n">
        <v>0</v>
      </c>
      <c r="P5518" t="n">
        <v>0</v>
      </c>
      <c r="Q5518" t="n">
        <v>0</v>
      </c>
      <c r="R5518" s="2" t="inlineStr"/>
    </row>
    <row r="5519" ht="15" customHeight="1">
      <c r="A5519" t="inlineStr">
        <is>
          <t>A 24721-2025</t>
        </is>
      </c>
      <c r="B5519" s="1" t="n">
        <v>45799</v>
      </c>
      <c r="C5519" s="1" t="n">
        <v>45883</v>
      </c>
      <c r="D5519" t="inlineStr">
        <is>
          <t>GÄVLEBORGS LÄN</t>
        </is>
      </c>
      <c r="E5519" t="inlineStr">
        <is>
          <t>BOLLNÄS</t>
        </is>
      </c>
      <c r="G5519" t="n">
        <v>9</v>
      </c>
      <c r="H5519" t="n">
        <v>0</v>
      </c>
      <c r="I5519" t="n">
        <v>0</v>
      </c>
      <c r="J5519" t="n">
        <v>0</v>
      </c>
      <c r="K5519" t="n">
        <v>0</v>
      </c>
      <c r="L5519" t="n">
        <v>0</v>
      </c>
      <c r="M5519" t="n">
        <v>0</v>
      </c>
      <c r="N5519" t="n">
        <v>0</v>
      </c>
      <c r="O5519" t="n">
        <v>0</v>
      </c>
      <c r="P5519" t="n">
        <v>0</v>
      </c>
      <c r="Q5519" t="n">
        <v>0</v>
      </c>
      <c r="R5519" s="2" t="inlineStr"/>
    </row>
    <row r="5520" ht="15" customHeight="1">
      <c r="A5520" t="inlineStr">
        <is>
          <t>A 27534-2021</t>
        </is>
      </c>
      <c r="B5520" s="1" t="n">
        <v>44351.67798611111</v>
      </c>
      <c r="C5520" s="1" t="n">
        <v>45883</v>
      </c>
      <c r="D5520" t="inlineStr">
        <is>
          <t>GÄVLEBORGS LÄN</t>
        </is>
      </c>
      <c r="E5520" t="inlineStr">
        <is>
          <t>OVANÅKER</t>
        </is>
      </c>
      <c r="F5520" t="inlineStr">
        <is>
          <t>Sveaskog</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58082-2024</t>
        </is>
      </c>
      <c r="B5521" s="1" t="n">
        <v>45632.33841435185</v>
      </c>
      <c r="C5521" s="1" t="n">
        <v>45883</v>
      </c>
      <c r="D5521" t="inlineStr">
        <is>
          <t>GÄVLEBORGS LÄN</t>
        </is>
      </c>
      <c r="E5521" t="inlineStr">
        <is>
          <t>SÖDERHAMN</t>
        </is>
      </c>
      <c r="F5521" t="inlineStr">
        <is>
          <t>Bergvik skog väst AB</t>
        </is>
      </c>
      <c r="G5521" t="n">
        <v>5.5</v>
      </c>
      <c r="H5521" t="n">
        <v>0</v>
      </c>
      <c r="I5521" t="n">
        <v>0</v>
      </c>
      <c r="J5521" t="n">
        <v>0</v>
      </c>
      <c r="K5521" t="n">
        <v>0</v>
      </c>
      <c r="L5521" t="n">
        <v>0</v>
      </c>
      <c r="M5521" t="n">
        <v>0</v>
      </c>
      <c r="N5521" t="n">
        <v>0</v>
      </c>
      <c r="O5521" t="n">
        <v>0</v>
      </c>
      <c r="P5521" t="n">
        <v>0</v>
      </c>
      <c r="Q5521" t="n">
        <v>0</v>
      </c>
      <c r="R5521" s="2" t="inlineStr"/>
    </row>
    <row r="5522" ht="15" customHeight="1">
      <c r="A5522" t="inlineStr">
        <is>
          <t>A 27536-2021</t>
        </is>
      </c>
      <c r="B5522" s="1" t="n">
        <v>44351.67927083333</v>
      </c>
      <c r="C5522" s="1" t="n">
        <v>45883</v>
      </c>
      <c r="D5522" t="inlineStr">
        <is>
          <t>GÄVLEBORGS LÄN</t>
        </is>
      </c>
      <c r="E5522" t="inlineStr">
        <is>
          <t>OVANÅKER</t>
        </is>
      </c>
      <c r="F5522" t="inlineStr">
        <is>
          <t>Sveaskog</t>
        </is>
      </c>
      <c r="G5522" t="n">
        <v>3.2</v>
      </c>
      <c r="H5522" t="n">
        <v>0</v>
      </c>
      <c r="I5522" t="n">
        <v>0</v>
      </c>
      <c r="J5522" t="n">
        <v>0</v>
      </c>
      <c r="K5522" t="n">
        <v>0</v>
      </c>
      <c r="L5522" t="n">
        <v>0</v>
      </c>
      <c r="M5522" t="n">
        <v>0</v>
      </c>
      <c r="N5522" t="n">
        <v>0</v>
      </c>
      <c r="O5522" t="n">
        <v>0</v>
      </c>
      <c r="P5522" t="n">
        <v>0</v>
      </c>
      <c r="Q5522" t="n">
        <v>0</v>
      </c>
      <c r="R5522" s="2" t="inlineStr"/>
    </row>
    <row r="5523" ht="15" customHeight="1">
      <c r="A5523" t="inlineStr">
        <is>
          <t>A 6350-2025</t>
        </is>
      </c>
      <c r="B5523" s="1" t="n">
        <v>45699.34824074074</v>
      </c>
      <c r="C5523" s="1" t="n">
        <v>45883</v>
      </c>
      <c r="D5523" t="inlineStr">
        <is>
          <t>GÄVLEBORGS LÄN</t>
        </is>
      </c>
      <c r="E5523" t="inlineStr">
        <is>
          <t>NORDANSTIG</t>
        </is>
      </c>
      <c r="F5523" t="inlineStr">
        <is>
          <t>Holmen skog AB</t>
        </is>
      </c>
      <c r="G5523" t="n">
        <v>9.699999999999999</v>
      </c>
      <c r="H5523" t="n">
        <v>0</v>
      </c>
      <c r="I5523" t="n">
        <v>0</v>
      </c>
      <c r="J5523" t="n">
        <v>0</v>
      </c>
      <c r="K5523" t="n">
        <v>0</v>
      </c>
      <c r="L5523" t="n">
        <v>0</v>
      </c>
      <c r="M5523" t="n">
        <v>0</v>
      </c>
      <c r="N5523" t="n">
        <v>0</v>
      </c>
      <c r="O5523" t="n">
        <v>0</v>
      </c>
      <c r="P5523" t="n">
        <v>0</v>
      </c>
      <c r="Q5523" t="n">
        <v>0</v>
      </c>
      <c r="R5523" s="2" t="inlineStr"/>
    </row>
    <row r="5524" ht="15" customHeight="1">
      <c r="A5524" t="inlineStr">
        <is>
          <t>A 6396-2025</t>
        </is>
      </c>
      <c r="B5524" s="1" t="n">
        <v>45699.43766203704</v>
      </c>
      <c r="C5524" s="1" t="n">
        <v>45883</v>
      </c>
      <c r="D5524" t="inlineStr">
        <is>
          <t>GÄVLEBORGS LÄN</t>
        </is>
      </c>
      <c r="E5524" t="inlineStr">
        <is>
          <t>OCKELBO</t>
        </is>
      </c>
      <c r="F5524" t="inlineStr">
        <is>
          <t>Bergvik skog väst AB</t>
        </is>
      </c>
      <c r="G5524" t="n">
        <v>4.1</v>
      </c>
      <c r="H5524" t="n">
        <v>0</v>
      </c>
      <c r="I5524" t="n">
        <v>0</v>
      </c>
      <c r="J5524" t="n">
        <v>0</v>
      </c>
      <c r="K5524" t="n">
        <v>0</v>
      </c>
      <c r="L5524" t="n">
        <v>0</v>
      </c>
      <c r="M5524" t="n">
        <v>0</v>
      </c>
      <c r="N5524" t="n">
        <v>0</v>
      </c>
      <c r="O5524" t="n">
        <v>0</v>
      </c>
      <c r="P5524" t="n">
        <v>0</v>
      </c>
      <c r="Q5524" t="n">
        <v>0</v>
      </c>
      <c r="R5524" s="2" t="inlineStr"/>
    </row>
    <row r="5525" ht="15" customHeight="1">
      <c r="A5525" t="inlineStr">
        <is>
          <t>A 58093-2024</t>
        </is>
      </c>
      <c r="B5525" s="1" t="n">
        <v>45632.35192129629</v>
      </c>
      <c r="C5525" s="1" t="n">
        <v>45883</v>
      </c>
      <c r="D5525" t="inlineStr">
        <is>
          <t>GÄVLEBORGS LÄN</t>
        </is>
      </c>
      <c r="E5525" t="inlineStr">
        <is>
          <t>SÖDERHAMN</t>
        </is>
      </c>
      <c r="F5525" t="inlineStr">
        <is>
          <t>Bergvik skog väst AB</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10891-2025</t>
        </is>
      </c>
      <c r="B5526" s="1" t="n">
        <v>45722.67386574074</v>
      </c>
      <c r="C5526" s="1" t="n">
        <v>45883</v>
      </c>
      <c r="D5526" t="inlineStr">
        <is>
          <t>GÄVLEBORGS LÄN</t>
        </is>
      </c>
      <c r="E5526" t="inlineStr">
        <is>
          <t>OVANÅKER</t>
        </is>
      </c>
      <c r="G5526" t="n">
        <v>10.3</v>
      </c>
      <c r="H5526" t="n">
        <v>0</v>
      </c>
      <c r="I5526" t="n">
        <v>0</v>
      </c>
      <c r="J5526" t="n">
        <v>0</v>
      </c>
      <c r="K5526" t="n">
        <v>0</v>
      </c>
      <c r="L5526" t="n">
        <v>0</v>
      </c>
      <c r="M5526" t="n">
        <v>0</v>
      </c>
      <c r="N5526" t="n">
        <v>0</v>
      </c>
      <c r="O5526" t="n">
        <v>0</v>
      </c>
      <c r="P5526" t="n">
        <v>0</v>
      </c>
      <c r="Q5526" t="n">
        <v>0</v>
      </c>
      <c r="R5526" s="2" t="inlineStr"/>
    </row>
    <row r="5527" ht="15" customHeight="1">
      <c r="A5527" t="inlineStr">
        <is>
          <t>A 10994-2025</t>
        </is>
      </c>
      <c r="B5527" s="1" t="n">
        <v>45723.43423611111</v>
      </c>
      <c r="C5527" s="1" t="n">
        <v>45883</v>
      </c>
      <c r="D5527" t="inlineStr">
        <is>
          <t>GÄVLEBORGS LÄN</t>
        </is>
      </c>
      <c r="E5527" t="inlineStr">
        <is>
          <t>HUDIKSVALL</t>
        </is>
      </c>
      <c r="F5527" t="inlineStr">
        <is>
          <t>Holmen skog AB</t>
        </is>
      </c>
      <c r="G5527" t="n">
        <v>5.7</v>
      </c>
      <c r="H5527" t="n">
        <v>0</v>
      </c>
      <c r="I5527" t="n">
        <v>0</v>
      </c>
      <c r="J5527" t="n">
        <v>0</v>
      </c>
      <c r="K5527" t="n">
        <v>0</v>
      </c>
      <c r="L5527" t="n">
        <v>0</v>
      </c>
      <c r="M5527" t="n">
        <v>0</v>
      </c>
      <c r="N5527" t="n">
        <v>0</v>
      </c>
      <c r="O5527" t="n">
        <v>0</v>
      </c>
      <c r="P5527" t="n">
        <v>0</v>
      </c>
      <c r="Q5527" t="n">
        <v>0</v>
      </c>
      <c r="R5527" s="2" t="inlineStr"/>
    </row>
    <row r="5528" ht="15" customHeight="1">
      <c r="A5528" t="inlineStr">
        <is>
          <t>A 6766-2022</t>
        </is>
      </c>
      <c r="B5528" s="1" t="n">
        <v>44602.50246527778</v>
      </c>
      <c r="C5528" s="1" t="n">
        <v>45883</v>
      </c>
      <c r="D5528" t="inlineStr">
        <is>
          <t>GÄVLEBORGS LÄN</t>
        </is>
      </c>
      <c r="E5528" t="inlineStr">
        <is>
          <t>OVANÅKER</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22627-2023</t>
        </is>
      </c>
      <c r="B5529" s="1" t="n">
        <v>45071.58001157407</v>
      </c>
      <c r="C5529" s="1" t="n">
        <v>45883</v>
      </c>
      <c r="D5529" t="inlineStr">
        <is>
          <t>GÄVLEBORGS LÄN</t>
        </is>
      </c>
      <c r="E5529" t="inlineStr">
        <is>
          <t>LJUSDAL</t>
        </is>
      </c>
      <c r="F5529" t="inlineStr">
        <is>
          <t>Holmen skog AB</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51599-2024</t>
        </is>
      </c>
      <c r="B5530" s="1" t="n">
        <v>45604</v>
      </c>
      <c r="C5530" s="1" t="n">
        <v>45883</v>
      </c>
      <c r="D5530" t="inlineStr">
        <is>
          <t>GÄVLEBORGS LÄN</t>
        </is>
      </c>
      <c r="E5530" t="inlineStr">
        <is>
          <t>LJUSDAL</t>
        </is>
      </c>
      <c r="F5530" t="inlineStr">
        <is>
          <t>Sveaskog</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51681-2024</t>
        </is>
      </c>
      <c r="B5531" s="1" t="n">
        <v>45607.34104166667</v>
      </c>
      <c r="C5531" s="1" t="n">
        <v>45883</v>
      </c>
      <c r="D5531" t="inlineStr">
        <is>
          <t>GÄVLEBORGS LÄN</t>
        </is>
      </c>
      <c r="E5531" t="inlineStr">
        <is>
          <t>BOLLNÄS</t>
        </is>
      </c>
      <c r="F5531" t="inlineStr">
        <is>
          <t>Bergvik skog väst AB</t>
        </is>
      </c>
      <c r="G5531" t="n">
        <v>0.3</v>
      </c>
      <c r="H5531" t="n">
        <v>0</v>
      </c>
      <c r="I5531" t="n">
        <v>0</v>
      </c>
      <c r="J5531" t="n">
        <v>0</v>
      </c>
      <c r="K5531" t="n">
        <v>0</v>
      </c>
      <c r="L5531" t="n">
        <v>0</v>
      </c>
      <c r="M5531" t="n">
        <v>0</v>
      </c>
      <c r="N5531" t="n">
        <v>0</v>
      </c>
      <c r="O5531" t="n">
        <v>0</v>
      </c>
      <c r="P5531" t="n">
        <v>0</v>
      </c>
      <c r="Q5531" t="n">
        <v>0</v>
      </c>
      <c r="R5531" s="2" t="inlineStr"/>
    </row>
    <row r="5532" ht="15" customHeight="1">
      <c r="A5532" t="inlineStr">
        <is>
          <t>A 8670-2025</t>
        </is>
      </c>
      <c r="B5532" s="1" t="n">
        <v>45712</v>
      </c>
      <c r="C5532" s="1" t="n">
        <v>45883</v>
      </c>
      <c r="D5532" t="inlineStr">
        <is>
          <t>GÄVLEBORGS LÄN</t>
        </is>
      </c>
      <c r="E5532" t="inlineStr">
        <is>
          <t>GÄVLE</t>
        </is>
      </c>
      <c r="F5532" t="inlineStr">
        <is>
          <t>Kyrkan</t>
        </is>
      </c>
      <c r="G5532" t="n">
        <v>4.3</v>
      </c>
      <c r="H5532" t="n">
        <v>0</v>
      </c>
      <c r="I5532" t="n">
        <v>0</v>
      </c>
      <c r="J5532" t="n">
        <v>0</v>
      </c>
      <c r="K5532" t="n">
        <v>0</v>
      </c>
      <c r="L5532" t="n">
        <v>0</v>
      </c>
      <c r="M5532" t="n">
        <v>0</v>
      </c>
      <c r="N5532" t="n">
        <v>0</v>
      </c>
      <c r="O5532" t="n">
        <v>0</v>
      </c>
      <c r="P5532" t="n">
        <v>0</v>
      </c>
      <c r="Q5532" t="n">
        <v>0</v>
      </c>
      <c r="R5532" s="2" t="inlineStr"/>
    </row>
    <row r="5533" ht="15" customHeight="1">
      <c r="A5533" t="inlineStr">
        <is>
          <t>A 33335-2025</t>
        </is>
      </c>
      <c r="B5533" s="1" t="n">
        <v>45841.35607638889</v>
      </c>
      <c r="C5533" s="1" t="n">
        <v>45883</v>
      </c>
      <c r="D5533" t="inlineStr">
        <is>
          <t>GÄVLEBORGS LÄN</t>
        </is>
      </c>
      <c r="E5533" t="inlineStr">
        <is>
          <t>OVANÅKER</t>
        </is>
      </c>
      <c r="F5533" t="inlineStr">
        <is>
          <t>Bergvik skog väst AB</t>
        </is>
      </c>
      <c r="G5533" t="n">
        <v>3.8</v>
      </c>
      <c r="H5533" t="n">
        <v>0</v>
      </c>
      <c r="I5533" t="n">
        <v>0</v>
      </c>
      <c r="J5533" t="n">
        <v>0</v>
      </c>
      <c r="K5533" t="n">
        <v>0</v>
      </c>
      <c r="L5533" t="n">
        <v>0</v>
      </c>
      <c r="M5533" t="n">
        <v>0</v>
      </c>
      <c r="N5533" t="n">
        <v>0</v>
      </c>
      <c r="O5533" t="n">
        <v>0</v>
      </c>
      <c r="P5533" t="n">
        <v>0</v>
      </c>
      <c r="Q5533" t="n">
        <v>0</v>
      </c>
      <c r="R5533" s="2" t="inlineStr"/>
    </row>
    <row r="5534" ht="15" customHeight="1">
      <c r="A5534" t="inlineStr">
        <is>
          <t>A 33339-2025</t>
        </is>
      </c>
      <c r="B5534" s="1" t="n">
        <v>45841.36012731482</v>
      </c>
      <c r="C5534" s="1" t="n">
        <v>45883</v>
      </c>
      <c r="D5534" t="inlineStr">
        <is>
          <t>GÄVLEBORGS LÄN</t>
        </is>
      </c>
      <c r="E5534" t="inlineStr">
        <is>
          <t>NORDANSTIG</t>
        </is>
      </c>
      <c r="F5534" t="inlineStr">
        <is>
          <t>Holmen skog AB</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33395-2025</t>
        </is>
      </c>
      <c r="B5535" s="1" t="n">
        <v>45841.41876157407</v>
      </c>
      <c r="C5535" s="1" t="n">
        <v>45883</v>
      </c>
      <c r="D5535" t="inlineStr">
        <is>
          <t>GÄVLEBORGS LÄN</t>
        </is>
      </c>
      <c r="E5535" t="inlineStr">
        <is>
          <t>SÖDERHAMN</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58168-2024</t>
        </is>
      </c>
      <c r="B5536" s="1" t="n">
        <v>45632.45894675926</v>
      </c>
      <c r="C5536" s="1" t="n">
        <v>45883</v>
      </c>
      <c r="D5536" t="inlineStr">
        <is>
          <t>GÄVLEBORGS LÄN</t>
        </is>
      </c>
      <c r="E5536" t="inlineStr">
        <is>
          <t>LJUSDAL</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10180-2022</t>
        </is>
      </c>
      <c r="B5537" s="1" t="n">
        <v>44622.40689814815</v>
      </c>
      <c r="C5537" s="1" t="n">
        <v>45883</v>
      </c>
      <c r="D5537" t="inlineStr">
        <is>
          <t>GÄVLEBORGS LÄN</t>
        </is>
      </c>
      <c r="E5537" t="inlineStr">
        <is>
          <t>BOLLNÄS</t>
        </is>
      </c>
      <c r="G5537" t="n">
        <v>0.2</v>
      </c>
      <c r="H5537" t="n">
        <v>0</v>
      </c>
      <c r="I5537" t="n">
        <v>0</v>
      </c>
      <c r="J5537" t="n">
        <v>0</v>
      </c>
      <c r="K5537" t="n">
        <v>0</v>
      </c>
      <c r="L5537" t="n">
        <v>0</v>
      </c>
      <c r="M5537" t="n">
        <v>0</v>
      </c>
      <c r="N5537" t="n">
        <v>0</v>
      </c>
      <c r="O5537" t="n">
        <v>0</v>
      </c>
      <c r="P5537" t="n">
        <v>0</v>
      </c>
      <c r="Q5537" t="n">
        <v>0</v>
      </c>
      <c r="R5537" s="2" t="inlineStr"/>
    </row>
    <row r="5538" ht="15" customHeight="1">
      <c r="A5538" t="inlineStr">
        <is>
          <t>A 33355-2025</t>
        </is>
      </c>
      <c r="B5538" s="1" t="n">
        <v>45841.37690972222</v>
      </c>
      <c r="C5538" s="1" t="n">
        <v>45883</v>
      </c>
      <c r="D5538" t="inlineStr">
        <is>
          <t>GÄVLEBORGS LÄN</t>
        </is>
      </c>
      <c r="E5538" t="inlineStr">
        <is>
          <t>NORDANSTIG</t>
        </is>
      </c>
      <c r="F5538" t="inlineStr">
        <is>
          <t>Holmen skog AB</t>
        </is>
      </c>
      <c r="G5538" t="n">
        <v>34.6</v>
      </c>
      <c r="H5538" t="n">
        <v>0</v>
      </c>
      <c r="I5538" t="n">
        <v>0</v>
      </c>
      <c r="J5538" t="n">
        <v>0</v>
      </c>
      <c r="K5538" t="n">
        <v>0</v>
      </c>
      <c r="L5538" t="n">
        <v>0</v>
      </c>
      <c r="M5538" t="n">
        <v>0</v>
      </c>
      <c r="N5538" t="n">
        <v>0</v>
      </c>
      <c r="O5538" t="n">
        <v>0</v>
      </c>
      <c r="P5538" t="n">
        <v>0</v>
      </c>
      <c r="Q5538" t="n">
        <v>0</v>
      </c>
      <c r="R5538" s="2" t="inlineStr"/>
    </row>
    <row r="5539" ht="15" customHeight="1">
      <c r="A5539" t="inlineStr">
        <is>
          <t>A 15763-2021</t>
        </is>
      </c>
      <c r="B5539" s="1" t="n">
        <v>44286</v>
      </c>
      <c r="C5539" s="1" t="n">
        <v>45883</v>
      </c>
      <c r="D5539" t="inlineStr">
        <is>
          <t>GÄVLEBORGS LÄN</t>
        </is>
      </c>
      <c r="E5539" t="inlineStr">
        <is>
          <t>GÄVLE</t>
        </is>
      </c>
      <c r="F5539" t="inlineStr">
        <is>
          <t>Bergvik skog väst AB</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41034-2021</t>
        </is>
      </c>
      <c r="B5540" s="1" t="n">
        <v>44421</v>
      </c>
      <c r="C5540" s="1" t="n">
        <v>45883</v>
      </c>
      <c r="D5540" t="inlineStr">
        <is>
          <t>GÄVLEBORGS LÄN</t>
        </is>
      </c>
      <c r="E5540" t="inlineStr">
        <is>
          <t>HUDIKSVALL</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24778-2025</t>
        </is>
      </c>
      <c r="B5541" s="1" t="n">
        <v>45799.40810185186</v>
      </c>
      <c r="C5541" s="1" t="n">
        <v>45883</v>
      </c>
      <c r="D5541" t="inlineStr">
        <is>
          <t>GÄVLEBORGS LÄN</t>
        </is>
      </c>
      <c r="E5541" t="inlineStr">
        <is>
          <t>LJUSDAL</t>
        </is>
      </c>
      <c r="G5541" t="n">
        <v>6.3</v>
      </c>
      <c r="H5541" t="n">
        <v>0</v>
      </c>
      <c r="I5541" t="n">
        <v>0</v>
      </c>
      <c r="J5541" t="n">
        <v>0</v>
      </c>
      <c r="K5541" t="n">
        <v>0</v>
      </c>
      <c r="L5541" t="n">
        <v>0</v>
      </c>
      <c r="M5541" t="n">
        <v>0</v>
      </c>
      <c r="N5541" t="n">
        <v>0</v>
      </c>
      <c r="O5541" t="n">
        <v>0</v>
      </c>
      <c r="P5541" t="n">
        <v>0</v>
      </c>
      <c r="Q5541" t="n">
        <v>0</v>
      </c>
      <c r="R5541" s="2" t="inlineStr"/>
    </row>
    <row r="5542" ht="15" customHeight="1">
      <c r="A5542" t="inlineStr">
        <is>
          <t>A 24810-2025</t>
        </is>
      </c>
      <c r="B5542" s="1" t="n">
        <v>45799.44596064815</v>
      </c>
      <c r="C5542" s="1" t="n">
        <v>45883</v>
      </c>
      <c r="D5542" t="inlineStr">
        <is>
          <t>GÄVLEBORGS LÄN</t>
        </is>
      </c>
      <c r="E5542" t="inlineStr">
        <is>
          <t>LJUSDAL</t>
        </is>
      </c>
      <c r="G5542" t="n">
        <v>3.5</v>
      </c>
      <c r="H5542" t="n">
        <v>0</v>
      </c>
      <c r="I5542" t="n">
        <v>0</v>
      </c>
      <c r="J5542" t="n">
        <v>0</v>
      </c>
      <c r="K5542" t="n">
        <v>0</v>
      </c>
      <c r="L5542" t="n">
        <v>0</v>
      </c>
      <c r="M5542" t="n">
        <v>0</v>
      </c>
      <c r="N5542" t="n">
        <v>0</v>
      </c>
      <c r="O5542" t="n">
        <v>0</v>
      </c>
      <c r="P5542" t="n">
        <v>0</v>
      </c>
      <c r="Q5542" t="n">
        <v>0</v>
      </c>
      <c r="R5542" s="2" t="inlineStr"/>
    </row>
    <row r="5543" ht="15" customHeight="1">
      <c r="A5543" t="inlineStr">
        <is>
          <t>A 33757-2025</t>
        </is>
      </c>
      <c r="B5543" s="1" t="n">
        <v>45842.37846064815</v>
      </c>
      <c r="C5543" s="1" t="n">
        <v>45883</v>
      </c>
      <c r="D5543" t="inlineStr">
        <is>
          <t>GÄVLEBORGS LÄN</t>
        </is>
      </c>
      <c r="E5543" t="inlineStr">
        <is>
          <t>SANDVIKEN</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25425-2025</t>
        </is>
      </c>
      <c r="B5544" s="1" t="n">
        <v>45800.7003125</v>
      </c>
      <c r="C5544" s="1" t="n">
        <v>45883</v>
      </c>
      <c r="D5544" t="inlineStr">
        <is>
          <t>GÄVLEBORGS LÄN</t>
        </is>
      </c>
      <c r="E5544" t="inlineStr">
        <is>
          <t>SANDVIKEN</t>
        </is>
      </c>
      <c r="F5544" t="inlineStr">
        <is>
          <t>Sveaskog</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29586-2021</t>
        </is>
      </c>
      <c r="B5545" s="1" t="n">
        <v>44361.9196875</v>
      </c>
      <c r="C5545" s="1" t="n">
        <v>45883</v>
      </c>
      <c r="D5545" t="inlineStr">
        <is>
          <t>GÄVLEBORGS LÄN</t>
        </is>
      </c>
      <c r="E5545" t="inlineStr">
        <is>
          <t>LJUSDAL</t>
        </is>
      </c>
      <c r="G5545" t="n">
        <v>6.5</v>
      </c>
      <c r="H5545" t="n">
        <v>0</v>
      </c>
      <c r="I5545" t="n">
        <v>0</v>
      </c>
      <c r="J5545" t="n">
        <v>0</v>
      </c>
      <c r="K5545" t="n">
        <v>0</v>
      </c>
      <c r="L5545" t="n">
        <v>0</v>
      </c>
      <c r="M5545" t="n">
        <v>0</v>
      </c>
      <c r="N5545" t="n">
        <v>0</v>
      </c>
      <c r="O5545" t="n">
        <v>0</v>
      </c>
      <c r="P5545" t="n">
        <v>0</v>
      </c>
      <c r="Q5545" t="n">
        <v>0</v>
      </c>
      <c r="R5545" s="2" t="inlineStr"/>
    </row>
    <row r="5546" ht="15" customHeight="1">
      <c r="A5546" t="inlineStr">
        <is>
          <t>A 44696-2021</t>
        </is>
      </c>
      <c r="B5546" s="1" t="n">
        <v>44438.34721064815</v>
      </c>
      <c r="C5546" s="1" t="n">
        <v>45883</v>
      </c>
      <c r="D5546" t="inlineStr">
        <is>
          <t>GÄVLEBORGS LÄN</t>
        </is>
      </c>
      <c r="E5546" t="inlineStr">
        <is>
          <t>LJUSDAL</t>
        </is>
      </c>
      <c r="F5546" t="inlineStr">
        <is>
          <t>Sveaskog</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35268-2022</t>
        </is>
      </c>
      <c r="B5547" s="1" t="n">
        <v>44798.37648148148</v>
      </c>
      <c r="C5547" s="1" t="n">
        <v>45883</v>
      </c>
      <c r="D5547" t="inlineStr">
        <is>
          <t>GÄVLEBORGS LÄN</t>
        </is>
      </c>
      <c r="E5547" t="inlineStr">
        <is>
          <t>HUDIKSVALL</t>
        </is>
      </c>
      <c r="F5547" t="inlineStr">
        <is>
          <t>Holmen skog AB</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58370-2024</t>
        </is>
      </c>
      <c r="B5548" s="1" t="n">
        <v>45632</v>
      </c>
      <c r="C5548" s="1" t="n">
        <v>45883</v>
      </c>
      <c r="D5548" t="inlineStr">
        <is>
          <t>GÄVLEBORGS LÄN</t>
        </is>
      </c>
      <c r="E5548" t="inlineStr">
        <is>
          <t>GÄVLE</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33391-2025</t>
        </is>
      </c>
      <c r="B5549" s="1" t="n">
        <v>45841.40766203704</v>
      </c>
      <c r="C5549" s="1" t="n">
        <v>45883</v>
      </c>
      <c r="D5549" t="inlineStr">
        <is>
          <t>GÄVLEBORGS LÄN</t>
        </is>
      </c>
      <c r="E5549" t="inlineStr">
        <is>
          <t>SÖDERHAMN</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33399-2025</t>
        </is>
      </c>
      <c r="B5550" s="1" t="n">
        <v>45841.42106481481</v>
      </c>
      <c r="C5550" s="1" t="n">
        <v>45883</v>
      </c>
      <c r="D5550" t="inlineStr">
        <is>
          <t>GÄVLEBORGS LÄN</t>
        </is>
      </c>
      <c r="E5550" t="inlineStr">
        <is>
          <t>SÖDERHAMN</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33420-2025</t>
        </is>
      </c>
      <c r="B5551" s="1" t="n">
        <v>45841.44123842593</v>
      </c>
      <c r="C5551" s="1" t="n">
        <v>45883</v>
      </c>
      <c r="D5551" t="inlineStr">
        <is>
          <t>GÄVLEBORGS LÄN</t>
        </is>
      </c>
      <c r="E5551" t="inlineStr">
        <is>
          <t>LJUSDAL</t>
        </is>
      </c>
      <c r="G5551" t="n">
        <v>13.5</v>
      </c>
      <c r="H5551" t="n">
        <v>0</v>
      </c>
      <c r="I5551" t="n">
        <v>0</v>
      </c>
      <c r="J5551" t="n">
        <v>0</v>
      </c>
      <c r="K5551" t="n">
        <v>0</v>
      </c>
      <c r="L5551" t="n">
        <v>0</v>
      </c>
      <c r="M5551" t="n">
        <v>0</v>
      </c>
      <c r="N5551" t="n">
        <v>0</v>
      </c>
      <c r="O5551" t="n">
        <v>0</v>
      </c>
      <c r="P5551" t="n">
        <v>0</v>
      </c>
      <c r="Q5551" t="n">
        <v>0</v>
      </c>
      <c r="R5551" s="2" t="inlineStr"/>
    </row>
    <row r="5552" ht="15" customHeight="1">
      <c r="A5552" t="inlineStr">
        <is>
          <t>A 33427-2025</t>
        </is>
      </c>
      <c r="B5552" s="1" t="n">
        <v>45841.44578703704</v>
      </c>
      <c r="C5552" s="1" t="n">
        <v>45883</v>
      </c>
      <c r="D5552" t="inlineStr">
        <is>
          <t>GÄVLEBORGS LÄN</t>
        </is>
      </c>
      <c r="E5552" t="inlineStr">
        <is>
          <t>LJUSDAL</t>
        </is>
      </c>
      <c r="G5552" t="n">
        <v>8.199999999999999</v>
      </c>
      <c r="H5552" t="n">
        <v>0</v>
      </c>
      <c r="I5552" t="n">
        <v>0</v>
      </c>
      <c r="J5552" t="n">
        <v>0</v>
      </c>
      <c r="K5552" t="n">
        <v>0</v>
      </c>
      <c r="L5552" t="n">
        <v>0</v>
      </c>
      <c r="M5552" t="n">
        <v>0</v>
      </c>
      <c r="N5552" t="n">
        <v>0</v>
      </c>
      <c r="O5552" t="n">
        <v>0</v>
      </c>
      <c r="P5552" t="n">
        <v>0</v>
      </c>
      <c r="Q5552" t="n">
        <v>0</v>
      </c>
      <c r="R5552" s="2" t="inlineStr"/>
    </row>
    <row r="5553" ht="15" customHeight="1">
      <c r="A5553" t="inlineStr">
        <is>
          <t>A 33459-2025</t>
        </is>
      </c>
      <c r="B5553" s="1" t="n">
        <v>45841.47872685185</v>
      </c>
      <c r="C5553" s="1" t="n">
        <v>45883</v>
      </c>
      <c r="D5553" t="inlineStr">
        <is>
          <t>GÄVLEBORGS LÄN</t>
        </is>
      </c>
      <c r="E5553" t="inlineStr">
        <is>
          <t>OVANÅKER</t>
        </is>
      </c>
      <c r="F5553" t="inlineStr">
        <is>
          <t>Bergvik skog väst AB</t>
        </is>
      </c>
      <c r="G5553" t="n">
        <v>4.7</v>
      </c>
      <c r="H5553" t="n">
        <v>0</v>
      </c>
      <c r="I5553" t="n">
        <v>0</v>
      </c>
      <c r="J5553" t="n">
        <v>0</v>
      </c>
      <c r="K5553" t="n">
        <v>0</v>
      </c>
      <c r="L5553" t="n">
        <v>0</v>
      </c>
      <c r="M5553" t="n">
        <v>0</v>
      </c>
      <c r="N5553" t="n">
        <v>0</v>
      </c>
      <c r="O5553" t="n">
        <v>0</v>
      </c>
      <c r="P5553" t="n">
        <v>0</v>
      </c>
      <c r="Q5553" t="n">
        <v>0</v>
      </c>
      <c r="R5553" s="2" t="inlineStr"/>
    </row>
    <row r="5554" ht="15" customHeight="1">
      <c r="A5554" t="inlineStr">
        <is>
          <t>A 25246-2025</t>
        </is>
      </c>
      <c r="B5554" s="1" t="n">
        <v>45800.49399305556</v>
      </c>
      <c r="C5554" s="1" t="n">
        <v>45883</v>
      </c>
      <c r="D5554" t="inlineStr">
        <is>
          <t>GÄVLEBORGS LÄN</t>
        </is>
      </c>
      <c r="E5554" t="inlineStr">
        <is>
          <t>OCKELBO</t>
        </is>
      </c>
      <c r="F5554" t="inlineStr">
        <is>
          <t>Bergvik skog väst AB</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24881-2025</t>
        </is>
      </c>
      <c r="B5555" s="1" t="n">
        <v>45799.49890046296</v>
      </c>
      <c r="C5555" s="1" t="n">
        <v>45883</v>
      </c>
      <c r="D5555" t="inlineStr">
        <is>
          <t>GÄVLEBORGS LÄN</t>
        </is>
      </c>
      <c r="E5555" t="inlineStr">
        <is>
          <t>LJUSDAL</t>
        </is>
      </c>
      <c r="F5555" t="inlineStr">
        <is>
          <t>Holmen skog AB</t>
        </is>
      </c>
      <c r="G5555" t="n">
        <v>3.4</v>
      </c>
      <c r="H5555" t="n">
        <v>0</v>
      </c>
      <c r="I5555" t="n">
        <v>0</v>
      </c>
      <c r="J5555" t="n">
        <v>0</v>
      </c>
      <c r="K5555" t="n">
        <v>0</v>
      </c>
      <c r="L5555" t="n">
        <v>0</v>
      </c>
      <c r="M5555" t="n">
        <v>0</v>
      </c>
      <c r="N5555" t="n">
        <v>0</v>
      </c>
      <c r="O5555" t="n">
        <v>0</v>
      </c>
      <c r="P5555" t="n">
        <v>0</v>
      </c>
      <c r="Q5555" t="n">
        <v>0</v>
      </c>
      <c r="R5555" s="2" t="inlineStr"/>
    </row>
    <row r="5556" ht="15" customHeight="1">
      <c r="A5556" t="inlineStr">
        <is>
          <t>A 55498-2024</t>
        </is>
      </c>
      <c r="B5556" s="1" t="n">
        <v>45622</v>
      </c>
      <c r="C5556" s="1" t="n">
        <v>45883</v>
      </c>
      <c r="D5556" t="inlineStr">
        <is>
          <t>GÄVLEBORGS LÄN</t>
        </is>
      </c>
      <c r="E5556" t="inlineStr">
        <is>
          <t>NORDANSTIG</t>
        </is>
      </c>
      <c r="F5556" t="inlineStr">
        <is>
          <t>Holmen skog AB</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36656-2023</t>
        </is>
      </c>
      <c r="B5557" s="1" t="n">
        <v>45153.56925925926</v>
      </c>
      <c r="C5557" s="1" t="n">
        <v>45883</v>
      </c>
      <c r="D5557" t="inlineStr">
        <is>
          <t>GÄVLEBORGS LÄN</t>
        </is>
      </c>
      <c r="E5557" t="inlineStr">
        <is>
          <t>SANDVIKEN</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36660-2023</t>
        </is>
      </c>
      <c r="B5558" s="1" t="n">
        <v>45153.57439814815</v>
      </c>
      <c r="C5558" s="1" t="n">
        <v>45883</v>
      </c>
      <c r="D5558" t="inlineStr">
        <is>
          <t>GÄVLEBORGS LÄN</t>
        </is>
      </c>
      <c r="E5558" t="inlineStr">
        <is>
          <t>SANDVIKEN</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25250-2025</t>
        </is>
      </c>
      <c r="B5559" s="1" t="n">
        <v>45800.49899305555</v>
      </c>
      <c r="C5559" s="1" t="n">
        <v>45883</v>
      </c>
      <c r="D5559" t="inlineStr">
        <is>
          <t>GÄVLEBORGS LÄN</t>
        </is>
      </c>
      <c r="E5559" t="inlineStr">
        <is>
          <t>OCKELBO</t>
        </is>
      </c>
      <c r="F5559" t="inlineStr">
        <is>
          <t>Bergvik skog väst AB</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25256-2025</t>
        </is>
      </c>
      <c r="B5560" s="1" t="n">
        <v>45800.50966435186</v>
      </c>
      <c r="C5560" s="1" t="n">
        <v>45883</v>
      </c>
      <c r="D5560" t="inlineStr">
        <is>
          <t>GÄVLEBORGS LÄN</t>
        </is>
      </c>
      <c r="E5560" t="inlineStr">
        <is>
          <t>BOLLNÄS</t>
        </is>
      </c>
      <c r="F5560" t="inlineStr">
        <is>
          <t>Bergvik skog väst AB</t>
        </is>
      </c>
      <c r="G5560" t="n">
        <v>13.8</v>
      </c>
      <c r="H5560" t="n">
        <v>0</v>
      </c>
      <c r="I5560" t="n">
        <v>0</v>
      </c>
      <c r="J5560" t="n">
        <v>0</v>
      </c>
      <c r="K5560" t="n">
        <v>0</v>
      </c>
      <c r="L5560" t="n">
        <v>0</v>
      </c>
      <c r="M5560" t="n">
        <v>0</v>
      </c>
      <c r="N5560" t="n">
        <v>0</v>
      </c>
      <c r="O5560" t="n">
        <v>0</v>
      </c>
      <c r="P5560" t="n">
        <v>0</v>
      </c>
      <c r="Q5560" t="n">
        <v>0</v>
      </c>
      <c r="R5560" s="2" t="inlineStr"/>
    </row>
    <row r="5561" ht="15" customHeight="1">
      <c r="A5561" t="inlineStr">
        <is>
          <t>A 55511-2024</t>
        </is>
      </c>
      <c r="B5561" s="1" t="n">
        <v>45622.46751157408</v>
      </c>
      <c r="C5561" s="1" t="n">
        <v>45883</v>
      </c>
      <c r="D5561" t="inlineStr">
        <is>
          <t>GÄVLEBORGS LÄN</t>
        </is>
      </c>
      <c r="E5561" t="inlineStr">
        <is>
          <t>HUDIKSVALL</t>
        </is>
      </c>
      <c r="F5561" t="inlineStr">
        <is>
          <t>Holmen skog AB</t>
        </is>
      </c>
      <c r="G5561" t="n">
        <v>4.9</v>
      </c>
      <c r="H5561" t="n">
        <v>0</v>
      </c>
      <c r="I5561" t="n">
        <v>0</v>
      </c>
      <c r="J5561" t="n">
        <v>0</v>
      </c>
      <c r="K5561" t="n">
        <v>0</v>
      </c>
      <c r="L5561" t="n">
        <v>0</v>
      </c>
      <c r="M5561" t="n">
        <v>0</v>
      </c>
      <c r="N5561" t="n">
        <v>0</v>
      </c>
      <c r="O5561" t="n">
        <v>0</v>
      </c>
      <c r="P5561" t="n">
        <v>0</v>
      </c>
      <c r="Q5561" t="n">
        <v>0</v>
      </c>
      <c r="R5561" s="2" t="inlineStr"/>
    </row>
    <row r="5562" ht="15" customHeight="1">
      <c r="A5562" t="inlineStr">
        <is>
          <t>A 23924-2023</t>
        </is>
      </c>
      <c r="B5562" s="1" t="n">
        <v>45078.58785879629</v>
      </c>
      <c r="C5562" s="1" t="n">
        <v>45883</v>
      </c>
      <c r="D5562" t="inlineStr">
        <is>
          <t>GÄVLEBORGS LÄN</t>
        </is>
      </c>
      <c r="E5562" t="inlineStr">
        <is>
          <t>HUDIKSVALL</t>
        </is>
      </c>
      <c r="F5562" t="inlineStr">
        <is>
          <t>Holmen skog AB</t>
        </is>
      </c>
      <c r="G5562" t="n">
        <v>4.6</v>
      </c>
      <c r="H5562" t="n">
        <v>0</v>
      </c>
      <c r="I5562" t="n">
        <v>0</v>
      </c>
      <c r="J5562" t="n">
        <v>0</v>
      </c>
      <c r="K5562" t="n">
        <v>0</v>
      </c>
      <c r="L5562" t="n">
        <v>0</v>
      </c>
      <c r="M5562" t="n">
        <v>0</v>
      </c>
      <c r="N5562" t="n">
        <v>0</v>
      </c>
      <c r="O5562" t="n">
        <v>0</v>
      </c>
      <c r="P5562" t="n">
        <v>0</v>
      </c>
      <c r="Q5562" t="n">
        <v>0</v>
      </c>
      <c r="R5562" s="2" t="inlineStr"/>
    </row>
    <row r="5563" ht="15" customHeight="1">
      <c r="A5563" t="inlineStr">
        <is>
          <t>A 24917-2025</t>
        </is>
      </c>
      <c r="B5563" s="1" t="n">
        <v>45799.54292824074</v>
      </c>
      <c r="C5563" s="1" t="n">
        <v>45883</v>
      </c>
      <c r="D5563" t="inlineStr">
        <is>
          <t>GÄVLEBORGS LÄN</t>
        </is>
      </c>
      <c r="E5563" t="inlineStr">
        <is>
          <t>HUDIKSVALL</t>
        </is>
      </c>
      <c r="F5563" t="inlineStr">
        <is>
          <t>Sveaskog</t>
        </is>
      </c>
      <c r="G5563" t="n">
        <v>36.9</v>
      </c>
      <c r="H5563" t="n">
        <v>0</v>
      </c>
      <c r="I5563" t="n">
        <v>0</v>
      </c>
      <c r="J5563" t="n">
        <v>0</v>
      </c>
      <c r="K5563" t="n">
        <v>0</v>
      </c>
      <c r="L5563" t="n">
        <v>0</v>
      </c>
      <c r="M5563" t="n">
        <v>0</v>
      </c>
      <c r="N5563" t="n">
        <v>0</v>
      </c>
      <c r="O5563" t="n">
        <v>0</v>
      </c>
      <c r="P5563" t="n">
        <v>0</v>
      </c>
      <c r="Q5563" t="n">
        <v>0</v>
      </c>
      <c r="R5563" s="2" t="inlineStr"/>
    </row>
    <row r="5564" ht="15" customHeight="1">
      <c r="A5564" t="inlineStr">
        <is>
          <t>A 25250-2024</t>
        </is>
      </c>
      <c r="B5564" s="1" t="n">
        <v>45462.60744212963</v>
      </c>
      <c r="C5564" s="1" t="n">
        <v>45883</v>
      </c>
      <c r="D5564" t="inlineStr">
        <is>
          <t>GÄVLEBORGS LÄN</t>
        </is>
      </c>
      <c r="E5564" t="inlineStr">
        <is>
          <t>OVANÅKER</t>
        </is>
      </c>
      <c r="F5564" t="inlineStr">
        <is>
          <t>Bergvik skog öst AB</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25068-2025</t>
        </is>
      </c>
      <c r="B5565" s="1" t="n">
        <v>45799.72726851852</v>
      </c>
      <c r="C5565" s="1" t="n">
        <v>45883</v>
      </c>
      <c r="D5565" t="inlineStr">
        <is>
          <t>GÄVLEBORGS LÄN</t>
        </is>
      </c>
      <c r="E5565" t="inlineStr">
        <is>
          <t>NORDANSTIG</t>
        </is>
      </c>
      <c r="F5565" t="inlineStr">
        <is>
          <t>Holmen skog AB</t>
        </is>
      </c>
      <c r="G5565" t="n">
        <v>16.7</v>
      </c>
      <c r="H5565" t="n">
        <v>0</v>
      </c>
      <c r="I5565" t="n">
        <v>0</v>
      </c>
      <c r="J5565" t="n">
        <v>0</v>
      </c>
      <c r="K5565" t="n">
        <v>0</v>
      </c>
      <c r="L5565" t="n">
        <v>0</v>
      </c>
      <c r="M5565" t="n">
        <v>0</v>
      </c>
      <c r="N5565" t="n">
        <v>0</v>
      </c>
      <c r="O5565" t="n">
        <v>0</v>
      </c>
      <c r="P5565" t="n">
        <v>0</v>
      </c>
      <c r="Q5565" t="n">
        <v>0</v>
      </c>
      <c r="R5565" s="2" t="inlineStr"/>
    </row>
    <row r="5566" ht="15" customHeight="1">
      <c r="A5566" t="inlineStr">
        <is>
          <t>A 282-2025</t>
        </is>
      </c>
      <c r="B5566" s="1" t="n">
        <v>45660</v>
      </c>
      <c r="C5566" s="1" t="n">
        <v>45883</v>
      </c>
      <c r="D5566" t="inlineStr">
        <is>
          <t>GÄVLEBORGS LÄN</t>
        </is>
      </c>
      <c r="E5566" t="inlineStr">
        <is>
          <t>NORDANSTIG</t>
        </is>
      </c>
      <c r="F5566" t="inlineStr">
        <is>
          <t>Holmen skog AB</t>
        </is>
      </c>
      <c r="G5566" t="n">
        <v>14.1</v>
      </c>
      <c r="H5566" t="n">
        <v>0</v>
      </c>
      <c r="I5566" t="n">
        <v>0</v>
      </c>
      <c r="J5566" t="n">
        <v>0</v>
      </c>
      <c r="K5566" t="n">
        <v>0</v>
      </c>
      <c r="L5566" t="n">
        <v>0</v>
      </c>
      <c r="M5566" t="n">
        <v>0</v>
      </c>
      <c r="N5566" t="n">
        <v>0</v>
      </c>
      <c r="O5566" t="n">
        <v>0</v>
      </c>
      <c r="P5566" t="n">
        <v>0</v>
      </c>
      <c r="Q5566" t="n">
        <v>0</v>
      </c>
      <c r="R5566" s="2" t="inlineStr"/>
    </row>
    <row r="5567" ht="15" customHeight="1">
      <c r="A5567" t="inlineStr">
        <is>
          <t>A 25216-2025</t>
        </is>
      </c>
      <c r="B5567" s="1" t="n">
        <v>45800.4756712963</v>
      </c>
      <c r="C5567" s="1" t="n">
        <v>45883</v>
      </c>
      <c r="D5567" t="inlineStr">
        <is>
          <t>GÄVLEBORGS LÄN</t>
        </is>
      </c>
      <c r="E5567" t="inlineStr">
        <is>
          <t>BOLLNÄS</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39267-2022</t>
        </is>
      </c>
      <c r="B5568" s="1" t="n">
        <v>44817</v>
      </c>
      <c r="C5568" s="1" t="n">
        <v>45883</v>
      </c>
      <c r="D5568" t="inlineStr">
        <is>
          <t>GÄVLEBORGS LÄN</t>
        </is>
      </c>
      <c r="E5568" t="inlineStr">
        <is>
          <t>HUDIKSVALL</t>
        </is>
      </c>
      <c r="F5568" t="inlineStr">
        <is>
          <t>Holmen skog AB</t>
        </is>
      </c>
      <c r="G5568" t="n">
        <v>11.2</v>
      </c>
      <c r="H5568" t="n">
        <v>0</v>
      </c>
      <c r="I5568" t="n">
        <v>0</v>
      </c>
      <c r="J5568" t="n">
        <v>0</v>
      </c>
      <c r="K5568" t="n">
        <v>0</v>
      </c>
      <c r="L5568" t="n">
        <v>0</v>
      </c>
      <c r="M5568" t="n">
        <v>0</v>
      </c>
      <c r="N5568" t="n">
        <v>0</v>
      </c>
      <c r="O5568" t="n">
        <v>0</v>
      </c>
      <c r="P5568" t="n">
        <v>0</v>
      </c>
      <c r="Q5568" t="n">
        <v>0</v>
      </c>
      <c r="R5568" s="2" t="inlineStr"/>
    </row>
    <row r="5569" ht="15" customHeight="1">
      <c r="A5569" t="inlineStr">
        <is>
          <t>A 33944-2025</t>
        </is>
      </c>
      <c r="B5569" s="1" t="n">
        <v>45842.64752314815</v>
      </c>
      <c r="C5569" s="1" t="n">
        <v>45883</v>
      </c>
      <c r="D5569" t="inlineStr">
        <is>
          <t>GÄVLEBORGS LÄN</t>
        </is>
      </c>
      <c r="E5569" t="inlineStr">
        <is>
          <t>BOLLNÄS</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7503-2022</t>
        </is>
      </c>
      <c r="B5570" s="1" t="n">
        <v>44607.46671296296</v>
      </c>
      <c r="C5570" s="1" t="n">
        <v>45883</v>
      </c>
      <c r="D5570" t="inlineStr">
        <is>
          <t>GÄVLEBORGS LÄN</t>
        </is>
      </c>
      <c r="E5570" t="inlineStr">
        <is>
          <t>NORDANSTIG</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13882-2025</t>
        </is>
      </c>
      <c r="B5571" s="1" t="n">
        <v>45737.60047453704</v>
      </c>
      <c r="C5571" s="1" t="n">
        <v>45883</v>
      </c>
      <c r="D5571" t="inlineStr">
        <is>
          <t>GÄVLEBORGS LÄN</t>
        </is>
      </c>
      <c r="E5571" t="inlineStr">
        <is>
          <t>LJUSDAL</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52783-2024</t>
        </is>
      </c>
      <c r="B5572" s="1" t="n">
        <v>45610.55241898148</v>
      </c>
      <c r="C5572" s="1" t="n">
        <v>45883</v>
      </c>
      <c r="D5572" t="inlineStr">
        <is>
          <t>GÄVLEBORGS LÄN</t>
        </is>
      </c>
      <c r="E5572" t="inlineStr">
        <is>
          <t>LJUSDAL</t>
        </is>
      </c>
      <c r="F5572" t="inlineStr">
        <is>
          <t>SCA</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33624-2025</t>
        </is>
      </c>
      <c r="B5573" s="1" t="n">
        <v>45841.63111111111</v>
      </c>
      <c r="C5573" s="1" t="n">
        <v>45883</v>
      </c>
      <c r="D5573" t="inlineStr">
        <is>
          <t>GÄVLEBORGS LÄN</t>
        </is>
      </c>
      <c r="E5573" t="inlineStr">
        <is>
          <t>BOLLNÄS</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25248-2025</t>
        </is>
      </c>
      <c r="B5574" s="1" t="n">
        <v>45800.49638888889</v>
      </c>
      <c r="C5574" s="1" t="n">
        <v>45883</v>
      </c>
      <c r="D5574" t="inlineStr">
        <is>
          <t>GÄVLEBORGS LÄN</t>
        </is>
      </c>
      <c r="E5574" t="inlineStr">
        <is>
          <t>OCKELBO</t>
        </is>
      </c>
      <c r="F5574" t="inlineStr">
        <is>
          <t>Bergvik skog väst AB</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25263-2025</t>
        </is>
      </c>
      <c r="B5575" s="1" t="n">
        <v>45800.53275462963</v>
      </c>
      <c r="C5575" s="1" t="n">
        <v>45883</v>
      </c>
      <c r="D5575" t="inlineStr">
        <is>
          <t>GÄVLEBORGS LÄN</t>
        </is>
      </c>
      <c r="E5575" t="inlineStr">
        <is>
          <t>HOFORS</t>
        </is>
      </c>
      <c r="G5575" t="n">
        <v>4.2</v>
      </c>
      <c r="H5575" t="n">
        <v>0</v>
      </c>
      <c r="I5575" t="n">
        <v>0</v>
      </c>
      <c r="J5575" t="n">
        <v>0</v>
      </c>
      <c r="K5575" t="n">
        <v>0</v>
      </c>
      <c r="L5575" t="n">
        <v>0</v>
      </c>
      <c r="M5575" t="n">
        <v>0</v>
      </c>
      <c r="N5575" t="n">
        <v>0</v>
      </c>
      <c r="O5575" t="n">
        <v>0</v>
      </c>
      <c r="P5575" t="n">
        <v>0</v>
      </c>
      <c r="Q5575" t="n">
        <v>0</v>
      </c>
      <c r="R5575" s="2" t="inlineStr"/>
    </row>
    <row r="5576" ht="15" customHeight="1">
      <c r="A5576" t="inlineStr">
        <is>
          <t>A 25265-2025</t>
        </is>
      </c>
      <c r="B5576" s="1" t="n">
        <v>45800.53510416667</v>
      </c>
      <c r="C5576" s="1" t="n">
        <v>45883</v>
      </c>
      <c r="D5576" t="inlineStr">
        <is>
          <t>GÄVLEBORGS LÄN</t>
        </is>
      </c>
      <c r="E5576" t="inlineStr">
        <is>
          <t>SANDVIKEN</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25291-2025</t>
        </is>
      </c>
      <c r="B5577" s="1" t="n">
        <v>45800.56494212963</v>
      </c>
      <c r="C5577" s="1" t="n">
        <v>45883</v>
      </c>
      <c r="D5577" t="inlineStr">
        <is>
          <t>GÄVLEBORGS LÄN</t>
        </is>
      </c>
      <c r="E5577" t="inlineStr">
        <is>
          <t>OVANÅKER</t>
        </is>
      </c>
      <c r="F5577" t="inlineStr">
        <is>
          <t>Bergvik skog väst AB</t>
        </is>
      </c>
      <c r="G5577" t="n">
        <v>3.9</v>
      </c>
      <c r="H5577" t="n">
        <v>0</v>
      </c>
      <c r="I5577" t="n">
        <v>0</v>
      </c>
      <c r="J5577" t="n">
        <v>0</v>
      </c>
      <c r="K5577" t="n">
        <v>0</v>
      </c>
      <c r="L5577" t="n">
        <v>0</v>
      </c>
      <c r="M5577" t="n">
        <v>0</v>
      </c>
      <c r="N5577" t="n">
        <v>0</v>
      </c>
      <c r="O5577" t="n">
        <v>0</v>
      </c>
      <c r="P5577" t="n">
        <v>0</v>
      </c>
      <c r="Q5577" t="n">
        <v>0</v>
      </c>
      <c r="R5577" s="2" t="inlineStr"/>
    </row>
    <row r="5578" ht="15" customHeight="1">
      <c r="A5578" t="inlineStr">
        <is>
          <t>A 25292-2025</t>
        </is>
      </c>
      <c r="B5578" s="1" t="n">
        <v>45800.56613425926</v>
      </c>
      <c r="C5578" s="1" t="n">
        <v>45883</v>
      </c>
      <c r="D5578" t="inlineStr">
        <is>
          <t>GÄVLEBORGS LÄN</t>
        </is>
      </c>
      <c r="E5578" t="inlineStr">
        <is>
          <t>OVANÅKER</t>
        </is>
      </c>
      <c r="F5578" t="inlineStr">
        <is>
          <t>Bergvik skog öst AB</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24953-2025</t>
        </is>
      </c>
      <c r="B5579" s="1" t="n">
        <v>45799.57369212963</v>
      </c>
      <c r="C5579" s="1" t="n">
        <v>45883</v>
      </c>
      <c r="D5579" t="inlineStr">
        <is>
          <t>GÄVLEBORGS LÄN</t>
        </is>
      </c>
      <c r="E5579" t="inlineStr">
        <is>
          <t>SANDVIKEN</t>
        </is>
      </c>
      <c r="G5579" t="n">
        <v>10</v>
      </c>
      <c r="H5579" t="n">
        <v>0</v>
      </c>
      <c r="I5579" t="n">
        <v>0</v>
      </c>
      <c r="J5579" t="n">
        <v>0</v>
      </c>
      <c r="K5579" t="n">
        <v>0</v>
      </c>
      <c r="L5579" t="n">
        <v>0</v>
      </c>
      <c r="M5579" t="n">
        <v>0</v>
      </c>
      <c r="N5579" t="n">
        <v>0</v>
      </c>
      <c r="O5579" t="n">
        <v>0</v>
      </c>
      <c r="P5579" t="n">
        <v>0</v>
      </c>
      <c r="Q5579" t="n">
        <v>0</v>
      </c>
      <c r="R5579" s="2" t="inlineStr"/>
    </row>
    <row r="5580" ht="15" customHeight="1">
      <c r="A5580" t="inlineStr">
        <is>
          <t>A 5586-2025</t>
        </is>
      </c>
      <c r="B5580" s="1" t="n">
        <v>45693.55771990741</v>
      </c>
      <c r="C5580" s="1" t="n">
        <v>45883</v>
      </c>
      <c r="D5580" t="inlineStr">
        <is>
          <t>GÄVLEBORGS LÄN</t>
        </is>
      </c>
      <c r="E5580" t="inlineStr">
        <is>
          <t>SANDVIKEN</t>
        </is>
      </c>
      <c r="G5580" t="n">
        <v>3.6</v>
      </c>
      <c r="H5580" t="n">
        <v>0</v>
      </c>
      <c r="I5580" t="n">
        <v>0</v>
      </c>
      <c r="J5580" t="n">
        <v>0</v>
      </c>
      <c r="K5580" t="n">
        <v>0</v>
      </c>
      <c r="L5580" t="n">
        <v>0</v>
      </c>
      <c r="M5580" t="n">
        <v>0</v>
      </c>
      <c r="N5580" t="n">
        <v>0</v>
      </c>
      <c r="O5580" t="n">
        <v>0</v>
      </c>
      <c r="P5580" t="n">
        <v>0</v>
      </c>
      <c r="Q5580" t="n">
        <v>0</v>
      </c>
      <c r="R5580" s="2" t="inlineStr"/>
    </row>
    <row r="5581" ht="15" customHeight="1">
      <c r="A5581" t="inlineStr">
        <is>
          <t>A 16379-2022</t>
        </is>
      </c>
      <c r="B5581" s="1" t="n">
        <v>44671</v>
      </c>
      <c r="C5581" s="1" t="n">
        <v>45883</v>
      </c>
      <c r="D5581" t="inlineStr">
        <is>
          <t>GÄVLEBORGS LÄN</t>
        </is>
      </c>
      <c r="E5581" t="inlineStr">
        <is>
          <t>BOLLNÄS</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7799-2025</t>
        </is>
      </c>
      <c r="B5582" s="1" t="n">
        <v>45706.60534722222</v>
      </c>
      <c r="C5582" s="1" t="n">
        <v>45883</v>
      </c>
      <c r="D5582" t="inlineStr">
        <is>
          <t>GÄVLEBORGS LÄN</t>
        </is>
      </c>
      <c r="E5582" t="inlineStr">
        <is>
          <t>SÖDERHAMN</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25191-2025</t>
        </is>
      </c>
      <c r="B5583" s="1" t="n">
        <v>45800.45778935185</v>
      </c>
      <c r="C5583" s="1" t="n">
        <v>45883</v>
      </c>
      <c r="D5583" t="inlineStr">
        <is>
          <t>GÄVLEBORGS LÄN</t>
        </is>
      </c>
      <c r="E5583" t="inlineStr">
        <is>
          <t>OCKELBO</t>
        </is>
      </c>
      <c r="F5583" t="inlineStr">
        <is>
          <t>Bergvik skog väst AB</t>
        </is>
      </c>
      <c r="G5583" t="n">
        <v>5.1</v>
      </c>
      <c r="H5583" t="n">
        <v>0</v>
      </c>
      <c r="I5583" t="n">
        <v>0</v>
      </c>
      <c r="J5583" t="n">
        <v>0</v>
      </c>
      <c r="K5583" t="n">
        <v>0</v>
      </c>
      <c r="L5583" t="n">
        <v>0</v>
      </c>
      <c r="M5583" t="n">
        <v>0</v>
      </c>
      <c r="N5583" t="n">
        <v>0</v>
      </c>
      <c r="O5583" t="n">
        <v>0</v>
      </c>
      <c r="P5583" t="n">
        <v>0</v>
      </c>
      <c r="Q5583" t="n">
        <v>0</v>
      </c>
      <c r="R5583" s="2" t="inlineStr"/>
    </row>
    <row r="5584" ht="15" customHeight="1">
      <c r="A5584" t="inlineStr">
        <is>
          <t>A 25192-2025</t>
        </is>
      </c>
      <c r="B5584" s="1" t="n">
        <v>45800.45829861111</v>
      </c>
      <c r="C5584" s="1" t="n">
        <v>45883</v>
      </c>
      <c r="D5584" t="inlineStr">
        <is>
          <t>GÄVLEBORGS LÄN</t>
        </is>
      </c>
      <c r="E5584" t="inlineStr">
        <is>
          <t>BOLLNÄS</t>
        </is>
      </c>
      <c r="F5584" t="inlineStr">
        <is>
          <t>Bergvik skog väst AB</t>
        </is>
      </c>
      <c r="G5584" t="n">
        <v>3.5</v>
      </c>
      <c r="H5584" t="n">
        <v>0</v>
      </c>
      <c r="I5584" t="n">
        <v>0</v>
      </c>
      <c r="J5584" t="n">
        <v>0</v>
      </c>
      <c r="K5584" t="n">
        <v>0</v>
      </c>
      <c r="L5584" t="n">
        <v>0</v>
      </c>
      <c r="M5584" t="n">
        <v>0</v>
      </c>
      <c r="N5584" t="n">
        <v>0</v>
      </c>
      <c r="O5584" t="n">
        <v>0</v>
      </c>
      <c r="P5584" t="n">
        <v>0</v>
      </c>
      <c r="Q5584" t="n">
        <v>0</v>
      </c>
      <c r="R5584" s="2" t="inlineStr"/>
    </row>
    <row r="5585" ht="15" customHeight="1">
      <c r="A5585" t="inlineStr">
        <is>
          <t>A 25193-2025</t>
        </is>
      </c>
      <c r="B5585" s="1" t="n">
        <v>45800.4584837963</v>
      </c>
      <c r="C5585" s="1" t="n">
        <v>45883</v>
      </c>
      <c r="D5585" t="inlineStr">
        <is>
          <t>GÄVLEBORGS LÄN</t>
        </is>
      </c>
      <c r="E5585" t="inlineStr">
        <is>
          <t>OVANÅKER</t>
        </is>
      </c>
      <c r="F5585" t="inlineStr">
        <is>
          <t>Bergvik skog väst AB</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25233-2025</t>
        </is>
      </c>
      <c r="B5586" s="1" t="n">
        <v>45800.48542824074</v>
      </c>
      <c r="C5586" s="1" t="n">
        <v>45883</v>
      </c>
      <c r="D5586" t="inlineStr">
        <is>
          <t>GÄVLEBORGS LÄN</t>
        </is>
      </c>
      <c r="E5586" t="inlineStr">
        <is>
          <t>OCKELBO</t>
        </is>
      </c>
      <c r="F5586" t="inlineStr">
        <is>
          <t>Bergvik skog väst AB</t>
        </is>
      </c>
      <c r="G5586" t="n">
        <v>6.1</v>
      </c>
      <c r="H5586" t="n">
        <v>0</v>
      </c>
      <c r="I5586" t="n">
        <v>0</v>
      </c>
      <c r="J5586" t="n">
        <v>0</v>
      </c>
      <c r="K5586" t="n">
        <v>0</v>
      </c>
      <c r="L5586" t="n">
        <v>0</v>
      </c>
      <c r="M5586" t="n">
        <v>0</v>
      </c>
      <c r="N5586" t="n">
        <v>0</v>
      </c>
      <c r="O5586" t="n">
        <v>0</v>
      </c>
      <c r="P5586" t="n">
        <v>0</v>
      </c>
      <c r="Q5586" t="n">
        <v>0</v>
      </c>
      <c r="R5586" s="2" t="inlineStr"/>
    </row>
    <row r="5587" ht="15" customHeight="1">
      <c r="A5587" t="inlineStr">
        <is>
          <t>A 25234-2025</t>
        </is>
      </c>
      <c r="B5587" s="1" t="n">
        <v>45800.48849537037</v>
      </c>
      <c r="C5587" s="1" t="n">
        <v>45883</v>
      </c>
      <c r="D5587" t="inlineStr">
        <is>
          <t>GÄVLEBORGS LÄN</t>
        </is>
      </c>
      <c r="E5587" t="inlineStr">
        <is>
          <t>OCKELBO</t>
        </is>
      </c>
      <c r="F5587" t="inlineStr">
        <is>
          <t>Bergvik skog väst AB</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31052-2024</t>
        </is>
      </c>
      <c r="B5588" s="1" t="n">
        <v>45502.34298611111</v>
      </c>
      <c r="C5588" s="1" t="n">
        <v>45883</v>
      </c>
      <c r="D5588" t="inlineStr">
        <is>
          <t>GÄVLEBORGS LÄN</t>
        </is>
      </c>
      <c r="E5588" t="inlineStr">
        <is>
          <t>OVANÅKER</t>
        </is>
      </c>
      <c r="F5588" t="inlineStr">
        <is>
          <t>Bergvik skog väst AB</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33642-2025</t>
        </is>
      </c>
      <c r="B5589" s="1" t="n">
        <v>45841.65119212963</v>
      </c>
      <c r="C5589" s="1" t="n">
        <v>45883</v>
      </c>
      <c r="D5589" t="inlineStr">
        <is>
          <t>GÄVLEBORGS LÄN</t>
        </is>
      </c>
      <c r="E5589" t="inlineStr">
        <is>
          <t>BOLLNÄS</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10591-2022</t>
        </is>
      </c>
      <c r="B5590" s="1" t="n">
        <v>44624.40858796296</v>
      </c>
      <c r="C5590" s="1" t="n">
        <v>45883</v>
      </c>
      <c r="D5590" t="inlineStr">
        <is>
          <t>GÄVLEBORGS LÄN</t>
        </is>
      </c>
      <c r="E5590" t="inlineStr">
        <is>
          <t>LJUSDAL</t>
        </is>
      </c>
      <c r="G5590" t="n">
        <v>4</v>
      </c>
      <c r="H5590" t="n">
        <v>0</v>
      </c>
      <c r="I5590" t="n">
        <v>0</v>
      </c>
      <c r="J5590" t="n">
        <v>0</v>
      </c>
      <c r="K5590" t="n">
        <v>0</v>
      </c>
      <c r="L5590" t="n">
        <v>0</v>
      </c>
      <c r="M5590" t="n">
        <v>0</v>
      </c>
      <c r="N5590" t="n">
        <v>0</v>
      </c>
      <c r="O5590" t="n">
        <v>0</v>
      </c>
      <c r="P5590" t="n">
        <v>0</v>
      </c>
      <c r="Q5590" t="n">
        <v>0</v>
      </c>
      <c r="R5590" s="2" t="inlineStr"/>
    </row>
    <row r="5591" ht="15" customHeight="1">
      <c r="A5591" t="inlineStr">
        <is>
          <t>A 31084-2024</t>
        </is>
      </c>
      <c r="B5591" s="1" t="n">
        <v>45502.47806712963</v>
      </c>
      <c r="C5591" s="1" t="n">
        <v>45883</v>
      </c>
      <c r="D5591" t="inlineStr">
        <is>
          <t>GÄVLEBORGS LÄN</t>
        </is>
      </c>
      <c r="E5591" t="inlineStr">
        <is>
          <t>OVANÅKER</t>
        </is>
      </c>
      <c r="F5591" t="inlineStr">
        <is>
          <t>Bergvik skog öst AB</t>
        </is>
      </c>
      <c r="G5591" t="n">
        <v>6.7</v>
      </c>
      <c r="H5591" t="n">
        <v>0</v>
      </c>
      <c r="I5591" t="n">
        <v>0</v>
      </c>
      <c r="J5591" t="n">
        <v>0</v>
      </c>
      <c r="K5591" t="n">
        <v>0</v>
      </c>
      <c r="L5591" t="n">
        <v>0</v>
      </c>
      <c r="M5591" t="n">
        <v>0</v>
      </c>
      <c r="N5591" t="n">
        <v>0</v>
      </c>
      <c r="O5591" t="n">
        <v>0</v>
      </c>
      <c r="P5591" t="n">
        <v>0</v>
      </c>
      <c r="Q5591" t="n">
        <v>0</v>
      </c>
      <c r="R5591" s="2" t="inlineStr"/>
    </row>
    <row r="5592" ht="15" customHeight="1">
      <c r="A5592" t="inlineStr">
        <is>
          <t>A 33229-2024</t>
        </is>
      </c>
      <c r="B5592" s="1" t="n">
        <v>45518.57375</v>
      </c>
      <c r="C5592" s="1" t="n">
        <v>45883</v>
      </c>
      <c r="D5592" t="inlineStr">
        <is>
          <t>GÄVLEBORGS LÄN</t>
        </is>
      </c>
      <c r="E5592" t="inlineStr">
        <is>
          <t>OCKELBO</t>
        </is>
      </c>
      <c r="F5592" t="inlineStr">
        <is>
          <t>Bergvik skog väst AB</t>
        </is>
      </c>
      <c r="G5592" t="n">
        <v>16.6</v>
      </c>
      <c r="H5592" t="n">
        <v>0</v>
      </c>
      <c r="I5592" t="n">
        <v>0</v>
      </c>
      <c r="J5592" t="n">
        <v>0</v>
      </c>
      <c r="K5592" t="n">
        <v>0</v>
      </c>
      <c r="L5592" t="n">
        <v>0</v>
      </c>
      <c r="M5592" t="n">
        <v>0</v>
      </c>
      <c r="N5592" t="n">
        <v>0</v>
      </c>
      <c r="O5592" t="n">
        <v>0</v>
      </c>
      <c r="P5592" t="n">
        <v>0</v>
      </c>
      <c r="Q5592" t="n">
        <v>0</v>
      </c>
      <c r="R5592" s="2" t="inlineStr"/>
    </row>
    <row r="5593" ht="15" customHeight="1">
      <c r="A5593" t="inlineStr">
        <is>
          <t>A 50693-2024</t>
        </is>
      </c>
      <c r="B5593" s="1" t="n">
        <v>45602.34721064815</v>
      </c>
      <c r="C5593" s="1" t="n">
        <v>45883</v>
      </c>
      <c r="D5593" t="inlineStr">
        <is>
          <t>GÄVLEBORGS LÄN</t>
        </is>
      </c>
      <c r="E5593" t="inlineStr">
        <is>
          <t>OCKELBO</t>
        </is>
      </c>
      <c r="F5593" t="inlineStr">
        <is>
          <t>Bergvik skog väst AB</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25036-2025</t>
        </is>
      </c>
      <c r="B5594" s="1" t="n">
        <v>45799.65690972222</v>
      </c>
      <c r="C5594" s="1" t="n">
        <v>45883</v>
      </c>
      <c r="D5594" t="inlineStr">
        <is>
          <t>GÄVLEBORGS LÄN</t>
        </is>
      </c>
      <c r="E5594" t="inlineStr">
        <is>
          <t>SÖDERHAMN</t>
        </is>
      </c>
      <c r="F5594" t="inlineStr">
        <is>
          <t>Bergvik skog väst AB</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61004-2024</t>
        </is>
      </c>
      <c r="B5595" s="1" t="n">
        <v>45645.44195601852</v>
      </c>
      <c r="C5595" s="1" t="n">
        <v>45883</v>
      </c>
      <c r="D5595" t="inlineStr">
        <is>
          <t>GÄVLEBORGS LÄN</t>
        </is>
      </c>
      <c r="E5595" t="inlineStr">
        <is>
          <t>GÄVLE</t>
        </is>
      </c>
      <c r="F5595" t="inlineStr">
        <is>
          <t>Bergvik skog öst AB</t>
        </is>
      </c>
      <c r="G5595" t="n">
        <v>11.6</v>
      </c>
      <c r="H5595" t="n">
        <v>0</v>
      </c>
      <c r="I5595" t="n">
        <v>0</v>
      </c>
      <c r="J5595" t="n">
        <v>0</v>
      </c>
      <c r="K5595" t="n">
        <v>0</v>
      </c>
      <c r="L5595" t="n">
        <v>0</v>
      </c>
      <c r="M5595" t="n">
        <v>0</v>
      </c>
      <c r="N5595" t="n">
        <v>0</v>
      </c>
      <c r="O5595" t="n">
        <v>0</v>
      </c>
      <c r="P5595" t="n">
        <v>0</v>
      </c>
      <c r="Q5595" t="n">
        <v>0</v>
      </c>
      <c r="R5595" s="2" t="inlineStr"/>
    </row>
    <row r="5596" ht="15" customHeight="1">
      <c r="A5596" t="inlineStr">
        <is>
          <t>A 62124-2023</t>
        </is>
      </c>
      <c r="B5596" s="1" t="n">
        <v>45267.32875</v>
      </c>
      <c r="C5596" s="1" t="n">
        <v>45883</v>
      </c>
      <c r="D5596" t="inlineStr">
        <is>
          <t>GÄVLEBORGS LÄN</t>
        </is>
      </c>
      <c r="E5596" t="inlineStr">
        <is>
          <t>HUDIKSVALL</t>
        </is>
      </c>
      <c r="F5596" t="inlineStr">
        <is>
          <t>Sveaskog</t>
        </is>
      </c>
      <c r="G5596" t="n">
        <v>10.3</v>
      </c>
      <c r="H5596" t="n">
        <v>0</v>
      </c>
      <c r="I5596" t="n">
        <v>0</v>
      </c>
      <c r="J5596" t="n">
        <v>0</v>
      </c>
      <c r="K5596" t="n">
        <v>0</v>
      </c>
      <c r="L5596" t="n">
        <v>0</v>
      </c>
      <c r="M5596" t="n">
        <v>0</v>
      </c>
      <c r="N5596" t="n">
        <v>0</v>
      </c>
      <c r="O5596" t="n">
        <v>0</v>
      </c>
      <c r="P5596" t="n">
        <v>0</v>
      </c>
      <c r="Q5596" t="n">
        <v>0</v>
      </c>
      <c r="R5596" s="2" t="inlineStr"/>
    </row>
    <row r="5597" ht="15" customHeight="1">
      <c r="A5597" t="inlineStr">
        <is>
          <t>A 11579-2025</t>
        </is>
      </c>
      <c r="B5597" s="1" t="n">
        <v>45727.3865162037</v>
      </c>
      <c r="C5597" s="1" t="n">
        <v>45883</v>
      </c>
      <c r="D5597" t="inlineStr">
        <is>
          <t>GÄVLEBORGS LÄN</t>
        </is>
      </c>
      <c r="E5597" t="inlineStr">
        <is>
          <t>BOLLNÄS</t>
        </is>
      </c>
      <c r="F5597" t="inlineStr">
        <is>
          <t>Kyrkan</t>
        </is>
      </c>
      <c r="G5597" t="n">
        <v>5.7</v>
      </c>
      <c r="H5597" t="n">
        <v>0</v>
      </c>
      <c r="I5597" t="n">
        <v>0</v>
      </c>
      <c r="J5597" t="n">
        <v>0</v>
      </c>
      <c r="K5597" t="n">
        <v>0</v>
      </c>
      <c r="L5597" t="n">
        <v>0</v>
      </c>
      <c r="M5597" t="n">
        <v>0</v>
      </c>
      <c r="N5597" t="n">
        <v>0</v>
      </c>
      <c r="O5597" t="n">
        <v>0</v>
      </c>
      <c r="P5597" t="n">
        <v>0</v>
      </c>
      <c r="Q5597" t="n">
        <v>0</v>
      </c>
      <c r="R5597" s="2" t="inlineStr"/>
    </row>
    <row r="5598" ht="15" customHeight="1">
      <c r="A5598" t="inlineStr">
        <is>
          <t>A 11602-2025</t>
        </is>
      </c>
      <c r="B5598" s="1" t="n">
        <v>45727.43175925926</v>
      </c>
      <c r="C5598" s="1" t="n">
        <v>45883</v>
      </c>
      <c r="D5598" t="inlineStr">
        <is>
          <t>GÄVLEBORGS LÄN</t>
        </is>
      </c>
      <c r="E5598" t="inlineStr">
        <is>
          <t>BOLLNÄS</t>
        </is>
      </c>
      <c r="F5598" t="inlineStr">
        <is>
          <t>Kyrkan</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32056-2023</t>
        </is>
      </c>
      <c r="B5599" s="1" t="n">
        <v>45119.55945601852</v>
      </c>
      <c r="C5599" s="1" t="n">
        <v>45883</v>
      </c>
      <c r="D5599" t="inlineStr">
        <is>
          <t>GÄVLEBORGS LÄN</t>
        </is>
      </c>
      <c r="E5599" t="inlineStr">
        <is>
          <t>BOLLNÄS</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55613-2024</t>
        </is>
      </c>
      <c r="B5600" s="1" t="n">
        <v>45622</v>
      </c>
      <c r="C5600" s="1" t="n">
        <v>45883</v>
      </c>
      <c r="D5600" t="inlineStr">
        <is>
          <t>GÄVLEBORGS LÄN</t>
        </is>
      </c>
      <c r="E5600" t="inlineStr">
        <is>
          <t>HUDIKSVALL</t>
        </is>
      </c>
      <c r="F5600" t="inlineStr">
        <is>
          <t>Holmen skog AB</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22758-2021</t>
        </is>
      </c>
      <c r="B5601" s="1" t="n">
        <v>44327.8400462963</v>
      </c>
      <c r="C5601" s="1" t="n">
        <v>45883</v>
      </c>
      <c r="D5601" t="inlineStr">
        <is>
          <t>GÄVLEBORGS LÄN</t>
        </is>
      </c>
      <c r="E5601" t="inlineStr">
        <is>
          <t>LJUSDAL</t>
        </is>
      </c>
      <c r="F5601" t="inlineStr">
        <is>
          <t>Sveaskog</t>
        </is>
      </c>
      <c r="G5601" t="n">
        <v>3.8</v>
      </c>
      <c r="H5601" t="n">
        <v>0</v>
      </c>
      <c r="I5601" t="n">
        <v>0</v>
      </c>
      <c r="J5601" t="n">
        <v>0</v>
      </c>
      <c r="K5601" t="n">
        <v>0</v>
      </c>
      <c r="L5601" t="n">
        <v>0</v>
      </c>
      <c r="M5601" t="n">
        <v>0</v>
      </c>
      <c r="N5601" t="n">
        <v>0</v>
      </c>
      <c r="O5601" t="n">
        <v>0</v>
      </c>
      <c r="P5601" t="n">
        <v>0</v>
      </c>
      <c r="Q5601" t="n">
        <v>0</v>
      </c>
      <c r="R5601" s="2" t="inlineStr"/>
    </row>
    <row r="5602" ht="15" customHeight="1">
      <c r="A5602" t="inlineStr">
        <is>
          <t>A 51003-2024</t>
        </is>
      </c>
      <c r="B5602" s="1" t="n">
        <v>45603</v>
      </c>
      <c r="C5602" s="1" t="n">
        <v>45883</v>
      </c>
      <c r="D5602" t="inlineStr">
        <is>
          <t>GÄVLEBORGS LÄN</t>
        </is>
      </c>
      <c r="E5602" t="inlineStr">
        <is>
          <t>OVANÅKER</t>
        </is>
      </c>
      <c r="G5602" t="n">
        <v>14.3</v>
      </c>
      <c r="H5602" t="n">
        <v>0</v>
      </c>
      <c r="I5602" t="n">
        <v>0</v>
      </c>
      <c r="J5602" t="n">
        <v>0</v>
      </c>
      <c r="K5602" t="n">
        <v>0</v>
      </c>
      <c r="L5602" t="n">
        <v>0</v>
      </c>
      <c r="M5602" t="n">
        <v>0</v>
      </c>
      <c r="N5602" t="n">
        <v>0</v>
      </c>
      <c r="O5602" t="n">
        <v>0</v>
      </c>
      <c r="P5602" t="n">
        <v>0</v>
      </c>
      <c r="Q5602" t="n">
        <v>0</v>
      </c>
      <c r="R5602" s="2" t="inlineStr"/>
    </row>
    <row r="5603" ht="15" customHeight="1">
      <c r="A5603" t="inlineStr">
        <is>
          <t>A 25047-2025</t>
        </is>
      </c>
      <c r="B5603" s="1" t="n">
        <v>45799.66768518519</v>
      </c>
      <c r="C5603" s="1" t="n">
        <v>45883</v>
      </c>
      <c r="D5603" t="inlineStr">
        <is>
          <t>GÄVLEBORGS LÄN</t>
        </is>
      </c>
      <c r="E5603" t="inlineStr">
        <is>
          <t>LJUSDAL</t>
        </is>
      </c>
      <c r="F5603" t="inlineStr">
        <is>
          <t>Holmen skog AB</t>
        </is>
      </c>
      <c r="G5603" t="n">
        <v>24.1</v>
      </c>
      <c r="H5603" t="n">
        <v>0</v>
      </c>
      <c r="I5603" t="n">
        <v>0</v>
      </c>
      <c r="J5603" t="n">
        <v>0</v>
      </c>
      <c r="K5603" t="n">
        <v>0</v>
      </c>
      <c r="L5603" t="n">
        <v>0</v>
      </c>
      <c r="M5603" t="n">
        <v>0</v>
      </c>
      <c r="N5603" t="n">
        <v>0</v>
      </c>
      <c r="O5603" t="n">
        <v>0</v>
      </c>
      <c r="P5603" t="n">
        <v>0</v>
      </c>
      <c r="Q5603" t="n">
        <v>0</v>
      </c>
      <c r="R5603" s="2" t="inlineStr"/>
    </row>
    <row r="5604" ht="15" customHeight="1">
      <c r="A5604" t="inlineStr">
        <is>
          <t>A 25048-2025</t>
        </is>
      </c>
      <c r="B5604" s="1" t="n">
        <v>45799.66791666667</v>
      </c>
      <c r="C5604" s="1" t="n">
        <v>45883</v>
      </c>
      <c r="D5604" t="inlineStr">
        <is>
          <t>GÄVLEBORGS LÄN</t>
        </is>
      </c>
      <c r="E5604" t="inlineStr">
        <is>
          <t>LJUSDAL</t>
        </is>
      </c>
      <c r="F5604" t="inlineStr">
        <is>
          <t>Holmen skog AB</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25108-2025</t>
        </is>
      </c>
      <c r="B5605" s="1" t="n">
        <v>45800.3503125</v>
      </c>
      <c r="C5605" s="1" t="n">
        <v>45883</v>
      </c>
      <c r="D5605" t="inlineStr">
        <is>
          <t>GÄVLEBORGS LÄN</t>
        </is>
      </c>
      <c r="E5605" t="inlineStr">
        <is>
          <t>OVANÅKER</t>
        </is>
      </c>
      <c r="F5605" t="inlineStr">
        <is>
          <t>Bergvik skog väst AB</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37693-2023</t>
        </is>
      </c>
      <c r="B5606" s="1" t="n">
        <v>45159.57056712963</v>
      </c>
      <c r="C5606" s="1" t="n">
        <v>45883</v>
      </c>
      <c r="D5606" t="inlineStr">
        <is>
          <t>GÄVLEBORGS LÄN</t>
        </is>
      </c>
      <c r="E5606" t="inlineStr">
        <is>
          <t>HOFORS</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40136-2023</t>
        </is>
      </c>
      <c r="B5607" s="1" t="n">
        <v>45169.34298611111</v>
      </c>
      <c r="C5607" s="1" t="n">
        <v>45883</v>
      </c>
      <c r="D5607" t="inlineStr">
        <is>
          <t>GÄVLEBORGS LÄN</t>
        </is>
      </c>
      <c r="E5607" t="inlineStr">
        <is>
          <t>HUDIKSVALL</t>
        </is>
      </c>
      <c r="F5607" t="inlineStr">
        <is>
          <t>Holmen skog AB</t>
        </is>
      </c>
      <c r="G5607" t="n">
        <v>6.3</v>
      </c>
      <c r="H5607" t="n">
        <v>0</v>
      </c>
      <c r="I5607" t="n">
        <v>0</v>
      </c>
      <c r="J5607" t="n">
        <v>0</v>
      </c>
      <c r="K5607" t="n">
        <v>0</v>
      </c>
      <c r="L5607" t="n">
        <v>0</v>
      </c>
      <c r="M5607" t="n">
        <v>0</v>
      </c>
      <c r="N5607" t="n">
        <v>0</v>
      </c>
      <c r="O5607" t="n">
        <v>0</v>
      </c>
      <c r="P5607" t="n">
        <v>0</v>
      </c>
      <c r="Q5607" t="n">
        <v>0</v>
      </c>
      <c r="R5607" s="2" t="inlineStr"/>
    </row>
    <row r="5608" ht="15" customHeight="1">
      <c r="A5608" t="inlineStr">
        <is>
          <t>A 11921-2025</t>
        </is>
      </c>
      <c r="B5608" s="1" t="n">
        <v>45728.49965277778</v>
      </c>
      <c r="C5608" s="1" t="n">
        <v>45883</v>
      </c>
      <c r="D5608" t="inlineStr">
        <is>
          <t>GÄVLEBORGS LÄN</t>
        </is>
      </c>
      <c r="E5608" t="inlineStr">
        <is>
          <t>GÄVLE</t>
        </is>
      </c>
      <c r="F5608" t="inlineStr">
        <is>
          <t>Bergvik skog öst AB</t>
        </is>
      </c>
      <c r="G5608" t="n">
        <v>3.5</v>
      </c>
      <c r="H5608" t="n">
        <v>0</v>
      </c>
      <c r="I5608" t="n">
        <v>0</v>
      </c>
      <c r="J5608" t="n">
        <v>0</v>
      </c>
      <c r="K5608" t="n">
        <v>0</v>
      </c>
      <c r="L5608" t="n">
        <v>0</v>
      </c>
      <c r="M5608" t="n">
        <v>0</v>
      </c>
      <c r="N5608" t="n">
        <v>0</v>
      </c>
      <c r="O5608" t="n">
        <v>0</v>
      </c>
      <c r="P5608" t="n">
        <v>0</v>
      </c>
      <c r="Q5608" t="n">
        <v>0</v>
      </c>
      <c r="R5608" s="2" t="inlineStr"/>
    </row>
    <row r="5609" ht="15" customHeight="1">
      <c r="A5609" t="inlineStr">
        <is>
          <t>A 25410-2025</t>
        </is>
      </c>
      <c r="B5609" s="1" t="n">
        <v>45800.66126157407</v>
      </c>
      <c r="C5609" s="1" t="n">
        <v>45883</v>
      </c>
      <c r="D5609" t="inlineStr">
        <is>
          <t>GÄVLEBORGS LÄN</t>
        </is>
      </c>
      <c r="E5609" t="inlineStr">
        <is>
          <t>SANDVIKEN</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17456-2025</t>
        </is>
      </c>
      <c r="B5610" s="1" t="n">
        <v>45757</v>
      </c>
      <c r="C5610" s="1" t="n">
        <v>45883</v>
      </c>
      <c r="D5610" t="inlineStr">
        <is>
          <t>GÄVLEBORGS LÄN</t>
        </is>
      </c>
      <c r="E5610" t="inlineStr">
        <is>
          <t>SÖDERHAMN</t>
        </is>
      </c>
      <c r="F5610" t="inlineStr">
        <is>
          <t>Bergvik skog väst AB</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25104-2025</t>
        </is>
      </c>
      <c r="B5611" s="1" t="n">
        <v>45800.34629629629</v>
      </c>
      <c r="C5611" s="1" t="n">
        <v>45883</v>
      </c>
      <c r="D5611" t="inlineStr">
        <is>
          <t>GÄVLEBORGS LÄN</t>
        </is>
      </c>
      <c r="E5611" t="inlineStr">
        <is>
          <t>OVANÅKER</t>
        </is>
      </c>
      <c r="F5611" t="inlineStr">
        <is>
          <t>Bergvik skog väst AB</t>
        </is>
      </c>
      <c r="G5611" t="n">
        <v>4.3</v>
      </c>
      <c r="H5611" t="n">
        <v>0</v>
      </c>
      <c r="I5611" t="n">
        <v>0</v>
      </c>
      <c r="J5611" t="n">
        <v>0</v>
      </c>
      <c r="K5611" t="n">
        <v>0</v>
      </c>
      <c r="L5611" t="n">
        <v>0</v>
      </c>
      <c r="M5611" t="n">
        <v>0</v>
      </c>
      <c r="N5611" t="n">
        <v>0</v>
      </c>
      <c r="O5611" t="n">
        <v>0</v>
      </c>
      <c r="P5611" t="n">
        <v>0</v>
      </c>
      <c r="Q5611" t="n">
        <v>0</v>
      </c>
      <c r="R5611" s="2" t="inlineStr"/>
    </row>
    <row r="5612" ht="15" customHeight="1">
      <c r="A5612" t="inlineStr">
        <is>
          <t>A 25111-2025</t>
        </is>
      </c>
      <c r="B5612" s="1" t="n">
        <v>45800.35587962963</v>
      </c>
      <c r="C5612" s="1" t="n">
        <v>45883</v>
      </c>
      <c r="D5612" t="inlineStr">
        <is>
          <t>GÄVLEBORGS LÄN</t>
        </is>
      </c>
      <c r="E5612" t="inlineStr">
        <is>
          <t>SANDVIKEN</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11953-2025</t>
        </is>
      </c>
      <c r="B5613" s="1" t="n">
        <v>45728.56366898148</v>
      </c>
      <c r="C5613" s="1" t="n">
        <v>45883</v>
      </c>
      <c r="D5613" t="inlineStr">
        <is>
          <t>GÄVLEBORGS LÄN</t>
        </is>
      </c>
      <c r="E5613" t="inlineStr">
        <is>
          <t>HOFORS</t>
        </is>
      </c>
      <c r="F5613" t="inlineStr">
        <is>
          <t>Sveaskog</t>
        </is>
      </c>
      <c r="G5613" t="n">
        <v>34.8</v>
      </c>
      <c r="H5613" t="n">
        <v>0</v>
      </c>
      <c r="I5613" t="n">
        <v>0</v>
      </c>
      <c r="J5613" t="n">
        <v>0</v>
      </c>
      <c r="K5613" t="n">
        <v>0</v>
      </c>
      <c r="L5613" t="n">
        <v>0</v>
      </c>
      <c r="M5613" t="n">
        <v>0</v>
      </c>
      <c r="N5613" t="n">
        <v>0</v>
      </c>
      <c r="O5613" t="n">
        <v>0</v>
      </c>
      <c r="P5613" t="n">
        <v>0</v>
      </c>
      <c r="Q5613" t="n">
        <v>0</v>
      </c>
      <c r="R5613" s="2" t="inlineStr"/>
    </row>
    <row r="5614" ht="15" customHeight="1">
      <c r="A5614" t="inlineStr">
        <is>
          <t>A 15417-2025</t>
        </is>
      </c>
      <c r="B5614" s="1" t="n">
        <v>45747.45960648148</v>
      </c>
      <c r="C5614" s="1" t="n">
        <v>45883</v>
      </c>
      <c r="D5614" t="inlineStr">
        <is>
          <t>GÄVLEBORGS LÄN</t>
        </is>
      </c>
      <c r="E5614" t="inlineStr">
        <is>
          <t>SÖDERHAMN</t>
        </is>
      </c>
      <c r="G5614" t="n">
        <v>11.2</v>
      </c>
      <c r="H5614" t="n">
        <v>0</v>
      </c>
      <c r="I5614" t="n">
        <v>0</v>
      </c>
      <c r="J5614" t="n">
        <v>0</v>
      </c>
      <c r="K5614" t="n">
        <v>0</v>
      </c>
      <c r="L5614" t="n">
        <v>0</v>
      </c>
      <c r="M5614" t="n">
        <v>0</v>
      </c>
      <c r="N5614" t="n">
        <v>0</v>
      </c>
      <c r="O5614" t="n">
        <v>0</v>
      </c>
      <c r="P5614" t="n">
        <v>0</v>
      </c>
      <c r="Q5614" t="n">
        <v>0</v>
      </c>
      <c r="R5614" s="2" t="inlineStr"/>
    </row>
    <row r="5615" ht="15" customHeight="1">
      <c r="A5615" t="inlineStr">
        <is>
          <t>A 33769-2025</t>
        </is>
      </c>
      <c r="B5615" s="1" t="n">
        <v>45842.39043981482</v>
      </c>
      <c r="C5615" s="1" t="n">
        <v>45883</v>
      </c>
      <c r="D5615" t="inlineStr">
        <is>
          <t>GÄVLEBORGS LÄN</t>
        </is>
      </c>
      <c r="E5615" t="inlineStr">
        <is>
          <t>OCKELBO</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33803-2025</t>
        </is>
      </c>
      <c r="B5616" s="1" t="n">
        <v>45842.44728009259</v>
      </c>
      <c r="C5616" s="1" t="n">
        <v>45883</v>
      </c>
      <c r="D5616" t="inlineStr">
        <is>
          <t>GÄVLEBORGS LÄN</t>
        </is>
      </c>
      <c r="E5616" t="inlineStr">
        <is>
          <t>LJUSDAL</t>
        </is>
      </c>
      <c r="F5616" t="inlineStr">
        <is>
          <t>Sveaskog</t>
        </is>
      </c>
      <c r="G5616" t="n">
        <v>5.7</v>
      </c>
      <c r="H5616" t="n">
        <v>0</v>
      </c>
      <c r="I5616" t="n">
        <v>0</v>
      </c>
      <c r="J5616" t="n">
        <v>0</v>
      </c>
      <c r="K5616" t="n">
        <v>0</v>
      </c>
      <c r="L5616" t="n">
        <v>0</v>
      </c>
      <c r="M5616" t="n">
        <v>0</v>
      </c>
      <c r="N5616" t="n">
        <v>0</v>
      </c>
      <c r="O5616" t="n">
        <v>0</v>
      </c>
      <c r="P5616" t="n">
        <v>0</v>
      </c>
      <c r="Q5616" t="n">
        <v>0</v>
      </c>
      <c r="R5616" s="2" t="inlineStr"/>
    </row>
    <row r="5617" ht="15" customHeight="1">
      <c r="A5617" t="inlineStr">
        <is>
          <t>A 33361-2025</t>
        </is>
      </c>
      <c r="B5617" s="1" t="n">
        <v>45841.38190972222</v>
      </c>
      <c r="C5617" s="1" t="n">
        <v>45883</v>
      </c>
      <c r="D5617" t="inlineStr">
        <is>
          <t>GÄVLEBORGS LÄN</t>
        </is>
      </c>
      <c r="E5617" t="inlineStr">
        <is>
          <t>OCKELBO</t>
        </is>
      </c>
      <c r="G5617" t="n">
        <v>5.1</v>
      </c>
      <c r="H5617" t="n">
        <v>0</v>
      </c>
      <c r="I5617" t="n">
        <v>0</v>
      </c>
      <c r="J5617" t="n">
        <v>0</v>
      </c>
      <c r="K5617" t="n">
        <v>0</v>
      </c>
      <c r="L5617" t="n">
        <v>0</v>
      </c>
      <c r="M5617" t="n">
        <v>0</v>
      </c>
      <c r="N5617" t="n">
        <v>0</v>
      </c>
      <c r="O5617" t="n">
        <v>0</v>
      </c>
      <c r="P5617" t="n">
        <v>0</v>
      </c>
      <c r="Q5617" t="n">
        <v>0</v>
      </c>
      <c r="R5617" s="2" t="inlineStr"/>
    </row>
    <row r="5618" ht="15" customHeight="1">
      <c r="A5618" t="inlineStr">
        <is>
          <t>A 24748-2025</t>
        </is>
      </c>
      <c r="B5618" s="1" t="n">
        <v>45799.34690972222</v>
      </c>
      <c r="C5618" s="1" t="n">
        <v>45883</v>
      </c>
      <c r="D5618" t="inlineStr">
        <is>
          <t>GÄVLEBORGS LÄN</t>
        </is>
      </c>
      <c r="E5618" t="inlineStr">
        <is>
          <t>HUDIKSVALL</t>
        </is>
      </c>
      <c r="G5618" t="n">
        <v>3.3</v>
      </c>
      <c r="H5618" t="n">
        <v>0</v>
      </c>
      <c r="I5618" t="n">
        <v>0</v>
      </c>
      <c r="J5618" t="n">
        <v>0</v>
      </c>
      <c r="K5618" t="n">
        <v>0</v>
      </c>
      <c r="L5618" t="n">
        <v>0</v>
      </c>
      <c r="M5618" t="n">
        <v>0</v>
      </c>
      <c r="N5618" t="n">
        <v>0</v>
      </c>
      <c r="O5618" t="n">
        <v>0</v>
      </c>
      <c r="P5618" t="n">
        <v>0</v>
      </c>
      <c r="Q5618" t="n">
        <v>0</v>
      </c>
      <c r="R5618" s="2" t="inlineStr"/>
    </row>
    <row r="5619" ht="15" customHeight="1">
      <c r="A5619" t="inlineStr">
        <is>
          <t>A 33630-2025</t>
        </is>
      </c>
      <c r="B5619" s="1" t="n">
        <v>45841.63774305556</v>
      </c>
      <c r="C5619" s="1" t="n">
        <v>45883</v>
      </c>
      <c r="D5619" t="inlineStr">
        <is>
          <t>GÄVLEBORGS LÄN</t>
        </is>
      </c>
      <c r="E5619" t="inlineStr">
        <is>
          <t>BOLLNÄS</t>
        </is>
      </c>
      <c r="G5619" t="n">
        <v>4.4</v>
      </c>
      <c r="H5619" t="n">
        <v>0</v>
      </c>
      <c r="I5619" t="n">
        <v>0</v>
      </c>
      <c r="J5619" t="n">
        <v>0</v>
      </c>
      <c r="K5619" t="n">
        <v>0</v>
      </c>
      <c r="L5619" t="n">
        <v>0</v>
      </c>
      <c r="M5619" t="n">
        <v>0</v>
      </c>
      <c r="N5619" t="n">
        <v>0</v>
      </c>
      <c r="O5619" t="n">
        <v>0</v>
      </c>
      <c r="P5619" t="n">
        <v>0</v>
      </c>
      <c r="Q5619" t="n">
        <v>0</v>
      </c>
      <c r="R5619" s="2" t="inlineStr"/>
    </row>
    <row r="5620" ht="15" customHeight="1">
      <c r="A5620" t="inlineStr">
        <is>
          <t>A 24937-2025</t>
        </is>
      </c>
      <c r="B5620" s="1" t="n">
        <v>45799.55748842593</v>
      </c>
      <c r="C5620" s="1" t="n">
        <v>45883</v>
      </c>
      <c r="D5620" t="inlineStr">
        <is>
          <t>GÄVLEBORGS LÄN</t>
        </is>
      </c>
      <c r="E5620" t="inlineStr">
        <is>
          <t>BOLLNÄS</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25187-2025</t>
        </is>
      </c>
      <c r="B5621" s="1" t="n">
        <v>45800.455</v>
      </c>
      <c r="C5621" s="1" t="n">
        <v>45883</v>
      </c>
      <c r="D5621" t="inlineStr">
        <is>
          <t>GÄVLEBORGS LÄN</t>
        </is>
      </c>
      <c r="E5621" t="inlineStr">
        <is>
          <t>HUDIKSVALL</t>
        </is>
      </c>
      <c r="F5621" t="inlineStr">
        <is>
          <t>Holmen skog AB</t>
        </is>
      </c>
      <c r="G5621" t="n">
        <v>53.6</v>
      </c>
      <c r="H5621" t="n">
        <v>0</v>
      </c>
      <c r="I5621" t="n">
        <v>0</v>
      </c>
      <c r="J5621" t="n">
        <v>0</v>
      </c>
      <c r="K5621" t="n">
        <v>0</v>
      </c>
      <c r="L5621" t="n">
        <v>0</v>
      </c>
      <c r="M5621" t="n">
        <v>0</v>
      </c>
      <c r="N5621" t="n">
        <v>0</v>
      </c>
      <c r="O5621" t="n">
        <v>0</v>
      </c>
      <c r="P5621" t="n">
        <v>0</v>
      </c>
      <c r="Q5621" t="n">
        <v>0</v>
      </c>
      <c r="R5621" s="2" t="inlineStr"/>
    </row>
    <row r="5622" ht="15" customHeight="1">
      <c r="A5622" t="inlineStr">
        <is>
          <t>A 17159-2025</t>
        </is>
      </c>
      <c r="B5622" s="1" t="n">
        <v>45756.34729166667</v>
      </c>
      <c r="C5622" s="1" t="n">
        <v>45883</v>
      </c>
      <c r="D5622" t="inlineStr">
        <is>
          <t>GÄVLEBORGS LÄN</t>
        </is>
      </c>
      <c r="E5622" t="inlineStr">
        <is>
          <t>SANDVIKEN</t>
        </is>
      </c>
      <c r="F5622" t="inlineStr">
        <is>
          <t>Bergvik skog öst AB</t>
        </is>
      </c>
      <c r="G5622" t="n">
        <v>4.5</v>
      </c>
      <c r="H5622" t="n">
        <v>0</v>
      </c>
      <c r="I5622" t="n">
        <v>0</v>
      </c>
      <c r="J5622" t="n">
        <v>0</v>
      </c>
      <c r="K5622" t="n">
        <v>0</v>
      </c>
      <c r="L5622" t="n">
        <v>0</v>
      </c>
      <c r="M5622" t="n">
        <v>0</v>
      </c>
      <c r="N5622" t="n">
        <v>0</v>
      </c>
      <c r="O5622" t="n">
        <v>0</v>
      </c>
      <c r="P5622" t="n">
        <v>0</v>
      </c>
      <c r="Q5622" t="n">
        <v>0</v>
      </c>
      <c r="R5622" s="2" t="inlineStr"/>
    </row>
    <row r="5623" ht="15" customHeight="1">
      <c r="A5623" t="inlineStr">
        <is>
          <t>A 17170-2025</t>
        </is>
      </c>
      <c r="B5623" s="1" t="n">
        <v>45756.3708912037</v>
      </c>
      <c r="C5623" s="1" t="n">
        <v>45883</v>
      </c>
      <c r="D5623" t="inlineStr">
        <is>
          <t>GÄVLEBORGS LÄN</t>
        </is>
      </c>
      <c r="E5623" t="inlineStr">
        <is>
          <t>GÄVLE</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12421-2025</t>
        </is>
      </c>
      <c r="B5624" s="1" t="n">
        <v>45730.45319444445</v>
      </c>
      <c r="C5624" s="1" t="n">
        <v>45883</v>
      </c>
      <c r="D5624" t="inlineStr">
        <is>
          <t>GÄVLEBORGS LÄN</t>
        </is>
      </c>
      <c r="E5624" t="inlineStr">
        <is>
          <t>SANDVIKEN</t>
        </is>
      </c>
      <c r="F5624" t="inlineStr">
        <is>
          <t>Bergvik skog öst AB</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13465-2025</t>
        </is>
      </c>
      <c r="B5625" s="1" t="n">
        <v>45736.39627314815</v>
      </c>
      <c r="C5625" s="1" t="n">
        <v>45883</v>
      </c>
      <c r="D5625" t="inlineStr">
        <is>
          <t>GÄVLEBORGS LÄN</t>
        </is>
      </c>
      <c r="E5625" t="inlineStr">
        <is>
          <t>BOLLNÄS</t>
        </is>
      </c>
      <c r="G5625" t="n">
        <v>0.3</v>
      </c>
      <c r="H5625" t="n">
        <v>0</v>
      </c>
      <c r="I5625" t="n">
        <v>0</v>
      </c>
      <c r="J5625" t="n">
        <v>0</v>
      </c>
      <c r="K5625" t="n">
        <v>0</v>
      </c>
      <c r="L5625" t="n">
        <v>0</v>
      </c>
      <c r="M5625" t="n">
        <v>0</v>
      </c>
      <c r="N5625" t="n">
        <v>0</v>
      </c>
      <c r="O5625" t="n">
        <v>0</v>
      </c>
      <c r="P5625" t="n">
        <v>0</v>
      </c>
      <c r="Q5625" t="n">
        <v>0</v>
      </c>
      <c r="R5625" s="2" t="inlineStr"/>
    </row>
    <row r="5626" ht="15" customHeight="1">
      <c r="A5626" t="inlineStr">
        <is>
          <t>A 25283-2025</t>
        </is>
      </c>
      <c r="B5626" s="1" t="n">
        <v>45800.5616087963</v>
      </c>
      <c r="C5626" s="1" t="n">
        <v>45883</v>
      </c>
      <c r="D5626" t="inlineStr">
        <is>
          <t>GÄVLEBORGS LÄN</t>
        </is>
      </c>
      <c r="E5626" t="inlineStr">
        <is>
          <t>OVANÅKER</t>
        </is>
      </c>
      <c r="F5626" t="inlineStr">
        <is>
          <t>Bergvik skog öst AB</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13551-2025</t>
        </is>
      </c>
      <c r="B5627" s="1" t="n">
        <v>45736.54557870371</v>
      </c>
      <c r="C5627" s="1" t="n">
        <v>45883</v>
      </c>
      <c r="D5627" t="inlineStr">
        <is>
          <t>GÄVLEBORGS LÄN</t>
        </is>
      </c>
      <c r="E5627" t="inlineStr">
        <is>
          <t>LJUSDAL</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37763-2023</t>
        </is>
      </c>
      <c r="B5628" s="1" t="n">
        <v>45156</v>
      </c>
      <c r="C5628" s="1" t="n">
        <v>45883</v>
      </c>
      <c r="D5628" t="inlineStr">
        <is>
          <t>GÄVLEBORGS LÄN</t>
        </is>
      </c>
      <c r="E5628" t="inlineStr">
        <is>
          <t>HOFORS</t>
        </is>
      </c>
      <c r="G5628" t="n">
        <v>2.9</v>
      </c>
      <c r="H5628" t="n">
        <v>0</v>
      </c>
      <c r="I5628" t="n">
        <v>0</v>
      </c>
      <c r="J5628" t="n">
        <v>0</v>
      </c>
      <c r="K5628" t="n">
        <v>0</v>
      </c>
      <c r="L5628" t="n">
        <v>0</v>
      </c>
      <c r="M5628" t="n">
        <v>0</v>
      </c>
      <c r="N5628" t="n">
        <v>0</v>
      </c>
      <c r="O5628" t="n">
        <v>0</v>
      </c>
      <c r="P5628" t="n">
        <v>0</v>
      </c>
      <c r="Q5628" t="n">
        <v>0</v>
      </c>
      <c r="R5628" s="2" t="inlineStr"/>
    </row>
    <row r="5629" ht="15" customHeight="1">
      <c r="A5629" t="inlineStr">
        <is>
          <t>A 18486-2022</t>
        </is>
      </c>
      <c r="B5629" s="1" t="n">
        <v>44686.5978125</v>
      </c>
      <c r="C5629" s="1" t="n">
        <v>45883</v>
      </c>
      <c r="D5629" t="inlineStr">
        <is>
          <t>GÄVLEBORGS LÄN</t>
        </is>
      </c>
      <c r="E5629" t="inlineStr">
        <is>
          <t>BOLLNÄS</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30662-2022</t>
        </is>
      </c>
      <c r="B5630" s="1" t="n">
        <v>44763</v>
      </c>
      <c r="C5630" s="1" t="n">
        <v>45883</v>
      </c>
      <c r="D5630" t="inlineStr">
        <is>
          <t>GÄVLEBORGS LÄN</t>
        </is>
      </c>
      <c r="E5630" t="inlineStr">
        <is>
          <t>GÄVLE</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25057-2025</t>
        </is>
      </c>
      <c r="B5631" s="1" t="n">
        <v>45799.68395833333</v>
      </c>
      <c r="C5631" s="1" t="n">
        <v>45883</v>
      </c>
      <c r="D5631" t="inlineStr">
        <is>
          <t>GÄVLEBORGS LÄN</t>
        </is>
      </c>
      <c r="E5631" t="inlineStr">
        <is>
          <t>LJUSDAL</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24758-2025</t>
        </is>
      </c>
      <c r="B5632" s="1" t="n">
        <v>45799.3827662037</v>
      </c>
      <c r="C5632" s="1" t="n">
        <v>45883</v>
      </c>
      <c r="D5632" t="inlineStr">
        <is>
          <t>GÄVLEBORGS LÄN</t>
        </is>
      </c>
      <c r="E5632" t="inlineStr">
        <is>
          <t>NORDANSTIG</t>
        </is>
      </c>
      <c r="F5632" t="inlineStr">
        <is>
          <t>Holmen skog AB</t>
        </is>
      </c>
      <c r="G5632" t="n">
        <v>23.2</v>
      </c>
      <c r="H5632" t="n">
        <v>0</v>
      </c>
      <c r="I5632" t="n">
        <v>0</v>
      </c>
      <c r="J5632" t="n">
        <v>0</v>
      </c>
      <c r="K5632" t="n">
        <v>0</v>
      </c>
      <c r="L5632" t="n">
        <v>0</v>
      </c>
      <c r="M5632" t="n">
        <v>0</v>
      </c>
      <c r="N5632" t="n">
        <v>0</v>
      </c>
      <c r="O5632" t="n">
        <v>0</v>
      </c>
      <c r="P5632" t="n">
        <v>0</v>
      </c>
      <c r="Q5632" t="n">
        <v>0</v>
      </c>
      <c r="R5632" s="2" t="inlineStr"/>
      <c r="U5632">
        <f>HYPERLINK("https://klasma.github.io/Logging_2132/knärot/A 24758-2025 karta knärot.png", "A 24758-2025")</f>
        <v/>
      </c>
      <c r="V5632">
        <f>HYPERLINK("https://klasma.github.io/Logging_2132/klagomål/A 24758-2025 FSC-klagomål.docx", "A 24758-2025")</f>
        <v/>
      </c>
      <c r="W5632">
        <f>HYPERLINK("https://klasma.github.io/Logging_2132/klagomålsmail/A 24758-2025 FSC-klagomål mail.docx", "A 24758-2025")</f>
        <v/>
      </c>
      <c r="X5632">
        <f>HYPERLINK("https://klasma.github.io/Logging_2132/tillsyn/A 24758-2025 tillsynsbegäran.docx", "A 24758-2025")</f>
        <v/>
      </c>
      <c r="Y5632">
        <f>HYPERLINK("https://klasma.github.io/Logging_2132/tillsynsmail/A 24758-2025 tillsynsbegäran mail.docx", "A 24758-2025")</f>
        <v/>
      </c>
    </row>
    <row r="5633" ht="15" customHeight="1">
      <c r="A5633" t="inlineStr">
        <is>
          <t>A 32199-2022</t>
        </is>
      </c>
      <c r="B5633" s="1" t="n">
        <v>44781</v>
      </c>
      <c r="C5633" s="1" t="n">
        <v>45883</v>
      </c>
      <c r="D5633" t="inlineStr">
        <is>
          <t>GÄVLEBORGS LÄN</t>
        </is>
      </c>
      <c r="E5633" t="inlineStr">
        <is>
          <t>HUDIKSVALL</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30718-2023</t>
        </is>
      </c>
      <c r="B5634" s="1" t="n">
        <v>45112</v>
      </c>
      <c r="C5634" s="1" t="n">
        <v>45883</v>
      </c>
      <c r="D5634" t="inlineStr">
        <is>
          <t>GÄVLEBORGS LÄN</t>
        </is>
      </c>
      <c r="E5634" t="inlineStr">
        <is>
          <t>SANDVIKEN</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25130-2025</t>
        </is>
      </c>
      <c r="B5635" s="1" t="n">
        <v>45800.38216435185</v>
      </c>
      <c r="C5635" s="1" t="n">
        <v>45883</v>
      </c>
      <c r="D5635" t="inlineStr">
        <is>
          <t>GÄVLEBORGS LÄN</t>
        </is>
      </c>
      <c r="E5635" t="inlineStr">
        <is>
          <t>OVANÅKER</t>
        </is>
      </c>
      <c r="F5635" t="inlineStr">
        <is>
          <t>Bergvik skog väst AB</t>
        </is>
      </c>
      <c r="G5635" t="n">
        <v>8.699999999999999</v>
      </c>
      <c r="H5635" t="n">
        <v>0</v>
      </c>
      <c r="I5635" t="n">
        <v>0</v>
      </c>
      <c r="J5635" t="n">
        <v>0</v>
      </c>
      <c r="K5635" t="n">
        <v>0</v>
      </c>
      <c r="L5635" t="n">
        <v>0</v>
      </c>
      <c r="M5635" t="n">
        <v>0</v>
      </c>
      <c r="N5635" t="n">
        <v>0</v>
      </c>
      <c r="O5635" t="n">
        <v>0</v>
      </c>
      <c r="P5635" t="n">
        <v>0</v>
      </c>
      <c r="Q5635" t="n">
        <v>0</v>
      </c>
      <c r="R5635" s="2" t="inlineStr"/>
    </row>
    <row r="5636" ht="15" customHeight="1">
      <c r="A5636" t="inlineStr">
        <is>
          <t>A 22559-2023</t>
        </is>
      </c>
      <c r="B5636" s="1" t="n">
        <v>45071.44723379629</v>
      </c>
      <c r="C5636" s="1" t="n">
        <v>45883</v>
      </c>
      <c r="D5636" t="inlineStr">
        <is>
          <t>GÄVLEBORGS LÄN</t>
        </is>
      </c>
      <c r="E5636" t="inlineStr">
        <is>
          <t>LJUSDAL</t>
        </is>
      </c>
      <c r="F5636" t="inlineStr">
        <is>
          <t>Holmen skog AB</t>
        </is>
      </c>
      <c r="G5636" t="n">
        <v>4.4</v>
      </c>
      <c r="H5636" t="n">
        <v>0</v>
      </c>
      <c r="I5636" t="n">
        <v>0</v>
      </c>
      <c r="J5636" t="n">
        <v>0</v>
      </c>
      <c r="K5636" t="n">
        <v>0</v>
      </c>
      <c r="L5636" t="n">
        <v>0</v>
      </c>
      <c r="M5636" t="n">
        <v>0</v>
      </c>
      <c r="N5636" t="n">
        <v>0</v>
      </c>
      <c r="O5636" t="n">
        <v>0</v>
      </c>
      <c r="P5636" t="n">
        <v>0</v>
      </c>
      <c r="Q5636" t="n">
        <v>0</v>
      </c>
      <c r="R5636" s="2" t="inlineStr"/>
    </row>
    <row r="5637" ht="15" customHeight="1">
      <c r="A5637" t="inlineStr">
        <is>
          <t>A 25168-2025</t>
        </is>
      </c>
      <c r="B5637" s="1" t="n">
        <v>45800.43626157408</v>
      </c>
      <c r="C5637" s="1" t="n">
        <v>45883</v>
      </c>
      <c r="D5637" t="inlineStr">
        <is>
          <t>GÄVLEBORGS LÄN</t>
        </is>
      </c>
      <c r="E5637" t="inlineStr">
        <is>
          <t>OCKELBO</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50038-2024</t>
        </is>
      </c>
      <c r="B5638" s="1" t="n">
        <v>45599.98630787037</v>
      </c>
      <c r="C5638" s="1" t="n">
        <v>45883</v>
      </c>
      <c r="D5638" t="inlineStr">
        <is>
          <t>GÄVLEBORGS LÄN</t>
        </is>
      </c>
      <c r="E5638" t="inlineStr">
        <is>
          <t>BOLLNÄS</t>
        </is>
      </c>
      <c r="G5638" t="n">
        <v>6.6</v>
      </c>
      <c r="H5638" t="n">
        <v>0</v>
      </c>
      <c r="I5638" t="n">
        <v>0</v>
      </c>
      <c r="J5638" t="n">
        <v>0</v>
      </c>
      <c r="K5638" t="n">
        <v>0</v>
      </c>
      <c r="L5638" t="n">
        <v>0</v>
      </c>
      <c r="M5638" t="n">
        <v>0</v>
      </c>
      <c r="N5638" t="n">
        <v>0</v>
      </c>
      <c r="O5638" t="n">
        <v>0</v>
      </c>
      <c r="P5638" t="n">
        <v>0</v>
      </c>
      <c r="Q5638" t="n">
        <v>0</v>
      </c>
      <c r="R5638" s="2" t="inlineStr"/>
    </row>
    <row r="5639" ht="15" customHeight="1">
      <c r="A5639" t="inlineStr">
        <is>
          <t>A 59614-2024</t>
        </is>
      </c>
      <c r="B5639" s="1" t="n">
        <v>45638.78225694445</v>
      </c>
      <c r="C5639" s="1" t="n">
        <v>45883</v>
      </c>
      <c r="D5639" t="inlineStr">
        <is>
          <t>GÄVLEBORGS LÄN</t>
        </is>
      </c>
      <c r="E5639" t="inlineStr">
        <is>
          <t>SANDVIKEN</t>
        </is>
      </c>
      <c r="G5639" t="n">
        <v>4.1</v>
      </c>
      <c r="H5639" t="n">
        <v>0</v>
      </c>
      <c r="I5639" t="n">
        <v>0</v>
      </c>
      <c r="J5639" t="n">
        <v>0</v>
      </c>
      <c r="K5639" t="n">
        <v>0</v>
      </c>
      <c r="L5639" t="n">
        <v>0</v>
      </c>
      <c r="M5639" t="n">
        <v>0</v>
      </c>
      <c r="N5639" t="n">
        <v>0</v>
      </c>
      <c r="O5639" t="n">
        <v>0</v>
      </c>
      <c r="P5639" t="n">
        <v>0</v>
      </c>
      <c r="Q5639" t="n">
        <v>0</v>
      </c>
      <c r="R5639" s="2" t="inlineStr"/>
    </row>
    <row r="5640" ht="15" customHeight="1">
      <c r="A5640" t="inlineStr">
        <is>
          <t>A 47876-2023</t>
        </is>
      </c>
      <c r="B5640" s="1" t="n">
        <v>45204</v>
      </c>
      <c r="C5640" s="1" t="n">
        <v>45883</v>
      </c>
      <c r="D5640" t="inlineStr">
        <is>
          <t>GÄVLEBORGS LÄN</t>
        </is>
      </c>
      <c r="E5640" t="inlineStr">
        <is>
          <t>NORDANSTIG</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38298-2024</t>
        </is>
      </c>
      <c r="B5641" s="1" t="n">
        <v>45545</v>
      </c>
      <c r="C5641" s="1" t="n">
        <v>45883</v>
      </c>
      <c r="D5641" t="inlineStr">
        <is>
          <t>GÄVLEBORGS LÄN</t>
        </is>
      </c>
      <c r="E5641" t="inlineStr">
        <is>
          <t>NORDANSTIG</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24938-2025</t>
        </is>
      </c>
      <c r="B5642" s="1" t="n">
        <v>45799.55915509259</v>
      </c>
      <c r="C5642" s="1" t="n">
        <v>45883</v>
      </c>
      <c r="D5642" t="inlineStr">
        <is>
          <t>GÄVLEBORGS LÄN</t>
        </is>
      </c>
      <c r="E5642" t="inlineStr">
        <is>
          <t>NORDANSTIG</t>
        </is>
      </c>
      <c r="F5642" t="inlineStr">
        <is>
          <t>Holmen skog AB</t>
        </is>
      </c>
      <c r="G5642" t="n">
        <v>30.1</v>
      </c>
      <c r="H5642" t="n">
        <v>0</v>
      </c>
      <c r="I5642" t="n">
        <v>0</v>
      </c>
      <c r="J5642" t="n">
        <v>0</v>
      </c>
      <c r="K5642" t="n">
        <v>0</v>
      </c>
      <c r="L5642" t="n">
        <v>0</v>
      </c>
      <c r="M5642" t="n">
        <v>0</v>
      </c>
      <c r="N5642" t="n">
        <v>0</v>
      </c>
      <c r="O5642" t="n">
        <v>0</v>
      </c>
      <c r="P5642" t="n">
        <v>0</v>
      </c>
      <c r="Q5642" t="n">
        <v>0</v>
      </c>
      <c r="R5642" s="2" t="inlineStr"/>
    </row>
    <row r="5643" ht="15" customHeight="1">
      <c r="A5643" t="inlineStr">
        <is>
          <t>A 24940-2025</t>
        </is>
      </c>
      <c r="B5643" s="1" t="n">
        <v>45799.56048611111</v>
      </c>
      <c r="C5643" s="1" t="n">
        <v>45883</v>
      </c>
      <c r="D5643" t="inlineStr">
        <is>
          <t>GÄVLEBORGS LÄN</t>
        </is>
      </c>
      <c r="E5643" t="inlineStr">
        <is>
          <t>SANDVIKEN</t>
        </is>
      </c>
      <c r="G5643" t="n">
        <v>3.8</v>
      </c>
      <c r="H5643" t="n">
        <v>0</v>
      </c>
      <c r="I5643" t="n">
        <v>0</v>
      </c>
      <c r="J5643" t="n">
        <v>0</v>
      </c>
      <c r="K5643" t="n">
        <v>0</v>
      </c>
      <c r="L5643" t="n">
        <v>0</v>
      </c>
      <c r="M5643" t="n">
        <v>0</v>
      </c>
      <c r="N5643" t="n">
        <v>0</v>
      </c>
      <c r="O5643" t="n">
        <v>0</v>
      </c>
      <c r="P5643" t="n">
        <v>0</v>
      </c>
      <c r="Q5643" t="n">
        <v>0</v>
      </c>
      <c r="R5643" s="2" t="inlineStr"/>
    </row>
    <row r="5644" ht="15" customHeight="1">
      <c r="A5644" t="inlineStr">
        <is>
          <t>A 24948-2025</t>
        </is>
      </c>
      <c r="B5644" s="1" t="n">
        <v>45799.56586805556</v>
      </c>
      <c r="C5644" s="1" t="n">
        <v>45883</v>
      </c>
      <c r="D5644" t="inlineStr">
        <is>
          <t>GÄVLEBORGS LÄN</t>
        </is>
      </c>
      <c r="E5644" t="inlineStr">
        <is>
          <t>SANDVIKEN</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25384-2025</t>
        </is>
      </c>
      <c r="B5645" s="1" t="n">
        <v>45800.64162037037</v>
      </c>
      <c r="C5645" s="1" t="n">
        <v>45883</v>
      </c>
      <c r="D5645" t="inlineStr">
        <is>
          <t>GÄVLEBORGS LÄN</t>
        </is>
      </c>
      <c r="E5645" t="inlineStr">
        <is>
          <t>GÄVLE</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25401-2025</t>
        </is>
      </c>
      <c r="B5646" s="1" t="n">
        <v>45800.65493055555</v>
      </c>
      <c r="C5646" s="1" t="n">
        <v>45883</v>
      </c>
      <c r="D5646" t="inlineStr">
        <is>
          <t>GÄVLEBORGS LÄN</t>
        </is>
      </c>
      <c r="E5646" t="inlineStr">
        <is>
          <t>HOFORS</t>
        </is>
      </c>
      <c r="G5646" t="n">
        <v>3.3</v>
      </c>
      <c r="H5646" t="n">
        <v>0</v>
      </c>
      <c r="I5646" t="n">
        <v>0</v>
      </c>
      <c r="J5646" t="n">
        <v>0</v>
      </c>
      <c r="K5646" t="n">
        <v>0</v>
      </c>
      <c r="L5646" t="n">
        <v>0</v>
      </c>
      <c r="M5646" t="n">
        <v>0</v>
      </c>
      <c r="N5646" t="n">
        <v>0</v>
      </c>
      <c r="O5646" t="n">
        <v>0</v>
      </c>
      <c r="P5646" t="n">
        <v>0</v>
      </c>
      <c r="Q5646" t="n">
        <v>0</v>
      </c>
      <c r="R5646" s="2" t="inlineStr"/>
    </row>
    <row r="5647" ht="15" customHeight="1">
      <c r="A5647" t="inlineStr">
        <is>
          <t>A 25404-2025</t>
        </is>
      </c>
      <c r="B5647" s="1" t="n">
        <v>45800.65675925926</v>
      </c>
      <c r="C5647" s="1" t="n">
        <v>45883</v>
      </c>
      <c r="D5647" t="inlineStr">
        <is>
          <t>GÄVLEBORGS LÄN</t>
        </is>
      </c>
      <c r="E5647" t="inlineStr">
        <is>
          <t>OCKELBO</t>
        </is>
      </c>
      <c r="F5647" t="inlineStr">
        <is>
          <t>Bergvik skog väst AB</t>
        </is>
      </c>
      <c r="G5647" t="n">
        <v>11.1</v>
      </c>
      <c r="H5647" t="n">
        <v>0</v>
      </c>
      <c r="I5647" t="n">
        <v>0</v>
      </c>
      <c r="J5647" t="n">
        <v>0</v>
      </c>
      <c r="K5647" t="n">
        <v>0</v>
      </c>
      <c r="L5647" t="n">
        <v>0</v>
      </c>
      <c r="M5647" t="n">
        <v>0</v>
      </c>
      <c r="N5647" t="n">
        <v>0</v>
      </c>
      <c r="O5647" t="n">
        <v>0</v>
      </c>
      <c r="P5647" t="n">
        <v>0</v>
      </c>
      <c r="Q5647" t="n">
        <v>0</v>
      </c>
      <c r="R5647" s="2" t="inlineStr"/>
    </row>
    <row r="5648" ht="15" customHeight="1">
      <c r="A5648" t="inlineStr">
        <is>
          <t>A 33337-2025</t>
        </is>
      </c>
      <c r="B5648" s="1" t="n">
        <v>45841.35680555556</v>
      </c>
      <c r="C5648" s="1" t="n">
        <v>45883</v>
      </c>
      <c r="D5648" t="inlineStr">
        <is>
          <t>GÄVLEBORGS LÄN</t>
        </is>
      </c>
      <c r="E5648" t="inlineStr">
        <is>
          <t>LJUSDAL</t>
        </is>
      </c>
      <c r="F5648" t="inlineStr">
        <is>
          <t>Sveaskog</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33942-2025</t>
        </is>
      </c>
      <c r="B5649" s="1" t="n">
        <v>45842.6433912037</v>
      </c>
      <c r="C5649" s="1" t="n">
        <v>45883</v>
      </c>
      <c r="D5649" t="inlineStr">
        <is>
          <t>GÄVLEBORGS LÄN</t>
        </is>
      </c>
      <c r="E5649" t="inlineStr">
        <is>
          <t>SÖDERHAMN</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203-2025</t>
        </is>
      </c>
      <c r="B5650" s="1" t="n">
        <v>45660.31256944445</v>
      </c>
      <c r="C5650" s="1" t="n">
        <v>45883</v>
      </c>
      <c r="D5650" t="inlineStr">
        <is>
          <t>GÄVLEBORGS LÄN</t>
        </is>
      </c>
      <c r="E5650" t="inlineStr">
        <is>
          <t>LJUSDAL</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51071-2024</t>
        </is>
      </c>
      <c r="B5651" s="1" t="n">
        <v>45603.44983796297</v>
      </c>
      <c r="C5651" s="1" t="n">
        <v>45883</v>
      </c>
      <c r="D5651" t="inlineStr">
        <is>
          <t>GÄVLEBORGS LÄN</t>
        </is>
      </c>
      <c r="E5651" t="inlineStr">
        <is>
          <t>HUDIKSVALL</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25382-2025</t>
        </is>
      </c>
      <c r="B5652" s="1" t="n">
        <v>45800.64026620371</v>
      </c>
      <c r="C5652" s="1" t="n">
        <v>45883</v>
      </c>
      <c r="D5652" t="inlineStr">
        <is>
          <t>GÄVLEBORGS LÄN</t>
        </is>
      </c>
      <c r="E5652" t="inlineStr">
        <is>
          <t>GÄVLE</t>
        </is>
      </c>
      <c r="G5652" t="n">
        <v>3.6</v>
      </c>
      <c r="H5652" t="n">
        <v>0</v>
      </c>
      <c r="I5652" t="n">
        <v>0</v>
      </c>
      <c r="J5652" t="n">
        <v>0</v>
      </c>
      <c r="K5652" t="n">
        <v>0</v>
      </c>
      <c r="L5652" t="n">
        <v>0</v>
      </c>
      <c r="M5652" t="n">
        <v>0</v>
      </c>
      <c r="N5652" t="n">
        <v>0</v>
      </c>
      <c r="O5652" t="n">
        <v>0</v>
      </c>
      <c r="P5652" t="n">
        <v>0</v>
      </c>
      <c r="Q5652" t="n">
        <v>0</v>
      </c>
      <c r="R5652" s="2" t="inlineStr"/>
    </row>
    <row r="5653" ht="15" customHeight="1">
      <c r="A5653" t="inlineStr">
        <is>
          <t>A 208-2025</t>
        </is>
      </c>
      <c r="B5653" s="1" t="n">
        <v>45660.32690972222</v>
      </c>
      <c r="C5653" s="1" t="n">
        <v>45883</v>
      </c>
      <c r="D5653" t="inlineStr">
        <is>
          <t>GÄVLEBORGS LÄN</t>
        </is>
      </c>
      <c r="E5653" t="inlineStr">
        <is>
          <t>LJUSDAL</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225-2025</t>
        </is>
      </c>
      <c r="B5654" s="1" t="n">
        <v>45660.35574074074</v>
      </c>
      <c r="C5654" s="1" t="n">
        <v>45883</v>
      </c>
      <c r="D5654" t="inlineStr">
        <is>
          <t>GÄVLEBORGS LÄN</t>
        </is>
      </c>
      <c r="E5654" t="inlineStr">
        <is>
          <t>GÄVLE</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61763-2024</t>
        </is>
      </c>
      <c r="B5655" s="1" t="n">
        <v>45649.43486111111</v>
      </c>
      <c r="C5655" s="1" t="n">
        <v>45883</v>
      </c>
      <c r="D5655" t="inlineStr">
        <is>
          <t>GÄVLEBORGS LÄN</t>
        </is>
      </c>
      <c r="E5655" t="inlineStr">
        <is>
          <t>HUDIKSVALL</t>
        </is>
      </c>
      <c r="G5655" t="n">
        <v>7.1</v>
      </c>
      <c r="H5655" t="n">
        <v>0</v>
      </c>
      <c r="I5655" t="n">
        <v>0</v>
      </c>
      <c r="J5655" t="n">
        <v>0</v>
      </c>
      <c r="K5655" t="n">
        <v>0</v>
      </c>
      <c r="L5655" t="n">
        <v>0</v>
      </c>
      <c r="M5655" t="n">
        <v>0</v>
      </c>
      <c r="N5655" t="n">
        <v>0</v>
      </c>
      <c r="O5655" t="n">
        <v>0</v>
      </c>
      <c r="P5655" t="n">
        <v>0</v>
      </c>
      <c r="Q5655" t="n">
        <v>0</v>
      </c>
      <c r="R5655" s="2" t="inlineStr"/>
    </row>
    <row r="5656" ht="15" customHeight="1">
      <c r="A5656" t="inlineStr">
        <is>
          <t>A 51091-2024</t>
        </is>
      </c>
      <c r="B5656" s="1" t="n">
        <v>45603.46905092592</v>
      </c>
      <c r="C5656" s="1" t="n">
        <v>45883</v>
      </c>
      <c r="D5656" t="inlineStr">
        <is>
          <t>GÄVLEBORGS LÄN</t>
        </is>
      </c>
      <c r="E5656" t="inlineStr">
        <is>
          <t>NORDANSTIG</t>
        </is>
      </c>
      <c r="F5656" t="inlineStr">
        <is>
          <t>SCA</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51138-2024</t>
        </is>
      </c>
      <c r="B5657" s="1" t="n">
        <v>45603.53780092593</v>
      </c>
      <c r="C5657" s="1" t="n">
        <v>45883</v>
      </c>
      <c r="D5657" t="inlineStr">
        <is>
          <t>GÄVLEBORGS LÄN</t>
        </is>
      </c>
      <c r="E5657" t="inlineStr">
        <is>
          <t>GÄVLE</t>
        </is>
      </c>
      <c r="F5657" t="inlineStr">
        <is>
          <t>Bergvik skog öst AB</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33532-2025</t>
        </is>
      </c>
      <c r="B5658" s="1" t="n">
        <v>45841.55648148148</v>
      </c>
      <c r="C5658" s="1" t="n">
        <v>45883</v>
      </c>
      <c r="D5658" t="inlineStr">
        <is>
          <t>GÄVLEBORGS LÄN</t>
        </is>
      </c>
      <c r="E5658" t="inlineStr">
        <is>
          <t>NORDANSTIG</t>
        </is>
      </c>
      <c r="F5658" t="inlineStr">
        <is>
          <t>Holmen skog AB</t>
        </is>
      </c>
      <c r="G5658" t="n">
        <v>4.8</v>
      </c>
      <c r="H5658" t="n">
        <v>0</v>
      </c>
      <c r="I5658" t="n">
        <v>0</v>
      </c>
      <c r="J5658" t="n">
        <v>0</v>
      </c>
      <c r="K5658" t="n">
        <v>0</v>
      </c>
      <c r="L5658" t="n">
        <v>0</v>
      </c>
      <c r="M5658" t="n">
        <v>0</v>
      </c>
      <c r="N5658" t="n">
        <v>0</v>
      </c>
      <c r="O5658" t="n">
        <v>0</v>
      </c>
      <c r="P5658" t="n">
        <v>0</v>
      </c>
      <c r="Q5658" t="n">
        <v>0</v>
      </c>
      <c r="R5658" s="2" t="inlineStr"/>
    </row>
    <row r="5659" ht="15" customHeight="1">
      <c r="A5659" t="inlineStr">
        <is>
          <t>A 574-2025</t>
        </is>
      </c>
      <c r="B5659" s="1" t="n">
        <v>45664.56424768519</v>
      </c>
      <c r="C5659" s="1" t="n">
        <v>45883</v>
      </c>
      <c r="D5659" t="inlineStr">
        <is>
          <t>GÄVLEBORGS LÄN</t>
        </is>
      </c>
      <c r="E5659" t="inlineStr">
        <is>
          <t>LJUSDAL</t>
        </is>
      </c>
      <c r="F5659" t="inlineStr">
        <is>
          <t>Bergvik skog väst AB</t>
        </is>
      </c>
      <c r="G5659" t="n">
        <v>18.1</v>
      </c>
      <c r="H5659" t="n">
        <v>0</v>
      </c>
      <c r="I5659" t="n">
        <v>0</v>
      </c>
      <c r="J5659" t="n">
        <v>0</v>
      </c>
      <c r="K5659" t="n">
        <v>0</v>
      </c>
      <c r="L5659" t="n">
        <v>0</v>
      </c>
      <c r="M5659" t="n">
        <v>0</v>
      </c>
      <c r="N5659" t="n">
        <v>0</v>
      </c>
      <c r="O5659" t="n">
        <v>0</v>
      </c>
      <c r="P5659" t="n">
        <v>0</v>
      </c>
      <c r="Q5659" t="n">
        <v>0</v>
      </c>
      <c r="R5659" s="2" t="inlineStr"/>
    </row>
    <row r="5660" ht="15" customHeight="1">
      <c r="A5660" t="inlineStr">
        <is>
          <t>A 35352-2024</t>
        </is>
      </c>
      <c r="B5660" s="1" t="n">
        <v>45531</v>
      </c>
      <c r="C5660" s="1" t="n">
        <v>45883</v>
      </c>
      <c r="D5660" t="inlineStr">
        <is>
          <t>GÄVLEBORGS LÄN</t>
        </is>
      </c>
      <c r="E5660" t="inlineStr">
        <is>
          <t>OVANÅKER</t>
        </is>
      </c>
      <c r="F5660" t="inlineStr">
        <is>
          <t>Sveaskog</t>
        </is>
      </c>
      <c r="G5660" t="n">
        <v>9.199999999999999</v>
      </c>
      <c r="H5660" t="n">
        <v>0</v>
      </c>
      <c r="I5660" t="n">
        <v>0</v>
      </c>
      <c r="J5660" t="n">
        <v>0</v>
      </c>
      <c r="K5660" t="n">
        <v>0</v>
      </c>
      <c r="L5660" t="n">
        <v>0</v>
      </c>
      <c r="M5660" t="n">
        <v>0</v>
      </c>
      <c r="N5660" t="n">
        <v>0</v>
      </c>
      <c r="O5660" t="n">
        <v>0</v>
      </c>
      <c r="P5660" t="n">
        <v>0</v>
      </c>
      <c r="Q5660" t="n">
        <v>0</v>
      </c>
      <c r="R5660" s="2" t="inlineStr"/>
    </row>
    <row r="5661" ht="15" customHeight="1">
      <c r="A5661" t="inlineStr">
        <is>
          <t>A 17392-2025</t>
        </is>
      </c>
      <c r="B5661" s="1" t="n">
        <v>45757.33837962963</v>
      </c>
      <c r="C5661" s="1" t="n">
        <v>45883</v>
      </c>
      <c r="D5661" t="inlineStr">
        <is>
          <t>GÄVLEBORGS LÄN</t>
        </is>
      </c>
      <c r="E5661" t="inlineStr">
        <is>
          <t>OVANÅKER</t>
        </is>
      </c>
      <c r="F5661" t="inlineStr">
        <is>
          <t>Bergvik skog öst AB</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24927-2025</t>
        </is>
      </c>
      <c r="B5662" s="1" t="n">
        <v>45799.55334490741</v>
      </c>
      <c r="C5662" s="1" t="n">
        <v>45883</v>
      </c>
      <c r="D5662" t="inlineStr">
        <is>
          <t>GÄVLEBORGS LÄN</t>
        </is>
      </c>
      <c r="E5662" t="inlineStr">
        <is>
          <t>OCKELBO</t>
        </is>
      </c>
      <c r="F5662" t="inlineStr">
        <is>
          <t>Bergvik skog väst AB</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24941-2025</t>
        </is>
      </c>
      <c r="B5663" s="1" t="n">
        <v>45799.56206018518</v>
      </c>
      <c r="C5663" s="1" t="n">
        <v>45883</v>
      </c>
      <c r="D5663" t="inlineStr">
        <is>
          <t>GÄVLEBORGS LÄN</t>
        </is>
      </c>
      <c r="E5663" t="inlineStr">
        <is>
          <t>OCKELBO</t>
        </is>
      </c>
      <c r="F5663" t="inlineStr">
        <is>
          <t>Bergvik skog väst AB</t>
        </is>
      </c>
      <c r="G5663" t="n">
        <v>3.7</v>
      </c>
      <c r="H5663" t="n">
        <v>0</v>
      </c>
      <c r="I5663" t="n">
        <v>0</v>
      </c>
      <c r="J5663" t="n">
        <v>0</v>
      </c>
      <c r="K5663" t="n">
        <v>0</v>
      </c>
      <c r="L5663" t="n">
        <v>0</v>
      </c>
      <c r="M5663" t="n">
        <v>0</v>
      </c>
      <c r="N5663" t="n">
        <v>0</v>
      </c>
      <c r="O5663" t="n">
        <v>0</v>
      </c>
      <c r="P5663" t="n">
        <v>0</v>
      </c>
      <c r="Q5663" t="n">
        <v>0</v>
      </c>
      <c r="R5663" s="2" t="inlineStr"/>
    </row>
    <row r="5664" ht="15" customHeight="1">
      <c r="A5664" t="inlineStr">
        <is>
          <t>A 11481-2025</t>
        </is>
      </c>
      <c r="B5664" s="1" t="n">
        <v>45726.67984953704</v>
      </c>
      <c r="C5664" s="1" t="n">
        <v>45883</v>
      </c>
      <c r="D5664" t="inlineStr">
        <is>
          <t>GÄVLEBORGS LÄN</t>
        </is>
      </c>
      <c r="E5664" t="inlineStr">
        <is>
          <t>SANDVIKEN</t>
        </is>
      </c>
      <c r="F5664" t="inlineStr">
        <is>
          <t>Bergvik skog öst AB</t>
        </is>
      </c>
      <c r="G5664" t="n">
        <v>3.9</v>
      </c>
      <c r="H5664" t="n">
        <v>0</v>
      </c>
      <c r="I5664" t="n">
        <v>0</v>
      </c>
      <c r="J5664" t="n">
        <v>0</v>
      </c>
      <c r="K5664" t="n">
        <v>0</v>
      </c>
      <c r="L5664" t="n">
        <v>0</v>
      </c>
      <c r="M5664" t="n">
        <v>0</v>
      </c>
      <c r="N5664" t="n">
        <v>0</v>
      </c>
      <c r="O5664" t="n">
        <v>0</v>
      </c>
      <c r="P5664" t="n">
        <v>0</v>
      </c>
      <c r="Q5664" t="n">
        <v>0</v>
      </c>
      <c r="R5664" s="2" t="inlineStr"/>
    </row>
    <row r="5665" ht="15" customHeight="1">
      <c r="A5665" t="inlineStr">
        <is>
          <t>A 29567-2024</t>
        </is>
      </c>
      <c r="B5665" s="1" t="n">
        <v>45484</v>
      </c>
      <c r="C5665" s="1" t="n">
        <v>45883</v>
      </c>
      <c r="D5665" t="inlineStr">
        <is>
          <t>GÄVLEBORGS LÄN</t>
        </is>
      </c>
      <c r="E5665" t="inlineStr">
        <is>
          <t>OCKELBO</t>
        </is>
      </c>
      <c r="G5665" t="n">
        <v>3.7</v>
      </c>
      <c r="H5665" t="n">
        <v>0</v>
      </c>
      <c r="I5665" t="n">
        <v>0</v>
      </c>
      <c r="J5665" t="n">
        <v>0</v>
      </c>
      <c r="K5665" t="n">
        <v>0</v>
      </c>
      <c r="L5665" t="n">
        <v>0</v>
      </c>
      <c r="M5665" t="n">
        <v>0</v>
      </c>
      <c r="N5665" t="n">
        <v>0</v>
      </c>
      <c r="O5665" t="n">
        <v>0</v>
      </c>
      <c r="P5665" t="n">
        <v>0</v>
      </c>
      <c r="Q5665" t="n">
        <v>0</v>
      </c>
      <c r="R5665" s="2" t="inlineStr"/>
    </row>
    <row r="5666" ht="15" customHeight="1">
      <c r="A5666" t="inlineStr">
        <is>
          <t>A 36233-2022</t>
        </is>
      </c>
      <c r="B5666" s="1" t="n">
        <v>44803.56774305556</v>
      </c>
      <c r="C5666" s="1" t="n">
        <v>45883</v>
      </c>
      <c r="D5666" t="inlineStr">
        <is>
          <t>GÄVLEBORGS LÄN</t>
        </is>
      </c>
      <c r="E5666" t="inlineStr">
        <is>
          <t>LJUSDAL</t>
        </is>
      </c>
      <c r="G5666" t="n">
        <v>4.4</v>
      </c>
      <c r="H5666" t="n">
        <v>0</v>
      </c>
      <c r="I5666" t="n">
        <v>0</v>
      </c>
      <c r="J5666" t="n">
        <v>0</v>
      </c>
      <c r="K5666" t="n">
        <v>0</v>
      </c>
      <c r="L5666" t="n">
        <v>0</v>
      </c>
      <c r="M5666" t="n">
        <v>0</v>
      </c>
      <c r="N5666" t="n">
        <v>0</v>
      </c>
      <c r="O5666" t="n">
        <v>0</v>
      </c>
      <c r="P5666" t="n">
        <v>0</v>
      </c>
      <c r="Q5666" t="n">
        <v>0</v>
      </c>
      <c r="R5666" s="2" t="inlineStr"/>
    </row>
    <row r="5667" ht="15" customHeight="1">
      <c r="A5667" t="inlineStr">
        <is>
          <t>A 33478-2023</t>
        </is>
      </c>
      <c r="B5667" s="1" t="n">
        <v>45131.4106712963</v>
      </c>
      <c r="C5667" s="1" t="n">
        <v>45883</v>
      </c>
      <c r="D5667" t="inlineStr">
        <is>
          <t>GÄVLEBORGS LÄN</t>
        </is>
      </c>
      <c r="E5667" t="inlineStr">
        <is>
          <t>NORDANSTIG</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24840-2025</t>
        </is>
      </c>
      <c r="B5668" s="1" t="n">
        <v>45799.46436342593</v>
      </c>
      <c r="C5668" s="1" t="n">
        <v>45883</v>
      </c>
      <c r="D5668" t="inlineStr">
        <is>
          <t>GÄVLEBORGS LÄN</t>
        </is>
      </c>
      <c r="E5668" t="inlineStr">
        <is>
          <t>LJUSDAL</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37892-2023</t>
        </is>
      </c>
      <c r="B5669" s="1" t="n">
        <v>45160.46523148148</v>
      </c>
      <c r="C5669" s="1" t="n">
        <v>45883</v>
      </c>
      <c r="D5669" t="inlineStr">
        <is>
          <t>GÄVLEBORGS LÄN</t>
        </is>
      </c>
      <c r="E5669" t="inlineStr">
        <is>
          <t>LJUSDAL</t>
        </is>
      </c>
      <c r="F5669" t="inlineStr">
        <is>
          <t>Sveaskog</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12083-2025</t>
        </is>
      </c>
      <c r="B5670" s="1" t="n">
        <v>45728.9183449074</v>
      </c>
      <c r="C5670" s="1" t="n">
        <v>45883</v>
      </c>
      <c r="D5670" t="inlineStr">
        <is>
          <t>GÄVLEBORGS LÄN</t>
        </is>
      </c>
      <c r="E5670" t="inlineStr">
        <is>
          <t>GÄVLE</t>
        </is>
      </c>
      <c r="G5670" t="n">
        <v>6.3</v>
      </c>
      <c r="H5670" t="n">
        <v>0</v>
      </c>
      <c r="I5670" t="n">
        <v>0</v>
      </c>
      <c r="J5670" t="n">
        <v>0</v>
      </c>
      <c r="K5670" t="n">
        <v>0</v>
      </c>
      <c r="L5670" t="n">
        <v>0</v>
      </c>
      <c r="M5670" t="n">
        <v>0</v>
      </c>
      <c r="N5670" t="n">
        <v>0</v>
      </c>
      <c r="O5670" t="n">
        <v>0</v>
      </c>
      <c r="P5670" t="n">
        <v>0</v>
      </c>
      <c r="Q5670" t="n">
        <v>0</v>
      </c>
      <c r="R5670" s="2" t="inlineStr"/>
    </row>
    <row r="5671" ht="15" customHeight="1">
      <c r="A5671" t="inlineStr">
        <is>
          <t>A 12087-2025</t>
        </is>
      </c>
      <c r="B5671" s="1" t="n">
        <v>45729.27089120371</v>
      </c>
      <c r="C5671" s="1" t="n">
        <v>45883</v>
      </c>
      <c r="D5671" t="inlineStr">
        <is>
          <t>GÄVLEBORGS LÄN</t>
        </is>
      </c>
      <c r="E5671" t="inlineStr">
        <is>
          <t>BOLLNÄS</t>
        </is>
      </c>
      <c r="F5671" t="inlineStr">
        <is>
          <t>Bergvik skog väst AB</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25226-2025</t>
        </is>
      </c>
      <c r="B5672" s="1" t="n">
        <v>45800</v>
      </c>
      <c r="C5672" s="1" t="n">
        <v>45883</v>
      </c>
      <c r="D5672" t="inlineStr">
        <is>
          <t>GÄVLEBORGS LÄN</t>
        </is>
      </c>
      <c r="E5672" t="inlineStr">
        <is>
          <t>BOLLNÄS</t>
        </is>
      </c>
      <c r="F5672" t="inlineStr">
        <is>
          <t>Holmen skog AB</t>
        </is>
      </c>
      <c r="G5672" t="n">
        <v>17.7</v>
      </c>
      <c r="H5672" t="n">
        <v>0</v>
      </c>
      <c r="I5672" t="n">
        <v>0</v>
      </c>
      <c r="J5672" t="n">
        <v>0</v>
      </c>
      <c r="K5672" t="n">
        <v>0</v>
      </c>
      <c r="L5672" t="n">
        <v>0</v>
      </c>
      <c r="M5672" t="n">
        <v>0</v>
      </c>
      <c r="N5672" t="n">
        <v>0</v>
      </c>
      <c r="O5672" t="n">
        <v>0</v>
      </c>
      <c r="P5672" t="n">
        <v>0</v>
      </c>
      <c r="Q5672" t="n">
        <v>0</v>
      </c>
      <c r="R5672" s="2" t="inlineStr"/>
    </row>
    <row r="5673" ht="15" customHeight="1">
      <c r="A5673" t="inlineStr">
        <is>
          <t>A 33426-2025</t>
        </is>
      </c>
      <c r="B5673" s="1" t="n">
        <v>45841.44555555555</v>
      </c>
      <c r="C5673" s="1" t="n">
        <v>45883</v>
      </c>
      <c r="D5673" t="inlineStr">
        <is>
          <t>GÄVLEBORGS LÄN</t>
        </is>
      </c>
      <c r="E5673" t="inlineStr">
        <is>
          <t>OVANÅKER</t>
        </is>
      </c>
      <c r="F5673" t="inlineStr">
        <is>
          <t>Bergvik skog väst AB</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33585-2025</t>
        </is>
      </c>
      <c r="B5674" s="1" t="n">
        <v>45841.59462962963</v>
      </c>
      <c r="C5674" s="1" t="n">
        <v>45883</v>
      </c>
      <c r="D5674" t="inlineStr">
        <is>
          <t>GÄVLEBORGS LÄN</t>
        </is>
      </c>
      <c r="E5674" t="inlineStr">
        <is>
          <t>LJUSDAL</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60044-2024</t>
        </is>
      </c>
      <c r="B5675" s="1" t="n">
        <v>45642.47278935185</v>
      </c>
      <c r="C5675" s="1" t="n">
        <v>45883</v>
      </c>
      <c r="D5675" t="inlineStr">
        <is>
          <t>GÄVLEBORGS LÄN</t>
        </is>
      </c>
      <c r="E5675" t="inlineStr">
        <is>
          <t>BOLLNÄS</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38883-2022</t>
        </is>
      </c>
      <c r="B5676" s="1" t="n">
        <v>44816.56690972222</v>
      </c>
      <c r="C5676" s="1" t="n">
        <v>45883</v>
      </c>
      <c r="D5676" t="inlineStr">
        <is>
          <t>GÄVLEBORGS LÄN</t>
        </is>
      </c>
      <c r="E5676" t="inlineStr">
        <is>
          <t>BOLLNÄS</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25148-2025</t>
        </is>
      </c>
      <c r="B5677" s="1" t="n">
        <v>45800.42070601852</v>
      </c>
      <c r="C5677" s="1" t="n">
        <v>45883</v>
      </c>
      <c r="D5677" t="inlineStr">
        <is>
          <t>GÄVLEBORGS LÄN</t>
        </is>
      </c>
      <c r="E5677" t="inlineStr">
        <is>
          <t>HUDIKSVALL</t>
        </is>
      </c>
      <c r="F5677" t="inlineStr">
        <is>
          <t>Holmen skog AB</t>
        </is>
      </c>
      <c r="G5677" t="n">
        <v>20</v>
      </c>
      <c r="H5677" t="n">
        <v>0</v>
      </c>
      <c r="I5677" t="n">
        <v>0</v>
      </c>
      <c r="J5677" t="n">
        <v>0</v>
      </c>
      <c r="K5677" t="n">
        <v>0</v>
      </c>
      <c r="L5677" t="n">
        <v>0</v>
      </c>
      <c r="M5677" t="n">
        <v>0</v>
      </c>
      <c r="N5677" t="n">
        <v>0</v>
      </c>
      <c r="O5677" t="n">
        <v>0</v>
      </c>
      <c r="P5677" t="n">
        <v>0</v>
      </c>
      <c r="Q5677" t="n">
        <v>0</v>
      </c>
      <c r="R5677" s="2" t="inlineStr"/>
    </row>
    <row r="5678" ht="15" customHeight="1">
      <c r="A5678" t="inlineStr">
        <is>
          <t>A 18217-2024</t>
        </is>
      </c>
      <c r="B5678" s="1" t="n">
        <v>45420</v>
      </c>
      <c r="C5678" s="1" t="n">
        <v>45883</v>
      </c>
      <c r="D5678" t="inlineStr">
        <is>
          <t>GÄVLEBORGS LÄN</t>
        </is>
      </c>
      <c r="E5678" t="inlineStr">
        <is>
          <t>GÄVLE</t>
        </is>
      </c>
      <c r="F5678" t="inlineStr">
        <is>
          <t>Bergvik skog väst AB</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25022-2025</t>
        </is>
      </c>
      <c r="B5679" s="1" t="n">
        <v>45799.64637731481</v>
      </c>
      <c r="C5679" s="1" t="n">
        <v>45883</v>
      </c>
      <c r="D5679" t="inlineStr">
        <is>
          <t>GÄVLEBORGS LÄN</t>
        </is>
      </c>
      <c r="E5679" t="inlineStr">
        <is>
          <t>OVANÅKER</t>
        </is>
      </c>
      <c r="F5679" t="inlineStr">
        <is>
          <t>Bergvik skog väst AB</t>
        </is>
      </c>
      <c r="G5679" t="n">
        <v>4.2</v>
      </c>
      <c r="H5679" t="n">
        <v>0</v>
      </c>
      <c r="I5679" t="n">
        <v>0</v>
      </c>
      <c r="J5679" t="n">
        <v>0</v>
      </c>
      <c r="K5679" t="n">
        <v>0</v>
      </c>
      <c r="L5679" t="n">
        <v>0</v>
      </c>
      <c r="M5679" t="n">
        <v>0</v>
      </c>
      <c r="N5679" t="n">
        <v>0</v>
      </c>
      <c r="O5679" t="n">
        <v>0</v>
      </c>
      <c r="P5679" t="n">
        <v>0</v>
      </c>
      <c r="Q5679" t="n">
        <v>0</v>
      </c>
      <c r="R5679" s="2" t="inlineStr"/>
    </row>
    <row r="5680" ht="15" customHeight="1">
      <c r="A5680" t="inlineStr">
        <is>
          <t>A 25037-2025</t>
        </is>
      </c>
      <c r="B5680" s="1" t="n">
        <v>45799.65700231482</v>
      </c>
      <c r="C5680" s="1" t="n">
        <v>45883</v>
      </c>
      <c r="D5680" t="inlineStr">
        <is>
          <t>GÄVLEBORGS LÄN</t>
        </is>
      </c>
      <c r="E5680" t="inlineStr">
        <is>
          <t>LJUSDAL</t>
        </is>
      </c>
      <c r="G5680" t="n">
        <v>12.3</v>
      </c>
      <c r="H5680" t="n">
        <v>0</v>
      </c>
      <c r="I5680" t="n">
        <v>0</v>
      </c>
      <c r="J5680" t="n">
        <v>0</v>
      </c>
      <c r="K5680" t="n">
        <v>0</v>
      </c>
      <c r="L5680" t="n">
        <v>0</v>
      </c>
      <c r="M5680" t="n">
        <v>0</v>
      </c>
      <c r="N5680" t="n">
        <v>0</v>
      </c>
      <c r="O5680" t="n">
        <v>0</v>
      </c>
      <c r="P5680" t="n">
        <v>0</v>
      </c>
      <c r="Q5680" t="n">
        <v>0</v>
      </c>
      <c r="R5680" s="2" t="inlineStr"/>
    </row>
    <row r="5681" ht="15" customHeight="1">
      <c r="A5681" t="inlineStr">
        <is>
          <t>A 33635-2025</t>
        </is>
      </c>
      <c r="B5681" s="1" t="n">
        <v>45841.64511574074</v>
      </c>
      <c r="C5681" s="1" t="n">
        <v>45883</v>
      </c>
      <c r="D5681" t="inlineStr">
        <is>
          <t>GÄVLEBORGS LÄN</t>
        </is>
      </c>
      <c r="E5681" t="inlineStr">
        <is>
          <t>OVANÅKER</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33639-2025</t>
        </is>
      </c>
      <c r="B5682" s="1" t="n">
        <v>45841.64856481482</v>
      </c>
      <c r="C5682" s="1" t="n">
        <v>45883</v>
      </c>
      <c r="D5682" t="inlineStr">
        <is>
          <t>GÄVLEBORGS LÄN</t>
        </is>
      </c>
      <c r="E5682" t="inlineStr">
        <is>
          <t>BOLLNÄS</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17394-2022</t>
        </is>
      </c>
      <c r="B5683" s="1" t="n">
        <v>44678.68134259259</v>
      </c>
      <c r="C5683" s="1" t="n">
        <v>45883</v>
      </c>
      <c r="D5683" t="inlineStr">
        <is>
          <t>GÄVLEBORGS LÄN</t>
        </is>
      </c>
      <c r="E5683" t="inlineStr">
        <is>
          <t>BOLLNÄS</t>
        </is>
      </c>
      <c r="G5683" t="n">
        <v>4.8</v>
      </c>
      <c r="H5683" t="n">
        <v>0</v>
      </c>
      <c r="I5683" t="n">
        <v>0</v>
      </c>
      <c r="J5683" t="n">
        <v>0</v>
      </c>
      <c r="K5683" t="n">
        <v>0</v>
      </c>
      <c r="L5683" t="n">
        <v>0</v>
      </c>
      <c r="M5683" t="n">
        <v>0</v>
      </c>
      <c r="N5683" t="n">
        <v>0</v>
      </c>
      <c r="O5683" t="n">
        <v>0</v>
      </c>
      <c r="P5683" t="n">
        <v>0</v>
      </c>
      <c r="Q5683" t="n">
        <v>0</v>
      </c>
      <c r="R5683" s="2" t="inlineStr"/>
    </row>
    <row r="5684" ht="15" customHeight="1">
      <c r="A5684" t="inlineStr">
        <is>
          <t>A 25080-2025</t>
        </is>
      </c>
      <c r="B5684" s="1" t="n">
        <v>45799.91233796296</v>
      </c>
      <c r="C5684" s="1" t="n">
        <v>45883</v>
      </c>
      <c r="D5684" t="inlineStr">
        <is>
          <t>GÄVLEBORGS LÄN</t>
        </is>
      </c>
      <c r="E5684" t="inlineStr">
        <is>
          <t>NORDANSTIG</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50905-2024</t>
        </is>
      </c>
      <c r="B5685" s="1" t="n">
        <v>45602.69391203704</v>
      </c>
      <c r="C5685" s="1" t="n">
        <v>45883</v>
      </c>
      <c r="D5685" t="inlineStr">
        <is>
          <t>GÄVLEBORGS LÄN</t>
        </is>
      </c>
      <c r="E5685" t="inlineStr">
        <is>
          <t>SANDVIKEN</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25110-2025</t>
        </is>
      </c>
      <c r="B5686" s="1" t="n">
        <v>45800.3528125</v>
      </c>
      <c r="C5686" s="1" t="n">
        <v>45883</v>
      </c>
      <c r="D5686" t="inlineStr">
        <is>
          <t>GÄVLEBORGS LÄN</t>
        </is>
      </c>
      <c r="E5686" t="inlineStr">
        <is>
          <t>OVANÅKER</t>
        </is>
      </c>
      <c r="F5686" t="inlineStr">
        <is>
          <t>Bergvik skog väst AB</t>
        </is>
      </c>
      <c r="G5686" t="n">
        <v>10.1</v>
      </c>
      <c r="H5686" t="n">
        <v>0</v>
      </c>
      <c r="I5686" t="n">
        <v>0</v>
      </c>
      <c r="J5686" t="n">
        <v>0</v>
      </c>
      <c r="K5686" t="n">
        <v>0</v>
      </c>
      <c r="L5686" t="n">
        <v>0</v>
      </c>
      <c r="M5686" t="n">
        <v>0</v>
      </c>
      <c r="N5686" t="n">
        <v>0</v>
      </c>
      <c r="O5686" t="n">
        <v>0</v>
      </c>
      <c r="P5686" t="n">
        <v>0</v>
      </c>
      <c r="Q5686" t="n">
        <v>0</v>
      </c>
      <c r="R5686" s="2" t="inlineStr"/>
    </row>
    <row r="5687" ht="15" customHeight="1">
      <c r="A5687" t="inlineStr">
        <is>
          <t>A 24713-2025</t>
        </is>
      </c>
      <c r="B5687" s="1" t="n">
        <v>45798.91952546296</v>
      </c>
      <c r="C5687" s="1" t="n">
        <v>45883</v>
      </c>
      <c r="D5687" t="inlineStr">
        <is>
          <t>GÄVLEBORGS LÄN</t>
        </is>
      </c>
      <c r="E5687" t="inlineStr">
        <is>
          <t>LJUSDAL</t>
        </is>
      </c>
      <c r="G5687" t="n">
        <v>7</v>
      </c>
      <c r="H5687" t="n">
        <v>0</v>
      </c>
      <c r="I5687" t="n">
        <v>0</v>
      </c>
      <c r="J5687" t="n">
        <v>0</v>
      </c>
      <c r="K5687" t="n">
        <v>0</v>
      </c>
      <c r="L5687" t="n">
        <v>0</v>
      </c>
      <c r="M5687" t="n">
        <v>0</v>
      </c>
      <c r="N5687" t="n">
        <v>0</v>
      </c>
      <c r="O5687" t="n">
        <v>0</v>
      </c>
      <c r="P5687" t="n">
        <v>0</v>
      </c>
      <c r="Q5687" t="n">
        <v>0</v>
      </c>
      <c r="R5687" s="2" t="inlineStr"/>
    </row>
    <row r="5688" ht="15" customHeight="1">
      <c r="A5688" t="inlineStr">
        <is>
          <t>A 8269-2022</t>
        </is>
      </c>
      <c r="B5688" s="1" t="n">
        <v>44610</v>
      </c>
      <c r="C5688" s="1" t="n">
        <v>45883</v>
      </c>
      <c r="D5688" t="inlineStr">
        <is>
          <t>GÄVLEBORGS LÄN</t>
        </is>
      </c>
      <c r="E5688" t="inlineStr">
        <is>
          <t>HUDIKSVALL</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25082-2025</t>
        </is>
      </c>
      <c r="B5689" s="1" t="n">
        <v>45800.26887731482</v>
      </c>
      <c r="C5689" s="1" t="n">
        <v>45883</v>
      </c>
      <c r="D5689" t="inlineStr">
        <is>
          <t>GÄVLEBORGS LÄN</t>
        </is>
      </c>
      <c r="E5689" t="inlineStr">
        <is>
          <t>OVANÅKER</t>
        </is>
      </c>
      <c r="F5689" t="inlineStr">
        <is>
          <t>Bergvik skog väst AB</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25151-2025</t>
        </is>
      </c>
      <c r="B5690" s="1" t="n">
        <v>45800.42427083333</v>
      </c>
      <c r="C5690" s="1" t="n">
        <v>45883</v>
      </c>
      <c r="D5690" t="inlineStr">
        <is>
          <t>GÄVLEBORGS LÄN</t>
        </is>
      </c>
      <c r="E5690" t="inlineStr">
        <is>
          <t>OVANÅKER</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1075-2025</t>
        </is>
      </c>
      <c r="B5691" s="1" t="n">
        <v>45666</v>
      </c>
      <c r="C5691" s="1" t="n">
        <v>45883</v>
      </c>
      <c r="D5691" t="inlineStr">
        <is>
          <t>GÄVLEBORGS LÄN</t>
        </is>
      </c>
      <c r="E5691" t="inlineStr">
        <is>
          <t>SÖDERHAMN</t>
        </is>
      </c>
      <c r="F5691" t="inlineStr">
        <is>
          <t>Kommuner</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49815-2024</t>
        </is>
      </c>
      <c r="B5692" s="1" t="n">
        <v>45597.39709490741</v>
      </c>
      <c r="C5692" s="1" t="n">
        <v>45883</v>
      </c>
      <c r="D5692" t="inlineStr">
        <is>
          <t>GÄVLEBORGS LÄN</t>
        </is>
      </c>
      <c r="E5692" t="inlineStr">
        <is>
          <t>HOFORS</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1111-2025</t>
        </is>
      </c>
      <c r="B5693" s="1" t="n">
        <v>45666.65288194444</v>
      </c>
      <c r="C5693" s="1" t="n">
        <v>45883</v>
      </c>
      <c r="D5693" t="inlineStr">
        <is>
          <t>GÄVLEBORGS LÄN</t>
        </is>
      </c>
      <c r="E5693" t="inlineStr">
        <is>
          <t>HUDIKSVALL</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24999-2025</t>
        </is>
      </c>
      <c r="B5694" s="1" t="n">
        <v>45799.6178125</v>
      </c>
      <c r="C5694" s="1" t="n">
        <v>45883</v>
      </c>
      <c r="D5694" t="inlineStr">
        <is>
          <t>GÄVLEBORGS LÄN</t>
        </is>
      </c>
      <c r="E5694" t="inlineStr">
        <is>
          <t>HUDIKSVALL</t>
        </is>
      </c>
      <c r="F5694" t="inlineStr">
        <is>
          <t>Holmen skog AB</t>
        </is>
      </c>
      <c r="G5694" t="n">
        <v>6.9</v>
      </c>
      <c r="H5694" t="n">
        <v>0</v>
      </c>
      <c r="I5694" t="n">
        <v>0</v>
      </c>
      <c r="J5694" t="n">
        <v>0</v>
      </c>
      <c r="K5694" t="n">
        <v>0</v>
      </c>
      <c r="L5694" t="n">
        <v>0</v>
      </c>
      <c r="M5694" t="n">
        <v>0</v>
      </c>
      <c r="N5694" t="n">
        <v>0</v>
      </c>
      <c r="O5694" t="n">
        <v>0</v>
      </c>
      <c r="P5694" t="n">
        <v>0</v>
      </c>
      <c r="Q5694" t="n">
        <v>0</v>
      </c>
      <c r="R5694" s="2" t="inlineStr"/>
    </row>
    <row r="5695" ht="15" customHeight="1">
      <c r="A5695" t="inlineStr">
        <is>
          <t>A 11629-2024</t>
        </is>
      </c>
      <c r="B5695" s="1" t="n">
        <v>45373</v>
      </c>
      <c r="C5695" s="1" t="n">
        <v>45883</v>
      </c>
      <c r="D5695" t="inlineStr">
        <is>
          <t>GÄVLEBORGS LÄN</t>
        </is>
      </c>
      <c r="E5695" t="inlineStr">
        <is>
          <t>HUDIKSVALL</t>
        </is>
      </c>
      <c r="F5695" t="inlineStr">
        <is>
          <t>Holmen skog AB</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47502-2022</t>
        </is>
      </c>
      <c r="B5696" s="1" t="n">
        <v>44853</v>
      </c>
      <c r="C5696" s="1" t="n">
        <v>45883</v>
      </c>
      <c r="D5696" t="inlineStr">
        <is>
          <t>GÄVLEBORGS LÄN</t>
        </is>
      </c>
      <c r="E5696" t="inlineStr">
        <is>
          <t>LJUSDAL</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33333-2025</t>
        </is>
      </c>
      <c r="B5697" s="1" t="n">
        <v>45841.35502314815</v>
      </c>
      <c r="C5697" s="1" t="n">
        <v>45883</v>
      </c>
      <c r="D5697" t="inlineStr">
        <is>
          <t>GÄVLEBORGS LÄN</t>
        </is>
      </c>
      <c r="E5697" t="inlineStr">
        <is>
          <t>LJUSDAL</t>
        </is>
      </c>
      <c r="F5697" t="inlineStr">
        <is>
          <t>Sveaskog</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37743-2022</t>
        </is>
      </c>
      <c r="B5698" s="1" t="n">
        <v>44810.58275462963</v>
      </c>
      <c r="C5698" s="1" t="n">
        <v>45883</v>
      </c>
      <c r="D5698" t="inlineStr">
        <is>
          <t>GÄVLEBORGS LÄN</t>
        </is>
      </c>
      <c r="E5698" t="inlineStr">
        <is>
          <t>HOFORS</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50498-2024</t>
        </is>
      </c>
      <c r="B5699" s="1" t="n">
        <v>45601.51543981482</v>
      </c>
      <c r="C5699" s="1" t="n">
        <v>45883</v>
      </c>
      <c r="D5699" t="inlineStr">
        <is>
          <t>GÄVLEBORGS LÄN</t>
        </is>
      </c>
      <c r="E5699" t="inlineStr">
        <is>
          <t>HUDIKSVALL</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53691-2024</t>
        </is>
      </c>
      <c r="B5700" s="1" t="n">
        <v>45615.37226851852</v>
      </c>
      <c r="C5700" s="1" t="n">
        <v>45883</v>
      </c>
      <c r="D5700" t="inlineStr">
        <is>
          <t>GÄVLEBORGS LÄN</t>
        </is>
      </c>
      <c r="E5700" t="inlineStr">
        <is>
          <t>NORDANSTIG</t>
        </is>
      </c>
      <c r="G5700" t="n">
        <v>3.8</v>
      </c>
      <c r="H5700" t="n">
        <v>0</v>
      </c>
      <c r="I5700" t="n">
        <v>0</v>
      </c>
      <c r="J5700" t="n">
        <v>0</v>
      </c>
      <c r="K5700" t="n">
        <v>0</v>
      </c>
      <c r="L5700" t="n">
        <v>0</v>
      </c>
      <c r="M5700" t="n">
        <v>0</v>
      </c>
      <c r="N5700" t="n">
        <v>0</v>
      </c>
      <c r="O5700" t="n">
        <v>0</v>
      </c>
      <c r="P5700" t="n">
        <v>0</v>
      </c>
      <c r="Q5700" t="n">
        <v>0</v>
      </c>
      <c r="R5700" s="2" t="inlineStr"/>
    </row>
    <row r="5701" ht="15" customHeight="1">
      <c r="A5701" t="inlineStr">
        <is>
          <t>A 33384-2025</t>
        </is>
      </c>
      <c r="B5701" s="1" t="n">
        <v>45841.40467592593</v>
      </c>
      <c r="C5701" s="1" t="n">
        <v>45883</v>
      </c>
      <c r="D5701" t="inlineStr">
        <is>
          <t>GÄVLEBORGS LÄN</t>
        </is>
      </c>
      <c r="E5701" t="inlineStr">
        <is>
          <t>OCKELBO</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25844-2025</t>
        </is>
      </c>
      <c r="B5702" s="1" t="n">
        <v>45800</v>
      </c>
      <c r="C5702" s="1" t="n">
        <v>45883</v>
      </c>
      <c r="D5702" t="inlineStr">
        <is>
          <t>GÄVLEBORGS LÄN</t>
        </is>
      </c>
      <c r="E5702" t="inlineStr">
        <is>
          <t>HUDIKSVALL</t>
        </is>
      </c>
      <c r="G5702" t="n">
        <v>5.4</v>
      </c>
      <c r="H5702" t="n">
        <v>0</v>
      </c>
      <c r="I5702" t="n">
        <v>0</v>
      </c>
      <c r="J5702" t="n">
        <v>0</v>
      </c>
      <c r="K5702" t="n">
        <v>0</v>
      </c>
      <c r="L5702" t="n">
        <v>0</v>
      </c>
      <c r="M5702" t="n">
        <v>0</v>
      </c>
      <c r="N5702" t="n">
        <v>0</v>
      </c>
      <c r="O5702" t="n">
        <v>0</v>
      </c>
      <c r="P5702" t="n">
        <v>0</v>
      </c>
      <c r="Q5702" t="n">
        <v>0</v>
      </c>
      <c r="R5702" s="2" t="inlineStr"/>
    </row>
    <row r="5703" ht="15" customHeight="1">
      <c r="A5703" t="inlineStr">
        <is>
          <t>A 25346-2025</t>
        </is>
      </c>
      <c r="B5703" s="1" t="n">
        <v>45800.61052083333</v>
      </c>
      <c r="C5703" s="1" t="n">
        <v>45883</v>
      </c>
      <c r="D5703" t="inlineStr">
        <is>
          <t>GÄVLEBORGS LÄN</t>
        </is>
      </c>
      <c r="E5703" t="inlineStr">
        <is>
          <t>OVANÅKER</t>
        </is>
      </c>
      <c r="F5703" t="inlineStr">
        <is>
          <t>Bergvik skog väst AB</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25314-2025</t>
        </is>
      </c>
      <c r="B5704" s="1" t="n">
        <v>45800.57782407408</v>
      </c>
      <c r="C5704" s="1" t="n">
        <v>45883</v>
      </c>
      <c r="D5704" t="inlineStr">
        <is>
          <t>GÄVLEBORGS LÄN</t>
        </is>
      </c>
      <c r="E5704" t="inlineStr">
        <is>
          <t>SANDVIKEN</t>
        </is>
      </c>
      <c r="F5704" t="inlineStr">
        <is>
          <t>Sveaskog</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60759-2024</t>
        </is>
      </c>
      <c r="B5705" s="1" t="n">
        <v>45644.57359953703</v>
      </c>
      <c r="C5705" s="1" t="n">
        <v>45883</v>
      </c>
      <c r="D5705" t="inlineStr">
        <is>
          <t>GÄVLEBORGS LÄN</t>
        </is>
      </c>
      <c r="E5705" t="inlineStr">
        <is>
          <t>BOLLNÄS</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39384-2023</t>
        </is>
      </c>
      <c r="B5706" s="1" t="n">
        <v>45166.64621527777</v>
      </c>
      <c r="C5706" s="1" t="n">
        <v>45883</v>
      </c>
      <c r="D5706" t="inlineStr">
        <is>
          <t>GÄVLEBORGS LÄN</t>
        </is>
      </c>
      <c r="E5706" t="inlineStr">
        <is>
          <t>OVANÅKER</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57511-2024</t>
        </is>
      </c>
      <c r="B5707" s="1" t="n">
        <v>45630.39777777778</v>
      </c>
      <c r="C5707" s="1" t="n">
        <v>45883</v>
      </c>
      <c r="D5707" t="inlineStr">
        <is>
          <t>GÄVLEBORGS LÄN</t>
        </is>
      </c>
      <c r="E5707" t="inlineStr">
        <is>
          <t>HUDIKSVALL</t>
        </is>
      </c>
      <c r="F5707" t="inlineStr">
        <is>
          <t>Holmen skog AB</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52921-2024</t>
        </is>
      </c>
      <c r="B5708" s="1" t="n">
        <v>45610.71336805556</v>
      </c>
      <c r="C5708" s="1" t="n">
        <v>45883</v>
      </c>
      <c r="D5708" t="inlineStr">
        <is>
          <t>GÄVLEBORGS LÄN</t>
        </is>
      </c>
      <c r="E5708" t="inlineStr">
        <is>
          <t>LJUSDAL</t>
        </is>
      </c>
      <c r="F5708" t="inlineStr">
        <is>
          <t>Allmännings- och besparingsskogar</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1468-2025</t>
        </is>
      </c>
      <c r="B5709" s="1" t="n">
        <v>45670</v>
      </c>
      <c r="C5709" s="1" t="n">
        <v>45883</v>
      </c>
      <c r="D5709" t="inlineStr">
        <is>
          <t>GÄVLEBORGS LÄN</t>
        </is>
      </c>
      <c r="E5709" t="inlineStr">
        <is>
          <t>HUDIKSVALL</t>
        </is>
      </c>
      <c r="G5709" t="n">
        <v>11.8</v>
      </c>
      <c r="H5709" t="n">
        <v>0</v>
      </c>
      <c r="I5709" t="n">
        <v>0</v>
      </c>
      <c r="J5709" t="n">
        <v>0</v>
      </c>
      <c r="K5709" t="n">
        <v>0</v>
      </c>
      <c r="L5709" t="n">
        <v>0</v>
      </c>
      <c r="M5709" t="n">
        <v>0</v>
      </c>
      <c r="N5709" t="n">
        <v>0</v>
      </c>
      <c r="O5709" t="n">
        <v>0</v>
      </c>
      <c r="P5709" t="n">
        <v>0</v>
      </c>
      <c r="Q5709" t="n">
        <v>0</v>
      </c>
      <c r="R5709" s="2" t="inlineStr"/>
    </row>
    <row r="5710" ht="15" customHeight="1">
      <c r="A5710" t="inlineStr">
        <is>
          <t>A 25965-2025</t>
        </is>
      </c>
      <c r="B5710" s="1" t="n">
        <v>45804.61806712963</v>
      </c>
      <c r="C5710" s="1" t="n">
        <v>45883</v>
      </c>
      <c r="D5710" t="inlineStr">
        <is>
          <t>GÄVLEBORGS LÄN</t>
        </is>
      </c>
      <c r="E5710" t="inlineStr">
        <is>
          <t>OVANÅKER</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11407-2025</t>
        </is>
      </c>
      <c r="B5711" s="1" t="n">
        <v>45726.58489583333</v>
      </c>
      <c r="C5711" s="1" t="n">
        <v>45883</v>
      </c>
      <c r="D5711" t="inlineStr">
        <is>
          <t>GÄVLEBORGS LÄN</t>
        </is>
      </c>
      <c r="E5711" t="inlineStr">
        <is>
          <t>GÄVLE</t>
        </is>
      </c>
      <c r="F5711" t="inlineStr">
        <is>
          <t>Bergvik skog öst AB</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52981-2024</t>
        </is>
      </c>
      <c r="B5712" s="1" t="n">
        <v>45611.35353009259</v>
      </c>
      <c r="C5712" s="1" t="n">
        <v>45883</v>
      </c>
      <c r="D5712" t="inlineStr">
        <is>
          <t>GÄVLEBORGS LÄN</t>
        </is>
      </c>
      <c r="E5712" t="inlineStr">
        <is>
          <t>LJUSDAL</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19014-2024</t>
        </is>
      </c>
      <c r="B5713" s="1" t="n">
        <v>45427</v>
      </c>
      <c r="C5713" s="1" t="n">
        <v>45883</v>
      </c>
      <c r="D5713" t="inlineStr">
        <is>
          <t>GÄVLEBORGS LÄN</t>
        </is>
      </c>
      <c r="E5713" t="inlineStr">
        <is>
          <t>HUDIKSVALL</t>
        </is>
      </c>
      <c r="F5713" t="inlineStr">
        <is>
          <t>Holmen skog AB</t>
        </is>
      </c>
      <c r="G5713" t="n">
        <v>17.7</v>
      </c>
      <c r="H5713" t="n">
        <v>0</v>
      </c>
      <c r="I5713" t="n">
        <v>0</v>
      </c>
      <c r="J5713" t="n">
        <v>0</v>
      </c>
      <c r="K5713" t="n">
        <v>0</v>
      </c>
      <c r="L5713" t="n">
        <v>0</v>
      </c>
      <c r="M5713" t="n">
        <v>0</v>
      </c>
      <c r="N5713" t="n">
        <v>0</v>
      </c>
      <c r="O5713" t="n">
        <v>0</v>
      </c>
      <c r="P5713" t="n">
        <v>0</v>
      </c>
      <c r="Q5713" t="n">
        <v>0</v>
      </c>
      <c r="R5713" s="2" t="inlineStr"/>
    </row>
    <row r="5714" ht="15" customHeight="1">
      <c r="A5714" t="inlineStr">
        <is>
          <t>A 1221-2025</t>
        </is>
      </c>
      <c r="B5714" s="1" t="n">
        <v>45667.43208333333</v>
      </c>
      <c r="C5714" s="1" t="n">
        <v>45883</v>
      </c>
      <c r="D5714" t="inlineStr">
        <is>
          <t>GÄVLEBORGS LÄN</t>
        </is>
      </c>
      <c r="E5714" t="inlineStr">
        <is>
          <t>BOLLNÄS</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1226-2025</t>
        </is>
      </c>
      <c r="B5715" s="1" t="n">
        <v>45667.43862268519</v>
      </c>
      <c r="C5715" s="1" t="n">
        <v>45883</v>
      </c>
      <c r="D5715" t="inlineStr">
        <is>
          <t>GÄVLEBORGS LÄN</t>
        </is>
      </c>
      <c r="E5715" t="inlineStr">
        <is>
          <t>LJUSDAL</t>
        </is>
      </c>
      <c r="F5715" t="inlineStr">
        <is>
          <t>Bergvik skog väst AB</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29923-2022</t>
        </is>
      </c>
      <c r="B5716" s="1" t="n">
        <v>44756.56537037037</v>
      </c>
      <c r="C5716" s="1" t="n">
        <v>45883</v>
      </c>
      <c r="D5716" t="inlineStr">
        <is>
          <t>GÄVLEBORGS LÄN</t>
        </is>
      </c>
      <c r="E5716" t="inlineStr">
        <is>
          <t>GÄVLE</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29927-2022</t>
        </is>
      </c>
      <c r="B5717" s="1" t="n">
        <v>44756.57232638889</v>
      </c>
      <c r="C5717" s="1" t="n">
        <v>45883</v>
      </c>
      <c r="D5717" t="inlineStr">
        <is>
          <t>GÄVLEBORGS LÄN</t>
        </is>
      </c>
      <c r="E5717" t="inlineStr">
        <is>
          <t>GÄVLE</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26564-2022</t>
        </is>
      </c>
      <c r="B5718" s="1" t="n">
        <v>44739.48752314815</v>
      </c>
      <c r="C5718" s="1" t="n">
        <v>45883</v>
      </c>
      <c r="D5718" t="inlineStr">
        <is>
          <t>GÄVLEBORGS LÄN</t>
        </is>
      </c>
      <c r="E5718" t="inlineStr">
        <is>
          <t>GÄVLE</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48832-2022</t>
        </is>
      </c>
      <c r="B5719" s="1" t="n">
        <v>44859.65696759259</v>
      </c>
      <c r="C5719" s="1" t="n">
        <v>45883</v>
      </c>
      <c r="D5719" t="inlineStr">
        <is>
          <t>GÄVLEBORGS LÄN</t>
        </is>
      </c>
      <c r="E5719" t="inlineStr">
        <is>
          <t>NORDANSTIG</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34305-2025</t>
        </is>
      </c>
      <c r="B5720" s="1" t="n">
        <v>45846.35457175926</v>
      </c>
      <c r="C5720" s="1" t="n">
        <v>45883</v>
      </c>
      <c r="D5720" t="inlineStr">
        <is>
          <t>GÄVLEBORGS LÄN</t>
        </is>
      </c>
      <c r="E5720" t="inlineStr">
        <is>
          <t>OCKELBO</t>
        </is>
      </c>
      <c r="F5720" t="inlineStr">
        <is>
          <t>Bergvik skog väst AB</t>
        </is>
      </c>
      <c r="G5720" t="n">
        <v>5.5</v>
      </c>
      <c r="H5720" t="n">
        <v>0</v>
      </c>
      <c r="I5720" t="n">
        <v>0</v>
      </c>
      <c r="J5720" t="n">
        <v>0</v>
      </c>
      <c r="K5720" t="n">
        <v>0</v>
      </c>
      <c r="L5720" t="n">
        <v>0</v>
      </c>
      <c r="M5720" t="n">
        <v>0</v>
      </c>
      <c r="N5720" t="n">
        <v>0</v>
      </c>
      <c r="O5720" t="n">
        <v>0</v>
      </c>
      <c r="P5720" t="n">
        <v>0</v>
      </c>
      <c r="Q5720" t="n">
        <v>0</v>
      </c>
      <c r="R5720" s="2" t="inlineStr"/>
    </row>
    <row r="5721" ht="15" customHeight="1">
      <c r="A5721" t="inlineStr">
        <is>
          <t>A 34887-2022</t>
        </is>
      </c>
      <c r="B5721" s="1" t="n">
        <v>44796</v>
      </c>
      <c r="C5721" s="1" t="n">
        <v>45883</v>
      </c>
      <c r="D5721" t="inlineStr">
        <is>
          <t>GÄVLEBORGS LÄN</t>
        </is>
      </c>
      <c r="E5721" t="inlineStr">
        <is>
          <t>BOLLNÄS</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40400-2022</t>
        </is>
      </c>
      <c r="B5722" s="1" t="n">
        <v>44823</v>
      </c>
      <c r="C5722" s="1" t="n">
        <v>45883</v>
      </c>
      <c r="D5722" t="inlineStr">
        <is>
          <t>GÄVLEBORGS LÄN</t>
        </is>
      </c>
      <c r="E5722" t="inlineStr">
        <is>
          <t>OVANÅKER</t>
        </is>
      </c>
      <c r="F5722" t="inlineStr">
        <is>
          <t>Bergvik skog väst AB</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34064-2025</t>
        </is>
      </c>
      <c r="B5723" s="1" t="n">
        <v>45845.42802083334</v>
      </c>
      <c r="C5723" s="1" t="n">
        <v>45883</v>
      </c>
      <c r="D5723" t="inlineStr">
        <is>
          <t>GÄVLEBORGS LÄN</t>
        </is>
      </c>
      <c r="E5723" t="inlineStr">
        <is>
          <t>OVANÅKER</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34202-2025</t>
        </is>
      </c>
      <c r="B5724" s="1" t="n">
        <v>45845.63385416667</v>
      </c>
      <c r="C5724" s="1" t="n">
        <v>45883</v>
      </c>
      <c r="D5724" t="inlineStr">
        <is>
          <t>GÄVLEBORGS LÄN</t>
        </is>
      </c>
      <c r="E5724" t="inlineStr">
        <is>
          <t>BOLLNÄS</t>
        </is>
      </c>
      <c r="G5724" t="n">
        <v>5.9</v>
      </c>
      <c r="H5724" t="n">
        <v>0</v>
      </c>
      <c r="I5724" t="n">
        <v>0</v>
      </c>
      <c r="J5724" t="n">
        <v>0</v>
      </c>
      <c r="K5724" t="n">
        <v>0</v>
      </c>
      <c r="L5724" t="n">
        <v>0</v>
      </c>
      <c r="M5724" t="n">
        <v>0</v>
      </c>
      <c r="N5724" t="n">
        <v>0</v>
      </c>
      <c r="O5724" t="n">
        <v>0</v>
      </c>
      <c r="P5724" t="n">
        <v>0</v>
      </c>
      <c r="Q5724" t="n">
        <v>0</v>
      </c>
      <c r="R5724" s="2" t="inlineStr"/>
    </row>
    <row r="5725" ht="15" customHeight="1">
      <c r="A5725" t="inlineStr">
        <is>
          <t>A 34224-2025</t>
        </is>
      </c>
      <c r="B5725" s="1" t="n">
        <v>45845.65662037037</v>
      </c>
      <c r="C5725" s="1" t="n">
        <v>45883</v>
      </c>
      <c r="D5725" t="inlineStr">
        <is>
          <t>GÄVLEBORGS LÄN</t>
        </is>
      </c>
      <c r="E5725" t="inlineStr">
        <is>
          <t>BOLLNÄS</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34116-2025</t>
        </is>
      </c>
      <c r="B5726" s="1" t="n">
        <v>45845.51070601852</v>
      </c>
      <c r="C5726" s="1" t="n">
        <v>45883</v>
      </c>
      <c r="D5726" t="inlineStr">
        <is>
          <t>GÄVLEBORGS LÄN</t>
        </is>
      </c>
      <c r="E5726" t="inlineStr">
        <is>
          <t>GÄVLE</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47642-2024</t>
        </is>
      </c>
      <c r="B5727" s="1" t="n">
        <v>45588.3656712963</v>
      </c>
      <c r="C5727" s="1" t="n">
        <v>45883</v>
      </c>
      <c r="D5727" t="inlineStr">
        <is>
          <t>GÄVLEBORGS LÄN</t>
        </is>
      </c>
      <c r="E5727" t="inlineStr">
        <is>
          <t>GÄVLE</t>
        </is>
      </c>
      <c r="F5727" t="inlineStr">
        <is>
          <t>Bergvik skog väst AB</t>
        </is>
      </c>
      <c r="G5727" t="n">
        <v>8.199999999999999</v>
      </c>
      <c r="H5727" t="n">
        <v>0</v>
      </c>
      <c r="I5727" t="n">
        <v>0</v>
      </c>
      <c r="J5727" t="n">
        <v>0</v>
      </c>
      <c r="K5727" t="n">
        <v>0</v>
      </c>
      <c r="L5727" t="n">
        <v>0</v>
      </c>
      <c r="M5727" t="n">
        <v>0</v>
      </c>
      <c r="N5727" t="n">
        <v>0</v>
      </c>
      <c r="O5727" t="n">
        <v>0</v>
      </c>
      <c r="P5727" t="n">
        <v>0</v>
      </c>
      <c r="Q5727" t="n">
        <v>0</v>
      </c>
      <c r="R5727" s="2" t="inlineStr"/>
    </row>
    <row r="5728" ht="15" customHeight="1">
      <c r="A5728" t="inlineStr">
        <is>
          <t>A 25468-2025</t>
        </is>
      </c>
      <c r="B5728" s="1" t="n">
        <v>45802.68767361111</v>
      </c>
      <c r="C5728" s="1" t="n">
        <v>45883</v>
      </c>
      <c r="D5728" t="inlineStr">
        <is>
          <t>GÄVLEBORGS LÄN</t>
        </is>
      </c>
      <c r="E5728" t="inlineStr">
        <is>
          <t>NORDANSTIG</t>
        </is>
      </c>
      <c r="F5728" t="inlineStr">
        <is>
          <t>Holmen skog AB</t>
        </is>
      </c>
      <c r="G5728" t="n">
        <v>5.5</v>
      </c>
      <c r="H5728" t="n">
        <v>0</v>
      </c>
      <c r="I5728" t="n">
        <v>0</v>
      </c>
      <c r="J5728" t="n">
        <v>0</v>
      </c>
      <c r="K5728" t="n">
        <v>0</v>
      </c>
      <c r="L5728" t="n">
        <v>0</v>
      </c>
      <c r="M5728" t="n">
        <v>0</v>
      </c>
      <c r="N5728" t="n">
        <v>0</v>
      </c>
      <c r="O5728" t="n">
        <v>0</v>
      </c>
      <c r="P5728" t="n">
        <v>0</v>
      </c>
      <c r="Q5728" t="n">
        <v>0</v>
      </c>
      <c r="R5728" s="2" t="inlineStr"/>
    </row>
    <row r="5729" ht="15" customHeight="1">
      <c r="A5729" t="inlineStr">
        <is>
          <t>A 34089-2025</t>
        </is>
      </c>
      <c r="B5729" s="1" t="n">
        <v>45845.46960648148</v>
      </c>
      <c r="C5729" s="1" t="n">
        <v>45883</v>
      </c>
      <c r="D5729" t="inlineStr">
        <is>
          <t>GÄVLEBORGS LÄN</t>
        </is>
      </c>
      <c r="E5729" t="inlineStr">
        <is>
          <t>GÄVLE</t>
        </is>
      </c>
      <c r="F5729" t="inlineStr">
        <is>
          <t>Bergvik skog väst AB</t>
        </is>
      </c>
      <c r="G5729" t="n">
        <v>8.300000000000001</v>
      </c>
      <c r="H5729" t="n">
        <v>0</v>
      </c>
      <c r="I5729" t="n">
        <v>0</v>
      </c>
      <c r="J5729" t="n">
        <v>0</v>
      </c>
      <c r="K5729" t="n">
        <v>0</v>
      </c>
      <c r="L5729" t="n">
        <v>0</v>
      </c>
      <c r="M5729" t="n">
        <v>0</v>
      </c>
      <c r="N5729" t="n">
        <v>0</v>
      </c>
      <c r="O5729" t="n">
        <v>0</v>
      </c>
      <c r="P5729" t="n">
        <v>0</v>
      </c>
      <c r="Q5729" t="n">
        <v>0</v>
      </c>
      <c r="R5729" s="2" t="inlineStr"/>
    </row>
    <row r="5730" ht="15" customHeight="1">
      <c r="A5730" t="inlineStr">
        <is>
          <t>A 25993-2025</t>
        </is>
      </c>
      <c r="B5730" s="1" t="n">
        <v>45804.65660879629</v>
      </c>
      <c r="C5730" s="1" t="n">
        <v>45883</v>
      </c>
      <c r="D5730" t="inlineStr">
        <is>
          <t>GÄVLEBORGS LÄN</t>
        </is>
      </c>
      <c r="E5730" t="inlineStr">
        <is>
          <t>LJUSDAL</t>
        </is>
      </c>
      <c r="F5730" t="inlineStr">
        <is>
          <t>Holmen skog AB</t>
        </is>
      </c>
      <c r="G5730" t="n">
        <v>26.6</v>
      </c>
      <c r="H5730" t="n">
        <v>0</v>
      </c>
      <c r="I5730" t="n">
        <v>0</v>
      </c>
      <c r="J5730" t="n">
        <v>0</v>
      </c>
      <c r="K5730" t="n">
        <v>0</v>
      </c>
      <c r="L5730" t="n">
        <v>0</v>
      </c>
      <c r="M5730" t="n">
        <v>0</v>
      </c>
      <c r="N5730" t="n">
        <v>0</v>
      </c>
      <c r="O5730" t="n">
        <v>0</v>
      </c>
      <c r="P5730" t="n">
        <v>0</v>
      </c>
      <c r="Q5730" t="n">
        <v>0</v>
      </c>
      <c r="R5730" s="2" t="inlineStr"/>
    </row>
    <row r="5731" ht="15" customHeight="1">
      <c r="A5731" t="inlineStr">
        <is>
          <t>A 25614-2025</t>
        </is>
      </c>
      <c r="B5731" s="1" t="n">
        <v>45803.56303240741</v>
      </c>
      <c r="C5731" s="1" t="n">
        <v>45883</v>
      </c>
      <c r="D5731" t="inlineStr">
        <is>
          <t>GÄVLEBORGS LÄN</t>
        </is>
      </c>
      <c r="E5731" t="inlineStr">
        <is>
          <t>LJUSDAL</t>
        </is>
      </c>
      <c r="F5731" t="inlineStr">
        <is>
          <t>Holmen skog AB</t>
        </is>
      </c>
      <c r="G5731" t="n">
        <v>16.3</v>
      </c>
      <c r="H5731" t="n">
        <v>0</v>
      </c>
      <c r="I5731" t="n">
        <v>0</v>
      </c>
      <c r="J5731" t="n">
        <v>0</v>
      </c>
      <c r="K5731" t="n">
        <v>0</v>
      </c>
      <c r="L5731" t="n">
        <v>0</v>
      </c>
      <c r="M5731" t="n">
        <v>0</v>
      </c>
      <c r="N5731" t="n">
        <v>0</v>
      </c>
      <c r="O5731" t="n">
        <v>0</v>
      </c>
      <c r="P5731" t="n">
        <v>0</v>
      </c>
      <c r="Q5731" t="n">
        <v>0</v>
      </c>
      <c r="R5731" s="2" t="inlineStr"/>
    </row>
    <row r="5732" ht="15" customHeight="1">
      <c r="A5732" t="inlineStr">
        <is>
          <t>A 34291-2025</t>
        </is>
      </c>
      <c r="B5732" s="1" t="n">
        <v>45846.3380787037</v>
      </c>
      <c r="C5732" s="1" t="n">
        <v>45883</v>
      </c>
      <c r="D5732" t="inlineStr">
        <is>
          <t>GÄVLEBORGS LÄN</t>
        </is>
      </c>
      <c r="E5732" t="inlineStr">
        <is>
          <t>OCKELBO</t>
        </is>
      </c>
      <c r="F5732" t="inlineStr">
        <is>
          <t>Bergvik skog väst AB</t>
        </is>
      </c>
      <c r="G5732" t="n">
        <v>6.4</v>
      </c>
      <c r="H5732" t="n">
        <v>0</v>
      </c>
      <c r="I5732" t="n">
        <v>0</v>
      </c>
      <c r="J5732" t="n">
        <v>0</v>
      </c>
      <c r="K5732" t="n">
        <v>0</v>
      </c>
      <c r="L5732" t="n">
        <v>0</v>
      </c>
      <c r="M5732" t="n">
        <v>0</v>
      </c>
      <c r="N5732" t="n">
        <v>0</v>
      </c>
      <c r="O5732" t="n">
        <v>0</v>
      </c>
      <c r="P5732" t="n">
        <v>0</v>
      </c>
      <c r="Q5732" t="n">
        <v>0</v>
      </c>
      <c r="R5732" s="2" t="inlineStr"/>
    </row>
    <row r="5733" ht="15" customHeight="1">
      <c r="A5733" t="inlineStr">
        <is>
          <t>A 54273-2024</t>
        </is>
      </c>
      <c r="B5733" s="1" t="n">
        <v>45616.82413194444</v>
      </c>
      <c r="C5733" s="1" t="n">
        <v>45883</v>
      </c>
      <c r="D5733" t="inlineStr">
        <is>
          <t>GÄVLEBORGS LÄN</t>
        </is>
      </c>
      <c r="E5733" t="inlineStr">
        <is>
          <t>OVANÅKER</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40965-2023</t>
        </is>
      </c>
      <c r="B5734" s="1" t="n">
        <v>45173</v>
      </c>
      <c r="C5734" s="1" t="n">
        <v>45883</v>
      </c>
      <c r="D5734" t="inlineStr">
        <is>
          <t>GÄVLEBORGS LÄN</t>
        </is>
      </c>
      <c r="E5734" t="inlineStr">
        <is>
          <t>HUDIKSVALL</t>
        </is>
      </c>
      <c r="F5734" t="inlineStr">
        <is>
          <t>Holmen skog AB</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54309-2024</t>
        </is>
      </c>
      <c r="B5735" s="1" t="n">
        <v>45617.34234953704</v>
      </c>
      <c r="C5735" s="1" t="n">
        <v>45883</v>
      </c>
      <c r="D5735" t="inlineStr">
        <is>
          <t>GÄVLEBORGS LÄN</t>
        </is>
      </c>
      <c r="E5735" t="inlineStr">
        <is>
          <t>OCKELBO</t>
        </is>
      </c>
      <c r="F5735" t="inlineStr">
        <is>
          <t>Bergvik skog väst AB</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25724-2025</t>
        </is>
      </c>
      <c r="B5736" s="1" t="n">
        <v>45803.71337962963</v>
      </c>
      <c r="C5736" s="1" t="n">
        <v>45883</v>
      </c>
      <c r="D5736" t="inlineStr">
        <is>
          <t>GÄVLEBORGS LÄN</t>
        </is>
      </c>
      <c r="E5736" t="inlineStr">
        <is>
          <t>NORDANSTIG</t>
        </is>
      </c>
      <c r="F5736" t="inlineStr">
        <is>
          <t>Holmen skog AB</t>
        </is>
      </c>
      <c r="G5736" t="n">
        <v>10.1</v>
      </c>
      <c r="H5736" t="n">
        <v>0</v>
      </c>
      <c r="I5736" t="n">
        <v>0</v>
      </c>
      <c r="J5736" t="n">
        <v>0</v>
      </c>
      <c r="K5736" t="n">
        <v>0</v>
      </c>
      <c r="L5736" t="n">
        <v>0</v>
      </c>
      <c r="M5736" t="n">
        <v>0</v>
      </c>
      <c r="N5736" t="n">
        <v>0</v>
      </c>
      <c r="O5736" t="n">
        <v>0</v>
      </c>
      <c r="P5736" t="n">
        <v>0</v>
      </c>
      <c r="Q5736" t="n">
        <v>0</v>
      </c>
      <c r="R5736" s="2" t="inlineStr"/>
    </row>
    <row r="5737" ht="15" customHeight="1">
      <c r="A5737" t="inlineStr">
        <is>
          <t>A 25771-2025</t>
        </is>
      </c>
      <c r="B5737" s="1" t="n">
        <v>45804.34510416666</v>
      </c>
      <c r="C5737" s="1" t="n">
        <v>45883</v>
      </c>
      <c r="D5737" t="inlineStr">
        <is>
          <t>GÄVLEBORGS LÄN</t>
        </is>
      </c>
      <c r="E5737" t="inlineStr">
        <is>
          <t>LJUSDAL</t>
        </is>
      </c>
      <c r="F5737" t="inlineStr">
        <is>
          <t>Naturvårdsverket</t>
        </is>
      </c>
      <c r="G5737" t="n">
        <v>9</v>
      </c>
      <c r="H5737" t="n">
        <v>0</v>
      </c>
      <c r="I5737" t="n">
        <v>0</v>
      </c>
      <c r="J5737" t="n">
        <v>0</v>
      </c>
      <c r="K5737" t="n">
        <v>0</v>
      </c>
      <c r="L5737" t="n">
        <v>0</v>
      </c>
      <c r="M5737" t="n">
        <v>0</v>
      </c>
      <c r="N5737" t="n">
        <v>0</v>
      </c>
      <c r="O5737" t="n">
        <v>0</v>
      </c>
      <c r="P5737" t="n">
        <v>0</v>
      </c>
      <c r="Q5737" t="n">
        <v>0</v>
      </c>
      <c r="R5737" s="2" t="inlineStr"/>
    </row>
    <row r="5738" ht="15" customHeight="1">
      <c r="A5738" t="inlineStr">
        <is>
          <t>A 26236-2021</t>
        </is>
      </c>
      <c r="B5738" s="1" t="n">
        <v>44347.45221064815</v>
      </c>
      <c r="C5738" s="1" t="n">
        <v>45883</v>
      </c>
      <c r="D5738" t="inlineStr">
        <is>
          <t>GÄVLEBORGS LÄN</t>
        </is>
      </c>
      <c r="E5738" t="inlineStr">
        <is>
          <t>LJUSDAL</t>
        </is>
      </c>
      <c r="F5738" t="inlineStr">
        <is>
          <t>Bergvik skog väst AB</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10176-2023</t>
        </is>
      </c>
      <c r="B5739" s="1" t="n">
        <v>44986.47180555556</v>
      </c>
      <c r="C5739" s="1" t="n">
        <v>45883</v>
      </c>
      <c r="D5739" t="inlineStr">
        <is>
          <t>GÄVLEBORGS LÄN</t>
        </is>
      </c>
      <c r="E5739" t="inlineStr">
        <is>
          <t>LJUSDAL</t>
        </is>
      </c>
      <c r="F5739" t="inlineStr">
        <is>
          <t>Bergvik skog väst AB</t>
        </is>
      </c>
      <c r="G5739" t="n">
        <v>4.5</v>
      </c>
      <c r="H5739" t="n">
        <v>0</v>
      </c>
      <c r="I5739" t="n">
        <v>0</v>
      </c>
      <c r="J5739" t="n">
        <v>0</v>
      </c>
      <c r="K5739" t="n">
        <v>0</v>
      </c>
      <c r="L5739" t="n">
        <v>0</v>
      </c>
      <c r="M5739" t="n">
        <v>0</v>
      </c>
      <c r="N5739" t="n">
        <v>0</v>
      </c>
      <c r="O5739" t="n">
        <v>0</v>
      </c>
      <c r="P5739" t="n">
        <v>0</v>
      </c>
      <c r="Q5739" t="n">
        <v>0</v>
      </c>
      <c r="R5739" s="2" t="inlineStr"/>
    </row>
    <row r="5740" ht="15" customHeight="1">
      <c r="A5740" t="inlineStr">
        <is>
          <t>A 8667-2024</t>
        </is>
      </c>
      <c r="B5740" s="1" t="n">
        <v>45356.29768518519</v>
      </c>
      <c r="C5740" s="1" t="n">
        <v>45883</v>
      </c>
      <c r="D5740" t="inlineStr">
        <is>
          <t>GÄVLEBORGS LÄN</t>
        </is>
      </c>
      <c r="E5740" t="inlineStr">
        <is>
          <t>LJUSDAL</t>
        </is>
      </c>
      <c r="G5740" t="n">
        <v>3.6</v>
      </c>
      <c r="H5740" t="n">
        <v>0</v>
      </c>
      <c r="I5740" t="n">
        <v>0</v>
      </c>
      <c r="J5740" t="n">
        <v>0</v>
      </c>
      <c r="K5740" t="n">
        <v>0</v>
      </c>
      <c r="L5740" t="n">
        <v>0</v>
      </c>
      <c r="M5740" t="n">
        <v>0</v>
      </c>
      <c r="N5740" t="n">
        <v>0</v>
      </c>
      <c r="O5740" t="n">
        <v>0</v>
      </c>
      <c r="P5740" t="n">
        <v>0</v>
      </c>
      <c r="Q5740" t="n">
        <v>0</v>
      </c>
      <c r="R5740" s="2" t="inlineStr"/>
    </row>
    <row r="5741" ht="15" customHeight="1">
      <c r="A5741" t="inlineStr">
        <is>
          <t>A 20682-2023</t>
        </is>
      </c>
      <c r="B5741" s="1" t="n">
        <v>45058.38581018519</v>
      </c>
      <c r="C5741" s="1" t="n">
        <v>45883</v>
      </c>
      <c r="D5741" t="inlineStr">
        <is>
          <t>GÄVLEBORGS LÄN</t>
        </is>
      </c>
      <c r="E5741" t="inlineStr">
        <is>
          <t>GÄVLE</t>
        </is>
      </c>
      <c r="G5741" t="n">
        <v>5.1</v>
      </c>
      <c r="H5741" t="n">
        <v>0</v>
      </c>
      <c r="I5741" t="n">
        <v>0</v>
      </c>
      <c r="J5741" t="n">
        <v>0</v>
      </c>
      <c r="K5741" t="n">
        <v>0</v>
      </c>
      <c r="L5741" t="n">
        <v>0</v>
      </c>
      <c r="M5741" t="n">
        <v>0</v>
      </c>
      <c r="N5741" t="n">
        <v>0</v>
      </c>
      <c r="O5741" t="n">
        <v>0</v>
      </c>
      <c r="P5741" t="n">
        <v>0</v>
      </c>
      <c r="Q5741" t="n">
        <v>0</v>
      </c>
      <c r="R5741" s="2" t="inlineStr"/>
    </row>
    <row r="5742" ht="15" customHeight="1">
      <c r="A5742" t="inlineStr">
        <is>
          <t>A 12700-2025</t>
        </is>
      </c>
      <c r="B5742" s="1" t="n">
        <v>45733</v>
      </c>
      <c r="C5742" s="1" t="n">
        <v>45883</v>
      </c>
      <c r="D5742" t="inlineStr">
        <is>
          <t>GÄVLEBORGS LÄN</t>
        </is>
      </c>
      <c r="E5742" t="inlineStr">
        <is>
          <t>SÖDERHAMN</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8693-2024</t>
        </is>
      </c>
      <c r="B5743" s="1" t="n">
        <v>45356.36994212963</v>
      </c>
      <c r="C5743" s="1" t="n">
        <v>45883</v>
      </c>
      <c r="D5743" t="inlineStr">
        <is>
          <t>GÄVLEBORGS LÄN</t>
        </is>
      </c>
      <c r="E5743" t="inlineStr">
        <is>
          <t>GÄVLE</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25492-2025</t>
        </is>
      </c>
      <c r="B5744" s="1" t="n">
        <v>45803.32609953704</v>
      </c>
      <c r="C5744" s="1" t="n">
        <v>45883</v>
      </c>
      <c r="D5744" t="inlineStr">
        <is>
          <t>GÄVLEBORGS LÄN</t>
        </is>
      </c>
      <c r="E5744" t="inlineStr">
        <is>
          <t>HUDIKSVALL</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26181-2023</t>
        </is>
      </c>
      <c r="B5745" s="1" t="n">
        <v>45091.53126157408</v>
      </c>
      <c r="C5745" s="1" t="n">
        <v>45883</v>
      </c>
      <c r="D5745" t="inlineStr">
        <is>
          <t>GÄVLEBORGS LÄN</t>
        </is>
      </c>
      <c r="E5745" t="inlineStr">
        <is>
          <t>LJUSDAL</t>
        </is>
      </c>
      <c r="F5745" t="inlineStr">
        <is>
          <t>Sveaskog</t>
        </is>
      </c>
      <c r="G5745" t="n">
        <v>6.8</v>
      </c>
      <c r="H5745" t="n">
        <v>0</v>
      </c>
      <c r="I5745" t="n">
        <v>0</v>
      </c>
      <c r="J5745" t="n">
        <v>0</v>
      </c>
      <c r="K5745" t="n">
        <v>0</v>
      </c>
      <c r="L5745" t="n">
        <v>0</v>
      </c>
      <c r="M5745" t="n">
        <v>0</v>
      </c>
      <c r="N5745" t="n">
        <v>0</v>
      </c>
      <c r="O5745" t="n">
        <v>0</v>
      </c>
      <c r="P5745" t="n">
        <v>0</v>
      </c>
      <c r="Q5745" t="n">
        <v>0</v>
      </c>
      <c r="R5745" s="2" t="inlineStr"/>
    </row>
    <row r="5746" ht="15" customHeight="1">
      <c r="A5746" t="inlineStr">
        <is>
          <t>A 26184-2023</t>
        </is>
      </c>
      <c r="B5746" s="1" t="n">
        <v>45091.53296296296</v>
      </c>
      <c r="C5746" s="1" t="n">
        <v>45883</v>
      </c>
      <c r="D5746" t="inlineStr">
        <is>
          <t>GÄVLEBORGS LÄN</t>
        </is>
      </c>
      <c r="E5746" t="inlineStr">
        <is>
          <t>LJUSDAL</t>
        </is>
      </c>
      <c r="F5746" t="inlineStr">
        <is>
          <t>Sveaskog</t>
        </is>
      </c>
      <c r="G5746" t="n">
        <v>11.8</v>
      </c>
      <c r="H5746" t="n">
        <v>0</v>
      </c>
      <c r="I5746" t="n">
        <v>0</v>
      </c>
      <c r="J5746" t="n">
        <v>0</v>
      </c>
      <c r="K5746" t="n">
        <v>0</v>
      </c>
      <c r="L5746" t="n">
        <v>0</v>
      </c>
      <c r="M5746" t="n">
        <v>0</v>
      </c>
      <c r="N5746" t="n">
        <v>0</v>
      </c>
      <c r="O5746" t="n">
        <v>0</v>
      </c>
      <c r="P5746" t="n">
        <v>0</v>
      </c>
      <c r="Q5746" t="n">
        <v>0</v>
      </c>
      <c r="R5746" s="2" t="inlineStr"/>
    </row>
    <row r="5747" ht="15" customHeight="1">
      <c r="A5747" t="inlineStr">
        <is>
          <t>A 25538-2025</t>
        </is>
      </c>
      <c r="B5747" s="1" t="n">
        <v>45803.42084490741</v>
      </c>
      <c r="C5747" s="1" t="n">
        <v>45883</v>
      </c>
      <c r="D5747" t="inlineStr">
        <is>
          <t>GÄVLEBORGS LÄN</t>
        </is>
      </c>
      <c r="E5747" t="inlineStr">
        <is>
          <t>HUDIKSVALL</t>
        </is>
      </c>
      <c r="F5747" t="inlineStr">
        <is>
          <t>Holmen skog AB</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15091-2025</t>
        </is>
      </c>
      <c r="B5748" s="1" t="n">
        <v>45744.3275462963</v>
      </c>
      <c r="C5748" s="1" t="n">
        <v>45883</v>
      </c>
      <c r="D5748" t="inlineStr">
        <is>
          <t>GÄVLEBORGS LÄN</t>
        </is>
      </c>
      <c r="E5748" t="inlineStr">
        <is>
          <t>LJUSDAL</t>
        </is>
      </c>
      <c r="G5748" t="n">
        <v>4.7</v>
      </c>
      <c r="H5748" t="n">
        <v>0</v>
      </c>
      <c r="I5748" t="n">
        <v>0</v>
      </c>
      <c r="J5748" t="n">
        <v>0</v>
      </c>
      <c r="K5748" t="n">
        <v>0</v>
      </c>
      <c r="L5748" t="n">
        <v>0</v>
      </c>
      <c r="M5748" t="n">
        <v>0</v>
      </c>
      <c r="N5748" t="n">
        <v>0</v>
      </c>
      <c r="O5748" t="n">
        <v>0</v>
      </c>
      <c r="P5748" t="n">
        <v>0</v>
      </c>
      <c r="Q5748" t="n">
        <v>0</v>
      </c>
      <c r="R5748" s="2" t="inlineStr"/>
    </row>
    <row r="5749" ht="15" customHeight="1">
      <c r="A5749" t="inlineStr">
        <is>
          <t>A 25551-2025</t>
        </is>
      </c>
      <c r="B5749" s="1" t="n">
        <v>45803.44678240741</v>
      </c>
      <c r="C5749" s="1" t="n">
        <v>45883</v>
      </c>
      <c r="D5749" t="inlineStr">
        <is>
          <t>GÄVLEBORGS LÄN</t>
        </is>
      </c>
      <c r="E5749" t="inlineStr">
        <is>
          <t>HUDIKSVALL</t>
        </is>
      </c>
      <c r="F5749" t="inlineStr">
        <is>
          <t>Holmen skog AB</t>
        </is>
      </c>
      <c r="G5749" t="n">
        <v>5.2</v>
      </c>
      <c r="H5749" t="n">
        <v>0</v>
      </c>
      <c r="I5749" t="n">
        <v>0</v>
      </c>
      <c r="J5749" t="n">
        <v>0</v>
      </c>
      <c r="K5749" t="n">
        <v>0</v>
      </c>
      <c r="L5749" t="n">
        <v>0</v>
      </c>
      <c r="M5749" t="n">
        <v>0</v>
      </c>
      <c r="N5749" t="n">
        <v>0</v>
      </c>
      <c r="O5749" t="n">
        <v>0</v>
      </c>
      <c r="P5749" t="n">
        <v>0</v>
      </c>
      <c r="Q5749" t="n">
        <v>0</v>
      </c>
      <c r="R5749" s="2" t="inlineStr"/>
    </row>
    <row r="5750" ht="15" customHeight="1">
      <c r="A5750" t="inlineStr">
        <is>
          <t>A 25569-2025</t>
        </is>
      </c>
      <c r="B5750" s="1" t="n">
        <v>45803.4665625</v>
      </c>
      <c r="C5750" s="1" t="n">
        <v>45883</v>
      </c>
      <c r="D5750" t="inlineStr">
        <is>
          <t>GÄVLEBORGS LÄN</t>
        </is>
      </c>
      <c r="E5750" t="inlineStr">
        <is>
          <t>LJUSDAL</t>
        </is>
      </c>
      <c r="F5750" t="inlineStr">
        <is>
          <t>Bergvik skog väst AB</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11374-2025</t>
        </is>
      </c>
      <c r="B5751" s="1" t="n">
        <v>45726.55667824074</v>
      </c>
      <c r="C5751" s="1" t="n">
        <v>45883</v>
      </c>
      <c r="D5751" t="inlineStr">
        <is>
          <t>GÄVLEBORGS LÄN</t>
        </is>
      </c>
      <c r="E5751" t="inlineStr">
        <is>
          <t>SANDVIKEN</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11382-2025</t>
        </is>
      </c>
      <c r="B5752" s="1" t="n">
        <v>45726.56217592592</v>
      </c>
      <c r="C5752" s="1" t="n">
        <v>45883</v>
      </c>
      <c r="D5752" t="inlineStr">
        <is>
          <t>GÄVLEBORGS LÄN</t>
        </is>
      </c>
      <c r="E5752" t="inlineStr">
        <is>
          <t>GÄVLE</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10763-2025</t>
        </is>
      </c>
      <c r="B5753" s="1" t="n">
        <v>45722.4603125</v>
      </c>
      <c r="C5753" s="1" t="n">
        <v>45883</v>
      </c>
      <c r="D5753" t="inlineStr">
        <is>
          <t>GÄVLEBORGS LÄN</t>
        </is>
      </c>
      <c r="E5753" t="inlineStr">
        <is>
          <t>SÖDERHAMN</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25673-2025</t>
        </is>
      </c>
      <c r="B5754" s="1" t="n">
        <v>45803.63233796296</v>
      </c>
      <c r="C5754" s="1" t="n">
        <v>45883</v>
      </c>
      <c r="D5754" t="inlineStr">
        <is>
          <t>GÄVLEBORGS LÄN</t>
        </is>
      </c>
      <c r="E5754" t="inlineStr">
        <is>
          <t>HUDIKSVALL</t>
        </is>
      </c>
      <c r="F5754" t="inlineStr">
        <is>
          <t>Holmen skog AB</t>
        </is>
      </c>
      <c r="G5754" t="n">
        <v>6</v>
      </c>
      <c r="H5754" t="n">
        <v>0</v>
      </c>
      <c r="I5754" t="n">
        <v>0</v>
      </c>
      <c r="J5754" t="n">
        <v>0</v>
      </c>
      <c r="K5754" t="n">
        <v>0</v>
      </c>
      <c r="L5754" t="n">
        <v>0</v>
      </c>
      <c r="M5754" t="n">
        <v>0</v>
      </c>
      <c r="N5754" t="n">
        <v>0</v>
      </c>
      <c r="O5754" t="n">
        <v>0</v>
      </c>
      <c r="P5754" t="n">
        <v>0</v>
      </c>
      <c r="Q5754" t="n">
        <v>0</v>
      </c>
      <c r="R5754" s="2" t="inlineStr"/>
    </row>
    <row r="5755" ht="15" customHeight="1">
      <c r="A5755" t="inlineStr">
        <is>
          <t>A 25878-2025</t>
        </is>
      </c>
      <c r="B5755" s="1" t="n">
        <v>45804.49582175926</v>
      </c>
      <c r="C5755" s="1" t="n">
        <v>45883</v>
      </c>
      <c r="D5755" t="inlineStr">
        <is>
          <t>GÄVLEBORGS LÄN</t>
        </is>
      </c>
      <c r="E5755" t="inlineStr">
        <is>
          <t>GÄVLE</t>
        </is>
      </c>
      <c r="F5755" t="inlineStr">
        <is>
          <t>Bergvik skog öst AB</t>
        </is>
      </c>
      <c r="G5755" t="n">
        <v>0.4</v>
      </c>
      <c r="H5755" t="n">
        <v>0</v>
      </c>
      <c r="I5755" t="n">
        <v>0</v>
      </c>
      <c r="J5755" t="n">
        <v>0</v>
      </c>
      <c r="K5755" t="n">
        <v>0</v>
      </c>
      <c r="L5755" t="n">
        <v>0</v>
      </c>
      <c r="M5755" t="n">
        <v>0</v>
      </c>
      <c r="N5755" t="n">
        <v>0</v>
      </c>
      <c r="O5755" t="n">
        <v>0</v>
      </c>
      <c r="P5755" t="n">
        <v>0</v>
      </c>
      <c r="Q5755" t="n">
        <v>0</v>
      </c>
      <c r="R5755" s="2" t="inlineStr"/>
    </row>
    <row r="5756" ht="15" customHeight="1">
      <c r="A5756" t="inlineStr">
        <is>
          <t>A 1860-2025</t>
        </is>
      </c>
      <c r="B5756" s="1" t="n">
        <v>45671.60770833334</v>
      </c>
      <c r="C5756" s="1" t="n">
        <v>45883</v>
      </c>
      <c r="D5756" t="inlineStr">
        <is>
          <t>GÄVLEBORGS LÄN</t>
        </is>
      </c>
      <c r="E5756" t="inlineStr">
        <is>
          <t>NORDANSTIG</t>
        </is>
      </c>
      <c r="F5756" t="inlineStr">
        <is>
          <t>Holmen skog AB</t>
        </is>
      </c>
      <c r="G5756" t="n">
        <v>5.2</v>
      </c>
      <c r="H5756" t="n">
        <v>0</v>
      </c>
      <c r="I5756" t="n">
        <v>0</v>
      </c>
      <c r="J5756" t="n">
        <v>0</v>
      </c>
      <c r="K5756" t="n">
        <v>0</v>
      </c>
      <c r="L5756" t="n">
        <v>0</v>
      </c>
      <c r="M5756" t="n">
        <v>0</v>
      </c>
      <c r="N5756" t="n">
        <v>0</v>
      </c>
      <c r="O5756" t="n">
        <v>0</v>
      </c>
      <c r="P5756" t="n">
        <v>0</v>
      </c>
      <c r="Q5756" t="n">
        <v>0</v>
      </c>
      <c r="R5756" s="2" t="inlineStr"/>
    </row>
    <row r="5757" ht="15" customHeight="1">
      <c r="A5757" t="inlineStr">
        <is>
          <t>A 34287-2025</t>
        </is>
      </c>
      <c r="B5757" s="1" t="n">
        <v>45846.32989583333</v>
      </c>
      <c r="C5757" s="1" t="n">
        <v>45883</v>
      </c>
      <c r="D5757" t="inlineStr">
        <is>
          <t>GÄVLEBORGS LÄN</t>
        </is>
      </c>
      <c r="E5757" t="inlineStr">
        <is>
          <t>NORDANSTIG</t>
        </is>
      </c>
      <c r="F5757" t="inlineStr">
        <is>
          <t>Holmen skog AB</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39137-2023</t>
        </is>
      </c>
      <c r="B5758" s="1" t="n">
        <v>45165.88039351852</v>
      </c>
      <c r="C5758" s="1" t="n">
        <v>45883</v>
      </c>
      <c r="D5758" t="inlineStr">
        <is>
          <t>GÄVLEBORGS LÄN</t>
        </is>
      </c>
      <c r="E5758" t="inlineStr">
        <is>
          <t>SÖDERHAMN</t>
        </is>
      </c>
      <c r="G5758" t="n">
        <v>5.2</v>
      </c>
      <c r="H5758" t="n">
        <v>0</v>
      </c>
      <c r="I5758" t="n">
        <v>0</v>
      </c>
      <c r="J5758" t="n">
        <v>0</v>
      </c>
      <c r="K5758" t="n">
        <v>0</v>
      </c>
      <c r="L5758" t="n">
        <v>0</v>
      </c>
      <c r="M5758" t="n">
        <v>0</v>
      </c>
      <c r="N5758" t="n">
        <v>0</v>
      </c>
      <c r="O5758" t="n">
        <v>0</v>
      </c>
      <c r="P5758" t="n">
        <v>0</v>
      </c>
      <c r="Q5758" t="n">
        <v>0</v>
      </c>
      <c r="R5758" s="2" t="inlineStr"/>
    </row>
    <row r="5759" ht="15" customHeight="1">
      <c r="A5759" t="inlineStr">
        <is>
          <t>A 61478-2023</t>
        </is>
      </c>
      <c r="B5759" s="1" t="n">
        <v>45264.92703703704</v>
      </c>
      <c r="C5759" s="1" t="n">
        <v>45883</v>
      </c>
      <c r="D5759" t="inlineStr">
        <is>
          <t>GÄVLEBORGS LÄN</t>
        </is>
      </c>
      <c r="E5759" t="inlineStr">
        <is>
          <t>HUDIKSVALL</t>
        </is>
      </c>
      <c r="G5759" t="n">
        <v>4.1</v>
      </c>
      <c r="H5759" t="n">
        <v>0</v>
      </c>
      <c r="I5759" t="n">
        <v>0</v>
      </c>
      <c r="J5759" t="n">
        <v>0</v>
      </c>
      <c r="K5759" t="n">
        <v>0</v>
      </c>
      <c r="L5759" t="n">
        <v>0</v>
      </c>
      <c r="M5759" t="n">
        <v>0</v>
      </c>
      <c r="N5759" t="n">
        <v>0</v>
      </c>
      <c r="O5759" t="n">
        <v>0</v>
      </c>
      <c r="P5759" t="n">
        <v>0</v>
      </c>
      <c r="Q5759" t="n">
        <v>0</v>
      </c>
      <c r="R5759" s="2" t="inlineStr"/>
    </row>
    <row r="5760" ht="15" customHeight="1">
      <c r="A5760" t="inlineStr">
        <is>
          <t>A 19188-2024</t>
        </is>
      </c>
      <c r="B5760" s="1" t="n">
        <v>45428.48818287037</v>
      </c>
      <c r="C5760" s="1" t="n">
        <v>45883</v>
      </c>
      <c r="D5760" t="inlineStr">
        <is>
          <t>GÄVLEBORGS LÄN</t>
        </is>
      </c>
      <c r="E5760" t="inlineStr">
        <is>
          <t>SÖDERHAMN</t>
        </is>
      </c>
      <c r="F5760" t="inlineStr">
        <is>
          <t>Bergvik skog väst AB</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33136-2023</t>
        </is>
      </c>
      <c r="B5761" s="1" t="n">
        <v>45126.63739583334</v>
      </c>
      <c r="C5761" s="1" t="n">
        <v>45883</v>
      </c>
      <c r="D5761" t="inlineStr">
        <is>
          <t>GÄVLEBORGS LÄN</t>
        </is>
      </c>
      <c r="E5761" t="inlineStr">
        <is>
          <t>SANDVIKEN</t>
        </is>
      </c>
      <c r="G5761" t="n">
        <v>4.5</v>
      </c>
      <c r="H5761" t="n">
        <v>0</v>
      </c>
      <c r="I5761" t="n">
        <v>0</v>
      </c>
      <c r="J5761" t="n">
        <v>0</v>
      </c>
      <c r="K5761" t="n">
        <v>0</v>
      </c>
      <c r="L5761" t="n">
        <v>0</v>
      </c>
      <c r="M5761" t="n">
        <v>0</v>
      </c>
      <c r="N5761" t="n">
        <v>0</v>
      </c>
      <c r="O5761" t="n">
        <v>0</v>
      </c>
      <c r="P5761" t="n">
        <v>0</v>
      </c>
      <c r="Q5761" t="n">
        <v>0</v>
      </c>
      <c r="R5761" s="2" t="inlineStr"/>
    </row>
    <row r="5762" ht="15" customHeight="1">
      <c r="A5762" t="inlineStr">
        <is>
          <t>A 61091-2024</t>
        </is>
      </c>
      <c r="B5762" s="1" t="n">
        <v>45645.54240740741</v>
      </c>
      <c r="C5762" s="1" t="n">
        <v>45883</v>
      </c>
      <c r="D5762" t="inlineStr">
        <is>
          <t>GÄVLEBORGS LÄN</t>
        </is>
      </c>
      <c r="E5762" t="inlineStr">
        <is>
          <t>LJUSDAL</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34216-2025</t>
        </is>
      </c>
      <c r="B5763" s="1" t="n">
        <v>45845.64680555555</v>
      </c>
      <c r="C5763" s="1" t="n">
        <v>45883</v>
      </c>
      <c r="D5763" t="inlineStr">
        <is>
          <t>GÄVLEBORGS LÄN</t>
        </is>
      </c>
      <c r="E5763" t="inlineStr">
        <is>
          <t>BOLLNÄS</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34219-2025</t>
        </is>
      </c>
      <c r="B5764" s="1" t="n">
        <v>45845.64947916667</v>
      </c>
      <c r="C5764" s="1" t="n">
        <v>45883</v>
      </c>
      <c r="D5764" t="inlineStr">
        <is>
          <t>GÄVLEBORGS LÄN</t>
        </is>
      </c>
      <c r="E5764" t="inlineStr">
        <is>
          <t>SANDVIKEN</t>
        </is>
      </c>
      <c r="F5764" t="inlineStr">
        <is>
          <t>Sveaskog</t>
        </is>
      </c>
      <c r="G5764" t="n">
        <v>4.4</v>
      </c>
      <c r="H5764" t="n">
        <v>0</v>
      </c>
      <c r="I5764" t="n">
        <v>0</v>
      </c>
      <c r="J5764" t="n">
        <v>0</v>
      </c>
      <c r="K5764" t="n">
        <v>0</v>
      </c>
      <c r="L5764" t="n">
        <v>0</v>
      </c>
      <c r="M5764" t="n">
        <v>0</v>
      </c>
      <c r="N5764" t="n">
        <v>0</v>
      </c>
      <c r="O5764" t="n">
        <v>0</v>
      </c>
      <c r="P5764" t="n">
        <v>0</v>
      </c>
      <c r="Q5764" t="n">
        <v>0</v>
      </c>
      <c r="R5764" s="2" t="inlineStr"/>
    </row>
    <row r="5765" ht="15" customHeight="1">
      <c r="A5765" t="inlineStr">
        <is>
          <t>A 34233-2025</t>
        </is>
      </c>
      <c r="B5765" s="1" t="n">
        <v>45845</v>
      </c>
      <c r="C5765" s="1" t="n">
        <v>45883</v>
      </c>
      <c r="D5765" t="inlineStr">
        <is>
          <t>GÄVLEBORGS LÄN</t>
        </is>
      </c>
      <c r="E5765" t="inlineStr">
        <is>
          <t>BOLLNÄS</t>
        </is>
      </c>
      <c r="G5765" t="n">
        <v>3.9</v>
      </c>
      <c r="H5765" t="n">
        <v>0</v>
      </c>
      <c r="I5765" t="n">
        <v>0</v>
      </c>
      <c r="J5765" t="n">
        <v>0</v>
      </c>
      <c r="K5765" t="n">
        <v>0</v>
      </c>
      <c r="L5765" t="n">
        <v>0</v>
      </c>
      <c r="M5765" t="n">
        <v>0</v>
      </c>
      <c r="N5765" t="n">
        <v>0</v>
      </c>
      <c r="O5765" t="n">
        <v>0</v>
      </c>
      <c r="P5765" t="n">
        <v>0</v>
      </c>
      <c r="Q5765" t="n">
        <v>0</v>
      </c>
      <c r="R5765" s="2" t="inlineStr"/>
    </row>
    <row r="5766" ht="15" customHeight="1">
      <c r="A5766" t="inlineStr">
        <is>
          <t>A 51797-2023</t>
        </is>
      </c>
      <c r="B5766" s="1" t="n">
        <v>45222</v>
      </c>
      <c r="C5766" s="1" t="n">
        <v>45883</v>
      </c>
      <c r="D5766" t="inlineStr">
        <is>
          <t>GÄVLEBORGS LÄN</t>
        </is>
      </c>
      <c r="E5766" t="inlineStr">
        <is>
          <t>BOLLNÄS</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43131-2024</t>
        </is>
      </c>
      <c r="B5767" s="1" t="n">
        <v>45567.60054398148</v>
      </c>
      <c r="C5767" s="1" t="n">
        <v>45883</v>
      </c>
      <c r="D5767" t="inlineStr">
        <is>
          <t>GÄVLEBORGS LÄN</t>
        </is>
      </c>
      <c r="E5767" t="inlineStr">
        <is>
          <t>BOLLNÄS</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5316-2025</t>
        </is>
      </c>
      <c r="B5768" s="1" t="n">
        <v>45692.51339120371</v>
      </c>
      <c r="C5768" s="1" t="n">
        <v>45883</v>
      </c>
      <c r="D5768" t="inlineStr">
        <is>
          <t>GÄVLEBORGS LÄN</t>
        </is>
      </c>
      <c r="E5768" t="inlineStr">
        <is>
          <t>LJUSDAL</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5905-2025</t>
        </is>
      </c>
      <c r="B5769" s="1" t="n">
        <v>45695.40097222223</v>
      </c>
      <c r="C5769" s="1" t="n">
        <v>45883</v>
      </c>
      <c r="D5769" t="inlineStr">
        <is>
          <t>GÄVLEBORGS LÄN</t>
        </is>
      </c>
      <c r="E5769" t="inlineStr">
        <is>
          <t>HUDIKSVALL</t>
        </is>
      </c>
      <c r="F5769" t="inlineStr">
        <is>
          <t>Holmen skog AB</t>
        </is>
      </c>
      <c r="G5769" t="n">
        <v>7.6</v>
      </c>
      <c r="H5769" t="n">
        <v>0</v>
      </c>
      <c r="I5769" t="n">
        <v>0</v>
      </c>
      <c r="J5769" t="n">
        <v>0</v>
      </c>
      <c r="K5769" t="n">
        <v>0</v>
      </c>
      <c r="L5769" t="n">
        <v>0</v>
      </c>
      <c r="M5769" t="n">
        <v>0</v>
      </c>
      <c r="N5769" t="n">
        <v>0</v>
      </c>
      <c r="O5769" t="n">
        <v>0</v>
      </c>
      <c r="P5769" t="n">
        <v>0</v>
      </c>
      <c r="Q5769" t="n">
        <v>0</v>
      </c>
      <c r="R5769" s="2" t="inlineStr"/>
    </row>
    <row r="5770" ht="15" customHeight="1">
      <c r="A5770" t="inlineStr">
        <is>
          <t>A 54578-2024</t>
        </is>
      </c>
      <c r="B5770" s="1" t="n">
        <v>45617.65644675926</v>
      </c>
      <c r="C5770" s="1" t="n">
        <v>45883</v>
      </c>
      <c r="D5770" t="inlineStr">
        <is>
          <t>GÄVLEBORGS LÄN</t>
        </is>
      </c>
      <c r="E5770" t="inlineStr">
        <is>
          <t>HOFORS</t>
        </is>
      </c>
      <c r="G5770" t="n">
        <v>3.9</v>
      </c>
      <c r="H5770" t="n">
        <v>0</v>
      </c>
      <c r="I5770" t="n">
        <v>0</v>
      </c>
      <c r="J5770" t="n">
        <v>0</v>
      </c>
      <c r="K5770" t="n">
        <v>0</v>
      </c>
      <c r="L5770" t="n">
        <v>0</v>
      </c>
      <c r="M5770" t="n">
        <v>0</v>
      </c>
      <c r="N5770" t="n">
        <v>0</v>
      </c>
      <c r="O5770" t="n">
        <v>0</v>
      </c>
      <c r="P5770" t="n">
        <v>0</v>
      </c>
      <c r="Q5770" t="n">
        <v>0</v>
      </c>
      <c r="R5770" s="2" t="inlineStr"/>
    </row>
    <row r="5771" ht="15" customHeight="1">
      <c r="A5771" t="inlineStr">
        <is>
          <t>A 2720-2025</t>
        </is>
      </c>
      <c r="B5771" s="1" t="n">
        <v>45677.43327546296</v>
      </c>
      <c r="C5771" s="1" t="n">
        <v>45883</v>
      </c>
      <c r="D5771" t="inlineStr">
        <is>
          <t>GÄVLEBORGS LÄN</t>
        </is>
      </c>
      <c r="E5771" t="inlineStr">
        <is>
          <t>HUDIKSVALL</t>
        </is>
      </c>
      <c r="F5771" t="inlineStr">
        <is>
          <t>Holmen skog AB</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5906-2025</t>
        </is>
      </c>
      <c r="B5772" s="1" t="n">
        <v>45695.40210648148</v>
      </c>
      <c r="C5772" s="1" t="n">
        <v>45883</v>
      </c>
      <c r="D5772" t="inlineStr">
        <is>
          <t>GÄVLEBORGS LÄN</t>
        </is>
      </c>
      <c r="E5772" t="inlineStr">
        <is>
          <t>GÄVLE</t>
        </is>
      </c>
      <c r="F5772" t="inlineStr">
        <is>
          <t>Bergvik skog öst AB</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25650-2025</t>
        </is>
      </c>
      <c r="B5773" s="1" t="n">
        <v>45803.61027777778</v>
      </c>
      <c r="C5773" s="1" t="n">
        <v>45883</v>
      </c>
      <c r="D5773" t="inlineStr">
        <is>
          <t>GÄVLEBORGS LÄN</t>
        </is>
      </c>
      <c r="E5773" t="inlineStr">
        <is>
          <t>OVANÅKER</t>
        </is>
      </c>
      <c r="G5773" t="n">
        <v>6.1</v>
      </c>
      <c r="H5773" t="n">
        <v>0</v>
      </c>
      <c r="I5773" t="n">
        <v>0</v>
      </c>
      <c r="J5773" t="n">
        <v>0</v>
      </c>
      <c r="K5773" t="n">
        <v>0</v>
      </c>
      <c r="L5773" t="n">
        <v>0</v>
      </c>
      <c r="M5773" t="n">
        <v>0</v>
      </c>
      <c r="N5773" t="n">
        <v>0</v>
      </c>
      <c r="O5773" t="n">
        <v>0</v>
      </c>
      <c r="P5773" t="n">
        <v>0</v>
      </c>
      <c r="Q5773" t="n">
        <v>0</v>
      </c>
      <c r="R5773" s="2" t="inlineStr"/>
    </row>
    <row r="5774" ht="15" customHeight="1">
      <c r="A5774" t="inlineStr">
        <is>
          <t>A 5963-2025</t>
        </is>
      </c>
      <c r="B5774" s="1" t="n">
        <v>45695.48805555556</v>
      </c>
      <c r="C5774" s="1" t="n">
        <v>45883</v>
      </c>
      <c r="D5774" t="inlineStr">
        <is>
          <t>GÄVLEBORGS LÄN</t>
        </is>
      </c>
      <c r="E5774" t="inlineStr">
        <is>
          <t>NORDANSTIG</t>
        </is>
      </c>
      <c r="G5774" t="n">
        <v>3.5</v>
      </c>
      <c r="H5774" t="n">
        <v>0</v>
      </c>
      <c r="I5774" t="n">
        <v>0</v>
      </c>
      <c r="J5774" t="n">
        <v>0</v>
      </c>
      <c r="K5774" t="n">
        <v>0</v>
      </c>
      <c r="L5774" t="n">
        <v>0</v>
      </c>
      <c r="M5774" t="n">
        <v>0</v>
      </c>
      <c r="N5774" t="n">
        <v>0</v>
      </c>
      <c r="O5774" t="n">
        <v>0</v>
      </c>
      <c r="P5774" t="n">
        <v>0</v>
      </c>
      <c r="Q5774" t="n">
        <v>0</v>
      </c>
      <c r="R5774" s="2" t="inlineStr"/>
    </row>
    <row r="5775" ht="15" customHeight="1">
      <c r="A5775" t="inlineStr">
        <is>
          <t>A 42585-2023</t>
        </is>
      </c>
      <c r="B5775" s="1" t="n">
        <v>45181</v>
      </c>
      <c r="C5775" s="1" t="n">
        <v>45883</v>
      </c>
      <c r="D5775" t="inlineStr">
        <is>
          <t>GÄVLEBORGS LÄN</t>
        </is>
      </c>
      <c r="E5775" t="inlineStr">
        <is>
          <t>OCKELBO</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34280-2025</t>
        </is>
      </c>
      <c r="B5776" s="1" t="n">
        <v>45846.26282407407</v>
      </c>
      <c r="C5776" s="1" t="n">
        <v>45883</v>
      </c>
      <c r="D5776" t="inlineStr">
        <is>
          <t>GÄVLEBORGS LÄN</t>
        </is>
      </c>
      <c r="E5776" t="inlineStr">
        <is>
          <t>SÖDERHAMN</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17228-2023</t>
        </is>
      </c>
      <c r="B5777" s="1" t="n">
        <v>45035.31238425926</v>
      </c>
      <c r="C5777" s="1" t="n">
        <v>45883</v>
      </c>
      <c r="D5777" t="inlineStr">
        <is>
          <t>GÄVLEBORGS LÄN</t>
        </is>
      </c>
      <c r="E5777" t="inlineStr">
        <is>
          <t>LJUSDAL</t>
        </is>
      </c>
      <c r="F5777" t="inlineStr">
        <is>
          <t>Holmen skog AB</t>
        </is>
      </c>
      <c r="G5777" t="n">
        <v>1.8</v>
      </c>
      <c r="H5777" t="n">
        <v>0</v>
      </c>
      <c r="I5777" t="n">
        <v>0</v>
      </c>
      <c r="J5777" t="n">
        <v>0</v>
      </c>
      <c r="K5777" t="n">
        <v>0</v>
      </c>
      <c r="L5777" t="n">
        <v>0</v>
      </c>
      <c r="M5777" t="n">
        <v>0</v>
      </c>
      <c r="N5777" t="n">
        <v>0</v>
      </c>
      <c r="O5777" t="n">
        <v>0</v>
      </c>
      <c r="P5777" t="n">
        <v>0</v>
      </c>
      <c r="Q5777" t="n">
        <v>0</v>
      </c>
      <c r="R5777" s="2" t="inlineStr"/>
      <c r="U5777">
        <f>HYPERLINK("https://klasma.github.io/Logging_2161/knärot/A 17228-2023 karta knärot.png", "A 17228-2023")</f>
        <v/>
      </c>
      <c r="V5777">
        <f>HYPERLINK("https://klasma.github.io/Logging_2161/klagomål/A 17228-2023 FSC-klagomål.docx", "A 17228-2023")</f>
        <v/>
      </c>
      <c r="W5777">
        <f>HYPERLINK("https://klasma.github.io/Logging_2161/klagomålsmail/A 17228-2023 FSC-klagomål mail.docx", "A 17228-2023")</f>
        <v/>
      </c>
      <c r="X5777">
        <f>HYPERLINK("https://klasma.github.io/Logging_2161/tillsyn/A 17228-2023 tillsynsbegäran.docx", "A 17228-2023")</f>
        <v/>
      </c>
      <c r="Y5777">
        <f>HYPERLINK("https://klasma.github.io/Logging_2161/tillsynsmail/A 17228-2023 tillsynsbegäran mail.docx", "A 17228-2023")</f>
        <v/>
      </c>
    </row>
    <row r="5778" ht="15" customHeight="1">
      <c r="A5778" t="inlineStr">
        <is>
          <t>A 17230-2023</t>
        </is>
      </c>
      <c r="B5778" s="1" t="n">
        <v>45035.31333333333</v>
      </c>
      <c r="C5778" s="1" t="n">
        <v>45883</v>
      </c>
      <c r="D5778" t="inlineStr">
        <is>
          <t>GÄVLEBORGS LÄN</t>
        </is>
      </c>
      <c r="E5778" t="inlineStr">
        <is>
          <t>LJUSDAL</t>
        </is>
      </c>
      <c r="F5778" t="inlineStr">
        <is>
          <t>Holmen skog AB</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25750-2025</t>
        </is>
      </c>
      <c r="B5779" s="1" t="n">
        <v>45804.29422453704</v>
      </c>
      <c r="C5779" s="1" t="n">
        <v>45883</v>
      </c>
      <c r="D5779" t="inlineStr">
        <is>
          <t>GÄVLEBORGS LÄN</t>
        </is>
      </c>
      <c r="E5779" t="inlineStr">
        <is>
          <t>HUDIKSVALL</t>
        </is>
      </c>
      <c r="G5779" t="n">
        <v>4.1</v>
      </c>
      <c r="H5779" t="n">
        <v>0</v>
      </c>
      <c r="I5779" t="n">
        <v>0</v>
      </c>
      <c r="J5779" t="n">
        <v>0</v>
      </c>
      <c r="K5779" t="n">
        <v>0</v>
      </c>
      <c r="L5779" t="n">
        <v>0</v>
      </c>
      <c r="M5779" t="n">
        <v>0</v>
      </c>
      <c r="N5779" t="n">
        <v>0</v>
      </c>
      <c r="O5779" t="n">
        <v>0</v>
      </c>
      <c r="P5779" t="n">
        <v>0</v>
      </c>
      <c r="Q5779" t="n">
        <v>0</v>
      </c>
      <c r="R5779" s="2" t="inlineStr"/>
    </row>
    <row r="5780" ht="15" customHeight="1">
      <c r="A5780" t="inlineStr">
        <is>
          <t>A 34113-2025</t>
        </is>
      </c>
      <c r="B5780" s="1" t="n">
        <v>45845.50296296296</v>
      </c>
      <c r="C5780" s="1" t="n">
        <v>45883</v>
      </c>
      <c r="D5780" t="inlineStr">
        <is>
          <t>GÄVLEBORGS LÄN</t>
        </is>
      </c>
      <c r="E5780" t="inlineStr">
        <is>
          <t>GÄVLE</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34118-2025</t>
        </is>
      </c>
      <c r="B5781" s="1" t="n">
        <v>45845.51532407408</v>
      </c>
      <c r="C5781" s="1" t="n">
        <v>45883</v>
      </c>
      <c r="D5781" t="inlineStr">
        <is>
          <t>GÄVLEBORGS LÄN</t>
        </is>
      </c>
      <c r="E5781" t="inlineStr">
        <is>
          <t>GÄVLE</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25564-2025</t>
        </is>
      </c>
      <c r="B5782" s="1" t="n">
        <v>45803.45716435185</v>
      </c>
      <c r="C5782" s="1" t="n">
        <v>45883</v>
      </c>
      <c r="D5782" t="inlineStr">
        <is>
          <t>GÄVLEBORGS LÄN</t>
        </is>
      </c>
      <c r="E5782" t="inlineStr">
        <is>
          <t>OCKELBO</t>
        </is>
      </c>
      <c r="F5782" t="inlineStr">
        <is>
          <t>Bergvik skog väst AB</t>
        </is>
      </c>
      <c r="G5782" t="n">
        <v>11.7</v>
      </c>
      <c r="H5782" t="n">
        <v>0</v>
      </c>
      <c r="I5782" t="n">
        <v>0</v>
      </c>
      <c r="J5782" t="n">
        <v>0</v>
      </c>
      <c r="K5782" t="n">
        <v>0</v>
      </c>
      <c r="L5782" t="n">
        <v>0</v>
      </c>
      <c r="M5782" t="n">
        <v>0</v>
      </c>
      <c r="N5782" t="n">
        <v>0</v>
      </c>
      <c r="O5782" t="n">
        <v>0</v>
      </c>
      <c r="P5782" t="n">
        <v>0</v>
      </c>
      <c r="Q5782" t="n">
        <v>0</v>
      </c>
      <c r="R5782" s="2" t="inlineStr"/>
    </row>
    <row r="5783" ht="15" customHeight="1">
      <c r="A5783" t="inlineStr">
        <is>
          <t>A 25467-2025</t>
        </is>
      </c>
      <c r="B5783" s="1" t="n">
        <v>45802.66018518519</v>
      </c>
      <c r="C5783" s="1" t="n">
        <v>45883</v>
      </c>
      <c r="D5783" t="inlineStr">
        <is>
          <t>GÄVLEBORGS LÄN</t>
        </is>
      </c>
      <c r="E5783" t="inlineStr">
        <is>
          <t>NORDANSTIG</t>
        </is>
      </c>
      <c r="F5783" t="inlineStr">
        <is>
          <t>Holmen skog AB</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25518-2025</t>
        </is>
      </c>
      <c r="B5784" s="1" t="n">
        <v>45803.38435185186</v>
      </c>
      <c r="C5784" s="1" t="n">
        <v>45883</v>
      </c>
      <c r="D5784" t="inlineStr">
        <is>
          <t>GÄVLEBORGS LÄN</t>
        </is>
      </c>
      <c r="E5784" t="inlineStr">
        <is>
          <t>OCKELBO</t>
        </is>
      </c>
      <c r="F5784" t="inlineStr">
        <is>
          <t>Bergvik skog väst AB</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56295-2024</t>
        </is>
      </c>
      <c r="B5785" s="1" t="n">
        <v>45624.6821875</v>
      </c>
      <c r="C5785" s="1" t="n">
        <v>45883</v>
      </c>
      <c r="D5785" t="inlineStr">
        <is>
          <t>GÄVLEBORGS LÄN</t>
        </is>
      </c>
      <c r="E5785" t="inlineStr">
        <is>
          <t>NORDANSTIG</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25539-2025</t>
        </is>
      </c>
      <c r="B5786" s="1" t="n">
        <v>45803.42452546296</v>
      </c>
      <c r="C5786" s="1" t="n">
        <v>45883</v>
      </c>
      <c r="D5786" t="inlineStr">
        <is>
          <t>GÄVLEBORGS LÄN</t>
        </is>
      </c>
      <c r="E5786" t="inlineStr">
        <is>
          <t>LJUSDAL</t>
        </is>
      </c>
      <c r="F5786" t="inlineStr">
        <is>
          <t>Holmen skog AB</t>
        </is>
      </c>
      <c r="G5786" t="n">
        <v>12.9</v>
      </c>
      <c r="H5786" t="n">
        <v>0</v>
      </c>
      <c r="I5786" t="n">
        <v>0</v>
      </c>
      <c r="J5786" t="n">
        <v>0</v>
      </c>
      <c r="K5786" t="n">
        <v>0</v>
      </c>
      <c r="L5786" t="n">
        <v>0</v>
      </c>
      <c r="M5786" t="n">
        <v>0</v>
      </c>
      <c r="N5786" t="n">
        <v>0</v>
      </c>
      <c r="O5786" t="n">
        <v>0</v>
      </c>
      <c r="P5786" t="n">
        <v>0</v>
      </c>
      <c r="Q5786" t="n">
        <v>0</v>
      </c>
      <c r="R5786" s="2" t="inlineStr"/>
    </row>
    <row r="5787" ht="15" customHeight="1">
      <c r="A5787" t="inlineStr">
        <is>
          <t>A 25832-2025</t>
        </is>
      </c>
      <c r="B5787" s="1" t="n">
        <v>45804.44728009259</v>
      </c>
      <c r="C5787" s="1" t="n">
        <v>45883</v>
      </c>
      <c r="D5787" t="inlineStr">
        <is>
          <t>GÄVLEBORGS LÄN</t>
        </is>
      </c>
      <c r="E5787" t="inlineStr">
        <is>
          <t>LJUSDAL</t>
        </is>
      </c>
      <c r="F5787" t="inlineStr">
        <is>
          <t>Holmen skog AB</t>
        </is>
      </c>
      <c r="G5787" t="n">
        <v>23.1</v>
      </c>
      <c r="H5787" t="n">
        <v>0</v>
      </c>
      <c r="I5787" t="n">
        <v>0</v>
      </c>
      <c r="J5787" t="n">
        <v>0</v>
      </c>
      <c r="K5787" t="n">
        <v>0</v>
      </c>
      <c r="L5787" t="n">
        <v>0</v>
      </c>
      <c r="M5787" t="n">
        <v>0</v>
      </c>
      <c r="N5787" t="n">
        <v>0</v>
      </c>
      <c r="O5787" t="n">
        <v>0</v>
      </c>
      <c r="P5787" t="n">
        <v>0</v>
      </c>
      <c r="Q5787" t="n">
        <v>0</v>
      </c>
      <c r="R5787" s="2" t="inlineStr"/>
    </row>
    <row r="5788" ht="15" customHeight="1">
      <c r="A5788" t="inlineStr">
        <is>
          <t>A 3662-2022</t>
        </is>
      </c>
      <c r="B5788" s="1" t="n">
        <v>44586</v>
      </c>
      <c r="C5788" s="1" t="n">
        <v>45883</v>
      </c>
      <c r="D5788" t="inlineStr">
        <is>
          <t>GÄVLEBORGS LÄN</t>
        </is>
      </c>
      <c r="E5788" t="inlineStr">
        <is>
          <t>GÄVLE</t>
        </is>
      </c>
      <c r="F5788" t="inlineStr">
        <is>
          <t>Bergvik skog öst AB</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56352-2024</t>
        </is>
      </c>
      <c r="B5789" s="1" t="n">
        <v>45624.92115740741</v>
      </c>
      <c r="C5789" s="1" t="n">
        <v>45883</v>
      </c>
      <c r="D5789" t="inlineStr">
        <is>
          <t>GÄVLEBORGS LÄN</t>
        </is>
      </c>
      <c r="E5789" t="inlineStr">
        <is>
          <t>OCKELBO</t>
        </is>
      </c>
      <c r="F5789" t="inlineStr">
        <is>
          <t>Bergvik skog väst AB</t>
        </is>
      </c>
      <c r="G5789" t="n">
        <v>4.6</v>
      </c>
      <c r="H5789" t="n">
        <v>0</v>
      </c>
      <c r="I5789" t="n">
        <v>0</v>
      </c>
      <c r="J5789" t="n">
        <v>0</v>
      </c>
      <c r="K5789" t="n">
        <v>0</v>
      </c>
      <c r="L5789" t="n">
        <v>0</v>
      </c>
      <c r="M5789" t="n">
        <v>0</v>
      </c>
      <c r="N5789" t="n">
        <v>0</v>
      </c>
      <c r="O5789" t="n">
        <v>0</v>
      </c>
      <c r="P5789" t="n">
        <v>0</v>
      </c>
      <c r="Q5789" t="n">
        <v>0</v>
      </c>
      <c r="R5789" s="2" t="inlineStr"/>
    </row>
    <row r="5790" ht="15" customHeight="1">
      <c r="A5790" t="inlineStr">
        <is>
          <t>A 56363-2024</t>
        </is>
      </c>
      <c r="B5790" s="1" t="n">
        <v>45625.30894675926</v>
      </c>
      <c r="C5790" s="1" t="n">
        <v>45883</v>
      </c>
      <c r="D5790" t="inlineStr">
        <is>
          <t>GÄVLEBORGS LÄN</t>
        </is>
      </c>
      <c r="E5790" t="inlineStr">
        <is>
          <t>HUDIKSVALL</t>
        </is>
      </c>
      <c r="G5790" t="n">
        <v>5</v>
      </c>
      <c r="H5790" t="n">
        <v>0</v>
      </c>
      <c r="I5790" t="n">
        <v>0</v>
      </c>
      <c r="J5790" t="n">
        <v>0</v>
      </c>
      <c r="K5790" t="n">
        <v>0</v>
      </c>
      <c r="L5790" t="n">
        <v>0</v>
      </c>
      <c r="M5790" t="n">
        <v>0</v>
      </c>
      <c r="N5790" t="n">
        <v>0</v>
      </c>
      <c r="O5790" t="n">
        <v>0</v>
      </c>
      <c r="P5790" t="n">
        <v>0</v>
      </c>
      <c r="Q5790" t="n">
        <v>0</v>
      </c>
      <c r="R5790" s="2" t="inlineStr"/>
    </row>
    <row r="5791" ht="15" customHeight="1">
      <c r="A5791" t="inlineStr">
        <is>
          <t>A 51970-2024</t>
        </is>
      </c>
      <c r="B5791" s="1" t="n">
        <v>45607</v>
      </c>
      <c r="C5791" s="1" t="n">
        <v>45883</v>
      </c>
      <c r="D5791" t="inlineStr">
        <is>
          <t>GÄVLEBORGS LÄN</t>
        </is>
      </c>
      <c r="E5791" t="inlineStr">
        <is>
          <t>BOLLNÄS</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3989-2025</t>
        </is>
      </c>
      <c r="B5792" s="1" t="n">
        <v>45684.55628472222</v>
      </c>
      <c r="C5792" s="1" t="n">
        <v>45883</v>
      </c>
      <c r="D5792" t="inlineStr">
        <is>
          <t>GÄVLEBORGS LÄN</t>
        </is>
      </c>
      <c r="E5792" t="inlineStr">
        <is>
          <t>OVANÅKER</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52174-2023</t>
        </is>
      </c>
      <c r="B5793" s="1" t="n">
        <v>45224.35961805555</v>
      </c>
      <c r="C5793" s="1" t="n">
        <v>45883</v>
      </c>
      <c r="D5793" t="inlineStr">
        <is>
          <t>GÄVLEBORGS LÄN</t>
        </is>
      </c>
      <c r="E5793" t="inlineStr">
        <is>
          <t>LJUSDAL</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25596-2025</t>
        </is>
      </c>
      <c r="B5794" s="1" t="n">
        <v>45803.52922453704</v>
      </c>
      <c r="C5794" s="1" t="n">
        <v>45883</v>
      </c>
      <c r="D5794" t="inlineStr">
        <is>
          <t>GÄVLEBORGS LÄN</t>
        </is>
      </c>
      <c r="E5794" t="inlineStr">
        <is>
          <t>BOLLNÄS</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25512-2025</t>
        </is>
      </c>
      <c r="B5795" s="1" t="n">
        <v>45803.36275462963</v>
      </c>
      <c r="C5795" s="1" t="n">
        <v>45883</v>
      </c>
      <c r="D5795" t="inlineStr">
        <is>
          <t>GÄVLEBORGS LÄN</t>
        </is>
      </c>
      <c r="E5795" t="inlineStr">
        <is>
          <t>OCKELBO</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5366-2024</t>
        </is>
      </c>
      <c r="B5796" s="1" t="n">
        <v>45331.4727662037</v>
      </c>
      <c r="C5796" s="1" t="n">
        <v>45883</v>
      </c>
      <c r="D5796" t="inlineStr">
        <is>
          <t>GÄVLEBORGS LÄN</t>
        </is>
      </c>
      <c r="E5796" t="inlineStr">
        <is>
          <t>SÖDERHAMN</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42313-2023</t>
        </is>
      </c>
      <c r="B5797" s="1" t="n">
        <v>45180.46878472222</v>
      </c>
      <c r="C5797" s="1" t="n">
        <v>45883</v>
      </c>
      <c r="D5797" t="inlineStr">
        <is>
          <t>GÄVLEBORGS LÄN</t>
        </is>
      </c>
      <c r="E5797" t="inlineStr">
        <is>
          <t>OCKELBO</t>
        </is>
      </c>
      <c r="G5797" t="n">
        <v>0.4</v>
      </c>
      <c r="H5797" t="n">
        <v>0</v>
      </c>
      <c r="I5797" t="n">
        <v>0</v>
      </c>
      <c r="J5797" t="n">
        <v>0</v>
      </c>
      <c r="K5797" t="n">
        <v>0</v>
      </c>
      <c r="L5797" t="n">
        <v>0</v>
      </c>
      <c r="M5797" t="n">
        <v>0</v>
      </c>
      <c r="N5797" t="n">
        <v>0</v>
      </c>
      <c r="O5797" t="n">
        <v>0</v>
      </c>
      <c r="P5797" t="n">
        <v>0</v>
      </c>
      <c r="Q5797" t="n">
        <v>0</v>
      </c>
      <c r="R5797" s="2" t="inlineStr"/>
    </row>
    <row r="5798" ht="15" customHeight="1">
      <c r="A5798" t="inlineStr">
        <is>
          <t>A 42314-2023</t>
        </is>
      </c>
      <c r="B5798" s="1" t="n">
        <v>45180</v>
      </c>
      <c r="C5798" s="1" t="n">
        <v>45883</v>
      </c>
      <c r="D5798" t="inlineStr">
        <is>
          <t>GÄVLEBORGS LÄN</t>
        </is>
      </c>
      <c r="E5798" t="inlineStr">
        <is>
          <t>BOLLNÄS</t>
        </is>
      </c>
      <c r="G5798" t="n">
        <v>11.9</v>
      </c>
      <c r="H5798" t="n">
        <v>0</v>
      </c>
      <c r="I5798" t="n">
        <v>0</v>
      </c>
      <c r="J5798" t="n">
        <v>0</v>
      </c>
      <c r="K5798" t="n">
        <v>0</v>
      </c>
      <c r="L5798" t="n">
        <v>0</v>
      </c>
      <c r="M5798" t="n">
        <v>0</v>
      </c>
      <c r="N5798" t="n">
        <v>0</v>
      </c>
      <c r="O5798" t="n">
        <v>0</v>
      </c>
      <c r="P5798" t="n">
        <v>0</v>
      </c>
      <c r="Q5798" t="n">
        <v>0</v>
      </c>
      <c r="R5798" s="2" t="inlineStr"/>
    </row>
    <row r="5799" ht="15" customHeight="1">
      <c r="A5799" t="inlineStr">
        <is>
          <t>A 43716-2023</t>
        </is>
      </c>
      <c r="B5799" s="1" t="n">
        <v>45187</v>
      </c>
      <c r="C5799" s="1" t="n">
        <v>45883</v>
      </c>
      <c r="D5799" t="inlineStr">
        <is>
          <t>GÄVLEBORGS LÄN</t>
        </is>
      </c>
      <c r="E5799" t="inlineStr">
        <is>
          <t>SANDVIKEN</t>
        </is>
      </c>
      <c r="F5799" t="inlineStr">
        <is>
          <t>Sveaskog</t>
        </is>
      </c>
      <c r="G5799" t="n">
        <v>1.6</v>
      </c>
      <c r="H5799" t="n">
        <v>0</v>
      </c>
      <c r="I5799" t="n">
        <v>0</v>
      </c>
      <c r="J5799" t="n">
        <v>0</v>
      </c>
      <c r="K5799" t="n">
        <v>0</v>
      </c>
      <c r="L5799" t="n">
        <v>0</v>
      </c>
      <c r="M5799" t="n">
        <v>0</v>
      </c>
      <c r="N5799" t="n">
        <v>0</v>
      </c>
      <c r="O5799" t="n">
        <v>0</v>
      </c>
      <c r="P5799" t="n">
        <v>0</v>
      </c>
      <c r="Q5799" t="n">
        <v>0</v>
      </c>
      <c r="R5799" s="2" t="inlineStr"/>
      <c r="U5799">
        <f>HYPERLINK("https://klasma.github.io/Logging_2181/knärot/A 43716-2023 karta knärot.png", "A 43716-2023")</f>
        <v/>
      </c>
      <c r="V5799">
        <f>HYPERLINK("https://klasma.github.io/Logging_2181/klagomål/A 43716-2023 FSC-klagomål.docx", "A 43716-2023")</f>
        <v/>
      </c>
      <c r="W5799">
        <f>HYPERLINK("https://klasma.github.io/Logging_2181/klagomålsmail/A 43716-2023 FSC-klagomål mail.docx", "A 43716-2023")</f>
        <v/>
      </c>
      <c r="X5799">
        <f>HYPERLINK("https://klasma.github.io/Logging_2181/tillsyn/A 43716-2023 tillsynsbegäran.docx", "A 43716-2023")</f>
        <v/>
      </c>
      <c r="Y5799">
        <f>HYPERLINK("https://klasma.github.io/Logging_2181/tillsynsmail/A 43716-2023 tillsynsbegäran mail.docx", "A 43716-2023")</f>
        <v/>
      </c>
    </row>
    <row r="5800" ht="15" customHeight="1">
      <c r="A5800" t="inlineStr">
        <is>
          <t>A 3586-2025</t>
        </is>
      </c>
      <c r="B5800" s="1" t="n">
        <v>45680.83643518519</v>
      </c>
      <c r="C5800" s="1" t="n">
        <v>45883</v>
      </c>
      <c r="D5800" t="inlineStr">
        <is>
          <t>GÄVLEBORGS LÄN</t>
        </is>
      </c>
      <c r="E5800" t="inlineStr">
        <is>
          <t>OVANÅKER</t>
        </is>
      </c>
      <c r="G5800" t="n">
        <v>4.5</v>
      </c>
      <c r="H5800" t="n">
        <v>0</v>
      </c>
      <c r="I5800" t="n">
        <v>0</v>
      </c>
      <c r="J5800" t="n">
        <v>0</v>
      </c>
      <c r="K5800" t="n">
        <v>0</v>
      </c>
      <c r="L5800" t="n">
        <v>0</v>
      </c>
      <c r="M5800" t="n">
        <v>0</v>
      </c>
      <c r="N5800" t="n">
        <v>0</v>
      </c>
      <c r="O5800" t="n">
        <v>0</v>
      </c>
      <c r="P5800" t="n">
        <v>0</v>
      </c>
      <c r="Q5800" t="n">
        <v>0</v>
      </c>
      <c r="R5800" s="2" t="inlineStr"/>
    </row>
    <row r="5801" ht="15" customHeight="1">
      <c r="A5801" t="inlineStr">
        <is>
          <t>A 11475-2024</t>
        </is>
      </c>
      <c r="B5801" s="1" t="n">
        <v>45372.61509259259</v>
      </c>
      <c r="C5801" s="1" t="n">
        <v>45883</v>
      </c>
      <c r="D5801" t="inlineStr">
        <is>
          <t>GÄVLEBORGS LÄN</t>
        </is>
      </c>
      <c r="E5801" t="inlineStr">
        <is>
          <t>HUDIKSVALL</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25756-2025</t>
        </is>
      </c>
      <c r="B5802" s="1" t="n">
        <v>45804.32913194445</v>
      </c>
      <c r="C5802" s="1" t="n">
        <v>45883</v>
      </c>
      <c r="D5802" t="inlineStr">
        <is>
          <t>GÄVLEBORGS LÄN</t>
        </is>
      </c>
      <c r="E5802" t="inlineStr">
        <is>
          <t>LJUSDAL</t>
        </is>
      </c>
      <c r="F5802" t="inlineStr">
        <is>
          <t>Holmen skog AB</t>
        </is>
      </c>
      <c r="G5802" t="n">
        <v>7.5</v>
      </c>
      <c r="H5802" t="n">
        <v>0</v>
      </c>
      <c r="I5802" t="n">
        <v>0</v>
      </c>
      <c r="J5802" t="n">
        <v>0</v>
      </c>
      <c r="K5802" t="n">
        <v>0</v>
      </c>
      <c r="L5802" t="n">
        <v>0</v>
      </c>
      <c r="M5802" t="n">
        <v>0</v>
      </c>
      <c r="N5802" t="n">
        <v>0</v>
      </c>
      <c r="O5802" t="n">
        <v>0</v>
      </c>
      <c r="P5802" t="n">
        <v>0</v>
      </c>
      <c r="Q5802" t="n">
        <v>0</v>
      </c>
      <c r="R5802" s="2" t="inlineStr"/>
    </row>
    <row r="5803" ht="15" customHeight="1">
      <c r="A5803" t="inlineStr">
        <is>
          <t>A 3630-2025</t>
        </is>
      </c>
      <c r="B5803" s="1" t="n">
        <v>45681.37418981481</v>
      </c>
      <c r="C5803" s="1" t="n">
        <v>45883</v>
      </c>
      <c r="D5803" t="inlineStr">
        <is>
          <t>GÄVLEBORGS LÄN</t>
        </is>
      </c>
      <c r="E5803" t="inlineStr">
        <is>
          <t>BOLLNÄS</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25784-2025</t>
        </is>
      </c>
      <c r="B5804" s="1" t="n">
        <v>45804.3675</v>
      </c>
      <c r="C5804" s="1" t="n">
        <v>45883</v>
      </c>
      <c r="D5804" t="inlineStr">
        <is>
          <t>GÄVLEBORGS LÄN</t>
        </is>
      </c>
      <c r="E5804" t="inlineStr">
        <is>
          <t>HUDIKSVALL</t>
        </is>
      </c>
      <c r="F5804" t="inlineStr">
        <is>
          <t>Holmen skog AB</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25640-2025</t>
        </is>
      </c>
      <c r="B5805" s="1" t="n">
        <v>45803.60325231482</v>
      </c>
      <c r="C5805" s="1" t="n">
        <v>45883</v>
      </c>
      <c r="D5805" t="inlineStr">
        <is>
          <t>GÄVLEBORGS LÄN</t>
        </is>
      </c>
      <c r="E5805" t="inlineStr">
        <is>
          <t>OCKELBO</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43469-2023</t>
        </is>
      </c>
      <c r="B5806" s="1" t="n">
        <v>45184.4184837963</v>
      </c>
      <c r="C5806" s="1" t="n">
        <v>45883</v>
      </c>
      <c r="D5806" t="inlineStr">
        <is>
          <t>GÄVLEBORGS LÄN</t>
        </is>
      </c>
      <c r="E5806" t="inlineStr">
        <is>
          <t>HUDIKSVALL</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38048-2024</t>
        </is>
      </c>
      <c r="B5807" s="1" t="n">
        <v>45544</v>
      </c>
      <c r="C5807" s="1" t="n">
        <v>45883</v>
      </c>
      <c r="D5807" t="inlineStr">
        <is>
          <t>GÄVLEBORGS LÄN</t>
        </is>
      </c>
      <c r="E5807" t="inlineStr">
        <is>
          <t>NORDANSTIG</t>
        </is>
      </c>
      <c r="F5807" t="inlineStr">
        <is>
          <t>Holmen skog AB</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18279-2023</t>
        </is>
      </c>
      <c r="B5808" s="1" t="n">
        <v>45041.54736111111</v>
      </c>
      <c r="C5808" s="1" t="n">
        <v>45883</v>
      </c>
      <c r="D5808" t="inlineStr">
        <is>
          <t>GÄVLEBORGS LÄN</t>
        </is>
      </c>
      <c r="E5808" t="inlineStr">
        <is>
          <t>NORDANSTIG</t>
        </is>
      </c>
      <c r="F5808" t="inlineStr">
        <is>
          <t>Holmen skog AB</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14801-2023</t>
        </is>
      </c>
      <c r="B5809" s="1" t="n">
        <v>45014.62342592593</v>
      </c>
      <c r="C5809" s="1" t="n">
        <v>45883</v>
      </c>
      <c r="D5809" t="inlineStr">
        <is>
          <t>GÄVLEBORGS LÄN</t>
        </is>
      </c>
      <c r="E5809" t="inlineStr">
        <is>
          <t>GÄVLE</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38355-2022</t>
        </is>
      </c>
      <c r="B5810" s="1" t="n">
        <v>44812</v>
      </c>
      <c r="C5810" s="1" t="n">
        <v>45883</v>
      </c>
      <c r="D5810" t="inlineStr">
        <is>
          <t>GÄVLEBORGS LÄN</t>
        </is>
      </c>
      <c r="E5810" t="inlineStr">
        <is>
          <t>SÖDERHAMN</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51669-2020</t>
        </is>
      </c>
      <c r="B5811" s="1" t="n">
        <v>44113.67565972222</v>
      </c>
      <c r="C5811" s="1" t="n">
        <v>45883</v>
      </c>
      <c r="D5811" t="inlineStr">
        <is>
          <t>GÄVLEBORGS LÄN</t>
        </is>
      </c>
      <c r="E5811" t="inlineStr">
        <is>
          <t>NORDANSTIG</t>
        </is>
      </c>
      <c r="G5811" t="n">
        <v>3.2</v>
      </c>
      <c r="H5811" t="n">
        <v>0</v>
      </c>
      <c r="I5811" t="n">
        <v>0</v>
      </c>
      <c r="J5811" t="n">
        <v>0</v>
      </c>
      <c r="K5811" t="n">
        <v>0</v>
      </c>
      <c r="L5811" t="n">
        <v>0</v>
      </c>
      <c r="M5811" t="n">
        <v>0</v>
      </c>
      <c r="N5811" t="n">
        <v>0</v>
      </c>
      <c r="O5811" t="n">
        <v>0</v>
      </c>
      <c r="P5811" t="n">
        <v>0</v>
      </c>
      <c r="Q5811" t="n">
        <v>0</v>
      </c>
      <c r="R5811" s="2" t="inlineStr"/>
    </row>
    <row r="5812" ht="15" customHeight="1">
      <c r="A5812" t="inlineStr">
        <is>
          <t>A 14825-2025</t>
        </is>
      </c>
      <c r="B5812" s="1" t="n">
        <v>45743.36491898148</v>
      </c>
      <c r="C5812" s="1" t="n">
        <v>45883</v>
      </c>
      <c r="D5812" t="inlineStr">
        <is>
          <t>GÄVLEBORGS LÄN</t>
        </is>
      </c>
      <c r="E5812" t="inlineStr">
        <is>
          <t>LJUSDAL</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14872-2025</t>
        </is>
      </c>
      <c r="B5813" s="1" t="n">
        <v>45743.44868055556</v>
      </c>
      <c r="C5813" s="1" t="n">
        <v>45883</v>
      </c>
      <c r="D5813" t="inlineStr">
        <is>
          <t>GÄVLEBORGS LÄN</t>
        </is>
      </c>
      <c r="E5813" t="inlineStr">
        <is>
          <t>LJUSDAL</t>
        </is>
      </c>
      <c r="F5813" t="inlineStr">
        <is>
          <t>Bergvik skog väst AB</t>
        </is>
      </c>
      <c r="G5813" t="n">
        <v>31.6</v>
      </c>
      <c r="H5813" t="n">
        <v>0</v>
      </c>
      <c r="I5813" t="n">
        <v>0</v>
      </c>
      <c r="J5813" t="n">
        <v>0</v>
      </c>
      <c r="K5813" t="n">
        <v>0</v>
      </c>
      <c r="L5813" t="n">
        <v>0</v>
      </c>
      <c r="M5813" t="n">
        <v>0</v>
      </c>
      <c r="N5813" t="n">
        <v>0</v>
      </c>
      <c r="O5813" t="n">
        <v>0</v>
      </c>
      <c r="P5813" t="n">
        <v>0</v>
      </c>
      <c r="Q5813" t="n">
        <v>0</v>
      </c>
      <c r="R5813" s="2" t="inlineStr"/>
    </row>
    <row r="5814" ht="15" customHeight="1">
      <c r="A5814" t="inlineStr">
        <is>
          <t>A 32297-2024</t>
        </is>
      </c>
      <c r="B5814" s="1" t="n">
        <v>45512.43391203704</v>
      </c>
      <c r="C5814" s="1" t="n">
        <v>45883</v>
      </c>
      <c r="D5814" t="inlineStr">
        <is>
          <t>GÄVLEBORGS LÄN</t>
        </is>
      </c>
      <c r="E5814" t="inlineStr">
        <is>
          <t>GÄVLE</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34105-2025</t>
        </is>
      </c>
      <c r="B5815" s="1" t="n">
        <v>45845</v>
      </c>
      <c r="C5815" s="1" t="n">
        <v>45883</v>
      </c>
      <c r="D5815" t="inlineStr">
        <is>
          <t>GÄVLEBORGS LÄN</t>
        </is>
      </c>
      <c r="E5815" t="inlineStr">
        <is>
          <t>GÄVLE</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13759-2022</t>
        </is>
      </c>
      <c r="B5816" s="1" t="n">
        <v>44649.45197916667</v>
      </c>
      <c r="C5816" s="1" t="n">
        <v>45883</v>
      </c>
      <c r="D5816" t="inlineStr">
        <is>
          <t>GÄVLEBORGS LÄN</t>
        </is>
      </c>
      <c r="E5816" t="inlineStr">
        <is>
          <t>HUDIKSVALL</t>
        </is>
      </c>
      <c r="F5816" t="inlineStr">
        <is>
          <t>Holmen skog AB</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48257-2023</t>
        </is>
      </c>
      <c r="B5817" s="1" t="n">
        <v>45205.53430555556</v>
      </c>
      <c r="C5817" s="1" t="n">
        <v>45883</v>
      </c>
      <c r="D5817" t="inlineStr">
        <is>
          <t>GÄVLEBORGS LÄN</t>
        </is>
      </c>
      <c r="E5817" t="inlineStr">
        <is>
          <t>SANDVIKEN</t>
        </is>
      </c>
      <c r="F5817" t="inlineStr">
        <is>
          <t>Sveaskog</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18818-2021</t>
        </is>
      </c>
      <c r="B5818" s="1" t="n">
        <v>44307.63686342593</v>
      </c>
      <c r="C5818" s="1" t="n">
        <v>45883</v>
      </c>
      <c r="D5818" t="inlineStr">
        <is>
          <t>GÄVLEBORGS LÄN</t>
        </is>
      </c>
      <c r="E5818" t="inlineStr">
        <is>
          <t>HUDIKSVALL</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34240-2025</t>
        </is>
      </c>
      <c r="B5819" s="1" t="n">
        <v>45845.67427083333</v>
      </c>
      <c r="C5819" s="1" t="n">
        <v>45883</v>
      </c>
      <c r="D5819" t="inlineStr">
        <is>
          <t>GÄVLEBORGS LÄN</t>
        </is>
      </c>
      <c r="E5819" t="inlineStr">
        <is>
          <t>NORDANSTIG</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28795-2024</t>
        </is>
      </c>
      <c r="B5820" s="1" t="n">
        <v>45478.61697916667</v>
      </c>
      <c r="C5820" s="1" t="n">
        <v>45883</v>
      </c>
      <c r="D5820" t="inlineStr">
        <is>
          <t>GÄVLEBORGS LÄN</t>
        </is>
      </c>
      <c r="E5820" t="inlineStr">
        <is>
          <t>BOLLNÄS</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28801-2024</t>
        </is>
      </c>
      <c r="B5821" s="1" t="n">
        <v>45478.62592592592</v>
      </c>
      <c r="C5821" s="1" t="n">
        <v>45883</v>
      </c>
      <c r="D5821" t="inlineStr">
        <is>
          <t>GÄVLEBORGS LÄN</t>
        </is>
      </c>
      <c r="E5821" t="inlineStr">
        <is>
          <t>BOLLNÄS</t>
        </is>
      </c>
      <c r="F5821" t="inlineStr">
        <is>
          <t>Bergvik skog väst AB</t>
        </is>
      </c>
      <c r="G5821" t="n">
        <v>5.2</v>
      </c>
      <c r="H5821" t="n">
        <v>0</v>
      </c>
      <c r="I5821" t="n">
        <v>0</v>
      </c>
      <c r="J5821" t="n">
        <v>0</v>
      </c>
      <c r="K5821" t="n">
        <v>0</v>
      </c>
      <c r="L5821" t="n">
        <v>0</v>
      </c>
      <c r="M5821" t="n">
        <v>0</v>
      </c>
      <c r="N5821" t="n">
        <v>0</v>
      </c>
      <c r="O5821" t="n">
        <v>0</v>
      </c>
      <c r="P5821" t="n">
        <v>0</v>
      </c>
      <c r="Q5821" t="n">
        <v>0</v>
      </c>
      <c r="R5821" s="2" t="inlineStr"/>
    </row>
    <row r="5822" ht="15" customHeight="1">
      <c r="A5822" t="inlineStr">
        <is>
          <t>A 62774-2021</t>
        </is>
      </c>
      <c r="B5822" s="1" t="n">
        <v>44503</v>
      </c>
      <c r="C5822" s="1" t="n">
        <v>45883</v>
      </c>
      <c r="D5822" t="inlineStr">
        <is>
          <t>GÄVLEBORGS LÄN</t>
        </is>
      </c>
      <c r="E5822" t="inlineStr">
        <is>
          <t>OVANÅKER</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34228-2023</t>
        </is>
      </c>
      <c r="B5823" s="1" t="n">
        <v>45127</v>
      </c>
      <c r="C5823" s="1" t="n">
        <v>45883</v>
      </c>
      <c r="D5823" t="inlineStr">
        <is>
          <t>GÄVLEBORGS LÄN</t>
        </is>
      </c>
      <c r="E5823" t="inlineStr">
        <is>
          <t>LJUSDAL</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35593-2023</t>
        </is>
      </c>
      <c r="B5824" s="1" t="n">
        <v>45147</v>
      </c>
      <c r="C5824" s="1" t="n">
        <v>45883</v>
      </c>
      <c r="D5824" t="inlineStr">
        <is>
          <t>GÄVLEBORGS LÄN</t>
        </is>
      </c>
      <c r="E5824" t="inlineStr">
        <is>
          <t>HUDIKSVALL</t>
        </is>
      </c>
      <c r="F5824" t="inlineStr">
        <is>
          <t>Holmen skog AB</t>
        </is>
      </c>
      <c r="G5824" t="n">
        <v>4.8</v>
      </c>
      <c r="H5824" t="n">
        <v>0</v>
      </c>
      <c r="I5824" t="n">
        <v>0</v>
      </c>
      <c r="J5824" t="n">
        <v>0</v>
      </c>
      <c r="K5824" t="n">
        <v>0</v>
      </c>
      <c r="L5824" t="n">
        <v>0</v>
      </c>
      <c r="M5824" t="n">
        <v>0</v>
      </c>
      <c r="N5824" t="n">
        <v>0</v>
      </c>
      <c r="O5824" t="n">
        <v>0</v>
      </c>
      <c r="P5824" t="n">
        <v>0</v>
      </c>
      <c r="Q5824" t="n">
        <v>0</v>
      </c>
      <c r="R5824" s="2" t="inlineStr"/>
    </row>
    <row r="5825" ht="15" customHeight="1">
      <c r="A5825" t="inlineStr">
        <is>
          <t>A 6797-2025</t>
        </is>
      </c>
      <c r="B5825" s="1" t="n">
        <v>45700.66565972222</v>
      </c>
      <c r="C5825" s="1" t="n">
        <v>45883</v>
      </c>
      <c r="D5825" t="inlineStr">
        <is>
          <t>GÄVLEBORGS LÄN</t>
        </is>
      </c>
      <c r="E5825" t="inlineStr">
        <is>
          <t>GÄVLE</t>
        </is>
      </c>
      <c r="F5825" t="inlineStr">
        <is>
          <t>Bergvik skog öst AB</t>
        </is>
      </c>
      <c r="G5825" t="n">
        <v>3</v>
      </c>
      <c r="H5825" t="n">
        <v>0</v>
      </c>
      <c r="I5825" t="n">
        <v>0</v>
      </c>
      <c r="J5825" t="n">
        <v>0</v>
      </c>
      <c r="K5825" t="n">
        <v>0</v>
      </c>
      <c r="L5825" t="n">
        <v>0</v>
      </c>
      <c r="M5825" t="n">
        <v>0</v>
      </c>
      <c r="N5825" t="n">
        <v>0</v>
      </c>
      <c r="O5825" t="n">
        <v>0</v>
      </c>
      <c r="P5825" t="n">
        <v>0</v>
      </c>
      <c r="Q5825" t="n">
        <v>0</v>
      </c>
      <c r="R5825" s="2" t="inlineStr"/>
    </row>
    <row r="5826" ht="15" customHeight="1">
      <c r="A5826" t="inlineStr">
        <is>
          <t>A 18570-2025</t>
        </is>
      </c>
      <c r="B5826" s="1" t="n">
        <v>45763.4565162037</v>
      </c>
      <c r="C5826" s="1" t="n">
        <v>45883</v>
      </c>
      <c r="D5826" t="inlineStr">
        <is>
          <t>GÄVLEBORGS LÄN</t>
        </is>
      </c>
      <c r="E5826" t="inlineStr">
        <is>
          <t>OVANÅKER</t>
        </is>
      </c>
      <c r="F5826" t="inlineStr">
        <is>
          <t>Holmen skog AB</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34311-2025</t>
        </is>
      </c>
      <c r="B5827" s="1" t="n">
        <v>45846.39252314815</v>
      </c>
      <c r="C5827" s="1" t="n">
        <v>45883</v>
      </c>
      <c r="D5827" t="inlineStr">
        <is>
          <t>GÄVLEBORGS LÄN</t>
        </is>
      </c>
      <c r="E5827" t="inlineStr">
        <is>
          <t>NORDANSTIG</t>
        </is>
      </c>
      <c r="F5827" t="inlineStr">
        <is>
          <t>Holmen skog AB</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40243-2024</t>
        </is>
      </c>
      <c r="B5828" s="1" t="n">
        <v>45554.61340277778</v>
      </c>
      <c r="C5828" s="1" t="n">
        <v>45883</v>
      </c>
      <c r="D5828" t="inlineStr">
        <is>
          <t>GÄVLEBORGS LÄN</t>
        </is>
      </c>
      <c r="E5828" t="inlineStr">
        <is>
          <t>OCKELBO</t>
        </is>
      </c>
      <c r="F5828" t="inlineStr">
        <is>
          <t>Bergvik skog väst AB</t>
        </is>
      </c>
      <c r="G5828" t="n">
        <v>14.8</v>
      </c>
      <c r="H5828" t="n">
        <v>0</v>
      </c>
      <c r="I5828" t="n">
        <v>0</v>
      </c>
      <c r="J5828" t="n">
        <v>0</v>
      </c>
      <c r="K5828" t="n">
        <v>0</v>
      </c>
      <c r="L5828" t="n">
        <v>0</v>
      </c>
      <c r="M5828" t="n">
        <v>0</v>
      </c>
      <c r="N5828" t="n">
        <v>0</v>
      </c>
      <c r="O5828" t="n">
        <v>0</v>
      </c>
      <c r="P5828" t="n">
        <v>0</v>
      </c>
      <c r="Q5828" t="n">
        <v>0</v>
      </c>
      <c r="R5828" s="2" t="inlineStr"/>
    </row>
    <row r="5829" ht="15" customHeight="1">
      <c r="A5829" t="inlineStr">
        <is>
          <t>A 34342-2025</t>
        </is>
      </c>
      <c r="B5829" s="1" t="n">
        <v>45846.46015046296</v>
      </c>
      <c r="C5829" s="1" t="n">
        <v>45883</v>
      </c>
      <c r="D5829" t="inlineStr">
        <is>
          <t>GÄVLEBORGS LÄN</t>
        </is>
      </c>
      <c r="E5829" t="inlineStr">
        <is>
          <t>NORDANSTIG</t>
        </is>
      </c>
      <c r="F5829" t="inlineStr">
        <is>
          <t>Holmen skog AB</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25497-2025</t>
        </is>
      </c>
      <c r="B5830" s="1" t="n">
        <v>45803.34307870371</v>
      </c>
      <c r="C5830" s="1" t="n">
        <v>45883</v>
      </c>
      <c r="D5830" t="inlineStr">
        <is>
          <t>GÄVLEBORGS LÄN</t>
        </is>
      </c>
      <c r="E5830" t="inlineStr">
        <is>
          <t>HUDIKSVALL</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2290-2025</t>
        </is>
      </c>
      <c r="B5831" s="1" t="n">
        <v>45673</v>
      </c>
      <c r="C5831" s="1" t="n">
        <v>45883</v>
      </c>
      <c r="D5831" t="inlineStr">
        <is>
          <t>GÄVLEBORGS LÄN</t>
        </is>
      </c>
      <c r="E5831" t="inlineStr">
        <is>
          <t>SANDVIKEN</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34321-2025</t>
        </is>
      </c>
      <c r="B5832" s="1" t="n">
        <v>45846.42568287037</v>
      </c>
      <c r="C5832" s="1" t="n">
        <v>45883</v>
      </c>
      <c r="D5832" t="inlineStr">
        <is>
          <t>GÄVLEBORGS LÄN</t>
        </is>
      </c>
      <c r="E5832" t="inlineStr">
        <is>
          <t>OVANÅKER</t>
        </is>
      </c>
      <c r="F5832" t="inlineStr">
        <is>
          <t>Sveaskog</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34330-2025</t>
        </is>
      </c>
      <c r="B5833" s="1" t="n">
        <v>45846.44659722222</v>
      </c>
      <c r="C5833" s="1" t="n">
        <v>45883</v>
      </c>
      <c r="D5833" t="inlineStr">
        <is>
          <t>GÄVLEBORGS LÄN</t>
        </is>
      </c>
      <c r="E5833" t="inlineStr">
        <is>
          <t>LJUSDAL</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12086-2025</t>
        </is>
      </c>
      <c r="B5834" s="1" t="n">
        <v>45729.25450231481</v>
      </c>
      <c r="C5834" s="1" t="n">
        <v>45883</v>
      </c>
      <c r="D5834" t="inlineStr">
        <is>
          <t>GÄVLEBORGS LÄN</t>
        </is>
      </c>
      <c r="E5834" t="inlineStr">
        <is>
          <t>BOLLNÄS</t>
        </is>
      </c>
      <c r="F5834" t="inlineStr">
        <is>
          <t>Bergvik skog väst AB</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25684-2025</t>
        </is>
      </c>
      <c r="B5835" s="1" t="n">
        <v>45803.65211805556</v>
      </c>
      <c r="C5835" s="1" t="n">
        <v>45883</v>
      </c>
      <c r="D5835" t="inlineStr">
        <is>
          <t>GÄVLEBORGS LÄN</t>
        </is>
      </c>
      <c r="E5835" t="inlineStr">
        <is>
          <t>LJUSDAL</t>
        </is>
      </c>
      <c r="F5835" t="inlineStr">
        <is>
          <t>Holmen skog AB</t>
        </is>
      </c>
      <c r="G5835" t="n">
        <v>22.6</v>
      </c>
      <c r="H5835" t="n">
        <v>0</v>
      </c>
      <c r="I5835" t="n">
        <v>0</v>
      </c>
      <c r="J5835" t="n">
        <v>0</v>
      </c>
      <c r="K5835" t="n">
        <v>0</v>
      </c>
      <c r="L5835" t="n">
        <v>0</v>
      </c>
      <c r="M5835" t="n">
        <v>0</v>
      </c>
      <c r="N5835" t="n">
        <v>0</v>
      </c>
      <c r="O5835" t="n">
        <v>0</v>
      </c>
      <c r="P5835" t="n">
        <v>0</v>
      </c>
      <c r="Q5835" t="n">
        <v>0</v>
      </c>
      <c r="R5835" s="2" t="inlineStr"/>
    </row>
    <row r="5836" ht="15" customHeight="1">
      <c r="A5836" t="inlineStr">
        <is>
          <t>A 25469-2025</t>
        </is>
      </c>
      <c r="B5836" s="1" t="n">
        <v>45802.70565972223</v>
      </c>
      <c r="C5836" s="1" t="n">
        <v>45883</v>
      </c>
      <c r="D5836" t="inlineStr">
        <is>
          <t>GÄVLEBORGS LÄN</t>
        </is>
      </c>
      <c r="E5836" t="inlineStr">
        <is>
          <t>NORDANSTIG</t>
        </is>
      </c>
      <c r="F5836" t="inlineStr">
        <is>
          <t>Holmen skog AB</t>
        </is>
      </c>
      <c r="G5836" t="n">
        <v>6.4</v>
      </c>
      <c r="H5836" t="n">
        <v>0</v>
      </c>
      <c r="I5836" t="n">
        <v>0</v>
      </c>
      <c r="J5836" t="n">
        <v>0</v>
      </c>
      <c r="K5836" t="n">
        <v>0</v>
      </c>
      <c r="L5836" t="n">
        <v>0</v>
      </c>
      <c r="M5836" t="n">
        <v>0</v>
      </c>
      <c r="N5836" t="n">
        <v>0</v>
      </c>
      <c r="O5836" t="n">
        <v>0</v>
      </c>
      <c r="P5836" t="n">
        <v>0</v>
      </c>
      <c r="Q5836" t="n">
        <v>0</v>
      </c>
      <c r="R5836" s="2" t="inlineStr"/>
    </row>
    <row r="5837" ht="15" customHeight="1">
      <c r="A5837" t="inlineStr">
        <is>
          <t>A 54171-2024</t>
        </is>
      </c>
      <c r="B5837" s="1" t="n">
        <v>45616.62708333333</v>
      </c>
      <c r="C5837" s="1" t="n">
        <v>45883</v>
      </c>
      <c r="D5837" t="inlineStr">
        <is>
          <t>GÄVLEBORGS LÄN</t>
        </is>
      </c>
      <c r="E5837" t="inlineStr">
        <is>
          <t>SÖDERHAMN</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2584-2025</t>
        </is>
      </c>
      <c r="B5838" s="1" t="n">
        <v>45674</v>
      </c>
      <c r="C5838" s="1" t="n">
        <v>45883</v>
      </c>
      <c r="D5838" t="inlineStr">
        <is>
          <t>GÄVLEBORGS LÄN</t>
        </is>
      </c>
      <c r="E5838" t="inlineStr">
        <is>
          <t>LJUSDAL</t>
        </is>
      </c>
      <c r="F5838" t="inlineStr">
        <is>
          <t>Sveaskog</t>
        </is>
      </c>
      <c r="G5838" t="n">
        <v>4.1</v>
      </c>
      <c r="H5838" t="n">
        <v>0</v>
      </c>
      <c r="I5838" t="n">
        <v>0</v>
      </c>
      <c r="J5838" t="n">
        <v>0</v>
      </c>
      <c r="K5838" t="n">
        <v>0</v>
      </c>
      <c r="L5838" t="n">
        <v>0</v>
      </c>
      <c r="M5838" t="n">
        <v>0</v>
      </c>
      <c r="N5838" t="n">
        <v>0</v>
      </c>
      <c r="O5838" t="n">
        <v>0</v>
      </c>
      <c r="P5838" t="n">
        <v>0</v>
      </c>
      <c r="Q5838" t="n">
        <v>0</v>
      </c>
      <c r="R5838" s="2" t="inlineStr"/>
    </row>
    <row r="5839" ht="15" customHeight="1">
      <c r="A5839" t="inlineStr">
        <is>
          <t>A 25730-2025</t>
        </is>
      </c>
      <c r="B5839" s="1" t="n">
        <v>45803.73434027778</v>
      </c>
      <c r="C5839" s="1" t="n">
        <v>45883</v>
      </c>
      <c r="D5839" t="inlineStr">
        <is>
          <t>GÄVLEBORGS LÄN</t>
        </is>
      </c>
      <c r="E5839" t="inlineStr">
        <is>
          <t>HUDIKSVALL</t>
        </is>
      </c>
      <c r="G5839" t="n">
        <v>3.9</v>
      </c>
      <c r="H5839" t="n">
        <v>0</v>
      </c>
      <c r="I5839" t="n">
        <v>0</v>
      </c>
      <c r="J5839" t="n">
        <v>0</v>
      </c>
      <c r="K5839" t="n">
        <v>0</v>
      </c>
      <c r="L5839" t="n">
        <v>0</v>
      </c>
      <c r="M5839" t="n">
        <v>0</v>
      </c>
      <c r="N5839" t="n">
        <v>0</v>
      </c>
      <c r="O5839" t="n">
        <v>0</v>
      </c>
      <c r="P5839" t="n">
        <v>0</v>
      </c>
      <c r="Q5839" t="n">
        <v>0</v>
      </c>
      <c r="R5839" s="2" t="inlineStr"/>
    </row>
    <row r="5840" ht="15" customHeight="1">
      <c r="A5840" t="inlineStr">
        <is>
          <t>A 25740-2025</t>
        </is>
      </c>
      <c r="B5840" s="1" t="n">
        <v>45803.86391203704</v>
      </c>
      <c r="C5840" s="1" t="n">
        <v>45883</v>
      </c>
      <c r="D5840" t="inlineStr">
        <is>
          <t>GÄVLEBORGS LÄN</t>
        </is>
      </c>
      <c r="E5840" t="inlineStr">
        <is>
          <t>BOLLNÄS</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58885-2024</t>
        </is>
      </c>
      <c r="B5841" s="1" t="n">
        <v>45636.45076388889</v>
      </c>
      <c r="C5841" s="1" t="n">
        <v>45883</v>
      </c>
      <c r="D5841" t="inlineStr">
        <is>
          <t>GÄVLEBORGS LÄN</t>
        </is>
      </c>
      <c r="E5841" t="inlineStr">
        <is>
          <t>SANDVIKEN</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58891-2024</t>
        </is>
      </c>
      <c r="B5842" s="1" t="n">
        <v>45636.46212962963</v>
      </c>
      <c r="C5842" s="1" t="n">
        <v>45883</v>
      </c>
      <c r="D5842" t="inlineStr">
        <is>
          <t>GÄVLEBORGS LÄN</t>
        </is>
      </c>
      <c r="E5842" t="inlineStr">
        <is>
          <t>NORDANSTIG</t>
        </is>
      </c>
      <c r="F5842" t="inlineStr">
        <is>
          <t>Holmen skog AB</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25828-2025</t>
        </is>
      </c>
      <c r="B5843" s="1" t="n">
        <v>45804.44484953704</v>
      </c>
      <c r="C5843" s="1" t="n">
        <v>45883</v>
      </c>
      <c r="D5843" t="inlineStr">
        <is>
          <t>GÄVLEBORGS LÄN</t>
        </is>
      </c>
      <c r="E5843" t="inlineStr">
        <is>
          <t>HUDIKSVALL</t>
        </is>
      </c>
      <c r="F5843" t="inlineStr">
        <is>
          <t>Holmen skog AB</t>
        </is>
      </c>
      <c r="G5843" t="n">
        <v>7.3</v>
      </c>
      <c r="H5843" t="n">
        <v>0</v>
      </c>
      <c r="I5843" t="n">
        <v>0</v>
      </c>
      <c r="J5843" t="n">
        <v>0</v>
      </c>
      <c r="K5843" t="n">
        <v>0</v>
      </c>
      <c r="L5843" t="n">
        <v>0</v>
      </c>
      <c r="M5843" t="n">
        <v>0</v>
      </c>
      <c r="N5843" t="n">
        <v>0</v>
      </c>
      <c r="O5843" t="n">
        <v>0</v>
      </c>
      <c r="P5843" t="n">
        <v>0</v>
      </c>
      <c r="Q5843" t="n">
        <v>0</v>
      </c>
      <c r="R5843" s="2" t="inlineStr"/>
    </row>
    <row r="5844" ht="15" customHeight="1">
      <c r="A5844" t="inlineStr">
        <is>
          <t>A 64175-2020</t>
        </is>
      </c>
      <c r="B5844" s="1" t="n">
        <v>44167</v>
      </c>
      <c r="C5844" s="1" t="n">
        <v>45883</v>
      </c>
      <c r="D5844" t="inlineStr">
        <is>
          <t>GÄVLEBORGS LÄN</t>
        </is>
      </c>
      <c r="E5844" t="inlineStr">
        <is>
          <t>BOLLNÄS</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30240-2023</t>
        </is>
      </c>
      <c r="B5845" s="1" t="n">
        <v>45110.66166666667</v>
      </c>
      <c r="C5845" s="1" t="n">
        <v>45883</v>
      </c>
      <c r="D5845" t="inlineStr">
        <is>
          <t>GÄVLEBORGS LÄN</t>
        </is>
      </c>
      <c r="E5845" t="inlineStr">
        <is>
          <t>LJUSDAL</t>
        </is>
      </c>
      <c r="F5845" t="inlineStr">
        <is>
          <t>Sveaskog</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27066-2021</t>
        </is>
      </c>
      <c r="B5846" s="1" t="n">
        <v>44350.46327546296</v>
      </c>
      <c r="C5846" s="1" t="n">
        <v>45883</v>
      </c>
      <c r="D5846" t="inlineStr">
        <is>
          <t>GÄVLEBORGS LÄN</t>
        </is>
      </c>
      <c r="E5846" t="inlineStr">
        <is>
          <t>OCKELBO</t>
        </is>
      </c>
      <c r="F5846" t="inlineStr">
        <is>
          <t>Bergvik skog väst AB</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61501-2024</t>
        </is>
      </c>
      <c r="B5847" s="1" t="n">
        <v>45646.5587037037</v>
      </c>
      <c r="C5847" s="1" t="n">
        <v>45883</v>
      </c>
      <c r="D5847" t="inlineStr">
        <is>
          <t>GÄVLEBORGS LÄN</t>
        </is>
      </c>
      <c r="E5847" t="inlineStr">
        <is>
          <t>GÄVLE</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46299-2023</t>
        </is>
      </c>
      <c r="B5848" s="1" t="n">
        <v>45197.33954861111</v>
      </c>
      <c r="C5848" s="1" t="n">
        <v>45883</v>
      </c>
      <c r="D5848" t="inlineStr">
        <is>
          <t>GÄVLEBORGS LÄN</t>
        </is>
      </c>
      <c r="E5848" t="inlineStr">
        <is>
          <t>NORDANSTIG</t>
        </is>
      </c>
      <c r="F5848" t="inlineStr">
        <is>
          <t>Holmen skog AB</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72820-2021</t>
        </is>
      </c>
      <c r="B5849" s="1" t="n">
        <v>44547</v>
      </c>
      <c r="C5849" s="1" t="n">
        <v>45883</v>
      </c>
      <c r="D5849" t="inlineStr">
        <is>
          <t>GÄVLEBORGS LÄN</t>
        </is>
      </c>
      <c r="E5849" t="inlineStr">
        <is>
          <t>NORDANSTIG</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15304-2025</t>
        </is>
      </c>
      <c r="B5850" s="1" t="n">
        <v>45746.53479166667</v>
      </c>
      <c r="C5850" s="1" t="n">
        <v>45883</v>
      </c>
      <c r="D5850" t="inlineStr">
        <is>
          <t>GÄVLEBORGS LÄN</t>
        </is>
      </c>
      <c r="E5850" t="inlineStr">
        <is>
          <t>OVANÅKER</t>
        </is>
      </c>
      <c r="G5850" t="n">
        <v>7.1</v>
      </c>
      <c r="H5850" t="n">
        <v>0</v>
      </c>
      <c r="I5850" t="n">
        <v>0</v>
      </c>
      <c r="J5850" t="n">
        <v>0</v>
      </c>
      <c r="K5850" t="n">
        <v>0</v>
      </c>
      <c r="L5850" t="n">
        <v>0</v>
      </c>
      <c r="M5850" t="n">
        <v>0</v>
      </c>
      <c r="N5850" t="n">
        <v>0</v>
      </c>
      <c r="O5850" t="n">
        <v>0</v>
      </c>
      <c r="P5850" t="n">
        <v>0</v>
      </c>
      <c r="Q5850" t="n">
        <v>0</v>
      </c>
      <c r="R5850" s="2" t="inlineStr"/>
    </row>
    <row r="5851" ht="15" customHeight="1">
      <c r="A5851" t="inlineStr">
        <is>
          <t>A 25898-2025</t>
        </is>
      </c>
      <c r="B5851" s="1" t="n">
        <v>45804.54803240741</v>
      </c>
      <c r="C5851" s="1" t="n">
        <v>45883</v>
      </c>
      <c r="D5851" t="inlineStr">
        <is>
          <t>GÄVLEBORGS LÄN</t>
        </is>
      </c>
      <c r="E5851" t="inlineStr">
        <is>
          <t>LJUSDAL</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34396-2025</t>
        </is>
      </c>
      <c r="B5852" s="1" t="n">
        <v>45846.5946412037</v>
      </c>
      <c r="C5852" s="1" t="n">
        <v>45883</v>
      </c>
      <c r="D5852" t="inlineStr">
        <is>
          <t>GÄVLEBORGS LÄN</t>
        </is>
      </c>
      <c r="E5852" t="inlineStr">
        <is>
          <t>BOLLNÄS</t>
        </is>
      </c>
      <c r="G5852" t="n">
        <v>3.7</v>
      </c>
      <c r="H5852" t="n">
        <v>0</v>
      </c>
      <c r="I5852" t="n">
        <v>0</v>
      </c>
      <c r="J5852" t="n">
        <v>0</v>
      </c>
      <c r="K5852" t="n">
        <v>0</v>
      </c>
      <c r="L5852" t="n">
        <v>0</v>
      </c>
      <c r="M5852" t="n">
        <v>0</v>
      </c>
      <c r="N5852" t="n">
        <v>0</v>
      </c>
      <c r="O5852" t="n">
        <v>0</v>
      </c>
      <c r="P5852" t="n">
        <v>0</v>
      </c>
      <c r="Q5852" t="n">
        <v>0</v>
      </c>
      <c r="R5852" s="2" t="inlineStr"/>
    </row>
    <row r="5853" ht="15" customHeight="1">
      <c r="A5853" t="inlineStr">
        <is>
          <t>A 61487-2024</t>
        </is>
      </c>
      <c r="B5853" s="1" t="n">
        <v>45646.54785879629</v>
      </c>
      <c r="C5853" s="1" t="n">
        <v>45883</v>
      </c>
      <c r="D5853" t="inlineStr">
        <is>
          <t>GÄVLEBORGS LÄN</t>
        </is>
      </c>
      <c r="E5853" t="inlineStr">
        <is>
          <t>OVANÅKER</t>
        </is>
      </c>
      <c r="G5853" t="n">
        <v>0.2</v>
      </c>
      <c r="H5853" t="n">
        <v>0</v>
      </c>
      <c r="I5853" t="n">
        <v>0</v>
      </c>
      <c r="J5853" t="n">
        <v>0</v>
      </c>
      <c r="K5853" t="n">
        <v>0</v>
      </c>
      <c r="L5853" t="n">
        <v>0</v>
      </c>
      <c r="M5853" t="n">
        <v>0</v>
      </c>
      <c r="N5853" t="n">
        <v>0</v>
      </c>
      <c r="O5853" t="n">
        <v>0</v>
      </c>
      <c r="P5853" t="n">
        <v>0</v>
      </c>
      <c r="Q5853" t="n">
        <v>0</v>
      </c>
      <c r="R5853" s="2" t="inlineStr"/>
    </row>
    <row r="5854" ht="15" customHeight="1">
      <c r="A5854" t="inlineStr">
        <is>
          <t>A 25884-2025</t>
        </is>
      </c>
      <c r="B5854" s="1" t="n">
        <v>45804.50662037037</v>
      </c>
      <c r="C5854" s="1" t="n">
        <v>45883</v>
      </c>
      <c r="D5854" t="inlineStr">
        <is>
          <t>GÄVLEBORGS LÄN</t>
        </is>
      </c>
      <c r="E5854" t="inlineStr">
        <is>
          <t>LJUSDAL</t>
        </is>
      </c>
      <c r="F5854" t="inlineStr">
        <is>
          <t>Holmen skog AB</t>
        </is>
      </c>
      <c r="G5854" t="n">
        <v>11.4</v>
      </c>
      <c r="H5854" t="n">
        <v>0</v>
      </c>
      <c r="I5854" t="n">
        <v>0</v>
      </c>
      <c r="J5854" t="n">
        <v>0</v>
      </c>
      <c r="K5854" t="n">
        <v>0</v>
      </c>
      <c r="L5854" t="n">
        <v>0</v>
      </c>
      <c r="M5854" t="n">
        <v>0</v>
      </c>
      <c r="N5854" t="n">
        <v>0</v>
      </c>
      <c r="O5854" t="n">
        <v>0</v>
      </c>
      <c r="P5854" t="n">
        <v>0</v>
      </c>
      <c r="Q5854" t="n">
        <v>0</v>
      </c>
      <c r="R5854" s="2" t="inlineStr"/>
    </row>
    <row r="5855" ht="15" customHeight="1">
      <c r="A5855" t="inlineStr">
        <is>
          <t>A 25918-2025</t>
        </is>
      </c>
      <c r="B5855" s="1" t="n">
        <v>45803</v>
      </c>
      <c r="C5855" s="1" t="n">
        <v>45883</v>
      </c>
      <c r="D5855" t="inlineStr">
        <is>
          <t>GÄVLEBORGS LÄN</t>
        </is>
      </c>
      <c r="E5855" t="inlineStr">
        <is>
          <t>GÄVLE</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25987-2025</t>
        </is>
      </c>
      <c r="B5856" s="1" t="n">
        <v>45804.64680555555</v>
      </c>
      <c r="C5856" s="1" t="n">
        <v>45883</v>
      </c>
      <c r="D5856" t="inlineStr">
        <is>
          <t>GÄVLEBORGS LÄN</t>
        </is>
      </c>
      <c r="E5856" t="inlineStr">
        <is>
          <t>BOLLNÄS</t>
        </is>
      </c>
      <c r="F5856" t="inlineStr">
        <is>
          <t>Bergvik skog väst AB</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55019-2024</t>
        </is>
      </c>
      <c r="B5857" s="1" t="n">
        <v>45621.35841435185</v>
      </c>
      <c r="C5857" s="1" t="n">
        <v>45883</v>
      </c>
      <c r="D5857" t="inlineStr">
        <is>
          <t>GÄVLEBORGS LÄN</t>
        </is>
      </c>
      <c r="E5857" t="inlineStr">
        <is>
          <t>BOLLNÄS</t>
        </is>
      </c>
      <c r="G5857" t="n">
        <v>3.6</v>
      </c>
      <c r="H5857" t="n">
        <v>0</v>
      </c>
      <c r="I5857" t="n">
        <v>0</v>
      </c>
      <c r="J5857" t="n">
        <v>0</v>
      </c>
      <c r="K5857" t="n">
        <v>0</v>
      </c>
      <c r="L5857" t="n">
        <v>0</v>
      </c>
      <c r="M5857" t="n">
        <v>0</v>
      </c>
      <c r="N5857" t="n">
        <v>0</v>
      </c>
      <c r="O5857" t="n">
        <v>0</v>
      </c>
      <c r="P5857" t="n">
        <v>0</v>
      </c>
      <c r="Q5857" t="n">
        <v>0</v>
      </c>
      <c r="R5857" s="2" t="inlineStr"/>
    </row>
    <row r="5858" ht="15" customHeight="1">
      <c r="A5858" t="inlineStr">
        <is>
          <t>A 9918-2025</t>
        </is>
      </c>
      <c r="B5858" s="1" t="n">
        <v>45717.44746527778</v>
      </c>
      <c r="C5858" s="1" t="n">
        <v>45883</v>
      </c>
      <c r="D5858" t="inlineStr">
        <is>
          <t>GÄVLEBORGS LÄN</t>
        </is>
      </c>
      <c r="E5858" t="inlineStr">
        <is>
          <t>HUDIKSVALL</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13193-2025</t>
        </is>
      </c>
      <c r="B5859" s="1" t="n">
        <v>45735.41233796296</v>
      </c>
      <c r="C5859" s="1" t="n">
        <v>45883</v>
      </c>
      <c r="D5859" t="inlineStr">
        <is>
          <t>GÄVLEBORGS LÄN</t>
        </is>
      </c>
      <c r="E5859" t="inlineStr">
        <is>
          <t>GÄVLE</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4142-2023</t>
        </is>
      </c>
      <c r="B5860" s="1" t="n">
        <v>44953</v>
      </c>
      <c r="C5860" s="1" t="n">
        <v>45883</v>
      </c>
      <c r="D5860" t="inlineStr">
        <is>
          <t>GÄVLEBORGS LÄN</t>
        </is>
      </c>
      <c r="E5860" t="inlineStr">
        <is>
          <t>NORDANSTIG</t>
        </is>
      </c>
      <c r="F5860" t="inlineStr">
        <is>
          <t>Holmen skog AB</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20016-2023</t>
        </is>
      </c>
      <c r="B5861" s="1" t="n">
        <v>45054.63719907407</v>
      </c>
      <c r="C5861" s="1" t="n">
        <v>45883</v>
      </c>
      <c r="D5861" t="inlineStr">
        <is>
          <t>GÄVLEBORGS LÄN</t>
        </is>
      </c>
      <c r="E5861" t="inlineStr">
        <is>
          <t>LJUSDAL</t>
        </is>
      </c>
      <c r="F5861" t="inlineStr">
        <is>
          <t>Kommuner</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25503-2025</t>
        </is>
      </c>
      <c r="B5862" s="1" t="n">
        <v>45803.34987268518</v>
      </c>
      <c r="C5862" s="1" t="n">
        <v>45883</v>
      </c>
      <c r="D5862" t="inlineStr">
        <is>
          <t>GÄVLEBORGS LÄN</t>
        </is>
      </c>
      <c r="E5862" t="inlineStr">
        <is>
          <t>HUDIKSVALL</t>
        </is>
      </c>
      <c r="F5862" t="inlineStr">
        <is>
          <t>Holmen skog AB</t>
        </is>
      </c>
      <c r="G5862" t="n">
        <v>7.8</v>
      </c>
      <c r="H5862" t="n">
        <v>0</v>
      </c>
      <c r="I5862" t="n">
        <v>0</v>
      </c>
      <c r="J5862" t="n">
        <v>0</v>
      </c>
      <c r="K5862" t="n">
        <v>0</v>
      </c>
      <c r="L5862" t="n">
        <v>0</v>
      </c>
      <c r="M5862" t="n">
        <v>0</v>
      </c>
      <c r="N5862" t="n">
        <v>0</v>
      </c>
      <c r="O5862" t="n">
        <v>0</v>
      </c>
      <c r="P5862" t="n">
        <v>0</v>
      </c>
      <c r="Q5862" t="n">
        <v>0</v>
      </c>
      <c r="R5862" s="2" t="inlineStr"/>
    </row>
    <row r="5863" ht="15" customHeight="1">
      <c r="A5863" t="inlineStr">
        <is>
          <t>A 25504-2025</t>
        </is>
      </c>
      <c r="B5863" s="1" t="n">
        <v>45803.35074074074</v>
      </c>
      <c r="C5863" s="1" t="n">
        <v>45883</v>
      </c>
      <c r="D5863" t="inlineStr">
        <is>
          <t>GÄVLEBORGS LÄN</t>
        </is>
      </c>
      <c r="E5863" t="inlineStr">
        <is>
          <t>LJUSDAL</t>
        </is>
      </c>
      <c r="G5863" t="n">
        <v>3.1</v>
      </c>
      <c r="H5863" t="n">
        <v>0</v>
      </c>
      <c r="I5863" t="n">
        <v>0</v>
      </c>
      <c r="J5863" t="n">
        <v>0</v>
      </c>
      <c r="K5863" t="n">
        <v>0</v>
      </c>
      <c r="L5863" t="n">
        <v>0</v>
      </c>
      <c r="M5863" t="n">
        <v>0</v>
      </c>
      <c r="N5863" t="n">
        <v>0</v>
      </c>
      <c r="O5863" t="n">
        <v>0</v>
      </c>
      <c r="P5863" t="n">
        <v>0</v>
      </c>
      <c r="Q5863" t="n">
        <v>0</v>
      </c>
      <c r="R5863" s="2" t="inlineStr"/>
    </row>
    <row r="5864" ht="15" customHeight="1">
      <c r="A5864" t="inlineStr">
        <is>
          <t>A 33965-2025</t>
        </is>
      </c>
      <c r="B5864" s="1" t="n">
        <v>45842</v>
      </c>
      <c r="C5864" s="1" t="n">
        <v>45883</v>
      </c>
      <c r="D5864" t="inlineStr">
        <is>
          <t>GÄVLEBORGS LÄN</t>
        </is>
      </c>
      <c r="E5864" t="inlineStr">
        <is>
          <t>HUDIKSVALL</t>
        </is>
      </c>
      <c r="F5864" t="inlineStr">
        <is>
          <t>Holmen skog AB</t>
        </is>
      </c>
      <c r="G5864" t="n">
        <v>32.2</v>
      </c>
      <c r="H5864" t="n">
        <v>0</v>
      </c>
      <c r="I5864" t="n">
        <v>0</v>
      </c>
      <c r="J5864" t="n">
        <v>0</v>
      </c>
      <c r="K5864" t="n">
        <v>0</v>
      </c>
      <c r="L5864" t="n">
        <v>0</v>
      </c>
      <c r="M5864" t="n">
        <v>0</v>
      </c>
      <c r="N5864" t="n">
        <v>0</v>
      </c>
      <c r="O5864" t="n">
        <v>0</v>
      </c>
      <c r="P5864" t="n">
        <v>0</v>
      </c>
      <c r="Q5864" t="n">
        <v>0</v>
      </c>
      <c r="R5864" s="2" t="inlineStr"/>
    </row>
    <row r="5865" ht="15" customHeight="1">
      <c r="A5865" t="inlineStr">
        <is>
          <t>A 34239-2025</t>
        </is>
      </c>
      <c r="B5865" s="1" t="n">
        <v>45845.67314814815</v>
      </c>
      <c r="C5865" s="1" t="n">
        <v>45883</v>
      </c>
      <c r="D5865" t="inlineStr">
        <is>
          <t>GÄVLEBORGS LÄN</t>
        </is>
      </c>
      <c r="E5865" t="inlineStr">
        <is>
          <t>BOLLNÄS</t>
        </is>
      </c>
      <c r="G5865" t="n">
        <v>4.7</v>
      </c>
      <c r="H5865" t="n">
        <v>0</v>
      </c>
      <c r="I5865" t="n">
        <v>0</v>
      </c>
      <c r="J5865" t="n">
        <v>0</v>
      </c>
      <c r="K5865" t="n">
        <v>0</v>
      </c>
      <c r="L5865" t="n">
        <v>0</v>
      </c>
      <c r="M5865" t="n">
        <v>0</v>
      </c>
      <c r="N5865" t="n">
        <v>0</v>
      </c>
      <c r="O5865" t="n">
        <v>0</v>
      </c>
      <c r="P5865" t="n">
        <v>0</v>
      </c>
      <c r="Q5865" t="n">
        <v>0</v>
      </c>
      <c r="R5865" s="2" t="inlineStr"/>
    </row>
    <row r="5866" ht="15" customHeight="1">
      <c r="A5866" t="inlineStr">
        <is>
          <t>A 34276-2025</t>
        </is>
      </c>
      <c r="B5866" s="1" t="n">
        <v>45845.9084375</v>
      </c>
      <c r="C5866" s="1" t="n">
        <v>45883</v>
      </c>
      <c r="D5866" t="inlineStr">
        <is>
          <t>GÄVLEBORGS LÄN</t>
        </is>
      </c>
      <c r="E5866" t="inlineStr">
        <is>
          <t>LJUSDAL</t>
        </is>
      </c>
      <c r="F5866" t="inlineStr">
        <is>
          <t>Holmen skog AB</t>
        </is>
      </c>
      <c r="G5866" t="n">
        <v>33.7</v>
      </c>
      <c r="H5866" t="n">
        <v>0</v>
      </c>
      <c r="I5866" t="n">
        <v>0</v>
      </c>
      <c r="J5866" t="n">
        <v>0</v>
      </c>
      <c r="K5866" t="n">
        <v>0</v>
      </c>
      <c r="L5866" t="n">
        <v>0</v>
      </c>
      <c r="M5866" t="n">
        <v>0</v>
      </c>
      <c r="N5866" t="n">
        <v>0</v>
      </c>
      <c r="O5866" t="n">
        <v>0</v>
      </c>
      <c r="P5866" t="n">
        <v>0</v>
      </c>
      <c r="Q5866" t="n">
        <v>0</v>
      </c>
      <c r="R5866" s="2" t="inlineStr"/>
    </row>
    <row r="5867" ht="15" customHeight="1">
      <c r="A5867" t="inlineStr">
        <is>
          <t>A 25874-2025</t>
        </is>
      </c>
      <c r="B5867" s="1" t="n">
        <v>45804.49269675926</v>
      </c>
      <c r="C5867" s="1" t="n">
        <v>45883</v>
      </c>
      <c r="D5867" t="inlineStr">
        <is>
          <t>GÄVLEBORGS LÄN</t>
        </is>
      </c>
      <c r="E5867" t="inlineStr">
        <is>
          <t>GÄVLE</t>
        </is>
      </c>
      <c r="F5867" t="inlineStr">
        <is>
          <t>Bergvik skog öst AB</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25787-2025</t>
        </is>
      </c>
      <c r="B5868" s="1" t="n">
        <v>45804.37753472223</v>
      </c>
      <c r="C5868" s="1" t="n">
        <v>45883</v>
      </c>
      <c r="D5868" t="inlineStr">
        <is>
          <t>GÄVLEBORGS LÄN</t>
        </is>
      </c>
      <c r="E5868" t="inlineStr">
        <is>
          <t>BOLLNÄS</t>
        </is>
      </c>
      <c r="F5868" t="inlineStr">
        <is>
          <t>Bergvik skog väst AB</t>
        </is>
      </c>
      <c r="G5868" t="n">
        <v>5.1</v>
      </c>
      <c r="H5868" t="n">
        <v>0</v>
      </c>
      <c r="I5868" t="n">
        <v>0</v>
      </c>
      <c r="J5868" t="n">
        <v>0</v>
      </c>
      <c r="K5868" t="n">
        <v>0</v>
      </c>
      <c r="L5868" t="n">
        <v>0</v>
      </c>
      <c r="M5868" t="n">
        <v>0</v>
      </c>
      <c r="N5868" t="n">
        <v>0</v>
      </c>
      <c r="O5868" t="n">
        <v>0</v>
      </c>
      <c r="P5868" t="n">
        <v>0</v>
      </c>
      <c r="Q5868" t="n">
        <v>0</v>
      </c>
      <c r="R5868" s="2" t="inlineStr"/>
    </row>
    <row r="5869" ht="15" customHeight="1">
      <c r="A5869" t="inlineStr">
        <is>
          <t>A 13297-2021</t>
        </is>
      </c>
      <c r="B5869" s="1" t="n">
        <v>44272.85908564815</v>
      </c>
      <c r="C5869" s="1" t="n">
        <v>45883</v>
      </c>
      <c r="D5869" t="inlineStr">
        <is>
          <t>GÄVLEBORGS LÄN</t>
        </is>
      </c>
      <c r="E5869" t="inlineStr">
        <is>
          <t>GÄVLE</t>
        </is>
      </c>
      <c r="F5869" t="inlineStr">
        <is>
          <t>Bergvik skog öst AB</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34694-2025</t>
        </is>
      </c>
      <c r="B5870" s="1" t="n">
        <v>45848.45990740741</v>
      </c>
      <c r="C5870" s="1" t="n">
        <v>45883</v>
      </c>
      <c r="D5870" t="inlineStr">
        <is>
          <t>GÄVLEBORGS LÄN</t>
        </is>
      </c>
      <c r="E5870" t="inlineStr">
        <is>
          <t>NORDANSTIG</t>
        </is>
      </c>
      <c r="F5870" t="inlineStr">
        <is>
          <t>Holmen skog AB</t>
        </is>
      </c>
      <c r="G5870" t="n">
        <v>6</v>
      </c>
      <c r="H5870" t="n">
        <v>0</v>
      </c>
      <c r="I5870" t="n">
        <v>0</v>
      </c>
      <c r="J5870" t="n">
        <v>0</v>
      </c>
      <c r="K5870" t="n">
        <v>0</v>
      </c>
      <c r="L5870" t="n">
        <v>0</v>
      </c>
      <c r="M5870" t="n">
        <v>0</v>
      </c>
      <c r="N5870" t="n">
        <v>0</v>
      </c>
      <c r="O5870" t="n">
        <v>0</v>
      </c>
      <c r="P5870" t="n">
        <v>0</v>
      </c>
      <c r="Q5870" t="n">
        <v>0</v>
      </c>
      <c r="R5870" s="2" t="inlineStr"/>
    </row>
    <row r="5871" ht="15" customHeight="1">
      <c r="A5871" t="inlineStr">
        <is>
          <t>A 34722-2025</t>
        </is>
      </c>
      <c r="B5871" s="1" t="n">
        <v>45848.53870370371</v>
      </c>
      <c r="C5871" s="1" t="n">
        <v>45883</v>
      </c>
      <c r="D5871" t="inlineStr">
        <is>
          <t>GÄVLEBORGS LÄN</t>
        </is>
      </c>
      <c r="E5871" t="inlineStr">
        <is>
          <t>GÄVLE</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26091-2025</t>
        </is>
      </c>
      <c r="B5872" s="1" t="n">
        <v>45805.34539351852</v>
      </c>
      <c r="C5872" s="1" t="n">
        <v>45883</v>
      </c>
      <c r="D5872" t="inlineStr">
        <is>
          <t>GÄVLEBORGS LÄN</t>
        </is>
      </c>
      <c r="E5872" t="inlineStr">
        <is>
          <t>LJUSDAL</t>
        </is>
      </c>
      <c r="F5872" t="inlineStr">
        <is>
          <t>SCA</t>
        </is>
      </c>
      <c r="G5872" t="n">
        <v>5.2</v>
      </c>
      <c r="H5872" t="n">
        <v>0</v>
      </c>
      <c r="I5872" t="n">
        <v>0</v>
      </c>
      <c r="J5872" t="n">
        <v>0</v>
      </c>
      <c r="K5872" t="n">
        <v>0</v>
      </c>
      <c r="L5872" t="n">
        <v>0</v>
      </c>
      <c r="M5872" t="n">
        <v>0</v>
      </c>
      <c r="N5872" t="n">
        <v>0</v>
      </c>
      <c r="O5872" t="n">
        <v>0</v>
      </c>
      <c r="P5872" t="n">
        <v>0</v>
      </c>
      <c r="Q5872" t="n">
        <v>0</v>
      </c>
      <c r="R5872" s="2" t="inlineStr"/>
    </row>
    <row r="5873" ht="15" customHeight="1">
      <c r="A5873" t="inlineStr">
        <is>
          <t>A 34515-2025</t>
        </is>
      </c>
      <c r="B5873" s="1" t="n">
        <v>45847.46365740741</v>
      </c>
      <c r="C5873" s="1" t="n">
        <v>45883</v>
      </c>
      <c r="D5873" t="inlineStr">
        <is>
          <t>GÄVLEBORGS LÄN</t>
        </is>
      </c>
      <c r="E5873" t="inlineStr">
        <is>
          <t>BOLLNÄS</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34728-2025</t>
        </is>
      </c>
      <c r="B5874" s="1" t="n">
        <v>45848.58239583333</v>
      </c>
      <c r="C5874" s="1" t="n">
        <v>45883</v>
      </c>
      <c r="D5874" t="inlineStr">
        <is>
          <t>GÄVLEBORGS LÄN</t>
        </is>
      </c>
      <c r="E5874" t="inlineStr">
        <is>
          <t>NORDANSTIG</t>
        </is>
      </c>
      <c r="F5874" t="inlineStr">
        <is>
          <t>Holmen skog AB</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34732-2025</t>
        </is>
      </c>
      <c r="B5875" s="1" t="n">
        <v>45848.59746527778</v>
      </c>
      <c r="C5875" s="1" t="n">
        <v>45883</v>
      </c>
      <c r="D5875" t="inlineStr">
        <is>
          <t>GÄVLEBORGS LÄN</t>
        </is>
      </c>
      <c r="E5875" t="inlineStr">
        <is>
          <t>NORDANSTIG</t>
        </is>
      </c>
      <c r="G5875" t="n">
        <v>4.3</v>
      </c>
      <c r="H5875" t="n">
        <v>0</v>
      </c>
      <c r="I5875" t="n">
        <v>0</v>
      </c>
      <c r="J5875" t="n">
        <v>0</v>
      </c>
      <c r="K5875" t="n">
        <v>0</v>
      </c>
      <c r="L5875" t="n">
        <v>0</v>
      </c>
      <c r="M5875" t="n">
        <v>0</v>
      </c>
      <c r="N5875" t="n">
        <v>0</v>
      </c>
      <c r="O5875" t="n">
        <v>0</v>
      </c>
      <c r="P5875" t="n">
        <v>0</v>
      </c>
      <c r="Q5875" t="n">
        <v>0</v>
      </c>
      <c r="R5875" s="2" t="inlineStr"/>
    </row>
    <row r="5876" ht="15" customHeight="1">
      <c r="A5876" t="inlineStr">
        <is>
          <t>A 34553-2025</t>
        </is>
      </c>
      <c r="B5876" s="1" t="n">
        <v>45847.5684375</v>
      </c>
      <c r="C5876" s="1" t="n">
        <v>45883</v>
      </c>
      <c r="D5876" t="inlineStr">
        <is>
          <t>GÄVLEBORGS LÄN</t>
        </is>
      </c>
      <c r="E5876" t="inlineStr">
        <is>
          <t>BOLLNÄS</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34560-2025</t>
        </is>
      </c>
      <c r="B5877" s="1" t="n">
        <v>45847.57548611111</v>
      </c>
      <c r="C5877" s="1" t="n">
        <v>45883</v>
      </c>
      <c r="D5877" t="inlineStr">
        <is>
          <t>GÄVLEBORGS LÄN</t>
        </is>
      </c>
      <c r="E5877" t="inlineStr">
        <is>
          <t>BOLLNÄS</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26201-2025</t>
        </is>
      </c>
      <c r="B5878" s="1" t="n">
        <v>45805.50863425926</v>
      </c>
      <c r="C5878" s="1" t="n">
        <v>45883</v>
      </c>
      <c r="D5878" t="inlineStr">
        <is>
          <t>GÄVLEBORGS LÄN</t>
        </is>
      </c>
      <c r="E5878" t="inlineStr">
        <is>
          <t>SANDVIKEN</t>
        </is>
      </c>
      <c r="F5878" t="inlineStr">
        <is>
          <t>Sveaskog</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26268-2025</t>
        </is>
      </c>
      <c r="B5879" s="1" t="n">
        <v>45805.59122685185</v>
      </c>
      <c r="C5879" s="1" t="n">
        <v>45883</v>
      </c>
      <c r="D5879" t="inlineStr">
        <is>
          <t>GÄVLEBORGS LÄN</t>
        </is>
      </c>
      <c r="E5879" t="inlineStr">
        <is>
          <t>LJUSDAL</t>
        </is>
      </c>
      <c r="F5879" t="inlineStr">
        <is>
          <t>Kommuner</t>
        </is>
      </c>
      <c r="G5879" t="n">
        <v>4.9</v>
      </c>
      <c r="H5879" t="n">
        <v>0</v>
      </c>
      <c r="I5879" t="n">
        <v>0</v>
      </c>
      <c r="J5879" t="n">
        <v>0</v>
      </c>
      <c r="K5879" t="n">
        <v>0</v>
      </c>
      <c r="L5879" t="n">
        <v>0</v>
      </c>
      <c r="M5879" t="n">
        <v>0</v>
      </c>
      <c r="N5879" t="n">
        <v>0</v>
      </c>
      <c r="O5879" t="n">
        <v>0</v>
      </c>
      <c r="P5879" t="n">
        <v>0</v>
      </c>
      <c r="Q5879" t="n">
        <v>0</v>
      </c>
      <c r="R5879" s="2" t="inlineStr"/>
    </row>
    <row r="5880" ht="15" customHeight="1">
      <c r="A5880" t="inlineStr">
        <is>
          <t>A 26289-2025</t>
        </is>
      </c>
      <c r="B5880" s="1" t="n">
        <v>45805.62409722222</v>
      </c>
      <c r="C5880" s="1" t="n">
        <v>45883</v>
      </c>
      <c r="D5880" t="inlineStr">
        <is>
          <t>GÄVLEBORGS LÄN</t>
        </is>
      </c>
      <c r="E5880" t="inlineStr">
        <is>
          <t>BOLLNÄS</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26316-2025</t>
        </is>
      </c>
      <c r="B5881" s="1" t="n">
        <v>45805</v>
      </c>
      <c r="C5881" s="1" t="n">
        <v>45883</v>
      </c>
      <c r="D5881" t="inlineStr">
        <is>
          <t>GÄVLEBORGS LÄN</t>
        </is>
      </c>
      <c r="E5881" t="inlineStr">
        <is>
          <t>OVANÅKER</t>
        </is>
      </c>
      <c r="G5881" t="n">
        <v>4.2</v>
      </c>
      <c r="H5881" t="n">
        <v>0</v>
      </c>
      <c r="I5881" t="n">
        <v>0</v>
      </c>
      <c r="J5881" t="n">
        <v>0</v>
      </c>
      <c r="K5881" t="n">
        <v>0</v>
      </c>
      <c r="L5881" t="n">
        <v>0</v>
      </c>
      <c r="M5881" t="n">
        <v>0</v>
      </c>
      <c r="N5881" t="n">
        <v>0</v>
      </c>
      <c r="O5881" t="n">
        <v>0</v>
      </c>
      <c r="P5881" t="n">
        <v>0</v>
      </c>
      <c r="Q5881" t="n">
        <v>0</v>
      </c>
      <c r="R5881" s="2" t="inlineStr"/>
    </row>
    <row r="5882" ht="15" customHeight="1">
      <c r="A5882" t="inlineStr">
        <is>
          <t>A 26062-2025</t>
        </is>
      </c>
      <c r="B5882" s="1" t="n">
        <v>45805.25457175926</v>
      </c>
      <c r="C5882" s="1" t="n">
        <v>45883</v>
      </c>
      <c r="D5882" t="inlineStr">
        <is>
          <t>GÄVLEBORGS LÄN</t>
        </is>
      </c>
      <c r="E5882" t="inlineStr">
        <is>
          <t>OVANÅKER</t>
        </is>
      </c>
      <c r="G5882" t="n">
        <v>3.5</v>
      </c>
      <c r="H5882" t="n">
        <v>0</v>
      </c>
      <c r="I5882" t="n">
        <v>0</v>
      </c>
      <c r="J5882" t="n">
        <v>0</v>
      </c>
      <c r="K5882" t="n">
        <v>0</v>
      </c>
      <c r="L5882" t="n">
        <v>0</v>
      </c>
      <c r="M5882" t="n">
        <v>0</v>
      </c>
      <c r="N5882" t="n">
        <v>0</v>
      </c>
      <c r="O5882" t="n">
        <v>0</v>
      </c>
      <c r="P5882" t="n">
        <v>0</v>
      </c>
      <c r="Q5882" t="n">
        <v>0</v>
      </c>
      <c r="R5882" s="2" t="inlineStr"/>
    </row>
    <row r="5883" ht="15" customHeight="1">
      <c r="A5883" t="inlineStr">
        <is>
          <t>A 37697-2022</t>
        </is>
      </c>
      <c r="B5883" s="1" t="n">
        <v>44810.51233796297</v>
      </c>
      <c r="C5883" s="1" t="n">
        <v>45883</v>
      </c>
      <c r="D5883" t="inlineStr">
        <is>
          <t>GÄVLEBORGS LÄN</t>
        </is>
      </c>
      <c r="E5883" t="inlineStr">
        <is>
          <t>SANDVIKEN</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11349-2024</t>
        </is>
      </c>
      <c r="B5884" s="1" t="n">
        <v>45372.34134259259</v>
      </c>
      <c r="C5884" s="1" t="n">
        <v>45883</v>
      </c>
      <c r="D5884" t="inlineStr">
        <is>
          <t>GÄVLEBORGS LÄN</t>
        </is>
      </c>
      <c r="E5884" t="inlineStr">
        <is>
          <t>HUDIKSVALL</t>
        </is>
      </c>
      <c r="F5884" t="inlineStr">
        <is>
          <t>Holmen skog AB</t>
        </is>
      </c>
      <c r="G5884" t="n">
        <v>4.3</v>
      </c>
      <c r="H5884" t="n">
        <v>0</v>
      </c>
      <c r="I5884" t="n">
        <v>0</v>
      </c>
      <c r="J5884" t="n">
        <v>0</v>
      </c>
      <c r="K5884" t="n">
        <v>0</v>
      </c>
      <c r="L5884" t="n">
        <v>0</v>
      </c>
      <c r="M5884" t="n">
        <v>0</v>
      </c>
      <c r="N5884" t="n">
        <v>0</v>
      </c>
      <c r="O5884" t="n">
        <v>0</v>
      </c>
      <c r="P5884" t="n">
        <v>0</v>
      </c>
      <c r="Q5884" t="n">
        <v>0</v>
      </c>
      <c r="R5884" s="2" t="inlineStr"/>
    </row>
    <row r="5885" ht="15" customHeight="1">
      <c r="A5885" t="inlineStr">
        <is>
          <t>A 49706-2023</t>
        </is>
      </c>
      <c r="B5885" s="1" t="n">
        <v>45212.40984953703</v>
      </c>
      <c r="C5885" s="1" t="n">
        <v>45883</v>
      </c>
      <c r="D5885" t="inlineStr">
        <is>
          <t>GÄVLEBORGS LÄN</t>
        </is>
      </c>
      <c r="E5885" t="inlineStr">
        <is>
          <t>SANDVIKEN</t>
        </is>
      </c>
      <c r="F5885" t="inlineStr">
        <is>
          <t>Sveaskog</t>
        </is>
      </c>
      <c r="G5885" t="n">
        <v>0.2</v>
      </c>
      <c r="H5885" t="n">
        <v>0</v>
      </c>
      <c r="I5885" t="n">
        <v>0</v>
      </c>
      <c r="J5885" t="n">
        <v>0</v>
      </c>
      <c r="K5885" t="n">
        <v>0</v>
      </c>
      <c r="L5885" t="n">
        <v>0</v>
      </c>
      <c r="M5885" t="n">
        <v>0</v>
      </c>
      <c r="N5885" t="n">
        <v>0</v>
      </c>
      <c r="O5885" t="n">
        <v>0</v>
      </c>
      <c r="P5885" t="n">
        <v>0</v>
      </c>
      <c r="Q5885" t="n">
        <v>0</v>
      </c>
      <c r="R5885" s="2" t="inlineStr"/>
    </row>
    <row r="5886" ht="15" customHeight="1">
      <c r="A5886" t="inlineStr">
        <is>
          <t>A 26103-2025</t>
        </is>
      </c>
      <c r="B5886" s="1" t="n">
        <v>45805.35861111111</v>
      </c>
      <c r="C5886" s="1" t="n">
        <v>45883</v>
      </c>
      <c r="D5886" t="inlineStr">
        <is>
          <t>GÄVLEBORGS LÄN</t>
        </is>
      </c>
      <c r="E5886" t="inlineStr">
        <is>
          <t>LJUSDAL</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34669-2025</t>
        </is>
      </c>
      <c r="B5887" s="1" t="n">
        <v>45848.393125</v>
      </c>
      <c r="C5887" s="1" t="n">
        <v>45883</v>
      </c>
      <c r="D5887" t="inlineStr">
        <is>
          <t>GÄVLEBORGS LÄN</t>
        </is>
      </c>
      <c r="E5887" t="inlineStr">
        <is>
          <t>SÖDERHAMN</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49935-2024</t>
        </is>
      </c>
      <c r="B5888" s="1" t="n">
        <v>45597.58377314815</v>
      </c>
      <c r="C5888" s="1" t="n">
        <v>45883</v>
      </c>
      <c r="D5888" t="inlineStr">
        <is>
          <t>GÄVLEBORGS LÄN</t>
        </is>
      </c>
      <c r="E5888" t="inlineStr">
        <is>
          <t>SÖDERHAMN</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34725-2025</t>
        </is>
      </c>
      <c r="B5889" s="1" t="n">
        <v>45848.56725694444</v>
      </c>
      <c r="C5889" s="1" t="n">
        <v>45883</v>
      </c>
      <c r="D5889" t="inlineStr">
        <is>
          <t>GÄVLEBORGS LÄN</t>
        </is>
      </c>
      <c r="E5889" t="inlineStr">
        <is>
          <t>GÄVLE</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34766-2025</t>
        </is>
      </c>
      <c r="B5890" s="1" t="n">
        <v>45848.64854166667</v>
      </c>
      <c r="C5890" s="1" t="n">
        <v>45883</v>
      </c>
      <c r="D5890" t="inlineStr">
        <is>
          <t>GÄVLEBORGS LÄN</t>
        </is>
      </c>
      <c r="E5890" t="inlineStr">
        <is>
          <t>OCKELBO</t>
        </is>
      </c>
      <c r="F5890" t="inlineStr">
        <is>
          <t>Bergvik skog väst AB</t>
        </is>
      </c>
      <c r="G5890" t="n">
        <v>5.7</v>
      </c>
      <c r="H5890" t="n">
        <v>0</v>
      </c>
      <c r="I5890" t="n">
        <v>0</v>
      </c>
      <c r="J5890" t="n">
        <v>0</v>
      </c>
      <c r="K5890" t="n">
        <v>0</v>
      </c>
      <c r="L5890" t="n">
        <v>0</v>
      </c>
      <c r="M5890" t="n">
        <v>0</v>
      </c>
      <c r="N5890" t="n">
        <v>0</v>
      </c>
      <c r="O5890" t="n">
        <v>0</v>
      </c>
      <c r="P5890" t="n">
        <v>0</v>
      </c>
      <c r="Q5890" t="n">
        <v>0</v>
      </c>
      <c r="R5890" s="2" t="inlineStr"/>
    </row>
    <row r="5891" ht="15" customHeight="1">
      <c r="A5891" t="inlineStr">
        <is>
          <t>A 49942-2024</t>
        </is>
      </c>
      <c r="B5891" s="1" t="n">
        <v>45597.5980324074</v>
      </c>
      <c r="C5891" s="1" t="n">
        <v>45883</v>
      </c>
      <c r="D5891" t="inlineStr">
        <is>
          <t>GÄVLEBORGS LÄN</t>
        </is>
      </c>
      <c r="E5891" t="inlineStr">
        <is>
          <t>SÖDERHAMN</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49957-2024</t>
        </is>
      </c>
      <c r="B5892" s="1" t="n">
        <v>45597.61802083333</v>
      </c>
      <c r="C5892" s="1" t="n">
        <v>45883</v>
      </c>
      <c r="D5892" t="inlineStr">
        <is>
          <t>GÄVLEBORGS LÄN</t>
        </is>
      </c>
      <c r="E5892" t="inlineStr">
        <is>
          <t>LJUSDAL</t>
        </is>
      </c>
      <c r="G5892" t="n">
        <v>4.6</v>
      </c>
      <c r="H5892" t="n">
        <v>0</v>
      </c>
      <c r="I5892" t="n">
        <v>0</v>
      </c>
      <c r="J5892" t="n">
        <v>0</v>
      </c>
      <c r="K5892" t="n">
        <v>0</v>
      </c>
      <c r="L5892" t="n">
        <v>0</v>
      </c>
      <c r="M5892" t="n">
        <v>0</v>
      </c>
      <c r="N5892" t="n">
        <v>0</v>
      </c>
      <c r="O5892" t="n">
        <v>0</v>
      </c>
      <c r="P5892" t="n">
        <v>0</v>
      </c>
      <c r="Q5892" t="n">
        <v>0</v>
      </c>
      <c r="R5892" s="2" t="inlineStr"/>
    </row>
    <row r="5893" ht="15" customHeight="1">
      <c r="A5893" t="inlineStr">
        <is>
          <t>A 52892-2023</t>
        </is>
      </c>
      <c r="B5893" s="1" t="n">
        <v>45226</v>
      </c>
      <c r="C5893" s="1" t="n">
        <v>45883</v>
      </c>
      <c r="D5893" t="inlineStr">
        <is>
          <t>GÄVLEBORGS LÄN</t>
        </is>
      </c>
      <c r="E5893" t="inlineStr">
        <is>
          <t>HUDIKSVALL</t>
        </is>
      </c>
      <c r="F5893" t="inlineStr">
        <is>
          <t>Holmen skog AB</t>
        </is>
      </c>
      <c r="G5893" t="n">
        <v>12.4</v>
      </c>
      <c r="H5893" t="n">
        <v>0</v>
      </c>
      <c r="I5893" t="n">
        <v>0</v>
      </c>
      <c r="J5893" t="n">
        <v>0</v>
      </c>
      <c r="K5893" t="n">
        <v>0</v>
      </c>
      <c r="L5893" t="n">
        <v>0</v>
      </c>
      <c r="M5893" t="n">
        <v>0</v>
      </c>
      <c r="N5893" t="n">
        <v>0</v>
      </c>
      <c r="O5893" t="n">
        <v>0</v>
      </c>
      <c r="P5893" t="n">
        <v>0</v>
      </c>
      <c r="Q5893" t="n">
        <v>0</v>
      </c>
      <c r="R5893" s="2" t="inlineStr"/>
    </row>
    <row r="5894" ht="15" customHeight="1">
      <c r="A5894" t="inlineStr">
        <is>
          <t>A 20780-2021</t>
        </is>
      </c>
      <c r="B5894" s="1" t="n">
        <v>44316.61788194445</v>
      </c>
      <c r="C5894" s="1" t="n">
        <v>45883</v>
      </c>
      <c r="D5894" t="inlineStr">
        <is>
          <t>GÄVLEBORGS LÄN</t>
        </is>
      </c>
      <c r="E5894" t="inlineStr">
        <is>
          <t>SANDVIKEN</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12129-2022</t>
        </is>
      </c>
      <c r="B5895" s="1" t="n">
        <v>44636.60628472222</v>
      </c>
      <c r="C5895" s="1" t="n">
        <v>45883</v>
      </c>
      <c r="D5895" t="inlineStr">
        <is>
          <t>GÄVLEBORGS LÄN</t>
        </is>
      </c>
      <c r="E5895" t="inlineStr">
        <is>
          <t>OVANÅKER</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26203-2025</t>
        </is>
      </c>
      <c r="B5896" s="1" t="n">
        <v>45805.50974537037</v>
      </c>
      <c r="C5896" s="1" t="n">
        <v>45883</v>
      </c>
      <c r="D5896" t="inlineStr">
        <is>
          <t>GÄVLEBORGS LÄN</t>
        </is>
      </c>
      <c r="E5896" t="inlineStr">
        <is>
          <t>SANDVIKEN</t>
        </is>
      </c>
      <c r="F5896" t="inlineStr">
        <is>
          <t>Sveaskog</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43299-2023</t>
        </is>
      </c>
      <c r="B5897" s="1" t="n">
        <v>45183.58574074074</v>
      </c>
      <c r="C5897" s="1" t="n">
        <v>45883</v>
      </c>
      <c r="D5897" t="inlineStr">
        <is>
          <t>GÄVLEBORGS LÄN</t>
        </is>
      </c>
      <c r="E5897" t="inlineStr">
        <is>
          <t>OVANÅKER</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34788-2025</t>
        </is>
      </c>
      <c r="B5898" s="1" t="n">
        <v>45848.6784837963</v>
      </c>
      <c r="C5898" s="1" t="n">
        <v>45883</v>
      </c>
      <c r="D5898" t="inlineStr">
        <is>
          <t>GÄVLEBORGS LÄN</t>
        </is>
      </c>
      <c r="E5898" t="inlineStr">
        <is>
          <t>NORDANSTIG</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59823-2024</t>
        </is>
      </c>
      <c r="B5899" s="1" t="n">
        <v>45639.63806712963</v>
      </c>
      <c r="C5899" s="1" t="n">
        <v>45883</v>
      </c>
      <c r="D5899" t="inlineStr">
        <is>
          <t>GÄVLEBORGS LÄN</t>
        </is>
      </c>
      <c r="E5899" t="inlineStr">
        <is>
          <t>HUDIKSVALL</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20778-2023</t>
        </is>
      </c>
      <c r="B5900" s="1" t="n">
        <v>45058.5878125</v>
      </c>
      <c r="C5900" s="1" t="n">
        <v>45883</v>
      </c>
      <c r="D5900" t="inlineStr">
        <is>
          <t>GÄVLEBORGS LÄN</t>
        </is>
      </c>
      <c r="E5900" t="inlineStr">
        <is>
          <t>BOLLNÄS</t>
        </is>
      </c>
      <c r="F5900" t="inlineStr">
        <is>
          <t>Sveaskog</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59851-2024</t>
        </is>
      </c>
      <c r="B5901" s="1" t="n">
        <v>45639</v>
      </c>
      <c r="C5901" s="1" t="n">
        <v>45883</v>
      </c>
      <c r="D5901" t="inlineStr">
        <is>
          <t>GÄVLEBORGS LÄN</t>
        </is>
      </c>
      <c r="E5901" t="inlineStr">
        <is>
          <t>NORDANSTIG</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60132-2024</t>
        </is>
      </c>
      <c r="B5902" s="1" t="n">
        <v>45642.59554398148</v>
      </c>
      <c r="C5902" s="1" t="n">
        <v>45883</v>
      </c>
      <c r="D5902" t="inlineStr">
        <is>
          <t>GÄVLEBORGS LÄN</t>
        </is>
      </c>
      <c r="E5902" t="inlineStr">
        <is>
          <t>OCKELBO</t>
        </is>
      </c>
      <c r="F5902" t="inlineStr">
        <is>
          <t>Bergvik skog öst AB</t>
        </is>
      </c>
      <c r="G5902" t="n">
        <v>5.7</v>
      </c>
      <c r="H5902" t="n">
        <v>0</v>
      </c>
      <c r="I5902" t="n">
        <v>0</v>
      </c>
      <c r="J5902" t="n">
        <v>0</v>
      </c>
      <c r="K5902" t="n">
        <v>0</v>
      </c>
      <c r="L5902" t="n">
        <v>0</v>
      </c>
      <c r="M5902" t="n">
        <v>0</v>
      </c>
      <c r="N5902" t="n">
        <v>0</v>
      </c>
      <c r="O5902" t="n">
        <v>0</v>
      </c>
      <c r="P5902" t="n">
        <v>0</v>
      </c>
      <c r="Q5902" t="n">
        <v>0</v>
      </c>
      <c r="R5902" s="2" t="inlineStr"/>
    </row>
    <row r="5903" ht="15" customHeight="1">
      <c r="A5903" t="inlineStr">
        <is>
          <t>A 60915-2024</t>
        </is>
      </c>
      <c r="B5903" s="1" t="n">
        <v>45645.33822916666</v>
      </c>
      <c r="C5903" s="1" t="n">
        <v>45883</v>
      </c>
      <c r="D5903" t="inlineStr">
        <is>
          <t>GÄVLEBORGS LÄN</t>
        </is>
      </c>
      <c r="E5903" t="inlineStr">
        <is>
          <t>OCKELBO</t>
        </is>
      </c>
      <c r="F5903" t="inlineStr">
        <is>
          <t>Kyrkan</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23296-2024</t>
        </is>
      </c>
      <c r="B5904" s="1" t="n">
        <v>45453.43356481481</v>
      </c>
      <c r="C5904" s="1" t="n">
        <v>45883</v>
      </c>
      <c r="D5904" t="inlineStr">
        <is>
          <t>GÄVLEBORGS LÄN</t>
        </is>
      </c>
      <c r="E5904" t="inlineStr">
        <is>
          <t>HUDIKSVALL</t>
        </is>
      </c>
      <c r="G5904" t="n">
        <v>3.7</v>
      </c>
      <c r="H5904" t="n">
        <v>0</v>
      </c>
      <c r="I5904" t="n">
        <v>0</v>
      </c>
      <c r="J5904" t="n">
        <v>0</v>
      </c>
      <c r="K5904" t="n">
        <v>0</v>
      </c>
      <c r="L5904" t="n">
        <v>0</v>
      </c>
      <c r="M5904" t="n">
        <v>0</v>
      </c>
      <c r="N5904" t="n">
        <v>0</v>
      </c>
      <c r="O5904" t="n">
        <v>0</v>
      </c>
      <c r="P5904" t="n">
        <v>0</v>
      </c>
      <c r="Q5904" t="n">
        <v>0</v>
      </c>
      <c r="R5904" s="2" t="inlineStr"/>
    </row>
    <row r="5905" ht="15" customHeight="1">
      <c r="A5905" t="inlineStr">
        <is>
          <t>A 54443-2024</t>
        </is>
      </c>
      <c r="B5905" s="1" t="n">
        <v>45617.51553240741</v>
      </c>
      <c r="C5905" s="1" t="n">
        <v>45883</v>
      </c>
      <c r="D5905" t="inlineStr">
        <is>
          <t>GÄVLEBORGS LÄN</t>
        </is>
      </c>
      <c r="E5905" t="inlineStr">
        <is>
          <t>SANDVIKEN</t>
        </is>
      </c>
      <c r="F5905" t="inlineStr">
        <is>
          <t>Bergvik skog öst AB</t>
        </is>
      </c>
      <c r="G5905" t="n">
        <v>4.2</v>
      </c>
      <c r="H5905" t="n">
        <v>0</v>
      </c>
      <c r="I5905" t="n">
        <v>0</v>
      </c>
      <c r="J5905" t="n">
        <v>0</v>
      </c>
      <c r="K5905" t="n">
        <v>0</v>
      </c>
      <c r="L5905" t="n">
        <v>0</v>
      </c>
      <c r="M5905" t="n">
        <v>0</v>
      </c>
      <c r="N5905" t="n">
        <v>0</v>
      </c>
      <c r="O5905" t="n">
        <v>0</v>
      </c>
      <c r="P5905" t="n">
        <v>0</v>
      </c>
      <c r="Q5905" t="n">
        <v>0</v>
      </c>
      <c r="R5905" s="2" t="inlineStr"/>
    </row>
    <row r="5906" ht="15" customHeight="1">
      <c r="A5906" t="inlineStr">
        <is>
          <t>A 26625-2023</t>
        </is>
      </c>
      <c r="B5906" s="1" t="n">
        <v>45092.71197916667</v>
      </c>
      <c r="C5906" s="1" t="n">
        <v>45883</v>
      </c>
      <c r="D5906" t="inlineStr">
        <is>
          <t>GÄVLEBORGS LÄN</t>
        </is>
      </c>
      <c r="E5906" t="inlineStr">
        <is>
          <t>LJUSDAL</t>
        </is>
      </c>
      <c r="G5906" t="n">
        <v>3.1</v>
      </c>
      <c r="H5906" t="n">
        <v>0</v>
      </c>
      <c r="I5906" t="n">
        <v>0</v>
      </c>
      <c r="J5906" t="n">
        <v>0</v>
      </c>
      <c r="K5906" t="n">
        <v>0</v>
      </c>
      <c r="L5906" t="n">
        <v>0</v>
      </c>
      <c r="M5906" t="n">
        <v>0</v>
      </c>
      <c r="N5906" t="n">
        <v>0</v>
      </c>
      <c r="O5906" t="n">
        <v>0</v>
      </c>
      <c r="P5906" t="n">
        <v>0</v>
      </c>
      <c r="Q5906" t="n">
        <v>0</v>
      </c>
      <c r="R5906" s="2" t="inlineStr"/>
    </row>
    <row r="5907" ht="15" customHeight="1">
      <c r="A5907" t="inlineStr">
        <is>
          <t>A 51492-2023</t>
        </is>
      </c>
      <c r="B5907" s="1" t="n">
        <v>45222.33164351852</v>
      </c>
      <c r="C5907" s="1" t="n">
        <v>45883</v>
      </c>
      <c r="D5907" t="inlineStr">
        <is>
          <t>GÄVLEBORGS LÄN</t>
        </is>
      </c>
      <c r="E5907" t="inlineStr">
        <is>
          <t>SÖDERHAMN</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5143-2025</t>
        </is>
      </c>
      <c r="B5908" s="1" t="n">
        <v>45691.58659722222</v>
      </c>
      <c r="C5908" s="1" t="n">
        <v>45883</v>
      </c>
      <c r="D5908" t="inlineStr">
        <is>
          <t>GÄVLEBORGS LÄN</t>
        </is>
      </c>
      <c r="E5908" t="inlineStr">
        <is>
          <t>NORDANSTIG</t>
        </is>
      </c>
      <c r="G5908" t="n">
        <v>4.4</v>
      </c>
      <c r="H5908" t="n">
        <v>0</v>
      </c>
      <c r="I5908" t="n">
        <v>0</v>
      </c>
      <c r="J5908" t="n">
        <v>0</v>
      </c>
      <c r="K5908" t="n">
        <v>0</v>
      </c>
      <c r="L5908" t="n">
        <v>0</v>
      </c>
      <c r="M5908" t="n">
        <v>0</v>
      </c>
      <c r="N5908" t="n">
        <v>0</v>
      </c>
      <c r="O5908" t="n">
        <v>0</v>
      </c>
      <c r="P5908" t="n">
        <v>0</v>
      </c>
      <c r="Q5908" t="n">
        <v>0</v>
      </c>
      <c r="R5908" s="2" t="inlineStr"/>
    </row>
    <row r="5909" ht="15" customHeight="1">
      <c r="A5909" t="inlineStr">
        <is>
          <t>A 26266-2025</t>
        </is>
      </c>
      <c r="B5909" s="1" t="n">
        <v>45805.5902199074</v>
      </c>
      <c r="C5909" s="1" t="n">
        <v>45883</v>
      </c>
      <c r="D5909" t="inlineStr">
        <is>
          <t>GÄVLEBORGS LÄN</t>
        </is>
      </c>
      <c r="E5909" t="inlineStr">
        <is>
          <t>SÖDERHAMN</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26276-2025</t>
        </is>
      </c>
      <c r="B5910" s="1" t="n">
        <v>45805.60341435186</v>
      </c>
      <c r="C5910" s="1" t="n">
        <v>45883</v>
      </c>
      <c r="D5910" t="inlineStr">
        <is>
          <t>GÄVLEBORGS LÄN</t>
        </is>
      </c>
      <c r="E5910" t="inlineStr">
        <is>
          <t>OVANÅKER</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34688-2025</t>
        </is>
      </c>
      <c r="B5911" s="1" t="n">
        <v>45848</v>
      </c>
      <c r="C5911" s="1" t="n">
        <v>45883</v>
      </c>
      <c r="D5911" t="inlineStr">
        <is>
          <t>GÄVLEBORGS LÄN</t>
        </is>
      </c>
      <c r="E5911" t="inlineStr">
        <is>
          <t>BOLLNÄS</t>
        </is>
      </c>
      <c r="F5911" t="inlineStr">
        <is>
          <t>Holmen skog AB</t>
        </is>
      </c>
      <c r="G5911" t="n">
        <v>32.6</v>
      </c>
      <c r="H5911" t="n">
        <v>0</v>
      </c>
      <c r="I5911" t="n">
        <v>0</v>
      </c>
      <c r="J5911" t="n">
        <v>0</v>
      </c>
      <c r="K5911" t="n">
        <v>0</v>
      </c>
      <c r="L5911" t="n">
        <v>0</v>
      </c>
      <c r="M5911" t="n">
        <v>0</v>
      </c>
      <c r="N5911" t="n">
        <v>0</v>
      </c>
      <c r="O5911" t="n">
        <v>0</v>
      </c>
      <c r="P5911" t="n">
        <v>0</v>
      </c>
      <c r="Q5911" t="n">
        <v>0</v>
      </c>
      <c r="R5911" s="2" t="inlineStr"/>
    </row>
    <row r="5912" ht="15" customHeight="1">
      <c r="A5912" t="inlineStr">
        <is>
          <t>A 26324-2025</t>
        </is>
      </c>
      <c r="B5912" s="1" t="n">
        <v>45805</v>
      </c>
      <c r="C5912" s="1" t="n">
        <v>45883</v>
      </c>
      <c r="D5912" t="inlineStr">
        <is>
          <t>GÄVLEBORGS LÄN</t>
        </is>
      </c>
      <c r="E5912" t="inlineStr">
        <is>
          <t>OVANÅKER</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1332-2025</t>
        </is>
      </c>
      <c r="B5913" s="1" t="n">
        <v>45667.57828703704</v>
      </c>
      <c r="C5913" s="1" t="n">
        <v>45883</v>
      </c>
      <c r="D5913" t="inlineStr">
        <is>
          <t>GÄVLEBORGS LÄN</t>
        </is>
      </c>
      <c r="E5913" t="inlineStr">
        <is>
          <t>LJUSDAL</t>
        </is>
      </c>
      <c r="F5913" t="inlineStr">
        <is>
          <t>Holmen skog AB</t>
        </is>
      </c>
      <c r="G5913" t="n">
        <v>4.4</v>
      </c>
      <c r="H5913" t="n">
        <v>0</v>
      </c>
      <c r="I5913" t="n">
        <v>0</v>
      </c>
      <c r="J5913" t="n">
        <v>0</v>
      </c>
      <c r="K5913" t="n">
        <v>0</v>
      </c>
      <c r="L5913" t="n">
        <v>0</v>
      </c>
      <c r="M5913" t="n">
        <v>0</v>
      </c>
      <c r="N5913" t="n">
        <v>0</v>
      </c>
      <c r="O5913" t="n">
        <v>0</v>
      </c>
      <c r="P5913" t="n">
        <v>0</v>
      </c>
      <c r="Q5913" t="n">
        <v>0</v>
      </c>
      <c r="R5913" s="2" t="inlineStr"/>
    </row>
    <row r="5914" ht="15" customHeight="1">
      <c r="A5914" t="inlineStr">
        <is>
          <t>A 56858-2024</t>
        </is>
      </c>
      <c r="B5914" s="1" t="n">
        <v>45628.54741898148</v>
      </c>
      <c r="C5914" s="1" t="n">
        <v>45883</v>
      </c>
      <c r="D5914" t="inlineStr">
        <is>
          <t>GÄVLEBORGS LÄN</t>
        </is>
      </c>
      <c r="E5914" t="inlineStr">
        <is>
          <t>HUDIKSVALL</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51732-2023</t>
        </is>
      </c>
      <c r="B5915" s="1" t="n">
        <v>45222.65748842592</v>
      </c>
      <c r="C5915" s="1" t="n">
        <v>45883</v>
      </c>
      <c r="D5915" t="inlineStr">
        <is>
          <t>GÄVLEBORGS LÄN</t>
        </is>
      </c>
      <c r="E5915" t="inlineStr">
        <is>
          <t>OCKELBO</t>
        </is>
      </c>
      <c r="F5915" t="inlineStr">
        <is>
          <t>Bergvik skog väst AB</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3692-2022</t>
        </is>
      </c>
      <c r="B5916" s="1" t="n">
        <v>44586</v>
      </c>
      <c r="C5916" s="1" t="n">
        <v>45883</v>
      </c>
      <c r="D5916" t="inlineStr">
        <is>
          <t>GÄVLEBORGS LÄN</t>
        </is>
      </c>
      <c r="E5916" t="inlineStr">
        <is>
          <t>NORDANSTIG</t>
        </is>
      </c>
      <c r="F5916" t="inlineStr">
        <is>
          <t>Holmen skog AB</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54225-2023</t>
        </is>
      </c>
      <c r="B5917" s="1" t="n">
        <v>45232.59086805556</v>
      </c>
      <c r="C5917" s="1" t="n">
        <v>45883</v>
      </c>
      <c r="D5917" t="inlineStr">
        <is>
          <t>GÄVLEBORGS LÄN</t>
        </is>
      </c>
      <c r="E5917" t="inlineStr">
        <is>
          <t>HUDIKSVALL</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13246-2025</t>
        </is>
      </c>
      <c r="B5918" s="1" t="n">
        <v>45735.4815162037</v>
      </c>
      <c r="C5918" s="1" t="n">
        <v>45883</v>
      </c>
      <c r="D5918" t="inlineStr">
        <is>
          <t>GÄVLEBORGS LÄN</t>
        </is>
      </c>
      <c r="E5918" t="inlineStr">
        <is>
          <t>LJUSDAL</t>
        </is>
      </c>
      <c r="G5918" t="n">
        <v>3.7</v>
      </c>
      <c r="H5918" t="n">
        <v>0</v>
      </c>
      <c r="I5918" t="n">
        <v>0</v>
      </c>
      <c r="J5918" t="n">
        <v>0</v>
      </c>
      <c r="K5918" t="n">
        <v>0</v>
      </c>
      <c r="L5918" t="n">
        <v>0</v>
      </c>
      <c r="M5918" t="n">
        <v>0</v>
      </c>
      <c r="N5918" t="n">
        <v>0</v>
      </c>
      <c r="O5918" t="n">
        <v>0</v>
      </c>
      <c r="P5918" t="n">
        <v>0</v>
      </c>
      <c r="Q5918" t="n">
        <v>0</v>
      </c>
      <c r="R5918" s="2" t="inlineStr"/>
    </row>
    <row r="5919" ht="15" customHeight="1">
      <c r="A5919" t="inlineStr">
        <is>
          <t>A 56024-2024</t>
        </is>
      </c>
      <c r="B5919" s="1" t="n">
        <v>45624.28030092592</v>
      </c>
      <c r="C5919" s="1" t="n">
        <v>45883</v>
      </c>
      <c r="D5919" t="inlineStr">
        <is>
          <t>GÄVLEBORGS LÄN</t>
        </is>
      </c>
      <c r="E5919" t="inlineStr">
        <is>
          <t>BOLLNÄS</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16393-2025</t>
        </is>
      </c>
      <c r="B5920" s="1" t="n">
        <v>45751.43475694444</v>
      </c>
      <c r="C5920" s="1" t="n">
        <v>45883</v>
      </c>
      <c r="D5920" t="inlineStr">
        <is>
          <t>GÄVLEBORGS LÄN</t>
        </is>
      </c>
      <c r="E5920" t="inlineStr">
        <is>
          <t>OVANÅKER</t>
        </is>
      </c>
      <c r="F5920" t="inlineStr">
        <is>
          <t>Bergvik skog öst AB</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4402-2025</t>
        </is>
      </c>
      <c r="B5921" s="1" t="n">
        <v>45686</v>
      </c>
      <c r="C5921" s="1" t="n">
        <v>45883</v>
      </c>
      <c r="D5921" t="inlineStr">
        <is>
          <t>GÄVLEBORGS LÄN</t>
        </is>
      </c>
      <c r="E5921" t="inlineStr">
        <is>
          <t>GÄVLE</t>
        </is>
      </c>
      <c r="F5921" t="inlineStr">
        <is>
          <t>Bergvik skog öst AB</t>
        </is>
      </c>
      <c r="G5921" t="n">
        <v>4.8</v>
      </c>
      <c r="H5921" t="n">
        <v>0</v>
      </c>
      <c r="I5921" t="n">
        <v>0</v>
      </c>
      <c r="J5921" t="n">
        <v>0</v>
      </c>
      <c r="K5921" t="n">
        <v>0</v>
      </c>
      <c r="L5921" t="n">
        <v>0</v>
      </c>
      <c r="M5921" t="n">
        <v>0</v>
      </c>
      <c r="N5921" t="n">
        <v>0</v>
      </c>
      <c r="O5921" t="n">
        <v>0</v>
      </c>
      <c r="P5921" t="n">
        <v>0</v>
      </c>
      <c r="Q5921" t="n">
        <v>0</v>
      </c>
      <c r="R5921" s="2" t="inlineStr"/>
    </row>
    <row r="5922" ht="15" customHeight="1">
      <c r="A5922" t="inlineStr">
        <is>
          <t>A 4405-2025</t>
        </is>
      </c>
      <c r="B5922" s="1" t="n">
        <v>45686</v>
      </c>
      <c r="C5922" s="1" t="n">
        <v>45883</v>
      </c>
      <c r="D5922" t="inlineStr">
        <is>
          <t>GÄVLEBORGS LÄN</t>
        </is>
      </c>
      <c r="E5922" t="inlineStr">
        <is>
          <t>GÄVLE</t>
        </is>
      </c>
      <c r="F5922" t="inlineStr">
        <is>
          <t>Bergvik skog öst AB</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4409-2025</t>
        </is>
      </c>
      <c r="B5923" s="1" t="n">
        <v>45686.44449074074</v>
      </c>
      <c r="C5923" s="1" t="n">
        <v>45883</v>
      </c>
      <c r="D5923" t="inlineStr">
        <is>
          <t>GÄVLEBORGS LÄN</t>
        </is>
      </c>
      <c r="E5923" t="inlineStr">
        <is>
          <t>NORDANSTIG</t>
        </is>
      </c>
      <c r="F5923" t="inlineStr">
        <is>
          <t>Holmen skog AB</t>
        </is>
      </c>
      <c r="G5923" t="n">
        <v>5.4</v>
      </c>
      <c r="H5923" t="n">
        <v>0</v>
      </c>
      <c r="I5923" t="n">
        <v>0</v>
      </c>
      <c r="J5923" t="n">
        <v>0</v>
      </c>
      <c r="K5923" t="n">
        <v>0</v>
      </c>
      <c r="L5923" t="n">
        <v>0</v>
      </c>
      <c r="M5923" t="n">
        <v>0</v>
      </c>
      <c r="N5923" t="n">
        <v>0</v>
      </c>
      <c r="O5923" t="n">
        <v>0</v>
      </c>
      <c r="P5923" t="n">
        <v>0</v>
      </c>
      <c r="Q5923" t="n">
        <v>0</v>
      </c>
      <c r="R5923" s="2" t="inlineStr"/>
    </row>
    <row r="5924" ht="15" customHeight="1">
      <c r="A5924" t="inlineStr">
        <is>
          <t>A 10843-2022</t>
        </is>
      </c>
      <c r="B5924" s="1" t="n">
        <v>44627</v>
      </c>
      <c r="C5924" s="1" t="n">
        <v>45883</v>
      </c>
      <c r="D5924" t="inlineStr">
        <is>
          <t>GÄVLEBORGS LÄN</t>
        </is>
      </c>
      <c r="E5924" t="inlineStr">
        <is>
          <t>HUDIKSVALL</t>
        </is>
      </c>
      <c r="G5924" t="n">
        <v>15.4</v>
      </c>
      <c r="H5924" t="n">
        <v>0</v>
      </c>
      <c r="I5924" t="n">
        <v>0</v>
      </c>
      <c r="J5924" t="n">
        <v>0</v>
      </c>
      <c r="K5924" t="n">
        <v>0</v>
      </c>
      <c r="L5924" t="n">
        <v>0</v>
      </c>
      <c r="M5924" t="n">
        <v>0</v>
      </c>
      <c r="N5924" t="n">
        <v>0</v>
      </c>
      <c r="O5924" t="n">
        <v>0</v>
      </c>
      <c r="P5924" t="n">
        <v>0</v>
      </c>
      <c r="Q5924" t="n">
        <v>0</v>
      </c>
      <c r="R5924" s="2" t="inlineStr"/>
    </row>
    <row r="5925" ht="15" customHeight="1">
      <c r="A5925" t="inlineStr">
        <is>
          <t>A 4559-2025</t>
        </is>
      </c>
      <c r="B5925" s="1" t="n">
        <v>45687.45087962963</v>
      </c>
      <c r="C5925" s="1" t="n">
        <v>45883</v>
      </c>
      <c r="D5925" t="inlineStr">
        <is>
          <t>GÄVLEBORGS LÄN</t>
        </is>
      </c>
      <c r="E5925" t="inlineStr">
        <is>
          <t>NORDANSTIG</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26120-2025</t>
        </is>
      </c>
      <c r="B5926" s="1" t="n">
        <v>45805.38447916666</v>
      </c>
      <c r="C5926" s="1" t="n">
        <v>45883</v>
      </c>
      <c r="D5926" t="inlineStr">
        <is>
          <t>GÄVLEBORGS LÄN</t>
        </is>
      </c>
      <c r="E5926" t="inlineStr">
        <is>
          <t>NORDANSTIG</t>
        </is>
      </c>
      <c r="F5926" t="inlineStr">
        <is>
          <t>Holmen skog AB</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59773-2024</t>
        </is>
      </c>
      <c r="B5927" s="1" t="n">
        <v>45639</v>
      </c>
      <c r="C5927" s="1" t="n">
        <v>45883</v>
      </c>
      <c r="D5927" t="inlineStr">
        <is>
          <t>GÄVLEBORGS LÄN</t>
        </is>
      </c>
      <c r="E5927" t="inlineStr">
        <is>
          <t>SÖDERHAMN</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56376-2024</t>
        </is>
      </c>
      <c r="B5928" s="1" t="n">
        <v>45625.33287037037</v>
      </c>
      <c r="C5928" s="1" t="n">
        <v>45883</v>
      </c>
      <c r="D5928" t="inlineStr">
        <is>
          <t>GÄVLEBORGS LÄN</t>
        </is>
      </c>
      <c r="E5928" t="inlineStr">
        <is>
          <t>OCKELBO</t>
        </is>
      </c>
      <c r="F5928" t="inlineStr">
        <is>
          <t>Bergvik skog väst AB</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26308-2025</t>
        </is>
      </c>
      <c r="B5929" s="1" t="n">
        <v>45805.64973379629</v>
      </c>
      <c r="C5929" s="1" t="n">
        <v>45883</v>
      </c>
      <c r="D5929" t="inlineStr">
        <is>
          <t>GÄVLEBORGS LÄN</t>
        </is>
      </c>
      <c r="E5929" t="inlineStr">
        <is>
          <t>BOLLNÄS</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5977-2025</t>
        </is>
      </c>
      <c r="B5930" s="1" t="n">
        <v>45695.54295138889</v>
      </c>
      <c r="C5930" s="1" t="n">
        <v>45883</v>
      </c>
      <c r="D5930" t="inlineStr">
        <is>
          <t>GÄVLEBORGS LÄN</t>
        </is>
      </c>
      <c r="E5930" t="inlineStr">
        <is>
          <t>HUDIKSVALL</t>
        </is>
      </c>
      <c r="G5930" t="n">
        <v>4.9</v>
      </c>
      <c r="H5930" t="n">
        <v>0</v>
      </c>
      <c r="I5930" t="n">
        <v>0</v>
      </c>
      <c r="J5930" t="n">
        <v>0</v>
      </c>
      <c r="K5930" t="n">
        <v>0</v>
      </c>
      <c r="L5930" t="n">
        <v>0</v>
      </c>
      <c r="M5930" t="n">
        <v>0</v>
      </c>
      <c r="N5930" t="n">
        <v>0</v>
      </c>
      <c r="O5930" t="n">
        <v>0</v>
      </c>
      <c r="P5930" t="n">
        <v>0</v>
      </c>
      <c r="Q5930" t="n">
        <v>0</v>
      </c>
      <c r="R5930" s="2" t="inlineStr"/>
    </row>
    <row r="5931" ht="15" customHeight="1">
      <c r="A5931" t="inlineStr">
        <is>
          <t>A 5983-2025</t>
        </is>
      </c>
      <c r="B5931" s="1" t="n">
        <v>45695</v>
      </c>
      <c r="C5931" s="1" t="n">
        <v>45883</v>
      </c>
      <c r="D5931" t="inlineStr">
        <is>
          <t>GÄVLEBORGS LÄN</t>
        </is>
      </c>
      <c r="E5931" t="inlineStr">
        <is>
          <t>HUDIKSVALL</t>
        </is>
      </c>
      <c r="G5931" t="n">
        <v>3.9</v>
      </c>
      <c r="H5931" t="n">
        <v>0</v>
      </c>
      <c r="I5931" t="n">
        <v>0</v>
      </c>
      <c r="J5931" t="n">
        <v>0</v>
      </c>
      <c r="K5931" t="n">
        <v>0</v>
      </c>
      <c r="L5931" t="n">
        <v>0</v>
      </c>
      <c r="M5931" t="n">
        <v>0</v>
      </c>
      <c r="N5931" t="n">
        <v>0</v>
      </c>
      <c r="O5931" t="n">
        <v>0</v>
      </c>
      <c r="P5931" t="n">
        <v>0</v>
      </c>
      <c r="Q5931" t="n">
        <v>0</v>
      </c>
      <c r="R5931" s="2" t="inlineStr"/>
    </row>
    <row r="5932" ht="15" customHeight="1">
      <c r="A5932" t="inlineStr">
        <is>
          <t>A 39850-2023</t>
        </is>
      </c>
      <c r="B5932" s="1" t="n">
        <v>45168.3706712963</v>
      </c>
      <c r="C5932" s="1" t="n">
        <v>45883</v>
      </c>
      <c r="D5932" t="inlineStr">
        <is>
          <t>GÄVLEBORGS LÄN</t>
        </is>
      </c>
      <c r="E5932" t="inlineStr">
        <is>
          <t>OVANÅKER</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56263-2024</t>
        </is>
      </c>
      <c r="B5933" s="1" t="n">
        <v>45624.65340277777</v>
      </c>
      <c r="C5933" s="1" t="n">
        <v>45883</v>
      </c>
      <c r="D5933" t="inlineStr">
        <is>
          <t>GÄVLEBORGS LÄN</t>
        </is>
      </c>
      <c r="E5933" t="inlineStr">
        <is>
          <t>NORDANSTIG</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24056-2024</t>
        </is>
      </c>
      <c r="B5934" s="1" t="n">
        <v>45456.52451388889</v>
      </c>
      <c r="C5934" s="1" t="n">
        <v>45883</v>
      </c>
      <c r="D5934" t="inlineStr">
        <is>
          <t>GÄVLEBORGS LÄN</t>
        </is>
      </c>
      <c r="E5934" t="inlineStr">
        <is>
          <t>OVANÅKER</t>
        </is>
      </c>
      <c r="F5934" t="inlineStr">
        <is>
          <t>Bergvik skog väst AB</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51740-2023</t>
        </is>
      </c>
      <c r="B5935" s="1" t="n">
        <v>45222.66674768519</v>
      </c>
      <c r="C5935" s="1" t="n">
        <v>45883</v>
      </c>
      <c r="D5935" t="inlineStr">
        <is>
          <t>GÄVLEBORGS LÄN</t>
        </is>
      </c>
      <c r="E5935" t="inlineStr">
        <is>
          <t>NORDANSTIG</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26294-2025</t>
        </is>
      </c>
      <c r="B5936" s="1" t="n">
        <v>45805</v>
      </c>
      <c r="C5936" s="1" t="n">
        <v>45883</v>
      </c>
      <c r="D5936" t="inlineStr">
        <is>
          <t>GÄVLEBORGS LÄN</t>
        </is>
      </c>
      <c r="E5936" t="inlineStr">
        <is>
          <t>SANDVIKEN</t>
        </is>
      </c>
      <c r="F5936" t="inlineStr">
        <is>
          <t>Sveaskog</t>
        </is>
      </c>
      <c r="G5936" t="n">
        <v>3.1</v>
      </c>
      <c r="H5936" t="n">
        <v>0</v>
      </c>
      <c r="I5936" t="n">
        <v>0</v>
      </c>
      <c r="J5936" t="n">
        <v>0</v>
      </c>
      <c r="K5936" t="n">
        <v>0</v>
      </c>
      <c r="L5936" t="n">
        <v>0</v>
      </c>
      <c r="M5936" t="n">
        <v>0</v>
      </c>
      <c r="N5936" t="n">
        <v>0</v>
      </c>
      <c r="O5936" t="n">
        <v>0</v>
      </c>
      <c r="P5936" t="n">
        <v>0</v>
      </c>
      <c r="Q5936" t="n">
        <v>0</v>
      </c>
      <c r="R5936" s="2" t="inlineStr"/>
    </row>
    <row r="5937" ht="15" customHeight="1">
      <c r="A5937" t="inlineStr">
        <is>
          <t>A 24074-2024</t>
        </is>
      </c>
      <c r="B5937" s="1" t="n">
        <v>45456</v>
      </c>
      <c r="C5937" s="1" t="n">
        <v>45883</v>
      </c>
      <c r="D5937" t="inlineStr">
        <is>
          <t>GÄVLEBORGS LÄN</t>
        </is>
      </c>
      <c r="E5937" t="inlineStr">
        <is>
          <t>OVANÅKER</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34622-2025</t>
        </is>
      </c>
      <c r="B5938" s="1" t="n">
        <v>45847.72927083333</v>
      </c>
      <c r="C5938" s="1" t="n">
        <v>45883</v>
      </c>
      <c r="D5938" t="inlineStr">
        <is>
          <t>GÄVLEBORGS LÄN</t>
        </is>
      </c>
      <c r="E5938" t="inlineStr">
        <is>
          <t>HUDIKSVALL</t>
        </is>
      </c>
      <c r="F5938" t="inlineStr">
        <is>
          <t>Holmen skog AB</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34658-2025</t>
        </is>
      </c>
      <c r="B5939" s="1" t="n">
        <v>45848.36520833334</v>
      </c>
      <c r="C5939" s="1" t="n">
        <v>45883</v>
      </c>
      <c r="D5939" t="inlineStr">
        <is>
          <t>GÄVLEBORGS LÄN</t>
        </is>
      </c>
      <c r="E5939" t="inlineStr">
        <is>
          <t>LJUSDAL</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26187-2025</t>
        </is>
      </c>
      <c r="B5940" s="1" t="n">
        <v>45805.48078703704</v>
      </c>
      <c r="C5940" s="1" t="n">
        <v>45883</v>
      </c>
      <c r="D5940" t="inlineStr">
        <is>
          <t>GÄVLEBORGS LÄN</t>
        </is>
      </c>
      <c r="E5940" t="inlineStr">
        <is>
          <t>SÖDERHAMN</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26195-2025</t>
        </is>
      </c>
      <c r="B5941" s="1" t="n">
        <v>45805.49575231481</v>
      </c>
      <c r="C5941" s="1" t="n">
        <v>45883</v>
      </c>
      <c r="D5941" t="inlineStr">
        <is>
          <t>GÄVLEBORGS LÄN</t>
        </is>
      </c>
      <c r="E5941" t="inlineStr">
        <is>
          <t>OCKELBO</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26223-2025</t>
        </is>
      </c>
      <c r="B5942" s="1" t="n">
        <v>45805.55453703704</v>
      </c>
      <c r="C5942" s="1" t="n">
        <v>45883</v>
      </c>
      <c r="D5942" t="inlineStr">
        <is>
          <t>GÄVLEBORGS LÄN</t>
        </is>
      </c>
      <c r="E5942" t="inlineStr">
        <is>
          <t>LJUSDAL</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55319-2021</t>
        </is>
      </c>
      <c r="B5943" s="1" t="n">
        <v>44475</v>
      </c>
      <c r="C5943" s="1" t="n">
        <v>45883</v>
      </c>
      <c r="D5943" t="inlineStr">
        <is>
          <t>GÄVLEBORGS LÄN</t>
        </is>
      </c>
      <c r="E5943" t="inlineStr">
        <is>
          <t>HUDIKSVALL</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26094-2025</t>
        </is>
      </c>
      <c r="B5944" s="1" t="n">
        <v>45805</v>
      </c>
      <c r="C5944" s="1" t="n">
        <v>45883</v>
      </c>
      <c r="D5944" t="inlineStr">
        <is>
          <t>GÄVLEBORGS LÄN</t>
        </is>
      </c>
      <c r="E5944" t="inlineStr">
        <is>
          <t>GÄVLE</t>
        </is>
      </c>
      <c r="G5944" t="n">
        <v>12.4</v>
      </c>
      <c r="H5944" t="n">
        <v>0</v>
      </c>
      <c r="I5944" t="n">
        <v>0</v>
      </c>
      <c r="J5944" t="n">
        <v>0</v>
      </c>
      <c r="K5944" t="n">
        <v>0</v>
      </c>
      <c r="L5944" t="n">
        <v>0</v>
      </c>
      <c r="M5944" t="n">
        <v>0</v>
      </c>
      <c r="N5944" t="n">
        <v>0</v>
      </c>
      <c r="O5944" t="n">
        <v>0</v>
      </c>
      <c r="P5944" t="n">
        <v>0</v>
      </c>
      <c r="Q5944" t="n">
        <v>0</v>
      </c>
      <c r="R5944" s="2" t="inlineStr"/>
    </row>
    <row r="5945" ht="15" customHeight="1">
      <c r="A5945" t="inlineStr">
        <is>
          <t>A 34776-2025</t>
        </is>
      </c>
      <c r="B5945" s="1" t="n">
        <v>45848.65737268519</v>
      </c>
      <c r="C5945" s="1" t="n">
        <v>45883</v>
      </c>
      <c r="D5945" t="inlineStr">
        <is>
          <t>GÄVLEBORGS LÄN</t>
        </is>
      </c>
      <c r="E5945" t="inlineStr">
        <is>
          <t>OCKELBO</t>
        </is>
      </c>
      <c r="F5945" t="inlineStr">
        <is>
          <t>Bergvik skog väst AB</t>
        </is>
      </c>
      <c r="G5945" t="n">
        <v>5.3</v>
      </c>
      <c r="H5945" t="n">
        <v>0</v>
      </c>
      <c r="I5945" t="n">
        <v>0</v>
      </c>
      <c r="J5945" t="n">
        <v>0</v>
      </c>
      <c r="K5945" t="n">
        <v>0</v>
      </c>
      <c r="L5945" t="n">
        <v>0</v>
      </c>
      <c r="M5945" t="n">
        <v>0</v>
      </c>
      <c r="N5945" t="n">
        <v>0</v>
      </c>
      <c r="O5945" t="n">
        <v>0</v>
      </c>
      <c r="P5945" t="n">
        <v>0</v>
      </c>
      <c r="Q5945" t="n">
        <v>0</v>
      </c>
      <c r="R5945" s="2" t="inlineStr"/>
    </row>
    <row r="5946" ht="15" customHeight="1">
      <c r="A5946" t="inlineStr">
        <is>
          <t>A 26304-2025</t>
        </is>
      </c>
      <c r="B5946" s="1" t="n">
        <v>45805</v>
      </c>
      <c r="C5946" s="1" t="n">
        <v>45883</v>
      </c>
      <c r="D5946" t="inlineStr">
        <is>
          <t>GÄVLEBORGS LÄN</t>
        </is>
      </c>
      <c r="E5946" t="inlineStr">
        <is>
          <t>OVANÅKER</t>
        </is>
      </c>
      <c r="G5946" t="n">
        <v>3.4</v>
      </c>
      <c r="H5946" t="n">
        <v>0</v>
      </c>
      <c r="I5946" t="n">
        <v>0</v>
      </c>
      <c r="J5946" t="n">
        <v>0</v>
      </c>
      <c r="K5946" t="n">
        <v>0</v>
      </c>
      <c r="L5946" t="n">
        <v>0</v>
      </c>
      <c r="M5946" t="n">
        <v>0</v>
      </c>
      <c r="N5946" t="n">
        <v>0</v>
      </c>
      <c r="O5946" t="n">
        <v>0</v>
      </c>
      <c r="P5946" t="n">
        <v>0</v>
      </c>
      <c r="Q5946" t="n">
        <v>0</v>
      </c>
      <c r="R5946" s="2" t="inlineStr"/>
    </row>
    <row r="5947" ht="15" customHeight="1">
      <c r="A5947" t="inlineStr">
        <is>
          <t>A 26323-2025</t>
        </is>
      </c>
      <c r="B5947" s="1" t="n">
        <v>45805.66572916666</v>
      </c>
      <c r="C5947" s="1" t="n">
        <v>45883</v>
      </c>
      <c r="D5947" t="inlineStr">
        <is>
          <t>GÄVLEBORGS LÄN</t>
        </is>
      </c>
      <c r="E5947" t="inlineStr">
        <is>
          <t>BOLLNÄS</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34652-2025</t>
        </is>
      </c>
      <c r="B5948" s="1" t="n">
        <v>45848.35363425926</v>
      </c>
      <c r="C5948" s="1" t="n">
        <v>45883</v>
      </c>
      <c r="D5948" t="inlineStr">
        <is>
          <t>GÄVLEBORGS LÄN</t>
        </is>
      </c>
      <c r="E5948" t="inlineStr">
        <is>
          <t>LJUSDAL</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34770-2025</t>
        </is>
      </c>
      <c r="B5949" s="1" t="n">
        <v>45848.65394675926</v>
      </c>
      <c r="C5949" s="1" t="n">
        <v>45883</v>
      </c>
      <c r="D5949" t="inlineStr">
        <is>
          <t>GÄVLEBORGS LÄN</t>
        </is>
      </c>
      <c r="E5949" t="inlineStr">
        <is>
          <t>OCKELBO</t>
        </is>
      </c>
      <c r="F5949" t="inlineStr">
        <is>
          <t>Bergvik skog väst AB</t>
        </is>
      </c>
      <c r="G5949" t="n">
        <v>5</v>
      </c>
      <c r="H5949" t="n">
        <v>0</v>
      </c>
      <c r="I5949" t="n">
        <v>0</v>
      </c>
      <c r="J5949" t="n">
        <v>0</v>
      </c>
      <c r="K5949" t="n">
        <v>0</v>
      </c>
      <c r="L5949" t="n">
        <v>0</v>
      </c>
      <c r="M5949" t="n">
        <v>0</v>
      </c>
      <c r="N5949" t="n">
        <v>0</v>
      </c>
      <c r="O5949" t="n">
        <v>0</v>
      </c>
      <c r="P5949" t="n">
        <v>0</v>
      </c>
      <c r="Q5949" t="n">
        <v>0</v>
      </c>
      <c r="R5949" s="2" t="inlineStr"/>
    </row>
    <row r="5950" ht="15" customHeight="1">
      <c r="A5950" t="inlineStr">
        <is>
          <t>A 34525-2025</t>
        </is>
      </c>
      <c r="B5950" s="1" t="n">
        <v>45847.47710648148</v>
      </c>
      <c r="C5950" s="1" t="n">
        <v>45883</v>
      </c>
      <c r="D5950" t="inlineStr">
        <is>
          <t>GÄVLEBORGS LÄN</t>
        </is>
      </c>
      <c r="E5950" t="inlineStr">
        <is>
          <t>SÖDERHAMN</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51438-2023</t>
        </is>
      </c>
      <c r="B5951" s="1" t="n">
        <v>45219</v>
      </c>
      <c r="C5951" s="1" t="n">
        <v>45883</v>
      </c>
      <c r="D5951" t="inlineStr">
        <is>
          <t>GÄVLEBORGS LÄN</t>
        </is>
      </c>
      <c r="E5951" t="inlineStr">
        <is>
          <t>NORDANSTIG</t>
        </is>
      </c>
      <c r="F5951" t="inlineStr">
        <is>
          <t>SCA</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38793-2024</t>
        </is>
      </c>
      <c r="B5952" s="1" t="n">
        <v>45547.48995370371</v>
      </c>
      <c r="C5952" s="1" t="n">
        <v>45883</v>
      </c>
      <c r="D5952" t="inlineStr">
        <is>
          <t>GÄVLEBORGS LÄN</t>
        </is>
      </c>
      <c r="E5952" t="inlineStr">
        <is>
          <t>GÄVLE</t>
        </is>
      </c>
      <c r="G5952" t="n">
        <v>4.4</v>
      </c>
      <c r="H5952" t="n">
        <v>0</v>
      </c>
      <c r="I5952" t="n">
        <v>0</v>
      </c>
      <c r="J5952" t="n">
        <v>0</v>
      </c>
      <c r="K5952" t="n">
        <v>0</v>
      </c>
      <c r="L5952" t="n">
        <v>0</v>
      </c>
      <c r="M5952" t="n">
        <v>0</v>
      </c>
      <c r="N5952" t="n">
        <v>0</v>
      </c>
      <c r="O5952" t="n">
        <v>0</v>
      </c>
      <c r="P5952" t="n">
        <v>0</v>
      </c>
      <c r="Q5952" t="n">
        <v>0</v>
      </c>
      <c r="R5952" s="2" t="inlineStr"/>
    </row>
    <row r="5953" ht="15" customHeight="1">
      <c r="A5953" t="inlineStr">
        <is>
          <t>A 38799-2024</t>
        </is>
      </c>
      <c r="B5953" s="1" t="n">
        <v>45547</v>
      </c>
      <c r="C5953" s="1" t="n">
        <v>45883</v>
      </c>
      <c r="D5953" t="inlineStr">
        <is>
          <t>GÄVLEBORGS LÄN</t>
        </is>
      </c>
      <c r="E5953" t="inlineStr">
        <is>
          <t>OCKELBO</t>
        </is>
      </c>
      <c r="F5953" t="inlineStr">
        <is>
          <t>Kyrkan</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8276-2025</t>
        </is>
      </c>
      <c r="B5954" s="1" t="n">
        <v>45708.54879629629</v>
      </c>
      <c r="C5954" s="1" t="n">
        <v>45883</v>
      </c>
      <c r="D5954" t="inlineStr">
        <is>
          <t>GÄVLEBORGS LÄN</t>
        </is>
      </c>
      <c r="E5954" t="inlineStr">
        <is>
          <t>SÖDERHAMN</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38814-2024</t>
        </is>
      </c>
      <c r="B5955" s="1" t="n">
        <v>45547.54760416667</v>
      </c>
      <c r="C5955" s="1" t="n">
        <v>45883</v>
      </c>
      <c r="D5955" t="inlineStr">
        <is>
          <t>GÄVLEBORGS LÄN</t>
        </is>
      </c>
      <c r="E5955" t="inlineStr">
        <is>
          <t>LJUSDAL</t>
        </is>
      </c>
      <c r="G5955" t="n">
        <v>5.8</v>
      </c>
      <c r="H5955" t="n">
        <v>0</v>
      </c>
      <c r="I5955" t="n">
        <v>0</v>
      </c>
      <c r="J5955" t="n">
        <v>0</v>
      </c>
      <c r="K5955" t="n">
        <v>0</v>
      </c>
      <c r="L5955" t="n">
        <v>0</v>
      </c>
      <c r="M5955" t="n">
        <v>0</v>
      </c>
      <c r="N5955" t="n">
        <v>0</v>
      </c>
      <c r="O5955" t="n">
        <v>0</v>
      </c>
      <c r="P5955" t="n">
        <v>0</v>
      </c>
      <c r="Q5955" t="n">
        <v>0</v>
      </c>
      <c r="R5955" s="2" t="inlineStr"/>
    </row>
    <row r="5956" ht="15" customHeight="1">
      <c r="A5956" t="inlineStr">
        <is>
          <t>A 38837-2024</t>
        </is>
      </c>
      <c r="B5956" s="1" t="n">
        <v>45547</v>
      </c>
      <c r="C5956" s="1" t="n">
        <v>45883</v>
      </c>
      <c r="D5956" t="inlineStr">
        <is>
          <t>GÄVLEBORGS LÄN</t>
        </is>
      </c>
      <c r="E5956" t="inlineStr">
        <is>
          <t>BOLLNÄS</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48298-2023</t>
        </is>
      </c>
      <c r="B5957" s="1" t="n">
        <v>45205</v>
      </c>
      <c r="C5957" s="1" t="n">
        <v>45883</v>
      </c>
      <c r="D5957" t="inlineStr">
        <is>
          <t>GÄVLEBORGS LÄN</t>
        </is>
      </c>
      <c r="E5957" t="inlineStr">
        <is>
          <t>OVANÅKER</t>
        </is>
      </c>
      <c r="G5957" t="n">
        <v>0.3</v>
      </c>
      <c r="H5957" t="n">
        <v>0</v>
      </c>
      <c r="I5957" t="n">
        <v>0</v>
      </c>
      <c r="J5957" t="n">
        <v>0</v>
      </c>
      <c r="K5957" t="n">
        <v>0</v>
      </c>
      <c r="L5957" t="n">
        <v>0</v>
      </c>
      <c r="M5957" t="n">
        <v>0</v>
      </c>
      <c r="N5957" t="n">
        <v>0</v>
      </c>
      <c r="O5957" t="n">
        <v>0</v>
      </c>
      <c r="P5957" t="n">
        <v>0</v>
      </c>
      <c r="Q5957" t="n">
        <v>0</v>
      </c>
      <c r="R5957" s="2" t="inlineStr"/>
    </row>
    <row r="5958" ht="15" customHeight="1">
      <c r="A5958" t="inlineStr">
        <is>
          <t>A 48300-2023</t>
        </is>
      </c>
      <c r="B5958" s="1" t="n">
        <v>45205.57335648148</v>
      </c>
      <c r="C5958" s="1" t="n">
        <v>45883</v>
      </c>
      <c r="D5958" t="inlineStr">
        <is>
          <t>GÄVLEBORGS LÄN</t>
        </is>
      </c>
      <c r="E5958" t="inlineStr">
        <is>
          <t>SANDVIKEN</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9563-2025</t>
        </is>
      </c>
      <c r="B5959" s="1" t="n">
        <v>45715.613125</v>
      </c>
      <c r="C5959" s="1" t="n">
        <v>45883</v>
      </c>
      <c r="D5959" t="inlineStr">
        <is>
          <t>GÄVLEBORGS LÄN</t>
        </is>
      </c>
      <c r="E5959" t="inlineStr">
        <is>
          <t>HUDIKSVALL</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43191-2024</t>
        </is>
      </c>
      <c r="B5960" s="1" t="n">
        <v>45567.67518518519</v>
      </c>
      <c r="C5960" s="1" t="n">
        <v>45883</v>
      </c>
      <c r="D5960" t="inlineStr">
        <is>
          <t>GÄVLEBORGS LÄN</t>
        </is>
      </c>
      <c r="E5960" t="inlineStr">
        <is>
          <t>SÖDERHAMN</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34699-2025</t>
        </is>
      </c>
      <c r="B5961" s="1" t="n">
        <v>45848.47416666667</v>
      </c>
      <c r="C5961" s="1" t="n">
        <v>45883</v>
      </c>
      <c r="D5961" t="inlineStr">
        <is>
          <t>GÄVLEBORGS LÄN</t>
        </is>
      </c>
      <c r="E5961" t="inlineStr">
        <is>
          <t>GÄVLE</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41535-2024</t>
        </is>
      </c>
      <c r="B5962" s="1" t="n">
        <v>45560.49378472222</v>
      </c>
      <c r="C5962" s="1" t="n">
        <v>45883</v>
      </c>
      <c r="D5962" t="inlineStr">
        <is>
          <t>GÄVLEBORGS LÄN</t>
        </is>
      </c>
      <c r="E5962" t="inlineStr">
        <is>
          <t>HUDIKSVALL</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34662-2025</t>
        </is>
      </c>
      <c r="B5963" s="1" t="n">
        <v>45848.37403935185</v>
      </c>
      <c r="C5963" s="1" t="n">
        <v>45883</v>
      </c>
      <c r="D5963" t="inlineStr">
        <is>
          <t>GÄVLEBORGS LÄN</t>
        </is>
      </c>
      <c r="E5963" t="inlineStr">
        <is>
          <t>SÖDERHAMN</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41545-2024</t>
        </is>
      </c>
      <c r="B5964" s="1" t="n">
        <v>45560.51070601852</v>
      </c>
      <c r="C5964" s="1" t="n">
        <v>45883</v>
      </c>
      <c r="D5964" t="inlineStr">
        <is>
          <t>GÄVLEBORGS LÄN</t>
        </is>
      </c>
      <c r="E5964" t="inlineStr">
        <is>
          <t>OVANÅKER</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34625-2025</t>
        </is>
      </c>
      <c r="B5965" s="1" t="n">
        <v>45847.77689814815</v>
      </c>
      <c r="C5965" s="1" t="n">
        <v>45883</v>
      </c>
      <c r="D5965" t="inlineStr">
        <is>
          <t>GÄVLEBORGS LÄN</t>
        </is>
      </c>
      <c r="E5965" t="inlineStr">
        <is>
          <t>HUDIKSVALL</t>
        </is>
      </c>
      <c r="F5965" t="inlineStr">
        <is>
          <t>Holmen skog AB</t>
        </is>
      </c>
      <c r="G5965" t="n">
        <v>15.7</v>
      </c>
      <c r="H5965" t="n">
        <v>0</v>
      </c>
      <c r="I5965" t="n">
        <v>0</v>
      </c>
      <c r="J5965" t="n">
        <v>0</v>
      </c>
      <c r="K5965" t="n">
        <v>0</v>
      </c>
      <c r="L5965" t="n">
        <v>0</v>
      </c>
      <c r="M5965" t="n">
        <v>0</v>
      </c>
      <c r="N5965" t="n">
        <v>0</v>
      </c>
      <c r="O5965" t="n">
        <v>0</v>
      </c>
      <c r="P5965" t="n">
        <v>0</v>
      </c>
      <c r="Q5965" t="n">
        <v>0</v>
      </c>
      <c r="R5965" s="2" t="inlineStr"/>
    </row>
    <row r="5966" ht="15" customHeight="1">
      <c r="A5966" t="inlineStr">
        <is>
          <t>A 34481-2025</t>
        </is>
      </c>
      <c r="B5966" s="1" t="n">
        <v>45847.37819444444</v>
      </c>
      <c r="C5966" s="1" t="n">
        <v>45883</v>
      </c>
      <c r="D5966" t="inlineStr">
        <is>
          <t>GÄVLEBORGS LÄN</t>
        </is>
      </c>
      <c r="E5966" t="inlineStr">
        <is>
          <t>BOLLNÄS</t>
        </is>
      </c>
      <c r="G5966" t="n">
        <v>0.3</v>
      </c>
      <c r="H5966" t="n">
        <v>0</v>
      </c>
      <c r="I5966" t="n">
        <v>0</v>
      </c>
      <c r="J5966" t="n">
        <v>0</v>
      </c>
      <c r="K5966" t="n">
        <v>0</v>
      </c>
      <c r="L5966" t="n">
        <v>0</v>
      </c>
      <c r="M5966" t="n">
        <v>0</v>
      </c>
      <c r="N5966" t="n">
        <v>0</v>
      </c>
      <c r="O5966" t="n">
        <v>0</v>
      </c>
      <c r="P5966" t="n">
        <v>0</v>
      </c>
      <c r="Q5966" t="n">
        <v>0</v>
      </c>
      <c r="R5966" s="2" t="inlineStr"/>
    </row>
    <row r="5967" ht="15" customHeight="1">
      <c r="A5967" t="inlineStr">
        <is>
          <t>A 22892-2023</t>
        </is>
      </c>
      <c r="B5967" s="1" t="n">
        <v>45072.5287962963</v>
      </c>
      <c r="C5967" s="1" t="n">
        <v>45883</v>
      </c>
      <c r="D5967" t="inlineStr">
        <is>
          <t>GÄVLEBORGS LÄN</t>
        </is>
      </c>
      <c r="E5967" t="inlineStr">
        <is>
          <t>HUDIKSVALL</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18828-2024</t>
        </is>
      </c>
      <c r="B5968" s="1" t="n">
        <v>45426</v>
      </c>
      <c r="C5968" s="1" t="n">
        <v>45883</v>
      </c>
      <c r="D5968" t="inlineStr">
        <is>
          <t>GÄVLEBORGS LÄN</t>
        </is>
      </c>
      <c r="E5968" t="inlineStr">
        <is>
          <t>HUDIKSVALL</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18347-2025</t>
        </is>
      </c>
      <c r="B5969" s="1" t="n">
        <v>45762.52913194444</v>
      </c>
      <c r="C5969" s="1" t="n">
        <v>45883</v>
      </c>
      <c r="D5969" t="inlineStr">
        <is>
          <t>GÄVLEBORGS LÄN</t>
        </is>
      </c>
      <c r="E5969" t="inlineStr">
        <is>
          <t>HOFORS</t>
        </is>
      </c>
      <c r="G5969" t="n">
        <v>3.8</v>
      </c>
      <c r="H5969" t="n">
        <v>0</v>
      </c>
      <c r="I5969" t="n">
        <v>0</v>
      </c>
      <c r="J5969" t="n">
        <v>0</v>
      </c>
      <c r="K5969" t="n">
        <v>0</v>
      </c>
      <c r="L5969" t="n">
        <v>0</v>
      </c>
      <c r="M5969" t="n">
        <v>0</v>
      </c>
      <c r="N5969" t="n">
        <v>0</v>
      </c>
      <c r="O5969" t="n">
        <v>0</v>
      </c>
      <c r="P5969" t="n">
        <v>0</v>
      </c>
      <c r="Q5969" t="n">
        <v>0</v>
      </c>
      <c r="R5969" s="2" t="inlineStr"/>
    </row>
    <row r="5970" ht="15" customHeight="1">
      <c r="A5970" t="inlineStr">
        <is>
          <t>A 48597-2023</t>
        </is>
      </c>
      <c r="B5970" s="1" t="n">
        <v>45208</v>
      </c>
      <c r="C5970" s="1" t="n">
        <v>45883</v>
      </c>
      <c r="D5970" t="inlineStr">
        <is>
          <t>GÄVLEBORGS LÄN</t>
        </is>
      </c>
      <c r="E5970" t="inlineStr">
        <is>
          <t>SANDVIKEN</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55494-2024</t>
        </is>
      </c>
      <c r="B5971" s="1" t="n">
        <v>45622</v>
      </c>
      <c r="C5971" s="1" t="n">
        <v>45883</v>
      </c>
      <c r="D5971" t="inlineStr">
        <is>
          <t>GÄVLEBORGS LÄN</t>
        </is>
      </c>
      <c r="E5971" t="inlineStr">
        <is>
          <t>NORDANSTIG</t>
        </is>
      </c>
      <c r="F5971" t="inlineStr">
        <is>
          <t>Holmen skog AB</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55531-2024</t>
        </is>
      </c>
      <c r="B5972" s="1" t="n">
        <v>45622.48667824074</v>
      </c>
      <c r="C5972" s="1" t="n">
        <v>45883</v>
      </c>
      <c r="D5972" t="inlineStr">
        <is>
          <t>GÄVLEBORGS LÄN</t>
        </is>
      </c>
      <c r="E5972" t="inlineStr">
        <is>
          <t>NORDANSTIG</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19741-2025</t>
        </is>
      </c>
      <c r="B5973" s="1" t="n">
        <v>45771.37157407407</v>
      </c>
      <c r="C5973" s="1" t="n">
        <v>45883</v>
      </c>
      <c r="D5973" t="inlineStr">
        <is>
          <t>GÄVLEBORGS LÄN</t>
        </is>
      </c>
      <c r="E5973" t="inlineStr">
        <is>
          <t>BOLLNÄS</t>
        </is>
      </c>
      <c r="G5973" t="n">
        <v>27.5</v>
      </c>
      <c r="H5973" t="n">
        <v>0</v>
      </c>
      <c r="I5973" t="n">
        <v>0</v>
      </c>
      <c r="J5973" t="n">
        <v>0</v>
      </c>
      <c r="K5973" t="n">
        <v>0</v>
      </c>
      <c r="L5973" t="n">
        <v>0</v>
      </c>
      <c r="M5973" t="n">
        <v>0</v>
      </c>
      <c r="N5973" t="n">
        <v>0</v>
      </c>
      <c r="O5973" t="n">
        <v>0</v>
      </c>
      <c r="P5973" t="n">
        <v>0</v>
      </c>
      <c r="Q5973" t="n">
        <v>0</v>
      </c>
      <c r="R5973" s="2" t="inlineStr"/>
    </row>
    <row r="5974" ht="15" customHeight="1">
      <c r="A5974" t="inlineStr">
        <is>
          <t>A 26303-2025</t>
        </is>
      </c>
      <c r="B5974" s="1" t="n">
        <v>45805.64239583333</v>
      </c>
      <c r="C5974" s="1" t="n">
        <v>45883</v>
      </c>
      <c r="D5974" t="inlineStr">
        <is>
          <t>GÄVLEBORGS LÄN</t>
        </is>
      </c>
      <c r="E5974" t="inlineStr">
        <is>
          <t>BOLLNÄS</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10184-2022</t>
        </is>
      </c>
      <c r="B5975" s="1" t="n">
        <v>44622</v>
      </c>
      <c r="C5975" s="1" t="n">
        <v>45883</v>
      </c>
      <c r="D5975" t="inlineStr">
        <is>
          <t>GÄVLEBORGS LÄN</t>
        </is>
      </c>
      <c r="E5975" t="inlineStr">
        <is>
          <t>HOFORS</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19567-2024</t>
        </is>
      </c>
      <c r="B5976" s="1" t="n">
        <v>45429.92321759259</v>
      </c>
      <c r="C5976" s="1" t="n">
        <v>45883</v>
      </c>
      <c r="D5976" t="inlineStr">
        <is>
          <t>GÄVLEBORGS LÄN</t>
        </is>
      </c>
      <c r="E5976" t="inlineStr">
        <is>
          <t>NORDANSTIG</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9905-2024</t>
        </is>
      </c>
      <c r="B5977" s="1" t="n">
        <v>45363</v>
      </c>
      <c r="C5977" s="1" t="n">
        <v>45883</v>
      </c>
      <c r="D5977" t="inlineStr">
        <is>
          <t>GÄVLEBORGS LÄN</t>
        </is>
      </c>
      <c r="E5977" t="inlineStr">
        <is>
          <t>HUDIKSVALL</t>
        </is>
      </c>
      <c r="F5977" t="inlineStr">
        <is>
          <t>Holmen skog AB</t>
        </is>
      </c>
      <c r="G5977" t="n">
        <v>16.5</v>
      </c>
      <c r="H5977" t="n">
        <v>0</v>
      </c>
      <c r="I5977" t="n">
        <v>0</v>
      </c>
      <c r="J5977" t="n">
        <v>0</v>
      </c>
      <c r="K5977" t="n">
        <v>0</v>
      </c>
      <c r="L5977" t="n">
        <v>0</v>
      </c>
      <c r="M5977" t="n">
        <v>0</v>
      </c>
      <c r="N5977" t="n">
        <v>0</v>
      </c>
      <c r="O5977" t="n">
        <v>0</v>
      </c>
      <c r="P5977" t="n">
        <v>0</v>
      </c>
      <c r="Q5977" t="n">
        <v>0</v>
      </c>
      <c r="R5977" s="2" t="inlineStr"/>
    </row>
    <row r="5978" ht="15" customHeight="1">
      <c r="A5978" t="inlineStr">
        <is>
          <t>A 1526-2024</t>
        </is>
      </c>
      <c r="B5978" s="1" t="n">
        <v>45306</v>
      </c>
      <c r="C5978" s="1" t="n">
        <v>45883</v>
      </c>
      <c r="D5978" t="inlineStr">
        <is>
          <t>GÄVLEBORGS LÄN</t>
        </is>
      </c>
      <c r="E5978" t="inlineStr">
        <is>
          <t>NORDANSTIG</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59235-2020</t>
        </is>
      </c>
      <c r="B5979" s="1" t="n">
        <v>44147</v>
      </c>
      <c r="C5979" s="1" t="n">
        <v>45883</v>
      </c>
      <c r="D5979" t="inlineStr">
        <is>
          <t>GÄVLEBORGS LÄN</t>
        </is>
      </c>
      <c r="E5979" t="inlineStr">
        <is>
          <t>SÖDERHAMN</t>
        </is>
      </c>
      <c r="G5979" t="n">
        <v>5.8</v>
      </c>
      <c r="H5979" t="n">
        <v>0</v>
      </c>
      <c r="I5979" t="n">
        <v>0</v>
      </c>
      <c r="J5979" t="n">
        <v>0</v>
      </c>
      <c r="K5979" t="n">
        <v>0</v>
      </c>
      <c r="L5979" t="n">
        <v>0</v>
      </c>
      <c r="M5979" t="n">
        <v>0</v>
      </c>
      <c r="N5979" t="n">
        <v>0</v>
      </c>
      <c r="O5979" t="n">
        <v>0</v>
      </c>
      <c r="P5979" t="n">
        <v>0</v>
      </c>
      <c r="Q5979" t="n">
        <v>0</v>
      </c>
      <c r="R5979" s="2" t="inlineStr"/>
    </row>
    <row r="5980" ht="15" customHeight="1">
      <c r="A5980" t="inlineStr">
        <is>
          <t>A 55106-2024</t>
        </is>
      </c>
      <c r="B5980" s="1" t="n">
        <v>45621</v>
      </c>
      <c r="C5980" s="1" t="n">
        <v>45883</v>
      </c>
      <c r="D5980" t="inlineStr">
        <is>
          <t>GÄVLEBORGS LÄN</t>
        </is>
      </c>
      <c r="E5980" t="inlineStr">
        <is>
          <t>SANDVIKEN</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33297-2024</t>
        </is>
      </c>
      <c r="B5981" s="1" t="n">
        <v>45518.93506944444</v>
      </c>
      <c r="C5981" s="1" t="n">
        <v>45883</v>
      </c>
      <c r="D5981" t="inlineStr">
        <is>
          <t>GÄVLEBORGS LÄN</t>
        </is>
      </c>
      <c r="E5981" t="inlineStr">
        <is>
          <t>LJUSDAL</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14647-2025</t>
        </is>
      </c>
      <c r="B5982" s="1" t="n">
        <v>45742.47987268519</v>
      </c>
      <c r="C5982" s="1" t="n">
        <v>45883</v>
      </c>
      <c r="D5982" t="inlineStr">
        <is>
          <t>GÄVLEBORGS LÄN</t>
        </is>
      </c>
      <c r="E5982" t="inlineStr">
        <is>
          <t>GÄVLE</t>
        </is>
      </c>
      <c r="F5982" t="inlineStr">
        <is>
          <t>Bergvik skog öst AB</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14668-2025</t>
        </is>
      </c>
      <c r="B5983" s="1" t="n">
        <v>45742.54047453704</v>
      </c>
      <c r="C5983" s="1" t="n">
        <v>45883</v>
      </c>
      <c r="D5983" t="inlineStr">
        <is>
          <t>GÄVLEBORGS LÄN</t>
        </is>
      </c>
      <c r="E5983" t="inlineStr">
        <is>
          <t>GÄVLE</t>
        </is>
      </c>
      <c r="F5983" t="inlineStr">
        <is>
          <t>Bergvik skog öst AB</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35128-2025</t>
        </is>
      </c>
      <c r="B5984" s="1" t="n">
        <v>45852.62730324074</v>
      </c>
      <c r="C5984" s="1" t="n">
        <v>45883</v>
      </c>
      <c r="D5984" t="inlineStr">
        <is>
          <t>GÄVLEBORGS LÄN</t>
        </is>
      </c>
      <c r="E5984" t="inlineStr">
        <is>
          <t>HUDIKSVALL</t>
        </is>
      </c>
      <c r="F5984" t="inlineStr">
        <is>
          <t>Holmen skog AB</t>
        </is>
      </c>
      <c r="G5984" t="n">
        <v>4.8</v>
      </c>
      <c r="H5984" t="n">
        <v>0</v>
      </c>
      <c r="I5984" t="n">
        <v>0</v>
      </c>
      <c r="J5984" t="n">
        <v>0</v>
      </c>
      <c r="K5984" t="n">
        <v>0</v>
      </c>
      <c r="L5984" t="n">
        <v>0</v>
      </c>
      <c r="M5984" t="n">
        <v>0</v>
      </c>
      <c r="N5984" t="n">
        <v>0</v>
      </c>
      <c r="O5984" t="n">
        <v>0</v>
      </c>
      <c r="P5984" t="n">
        <v>0</v>
      </c>
      <c r="Q5984" t="n">
        <v>0</v>
      </c>
      <c r="R5984" s="2" t="inlineStr"/>
    </row>
    <row r="5985" ht="15" customHeight="1">
      <c r="A5985" t="inlineStr">
        <is>
          <t>A 21194-2024</t>
        </is>
      </c>
      <c r="B5985" s="1" t="n">
        <v>45440</v>
      </c>
      <c r="C5985" s="1" t="n">
        <v>45883</v>
      </c>
      <c r="D5985" t="inlineStr">
        <is>
          <t>GÄVLEBORGS LÄN</t>
        </is>
      </c>
      <c r="E5985" t="inlineStr">
        <is>
          <t>LJUSDAL</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54799-2022</t>
        </is>
      </c>
      <c r="B5986" s="1" t="n">
        <v>44883</v>
      </c>
      <c r="C5986" s="1" t="n">
        <v>45883</v>
      </c>
      <c r="D5986" t="inlineStr">
        <is>
          <t>GÄVLEBORGS LÄN</t>
        </is>
      </c>
      <c r="E5986" t="inlineStr">
        <is>
          <t>SÖDERHAMN</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52120-2022</t>
        </is>
      </c>
      <c r="B5987" s="1" t="n">
        <v>44873.42377314815</v>
      </c>
      <c r="C5987" s="1" t="n">
        <v>45883</v>
      </c>
      <c r="D5987" t="inlineStr">
        <is>
          <t>GÄVLEBORGS LÄN</t>
        </is>
      </c>
      <c r="E5987" t="inlineStr">
        <is>
          <t>NORDANSTIG</t>
        </is>
      </c>
      <c r="G5987" t="n">
        <v>6.9</v>
      </c>
      <c r="H5987" t="n">
        <v>0</v>
      </c>
      <c r="I5987" t="n">
        <v>0</v>
      </c>
      <c r="J5987" t="n">
        <v>0</v>
      </c>
      <c r="K5987" t="n">
        <v>0</v>
      </c>
      <c r="L5987" t="n">
        <v>0</v>
      </c>
      <c r="M5987" t="n">
        <v>0</v>
      </c>
      <c r="N5987" t="n">
        <v>0</v>
      </c>
      <c r="O5987" t="n">
        <v>0</v>
      </c>
      <c r="P5987" t="n">
        <v>0</v>
      </c>
      <c r="Q5987" t="n">
        <v>0</v>
      </c>
      <c r="R5987" s="2" t="inlineStr"/>
    </row>
    <row r="5988" ht="15" customHeight="1">
      <c r="A5988" t="inlineStr">
        <is>
          <t>A 16858-2024</t>
        </is>
      </c>
      <c r="B5988" s="1" t="n">
        <v>45411.55578703704</v>
      </c>
      <c r="C5988" s="1" t="n">
        <v>45883</v>
      </c>
      <c r="D5988" t="inlineStr">
        <is>
          <t>GÄVLEBORGS LÄN</t>
        </is>
      </c>
      <c r="E5988" t="inlineStr">
        <is>
          <t>HUDIKSVALL</t>
        </is>
      </c>
      <c r="G5988" t="n">
        <v>5.7</v>
      </c>
      <c r="H5988" t="n">
        <v>0</v>
      </c>
      <c r="I5988" t="n">
        <v>0</v>
      </c>
      <c r="J5988" t="n">
        <v>0</v>
      </c>
      <c r="K5988" t="n">
        <v>0</v>
      </c>
      <c r="L5988" t="n">
        <v>0</v>
      </c>
      <c r="M5988" t="n">
        <v>0</v>
      </c>
      <c r="N5988" t="n">
        <v>0</v>
      </c>
      <c r="O5988" t="n">
        <v>0</v>
      </c>
      <c r="P5988" t="n">
        <v>0</v>
      </c>
      <c r="Q5988" t="n">
        <v>0</v>
      </c>
      <c r="R5988" s="2" t="inlineStr"/>
    </row>
    <row r="5989" ht="15" customHeight="1">
      <c r="A5989" t="inlineStr">
        <is>
          <t>A 16781-2024</t>
        </is>
      </c>
      <c r="B5989" s="1" t="n">
        <v>45411.4180324074</v>
      </c>
      <c r="C5989" s="1" t="n">
        <v>45883</v>
      </c>
      <c r="D5989" t="inlineStr">
        <is>
          <t>GÄVLEBORGS LÄN</t>
        </is>
      </c>
      <c r="E5989" t="inlineStr">
        <is>
          <t>HUDIKSVALL</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26816-2025</t>
        </is>
      </c>
      <c r="B5990" s="1" t="n">
        <v>45810.63582175926</v>
      </c>
      <c r="C5990" s="1" t="n">
        <v>45883</v>
      </c>
      <c r="D5990" t="inlineStr">
        <is>
          <t>GÄVLEBORGS LÄN</t>
        </is>
      </c>
      <c r="E5990" t="inlineStr">
        <is>
          <t>LJUSDAL</t>
        </is>
      </c>
      <c r="F5990" t="inlineStr">
        <is>
          <t>SCA</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26821-2025</t>
        </is>
      </c>
      <c r="B5991" s="1" t="n">
        <v>45810.64354166666</v>
      </c>
      <c r="C5991" s="1" t="n">
        <v>45883</v>
      </c>
      <c r="D5991" t="inlineStr">
        <is>
          <t>GÄVLEBORGS LÄN</t>
        </is>
      </c>
      <c r="E5991" t="inlineStr">
        <is>
          <t>OCKELBO</t>
        </is>
      </c>
      <c r="F5991" t="inlineStr">
        <is>
          <t>Bergvik skog väst AB</t>
        </is>
      </c>
      <c r="G5991" t="n">
        <v>4.7</v>
      </c>
      <c r="H5991" t="n">
        <v>0</v>
      </c>
      <c r="I5991" t="n">
        <v>0</v>
      </c>
      <c r="J5991" t="n">
        <v>0</v>
      </c>
      <c r="K5991" t="n">
        <v>0</v>
      </c>
      <c r="L5991" t="n">
        <v>0</v>
      </c>
      <c r="M5991" t="n">
        <v>0</v>
      </c>
      <c r="N5991" t="n">
        <v>0</v>
      </c>
      <c r="O5991" t="n">
        <v>0</v>
      </c>
      <c r="P5991" t="n">
        <v>0</v>
      </c>
      <c r="Q5991" t="n">
        <v>0</v>
      </c>
      <c r="R5991" s="2" t="inlineStr"/>
    </row>
    <row r="5992" ht="15" customHeight="1">
      <c r="A5992" t="inlineStr">
        <is>
          <t>A 26827-2025</t>
        </is>
      </c>
      <c r="B5992" s="1" t="n">
        <v>45810.65016203704</v>
      </c>
      <c r="C5992" s="1" t="n">
        <v>45883</v>
      </c>
      <c r="D5992" t="inlineStr">
        <is>
          <t>GÄVLEBORGS LÄN</t>
        </is>
      </c>
      <c r="E5992" t="inlineStr">
        <is>
          <t>HUDIKSVALL</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20023-2025</t>
        </is>
      </c>
      <c r="B5993" s="1" t="n">
        <v>45772.34421296296</v>
      </c>
      <c r="C5993" s="1" t="n">
        <v>45883</v>
      </c>
      <c r="D5993" t="inlineStr">
        <is>
          <t>GÄVLEBORGS LÄN</t>
        </is>
      </c>
      <c r="E5993" t="inlineStr">
        <is>
          <t>LJUSDAL</t>
        </is>
      </c>
      <c r="F5993" t="inlineStr">
        <is>
          <t>SCA</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49413-2023</t>
        </is>
      </c>
      <c r="B5994" s="1" t="n">
        <v>45211</v>
      </c>
      <c r="C5994" s="1" t="n">
        <v>45883</v>
      </c>
      <c r="D5994" t="inlineStr">
        <is>
          <t>GÄVLEBORGS LÄN</t>
        </is>
      </c>
      <c r="E5994" t="inlineStr">
        <is>
          <t>BOLLNÄS</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49512-2023</t>
        </is>
      </c>
      <c r="B5995" s="1" t="n">
        <v>45211.58351851852</v>
      </c>
      <c r="C5995" s="1" t="n">
        <v>45883</v>
      </c>
      <c r="D5995" t="inlineStr">
        <is>
          <t>GÄVLEBORGS LÄN</t>
        </is>
      </c>
      <c r="E5995" t="inlineStr">
        <is>
          <t>SANDVIKEN</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2373-2025</t>
        </is>
      </c>
      <c r="B5996" s="1" t="n">
        <v>45673.85991898148</v>
      </c>
      <c r="C5996" s="1" t="n">
        <v>45883</v>
      </c>
      <c r="D5996" t="inlineStr">
        <is>
          <t>GÄVLEBORGS LÄN</t>
        </is>
      </c>
      <c r="E5996" t="inlineStr">
        <is>
          <t>GÄVLE</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2374-2025</t>
        </is>
      </c>
      <c r="B5997" s="1" t="n">
        <v>45673.87116898148</v>
      </c>
      <c r="C5997" s="1" t="n">
        <v>45883</v>
      </c>
      <c r="D5997" t="inlineStr">
        <is>
          <t>GÄVLEBORGS LÄN</t>
        </is>
      </c>
      <c r="E5997" t="inlineStr">
        <is>
          <t>GÄVLE</t>
        </is>
      </c>
      <c r="G5997" t="n">
        <v>3.6</v>
      </c>
      <c r="H5997" t="n">
        <v>0</v>
      </c>
      <c r="I5997" t="n">
        <v>0</v>
      </c>
      <c r="J5997" t="n">
        <v>0</v>
      </c>
      <c r="K5997" t="n">
        <v>0</v>
      </c>
      <c r="L5997" t="n">
        <v>0</v>
      </c>
      <c r="M5997" t="n">
        <v>0</v>
      </c>
      <c r="N5997" t="n">
        <v>0</v>
      </c>
      <c r="O5997" t="n">
        <v>0</v>
      </c>
      <c r="P5997" t="n">
        <v>0</v>
      </c>
      <c r="Q5997" t="n">
        <v>0</v>
      </c>
      <c r="R5997" s="2" t="inlineStr"/>
    </row>
    <row r="5998" ht="15" customHeight="1">
      <c r="A5998" t="inlineStr">
        <is>
          <t>A 206-2025</t>
        </is>
      </c>
      <c r="B5998" s="1" t="n">
        <v>45660.3234837963</v>
      </c>
      <c r="C5998" s="1" t="n">
        <v>45883</v>
      </c>
      <c r="D5998" t="inlineStr">
        <is>
          <t>GÄVLEBORGS LÄN</t>
        </is>
      </c>
      <c r="E5998" t="inlineStr">
        <is>
          <t>LJUSDAL</t>
        </is>
      </c>
      <c r="G5998" t="n">
        <v>5.8</v>
      </c>
      <c r="H5998" t="n">
        <v>0</v>
      </c>
      <c r="I5998" t="n">
        <v>0</v>
      </c>
      <c r="J5998" t="n">
        <v>0</v>
      </c>
      <c r="K5998" t="n">
        <v>0</v>
      </c>
      <c r="L5998" t="n">
        <v>0</v>
      </c>
      <c r="M5998" t="n">
        <v>0</v>
      </c>
      <c r="N5998" t="n">
        <v>0</v>
      </c>
      <c r="O5998" t="n">
        <v>0</v>
      </c>
      <c r="P5998" t="n">
        <v>0</v>
      </c>
      <c r="Q5998" t="n">
        <v>0</v>
      </c>
      <c r="R5998" s="2" t="inlineStr"/>
    </row>
    <row r="5999" ht="15" customHeight="1">
      <c r="A5999" t="inlineStr">
        <is>
          <t>A 209-2025</t>
        </is>
      </c>
      <c r="B5999" s="1" t="n">
        <v>45660.33010416666</v>
      </c>
      <c r="C5999" s="1" t="n">
        <v>45883</v>
      </c>
      <c r="D5999" t="inlineStr">
        <is>
          <t>GÄVLEBORGS LÄN</t>
        </is>
      </c>
      <c r="E5999" t="inlineStr">
        <is>
          <t>LJUSDAL</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579-2025</t>
        </is>
      </c>
      <c r="B6000" s="1" t="n">
        <v>45664.56732638889</v>
      </c>
      <c r="C6000" s="1" t="n">
        <v>45883</v>
      </c>
      <c r="D6000" t="inlineStr">
        <is>
          <t>GÄVLEBORGS LÄN</t>
        </is>
      </c>
      <c r="E6000" t="inlineStr">
        <is>
          <t>BOLLNÄS</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268-2025</t>
        </is>
      </c>
      <c r="B6001" s="1" t="n">
        <v>45660</v>
      </c>
      <c r="C6001" s="1" t="n">
        <v>45883</v>
      </c>
      <c r="D6001" t="inlineStr">
        <is>
          <t>GÄVLEBORGS LÄN</t>
        </is>
      </c>
      <c r="E6001" t="inlineStr">
        <is>
          <t>LJUSDAL</t>
        </is>
      </c>
      <c r="G6001" t="n">
        <v>4</v>
      </c>
      <c r="H6001" t="n">
        <v>0</v>
      </c>
      <c r="I6001" t="n">
        <v>0</v>
      </c>
      <c r="J6001" t="n">
        <v>0</v>
      </c>
      <c r="K6001" t="n">
        <v>0</v>
      </c>
      <c r="L6001" t="n">
        <v>0</v>
      </c>
      <c r="M6001" t="n">
        <v>0</v>
      </c>
      <c r="N6001" t="n">
        <v>0</v>
      </c>
      <c r="O6001" t="n">
        <v>0</v>
      </c>
      <c r="P6001" t="n">
        <v>0</v>
      </c>
      <c r="Q6001" t="n">
        <v>0</v>
      </c>
      <c r="R6001" s="2" t="inlineStr"/>
    </row>
    <row r="6002" ht="15" customHeight="1">
      <c r="A6002" t="inlineStr">
        <is>
          <t>A 617-2025</t>
        </is>
      </c>
      <c r="B6002" s="1" t="n">
        <v>45664.60994212963</v>
      </c>
      <c r="C6002" s="1" t="n">
        <v>45883</v>
      </c>
      <c r="D6002" t="inlineStr">
        <is>
          <t>GÄVLEBORGS LÄN</t>
        </is>
      </c>
      <c r="E6002" t="inlineStr">
        <is>
          <t>BOLLNÄS</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1037-2025</t>
        </is>
      </c>
      <c r="B6003" s="1" t="n">
        <v>45666.53684027777</v>
      </c>
      <c r="C6003" s="1" t="n">
        <v>45883</v>
      </c>
      <c r="D6003" t="inlineStr">
        <is>
          <t>GÄVLEBORGS LÄN</t>
        </is>
      </c>
      <c r="E6003" t="inlineStr">
        <is>
          <t>SANDVIKEN</t>
        </is>
      </c>
      <c r="G6003" t="n">
        <v>6</v>
      </c>
      <c r="H6003" t="n">
        <v>0</v>
      </c>
      <c r="I6003" t="n">
        <v>0</v>
      </c>
      <c r="J6003" t="n">
        <v>0</v>
      </c>
      <c r="K6003" t="n">
        <v>0</v>
      </c>
      <c r="L6003" t="n">
        <v>0</v>
      </c>
      <c r="M6003" t="n">
        <v>0</v>
      </c>
      <c r="N6003" t="n">
        <v>0</v>
      </c>
      <c r="O6003" t="n">
        <v>0</v>
      </c>
      <c r="P6003" t="n">
        <v>0</v>
      </c>
      <c r="Q6003" t="n">
        <v>0</v>
      </c>
      <c r="R6003" s="2" t="inlineStr"/>
    </row>
    <row r="6004" ht="15" customHeight="1">
      <c r="A6004" t="inlineStr">
        <is>
          <t>A 2667-2025</t>
        </is>
      </c>
      <c r="B6004" s="1" t="n">
        <v>45677.27587962963</v>
      </c>
      <c r="C6004" s="1" t="n">
        <v>45883</v>
      </c>
      <c r="D6004" t="inlineStr">
        <is>
          <t>GÄVLEBORGS LÄN</t>
        </is>
      </c>
      <c r="E6004" t="inlineStr">
        <is>
          <t>BOLLNÄS</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721-2025</t>
        </is>
      </c>
      <c r="B6005" s="1" t="n">
        <v>45665</v>
      </c>
      <c r="C6005" s="1" t="n">
        <v>45883</v>
      </c>
      <c r="D6005" t="inlineStr">
        <is>
          <t>GÄVLEBORGS LÄN</t>
        </is>
      </c>
      <c r="E6005" t="inlineStr">
        <is>
          <t>SÖDERHAMN</t>
        </is>
      </c>
      <c r="F6005" t="inlineStr">
        <is>
          <t>Bergvik skog väst AB</t>
        </is>
      </c>
      <c r="G6005" t="n">
        <v>15.2</v>
      </c>
      <c r="H6005" t="n">
        <v>0</v>
      </c>
      <c r="I6005" t="n">
        <v>0</v>
      </c>
      <c r="J6005" t="n">
        <v>0</v>
      </c>
      <c r="K6005" t="n">
        <v>0</v>
      </c>
      <c r="L6005" t="n">
        <v>0</v>
      </c>
      <c r="M6005" t="n">
        <v>0</v>
      </c>
      <c r="N6005" t="n">
        <v>0</v>
      </c>
      <c r="O6005" t="n">
        <v>0</v>
      </c>
      <c r="P6005" t="n">
        <v>0</v>
      </c>
      <c r="Q6005" t="n">
        <v>0</v>
      </c>
      <c r="R6005" s="2" t="inlineStr"/>
    </row>
    <row r="6006" ht="15" customHeight="1">
      <c r="A6006" t="inlineStr">
        <is>
          <t>A 2528-2025</t>
        </is>
      </c>
      <c r="B6006" s="1" t="n">
        <v>45674.61342592593</v>
      </c>
      <c r="C6006" s="1" t="n">
        <v>45883</v>
      </c>
      <c r="D6006" t="inlineStr">
        <is>
          <t>GÄVLEBORGS LÄN</t>
        </is>
      </c>
      <c r="E6006" t="inlineStr">
        <is>
          <t>HUDIKSVALL</t>
        </is>
      </c>
      <c r="G6006" t="n">
        <v>3.5</v>
      </c>
      <c r="H6006" t="n">
        <v>0</v>
      </c>
      <c r="I6006" t="n">
        <v>0</v>
      </c>
      <c r="J6006" t="n">
        <v>0</v>
      </c>
      <c r="K6006" t="n">
        <v>0</v>
      </c>
      <c r="L6006" t="n">
        <v>0</v>
      </c>
      <c r="M6006" t="n">
        <v>0</v>
      </c>
      <c r="N6006" t="n">
        <v>0</v>
      </c>
      <c r="O6006" t="n">
        <v>0</v>
      </c>
      <c r="P6006" t="n">
        <v>0</v>
      </c>
      <c r="Q6006" t="n">
        <v>0</v>
      </c>
      <c r="R6006" s="2" t="inlineStr"/>
    </row>
    <row r="6007" ht="15" customHeight="1">
      <c r="A6007" t="inlineStr">
        <is>
          <t>A 56127-2023</t>
        </is>
      </c>
      <c r="B6007" s="1" t="n">
        <v>45240.58010416666</v>
      </c>
      <c r="C6007" s="1" t="n">
        <v>45883</v>
      </c>
      <c r="D6007" t="inlineStr">
        <is>
          <t>GÄVLEBORGS LÄN</t>
        </is>
      </c>
      <c r="E6007" t="inlineStr">
        <is>
          <t>OVANÅKER</t>
        </is>
      </c>
      <c r="G6007" t="n">
        <v>0.4</v>
      </c>
      <c r="H6007" t="n">
        <v>0</v>
      </c>
      <c r="I6007" t="n">
        <v>0</v>
      </c>
      <c r="J6007" t="n">
        <v>0</v>
      </c>
      <c r="K6007" t="n">
        <v>0</v>
      </c>
      <c r="L6007" t="n">
        <v>0</v>
      </c>
      <c r="M6007" t="n">
        <v>0</v>
      </c>
      <c r="N6007" t="n">
        <v>0</v>
      </c>
      <c r="O6007" t="n">
        <v>0</v>
      </c>
      <c r="P6007" t="n">
        <v>0</v>
      </c>
      <c r="Q6007" t="n">
        <v>0</v>
      </c>
      <c r="R6007" s="2" t="inlineStr"/>
    </row>
    <row r="6008" ht="15" customHeight="1">
      <c r="A6008" t="inlineStr">
        <is>
          <t>A 2748-2025</t>
        </is>
      </c>
      <c r="B6008" s="1" t="n">
        <v>45677.46497685185</v>
      </c>
      <c r="C6008" s="1" t="n">
        <v>45883</v>
      </c>
      <c r="D6008" t="inlineStr">
        <is>
          <t>GÄVLEBORGS LÄN</t>
        </is>
      </c>
      <c r="E6008" t="inlineStr">
        <is>
          <t>HUDIKSVALL</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2620-2025</t>
        </is>
      </c>
      <c r="B6009" s="1" t="n">
        <v>45675.58435185185</v>
      </c>
      <c r="C6009" s="1" t="n">
        <v>45883</v>
      </c>
      <c r="D6009" t="inlineStr">
        <is>
          <t>GÄVLEBORGS LÄN</t>
        </is>
      </c>
      <c r="E6009" t="inlineStr">
        <is>
          <t>BOLLNÄS</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2663-2025</t>
        </is>
      </c>
      <c r="B6010" s="1" t="n">
        <v>45676.87730324074</v>
      </c>
      <c r="C6010" s="1" t="n">
        <v>45883</v>
      </c>
      <c r="D6010" t="inlineStr">
        <is>
          <t>GÄVLEBORGS LÄN</t>
        </is>
      </c>
      <c r="E6010" t="inlineStr">
        <is>
          <t>HUDIKSVALL</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36343-2023</t>
        </is>
      </c>
      <c r="B6011" s="1" t="n">
        <v>45152.45767361111</v>
      </c>
      <c r="C6011" s="1" t="n">
        <v>45883</v>
      </c>
      <c r="D6011" t="inlineStr">
        <is>
          <t>GÄVLEBORGS LÄN</t>
        </is>
      </c>
      <c r="E6011" t="inlineStr">
        <is>
          <t>OCKELBO</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3891-2025</t>
        </is>
      </c>
      <c r="B6012" s="1" t="n">
        <v>45684.3690625</v>
      </c>
      <c r="C6012" s="1" t="n">
        <v>45883</v>
      </c>
      <c r="D6012" t="inlineStr">
        <is>
          <t>GÄVLEBORGS LÄN</t>
        </is>
      </c>
      <c r="E6012" t="inlineStr">
        <is>
          <t>HOFORS</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3115-2025</t>
        </is>
      </c>
      <c r="B6013" s="1" t="n">
        <v>45678.70383101852</v>
      </c>
      <c r="C6013" s="1" t="n">
        <v>45883</v>
      </c>
      <c r="D6013" t="inlineStr">
        <is>
          <t>GÄVLEBORGS LÄN</t>
        </is>
      </c>
      <c r="E6013" t="inlineStr">
        <is>
          <t>OVANÅKER</t>
        </is>
      </c>
      <c r="G6013" t="n">
        <v>6.2</v>
      </c>
      <c r="H6013" t="n">
        <v>0</v>
      </c>
      <c r="I6013" t="n">
        <v>0</v>
      </c>
      <c r="J6013" t="n">
        <v>0</v>
      </c>
      <c r="K6013" t="n">
        <v>0</v>
      </c>
      <c r="L6013" t="n">
        <v>0</v>
      </c>
      <c r="M6013" t="n">
        <v>0</v>
      </c>
      <c r="N6013" t="n">
        <v>0</v>
      </c>
      <c r="O6013" t="n">
        <v>0</v>
      </c>
      <c r="P6013" t="n">
        <v>0</v>
      </c>
      <c r="Q6013" t="n">
        <v>0</v>
      </c>
      <c r="R6013" s="2" t="inlineStr"/>
    </row>
    <row r="6014" ht="15" customHeight="1">
      <c r="A6014" t="inlineStr">
        <is>
          <t>A 56355-2024</t>
        </is>
      </c>
      <c r="B6014" s="1" t="n">
        <v>45624.9339699074</v>
      </c>
      <c r="C6014" s="1" t="n">
        <v>45883</v>
      </c>
      <c r="D6014" t="inlineStr">
        <is>
          <t>GÄVLEBORGS LÄN</t>
        </is>
      </c>
      <c r="E6014" t="inlineStr">
        <is>
          <t>LJUSDAL</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30695-2024</t>
        </is>
      </c>
      <c r="B6015" s="1" t="n">
        <v>45496.33076388889</v>
      </c>
      <c r="C6015" s="1" t="n">
        <v>45883</v>
      </c>
      <c r="D6015" t="inlineStr">
        <is>
          <t>GÄVLEBORGS LÄN</t>
        </is>
      </c>
      <c r="E6015" t="inlineStr">
        <is>
          <t>OVANÅKER</t>
        </is>
      </c>
      <c r="F6015" t="inlineStr">
        <is>
          <t>Bergvik skog väst AB</t>
        </is>
      </c>
      <c r="G6015" t="n">
        <v>8.1</v>
      </c>
      <c r="H6015" t="n">
        <v>0</v>
      </c>
      <c r="I6015" t="n">
        <v>0</v>
      </c>
      <c r="J6015" t="n">
        <v>0</v>
      </c>
      <c r="K6015" t="n">
        <v>0</v>
      </c>
      <c r="L6015" t="n">
        <v>0</v>
      </c>
      <c r="M6015" t="n">
        <v>0</v>
      </c>
      <c r="N6015" t="n">
        <v>0</v>
      </c>
      <c r="O6015" t="n">
        <v>0</v>
      </c>
      <c r="P6015" t="n">
        <v>0</v>
      </c>
      <c r="Q6015" t="n">
        <v>0</v>
      </c>
      <c r="R6015" s="2" t="inlineStr"/>
    </row>
    <row r="6016" ht="15" customHeight="1">
      <c r="A6016" t="inlineStr">
        <is>
          <t>A 14757-2024</t>
        </is>
      </c>
      <c r="B6016" s="1" t="n">
        <v>45397</v>
      </c>
      <c r="C6016" s="1" t="n">
        <v>45883</v>
      </c>
      <c r="D6016" t="inlineStr">
        <is>
          <t>GÄVLEBORGS LÄN</t>
        </is>
      </c>
      <c r="E6016" t="inlineStr">
        <is>
          <t>SÖDERHAMN</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34128-2024</t>
        </is>
      </c>
      <c r="B6017" s="1" t="n">
        <v>45524.34494212963</v>
      </c>
      <c r="C6017" s="1" t="n">
        <v>45883</v>
      </c>
      <c r="D6017" t="inlineStr">
        <is>
          <t>GÄVLEBORGS LÄN</t>
        </is>
      </c>
      <c r="E6017" t="inlineStr">
        <is>
          <t>HUDIKSVALL</t>
        </is>
      </c>
      <c r="F6017" t="inlineStr">
        <is>
          <t>Holmen skog AB</t>
        </is>
      </c>
      <c r="G6017" t="n">
        <v>5</v>
      </c>
      <c r="H6017" t="n">
        <v>0</v>
      </c>
      <c r="I6017" t="n">
        <v>0</v>
      </c>
      <c r="J6017" t="n">
        <v>0</v>
      </c>
      <c r="K6017" t="n">
        <v>0</v>
      </c>
      <c r="L6017" t="n">
        <v>0</v>
      </c>
      <c r="M6017" t="n">
        <v>0</v>
      </c>
      <c r="N6017" t="n">
        <v>0</v>
      </c>
      <c r="O6017" t="n">
        <v>0</v>
      </c>
      <c r="P6017" t="n">
        <v>0</v>
      </c>
      <c r="Q6017" t="n">
        <v>0</v>
      </c>
      <c r="R6017" s="2" t="inlineStr"/>
    </row>
    <row r="6018" ht="15" customHeight="1">
      <c r="A6018" t="inlineStr">
        <is>
          <t>A 5475-2023</t>
        </is>
      </c>
      <c r="B6018" s="1" t="n">
        <v>44960</v>
      </c>
      <c r="C6018" s="1" t="n">
        <v>45883</v>
      </c>
      <c r="D6018" t="inlineStr">
        <is>
          <t>GÄVLEBORGS LÄN</t>
        </is>
      </c>
      <c r="E6018" t="inlineStr">
        <is>
          <t>NORDANSTIG</t>
        </is>
      </c>
      <c r="G6018" t="n">
        <v>7</v>
      </c>
      <c r="H6018" t="n">
        <v>0</v>
      </c>
      <c r="I6018" t="n">
        <v>0</v>
      </c>
      <c r="J6018" t="n">
        <v>0</v>
      </c>
      <c r="K6018" t="n">
        <v>0</v>
      </c>
      <c r="L6018" t="n">
        <v>0</v>
      </c>
      <c r="M6018" t="n">
        <v>0</v>
      </c>
      <c r="N6018" t="n">
        <v>0</v>
      </c>
      <c r="O6018" t="n">
        <v>0</v>
      </c>
      <c r="P6018" t="n">
        <v>0</v>
      </c>
      <c r="Q6018" t="n">
        <v>0</v>
      </c>
      <c r="R6018" s="2" t="inlineStr"/>
    </row>
    <row r="6019" ht="15" customHeight="1">
      <c r="A6019" t="inlineStr">
        <is>
          <t>A 6167-2025</t>
        </is>
      </c>
      <c r="B6019" s="1" t="n">
        <v>45698.42238425926</v>
      </c>
      <c r="C6019" s="1" t="n">
        <v>45883</v>
      </c>
      <c r="D6019" t="inlineStr">
        <is>
          <t>GÄVLEBORGS LÄN</t>
        </is>
      </c>
      <c r="E6019" t="inlineStr">
        <is>
          <t>SANDVIKEN</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35088-2025</t>
        </is>
      </c>
      <c r="B6020" s="1" t="n">
        <v>45852.51938657407</v>
      </c>
      <c r="C6020" s="1" t="n">
        <v>45883</v>
      </c>
      <c r="D6020" t="inlineStr">
        <is>
          <t>GÄVLEBORGS LÄN</t>
        </is>
      </c>
      <c r="E6020" t="inlineStr">
        <is>
          <t>LJUSDAL</t>
        </is>
      </c>
      <c r="G6020" t="n">
        <v>3.3</v>
      </c>
      <c r="H6020" t="n">
        <v>0</v>
      </c>
      <c r="I6020" t="n">
        <v>0</v>
      </c>
      <c r="J6020" t="n">
        <v>0</v>
      </c>
      <c r="K6020" t="n">
        <v>0</v>
      </c>
      <c r="L6020" t="n">
        <v>0</v>
      </c>
      <c r="M6020" t="n">
        <v>0</v>
      </c>
      <c r="N6020" t="n">
        <v>0</v>
      </c>
      <c r="O6020" t="n">
        <v>0</v>
      </c>
      <c r="P6020" t="n">
        <v>0</v>
      </c>
      <c r="Q6020" t="n">
        <v>0</v>
      </c>
      <c r="R6020" s="2" t="inlineStr"/>
    </row>
    <row r="6021" ht="15" customHeight="1">
      <c r="A6021" t="inlineStr">
        <is>
          <t>A 57510-2023</t>
        </is>
      </c>
      <c r="B6021" s="1" t="n">
        <v>45246</v>
      </c>
      <c r="C6021" s="1" t="n">
        <v>45883</v>
      </c>
      <c r="D6021" t="inlineStr">
        <is>
          <t>GÄVLEBORGS LÄN</t>
        </is>
      </c>
      <c r="E6021" t="inlineStr">
        <is>
          <t>BOLLNÄS</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35203-2024</t>
        </is>
      </c>
      <c r="B6022" s="1" t="n">
        <v>45530.47789351852</v>
      </c>
      <c r="C6022" s="1" t="n">
        <v>45883</v>
      </c>
      <c r="D6022" t="inlineStr">
        <is>
          <t>GÄVLEBORGS LÄN</t>
        </is>
      </c>
      <c r="E6022" t="inlineStr">
        <is>
          <t>GÄVLE</t>
        </is>
      </c>
      <c r="F6022" t="inlineStr">
        <is>
          <t>Bergvik skog öst AB</t>
        </is>
      </c>
      <c r="G6022" t="n">
        <v>8.199999999999999</v>
      </c>
      <c r="H6022" t="n">
        <v>0</v>
      </c>
      <c r="I6022" t="n">
        <v>0</v>
      </c>
      <c r="J6022" t="n">
        <v>0</v>
      </c>
      <c r="K6022" t="n">
        <v>0</v>
      </c>
      <c r="L6022" t="n">
        <v>0</v>
      </c>
      <c r="M6022" t="n">
        <v>0</v>
      </c>
      <c r="N6022" t="n">
        <v>0</v>
      </c>
      <c r="O6022" t="n">
        <v>0</v>
      </c>
      <c r="P6022" t="n">
        <v>0</v>
      </c>
      <c r="Q6022" t="n">
        <v>0</v>
      </c>
      <c r="R6022" s="2" t="inlineStr"/>
    </row>
    <row r="6023" ht="15" customHeight="1">
      <c r="A6023" t="inlineStr">
        <is>
          <t>A 48799-2023</t>
        </is>
      </c>
      <c r="B6023" s="1" t="n">
        <v>45209.25542824074</v>
      </c>
      <c r="C6023" s="1" t="n">
        <v>45883</v>
      </c>
      <c r="D6023" t="inlineStr">
        <is>
          <t>GÄVLEBORGS LÄN</t>
        </is>
      </c>
      <c r="E6023" t="inlineStr">
        <is>
          <t>SANDVIKEN</t>
        </is>
      </c>
      <c r="F6023" t="inlineStr">
        <is>
          <t>Bergvik skog öst AB</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19696-2024</t>
        </is>
      </c>
      <c r="B6024" s="1" t="n">
        <v>45432.53761574074</v>
      </c>
      <c r="C6024" s="1" t="n">
        <v>45883</v>
      </c>
      <c r="D6024" t="inlineStr">
        <is>
          <t>GÄVLEBORGS LÄN</t>
        </is>
      </c>
      <c r="E6024" t="inlineStr">
        <is>
          <t>SÖDERHAMN</t>
        </is>
      </c>
      <c r="G6024" t="n">
        <v>3.3</v>
      </c>
      <c r="H6024" t="n">
        <v>0</v>
      </c>
      <c r="I6024" t="n">
        <v>0</v>
      </c>
      <c r="J6024" t="n">
        <v>0</v>
      </c>
      <c r="K6024" t="n">
        <v>0</v>
      </c>
      <c r="L6024" t="n">
        <v>0</v>
      </c>
      <c r="M6024" t="n">
        <v>0</v>
      </c>
      <c r="N6024" t="n">
        <v>0</v>
      </c>
      <c r="O6024" t="n">
        <v>0</v>
      </c>
      <c r="P6024" t="n">
        <v>0</v>
      </c>
      <c r="Q6024" t="n">
        <v>0</v>
      </c>
      <c r="R6024" s="2" t="inlineStr"/>
    </row>
    <row r="6025" ht="15" customHeight="1">
      <c r="A6025" t="inlineStr">
        <is>
          <t>A 19762-2024</t>
        </is>
      </c>
      <c r="B6025" s="1" t="n">
        <v>45432.6987037037</v>
      </c>
      <c r="C6025" s="1" t="n">
        <v>45883</v>
      </c>
      <c r="D6025" t="inlineStr">
        <is>
          <t>GÄVLEBORGS LÄN</t>
        </is>
      </c>
      <c r="E6025" t="inlineStr">
        <is>
          <t>OCKELBO</t>
        </is>
      </c>
      <c r="G6025" t="n">
        <v>3.5</v>
      </c>
      <c r="H6025" t="n">
        <v>0</v>
      </c>
      <c r="I6025" t="n">
        <v>0</v>
      </c>
      <c r="J6025" t="n">
        <v>0</v>
      </c>
      <c r="K6025" t="n">
        <v>0</v>
      </c>
      <c r="L6025" t="n">
        <v>0</v>
      </c>
      <c r="M6025" t="n">
        <v>0</v>
      </c>
      <c r="N6025" t="n">
        <v>0</v>
      </c>
      <c r="O6025" t="n">
        <v>0</v>
      </c>
      <c r="P6025" t="n">
        <v>0</v>
      </c>
      <c r="Q6025" t="n">
        <v>0</v>
      </c>
      <c r="R6025" s="2" t="inlineStr"/>
    </row>
    <row r="6026" ht="15" customHeight="1">
      <c r="A6026" t="inlineStr">
        <is>
          <t>A 34757-2023</t>
        </is>
      </c>
      <c r="B6026" s="1" t="n">
        <v>45141.4600462963</v>
      </c>
      <c r="C6026" s="1" t="n">
        <v>45883</v>
      </c>
      <c r="D6026" t="inlineStr">
        <is>
          <t>GÄVLEBORGS LÄN</t>
        </is>
      </c>
      <c r="E6026" t="inlineStr">
        <is>
          <t>HUDIKSVALL</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45802-2023</t>
        </is>
      </c>
      <c r="B6027" s="1" t="n">
        <v>45195</v>
      </c>
      <c r="C6027" s="1" t="n">
        <v>45883</v>
      </c>
      <c r="D6027" t="inlineStr">
        <is>
          <t>GÄVLEBORGS LÄN</t>
        </is>
      </c>
      <c r="E6027" t="inlineStr">
        <is>
          <t>HUDIKSVALL</t>
        </is>
      </c>
      <c r="F6027" t="inlineStr">
        <is>
          <t>Holmen skog AB</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19601-2024</t>
        </is>
      </c>
      <c r="B6028" s="1" t="n">
        <v>45431.84266203704</v>
      </c>
      <c r="C6028" s="1" t="n">
        <v>45883</v>
      </c>
      <c r="D6028" t="inlineStr">
        <is>
          <t>GÄVLEBORGS LÄN</t>
        </is>
      </c>
      <c r="E6028" t="inlineStr">
        <is>
          <t>HUDIKSVALL</t>
        </is>
      </c>
      <c r="F6028" t="inlineStr">
        <is>
          <t>Holmen skog AB</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10587-2022</t>
        </is>
      </c>
      <c r="B6029" s="1" t="n">
        <v>44624</v>
      </c>
      <c r="C6029" s="1" t="n">
        <v>45883</v>
      </c>
      <c r="D6029" t="inlineStr">
        <is>
          <t>GÄVLEBORGS LÄN</t>
        </is>
      </c>
      <c r="E6029" t="inlineStr">
        <is>
          <t>HOFORS</t>
        </is>
      </c>
      <c r="G6029" t="n">
        <v>5</v>
      </c>
      <c r="H6029" t="n">
        <v>0</v>
      </c>
      <c r="I6029" t="n">
        <v>0</v>
      </c>
      <c r="J6029" t="n">
        <v>0</v>
      </c>
      <c r="K6029" t="n">
        <v>0</v>
      </c>
      <c r="L6029" t="n">
        <v>0</v>
      </c>
      <c r="M6029" t="n">
        <v>0</v>
      </c>
      <c r="N6029" t="n">
        <v>0</v>
      </c>
      <c r="O6029" t="n">
        <v>0</v>
      </c>
      <c r="P6029" t="n">
        <v>0</v>
      </c>
      <c r="Q6029" t="n">
        <v>0</v>
      </c>
      <c r="R6029" s="2" t="inlineStr"/>
    </row>
    <row r="6030" ht="15" customHeight="1">
      <c r="A6030" t="inlineStr">
        <is>
          <t>A 19617-2024</t>
        </is>
      </c>
      <c r="B6030" s="1" t="n">
        <v>45432.32243055556</v>
      </c>
      <c r="C6030" s="1" t="n">
        <v>45883</v>
      </c>
      <c r="D6030" t="inlineStr">
        <is>
          <t>GÄVLEBORGS LÄN</t>
        </is>
      </c>
      <c r="E6030" t="inlineStr">
        <is>
          <t>SÖDERHAMN</t>
        </is>
      </c>
      <c r="G6030" t="n">
        <v>3.3</v>
      </c>
      <c r="H6030" t="n">
        <v>0</v>
      </c>
      <c r="I6030" t="n">
        <v>0</v>
      </c>
      <c r="J6030" t="n">
        <v>0</v>
      </c>
      <c r="K6030" t="n">
        <v>0</v>
      </c>
      <c r="L6030" t="n">
        <v>0</v>
      </c>
      <c r="M6030" t="n">
        <v>0</v>
      </c>
      <c r="N6030" t="n">
        <v>0</v>
      </c>
      <c r="O6030" t="n">
        <v>0</v>
      </c>
      <c r="P6030" t="n">
        <v>0</v>
      </c>
      <c r="Q6030" t="n">
        <v>0</v>
      </c>
      <c r="R6030" s="2" t="inlineStr"/>
    </row>
    <row r="6031" ht="15" customHeight="1">
      <c r="A6031" t="inlineStr">
        <is>
          <t>A 8119-2024</t>
        </is>
      </c>
      <c r="B6031" s="1" t="n">
        <v>45351</v>
      </c>
      <c r="C6031" s="1" t="n">
        <v>45883</v>
      </c>
      <c r="D6031" t="inlineStr">
        <is>
          <t>GÄVLEBORGS LÄN</t>
        </is>
      </c>
      <c r="E6031" t="inlineStr">
        <is>
          <t>BOLLNÄS</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21582-2024</t>
        </is>
      </c>
      <c r="B6032" s="1" t="n">
        <v>45441.70758101852</v>
      </c>
      <c r="C6032" s="1" t="n">
        <v>45883</v>
      </c>
      <c r="D6032" t="inlineStr">
        <is>
          <t>GÄVLEBORGS LÄN</t>
        </is>
      </c>
      <c r="E6032" t="inlineStr">
        <is>
          <t>OCKELBO</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20512-2022</t>
        </is>
      </c>
      <c r="B6033" s="1" t="n">
        <v>44699</v>
      </c>
      <c r="C6033" s="1" t="n">
        <v>45883</v>
      </c>
      <c r="D6033" t="inlineStr">
        <is>
          <t>GÄVLEBORGS LÄN</t>
        </is>
      </c>
      <c r="E6033" t="inlineStr">
        <is>
          <t>NORDANSTIG</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17482-2022</t>
        </is>
      </c>
      <c r="B6034" s="1" t="n">
        <v>44679.44565972222</v>
      </c>
      <c r="C6034" s="1" t="n">
        <v>45883</v>
      </c>
      <c r="D6034" t="inlineStr">
        <is>
          <t>GÄVLEBORGS LÄN</t>
        </is>
      </c>
      <c r="E6034" t="inlineStr">
        <is>
          <t>NORDANSTIG</t>
        </is>
      </c>
      <c r="F6034" t="inlineStr">
        <is>
          <t>Holmen skog AB</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15486-2024</t>
        </is>
      </c>
      <c r="B6035" s="1" t="n">
        <v>45401.50849537037</v>
      </c>
      <c r="C6035" s="1" t="n">
        <v>45883</v>
      </c>
      <c r="D6035" t="inlineStr">
        <is>
          <t>GÄVLEBORGS LÄN</t>
        </is>
      </c>
      <c r="E6035" t="inlineStr">
        <is>
          <t>HUDIKSVALL</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16640-2025</t>
        </is>
      </c>
      <c r="B6036" s="1" t="n">
        <v>45754.36946759259</v>
      </c>
      <c r="C6036" s="1" t="n">
        <v>45883</v>
      </c>
      <c r="D6036" t="inlineStr">
        <is>
          <t>GÄVLEBORGS LÄN</t>
        </is>
      </c>
      <c r="E6036" t="inlineStr">
        <is>
          <t>NORDANSTIG</t>
        </is>
      </c>
      <c r="F6036" t="inlineStr">
        <is>
          <t>Holmen skog AB</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56036-2023</t>
        </is>
      </c>
      <c r="B6037" s="1" t="n">
        <v>45240.44027777778</v>
      </c>
      <c r="C6037" s="1" t="n">
        <v>45883</v>
      </c>
      <c r="D6037" t="inlineStr">
        <is>
          <t>GÄVLEBORGS LÄN</t>
        </is>
      </c>
      <c r="E6037" t="inlineStr">
        <is>
          <t>SANDVIKEN</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991-2025</t>
        </is>
      </c>
      <c r="B6038" s="1" t="n">
        <v>45666</v>
      </c>
      <c r="C6038" s="1" t="n">
        <v>45883</v>
      </c>
      <c r="D6038" t="inlineStr">
        <is>
          <t>GÄVLEBORGS LÄN</t>
        </is>
      </c>
      <c r="E6038" t="inlineStr">
        <is>
          <t>OVANÅKER</t>
        </is>
      </c>
      <c r="F6038" t="inlineStr">
        <is>
          <t>Bergvik skog väst AB</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795-2021</t>
        </is>
      </c>
      <c r="B6039" s="1" t="n">
        <v>44204</v>
      </c>
      <c r="C6039" s="1" t="n">
        <v>45883</v>
      </c>
      <c r="D6039" t="inlineStr">
        <is>
          <t>GÄVLEBORGS LÄN</t>
        </is>
      </c>
      <c r="E6039" t="inlineStr">
        <is>
          <t>GÄVLE</t>
        </is>
      </c>
      <c r="G6039" t="n">
        <v>3.8</v>
      </c>
      <c r="H6039" t="n">
        <v>0</v>
      </c>
      <c r="I6039" t="n">
        <v>0</v>
      </c>
      <c r="J6039" t="n">
        <v>0</v>
      </c>
      <c r="K6039" t="n">
        <v>0</v>
      </c>
      <c r="L6039" t="n">
        <v>0</v>
      </c>
      <c r="M6039" t="n">
        <v>0</v>
      </c>
      <c r="N6039" t="n">
        <v>0</v>
      </c>
      <c r="O6039" t="n">
        <v>0</v>
      </c>
      <c r="P6039" t="n">
        <v>0</v>
      </c>
      <c r="Q6039" t="n">
        <v>0</v>
      </c>
      <c r="R6039" s="2" t="inlineStr"/>
    </row>
    <row r="6040" ht="15" customHeight="1">
      <c r="A6040" t="inlineStr">
        <is>
          <t>A 26399-2025</t>
        </is>
      </c>
      <c r="B6040" s="1" t="n">
        <v>45807.33063657407</v>
      </c>
      <c r="C6040" s="1" t="n">
        <v>45883</v>
      </c>
      <c r="D6040" t="inlineStr">
        <is>
          <t>GÄVLEBORGS LÄN</t>
        </is>
      </c>
      <c r="E6040" t="inlineStr">
        <is>
          <t>LJUSDAL</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26402-2025</t>
        </is>
      </c>
      <c r="B6041" s="1" t="n">
        <v>45807.3384375</v>
      </c>
      <c r="C6041" s="1" t="n">
        <v>45883</v>
      </c>
      <c r="D6041" t="inlineStr">
        <is>
          <t>GÄVLEBORGS LÄN</t>
        </is>
      </c>
      <c r="E6041" t="inlineStr">
        <is>
          <t>HUDIKSVALL</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62654-2020</t>
        </is>
      </c>
      <c r="B6042" s="1" t="n">
        <v>44161</v>
      </c>
      <c r="C6042" s="1" t="n">
        <v>45883</v>
      </c>
      <c r="D6042" t="inlineStr">
        <is>
          <t>GÄVLEBORGS LÄN</t>
        </is>
      </c>
      <c r="E6042" t="inlineStr">
        <is>
          <t>GÄVLE</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7472-2022</t>
        </is>
      </c>
      <c r="B6043" s="1" t="n">
        <v>44607.39039351852</v>
      </c>
      <c r="C6043" s="1" t="n">
        <v>45883</v>
      </c>
      <c r="D6043" t="inlineStr">
        <is>
          <t>GÄVLEBORGS LÄN</t>
        </is>
      </c>
      <c r="E6043" t="inlineStr">
        <is>
          <t>LJUSDAL</t>
        </is>
      </c>
      <c r="F6043" t="inlineStr">
        <is>
          <t>Holmen skog AB</t>
        </is>
      </c>
      <c r="G6043" t="n">
        <v>7.3</v>
      </c>
      <c r="H6043" t="n">
        <v>0</v>
      </c>
      <c r="I6043" t="n">
        <v>0</v>
      </c>
      <c r="J6043" t="n">
        <v>0</v>
      </c>
      <c r="K6043" t="n">
        <v>0</v>
      </c>
      <c r="L6043" t="n">
        <v>0</v>
      </c>
      <c r="M6043" t="n">
        <v>0</v>
      </c>
      <c r="N6043" t="n">
        <v>0</v>
      </c>
      <c r="O6043" t="n">
        <v>0</v>
      </c>
      <c r="P6043" t="n">
        <v>0</v>
      </c>
      <c r="Q6043" t="n">
        <v>0</v>
      </c>
      <c r="R6043" s="2" t="inlineStr"/>
    </row>
    <row r="6044" ht="15" customHeight="1">
      <c r="A6044" t="inlineStr">
        <is>
          <t>A 34944-2025</t>
        </is>
      </c>
      <c r="B6044" s="1" t="n">
        <v>45849.5868287037</v>
      </c>
      <c r="C6044" s="1" t="n">
        <v>45883</v>
      </c>
      <c r="D6044" t="inlineStr">
        <is>
          <t>GÄVLEBORGS LÄN</t>
        </is>
      </c>
      <c r="E6044" t="inlineStr">
        <is>
          <t>NORDANSTIG</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34950-2025</t>
        </is>
      </c>
      <c r="B6045" s="1" t="n">
        <v>45849.59491898148</v>
      </c>
      <c r="C6045" s="1" t="n">
        <v>45883</v>
      </c>
      <c r="D6045" t="inlineStr">
        <is>
          <t>GÄVLEBORGS LÄN</t>
        </is>
      </c>
      <c r="E6045" t="inlineStr">
        <is>
          <t>OCKELBO</t>
        </is>
      </c>
      <c r="G6045" t="n">
        <v>2.9</v>
      </c>
      <c r="H6045" t="n">
        <v>0</v>
      </c>
      <c r="I6045" t="n">
        <v>0</v>
      </c>
      <c r="J6045" t="n">
        <v>0</v>
      </c>
      <c r="K6045" t="n">
        <v>0</v>
      </c>
      <c r="L6045" t="n">
        <v>0</v>
      </c>
      <c r="M6045" t="n">
        <v>0</v>
      </c>
      <c r="N6045" t="n">
        <v>0</v>
      </c>
      <c r="O6045" t="n">
        <v>0</v>
      </c>
      <c r="P6045" t="n">
        <v>0</v>
      </c>
      <c r="Q6045" t="n">
        <v>0</v>
      </c>
      <c r="R6045" s="2" t="inlineStr"/>
    </row>
    <row r="6046" ht="15" customHeight="1">
      <c r="A6046" t="inlineStr">
        <is>
          <t>A 34952-2025</t>
        </is>
      </c>
      <c r="B6046" s="1" t="n">
        <v>45849.59908564815</v>
      </c>
      <c r="C6046" s="1" t="n">
        <v>45883</v>
      </c>
      <c r="D6046" t="inlineStr">
        <is>
          <t>GÄVLEBORGS LÄN</t>
        </is>
      </c>
      <c r="E6046" t="inlineStr">
        <is>
          <t>OCKELBO</t>
        </is>
      </c>
      <c r="G6046" t="n">
        <v>8.1</v>
      </c>
      <c r="H6046" t="n">
        <v>0</v>
      </c>
      <c r="I6046" t="n">
        <v>0</v>
      </c>
      <c r="J6046" t="n">
        <v>0</v>
      </c>
      <c r="K6046" t="n">
        <v>0</v>
      </c>
      <c r="L6046" t="n">
        <v>0</v>
      </c>
      <c r="M6046" t="n">
        <v>0</v>
      </c>
      <c r="N6046" t="n">
        <v>0</v>
      </c>
      <c r="O6046" t="n">
        <v>0</v>
      </c>
      <c r="P6046" t="n">
        <v>0</v>
      </c>
      <c r="Q6046" t="n">
        <v>0</v>
      </c>
      <c r="R6046" s="2" t="inlineStr"/>
    </row>
    <row r="6047" ht="15" customHeight="1">
      <c r="A6047" t="inlineStr">
        <is>
          <t>A 17271-2022</t>
        </is>
      </c>
      <c r="B6047" s="1" t="n">
        <v>44678</v>
      </c>
      <c r="C6047" s="1" t="n">
        <v>45883</v>
      </c>
      <c r="D6047" t="inlineStr">
        <is>
          <t>GÄVLEBORGS LÄN</t>
        </is>
      </c>
      <c r="E6047" t="inlineStr">
        <is>
          <t>NORDANSTIG</t>
        </is>
      </c>
      <c r="F6047" t="inlineStr">
        <is>
          <t>Holmen skog AB</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36025-2023</t>
        </is>
      </c>
      <c r="B6048" s="1" t="n">
        <v>45149.37282407407</v>
      </c>
      <c r="C6048" s="1" t="n">
        <v>45883</v>
      </c>
      <c r="D6048" t="inlineStr">
        <is>
          <t>GÄVLEBORGS LÄN</t>
        </is>
      </c>
      <c r="E6048" t="inlineStr">
        <is>
          <t>NORDANSTIG</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18162-2022</t>
        </is>
      </c>
      <c r="B6049" s="1" t="n">
        <v>44684</v>
      </c>
      <c r="C6049" s="1" t="n">
        <v>45883</v>
      </c>
      <c r="D6049" t="inlineStr">
        <is>
          <t>GÄVLEBORGS LÄN</t>
        </is>
      </c>
      <c r="E6049" t="inlineStr">
        <is>
          <t>GÄVLE</t>
        </is>
      </c>
      <c r="F6049" t="inlineStr">
        <is>
          <t>Bergvik skog väst AB</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27179-2023</t>
        </is>
      </c>
      <c r="B6050" s="1" t="n">
        <v>45096.52631944444</v>
      </c>
      <c r="C6050" s="1" t="n">
        <v>45883</v>
      </c>
      <c r="D6050" t="inlineStr">
        <is>
          <t>GÄVLEBORGS LÄN</t>
        </is>
      </c>
      <c r="E6050" t="inlineStr">
        <is>
          <t>BOLLNÄS</t>
        </is>
      </c>
      <c r="G6050" t="n">
        <v>3.7</v>
      </c>
      <c r="H6050" t="n">
        <v>0</v>
      </c>
      <c r="I6050" t="n">
        <v>0</v>
      </c>
      <c r="J6050" t="n">
        <v>0</v>
      </c>
      <c r="K6050" t="n">
        <v>0</v>
      </c>
      <c r="L6050" t="n">
        <v>0</v>
      </c>
      <c r="M6050" t="n">
        <v>0</v>
      </c>
      <c r="N6050" t="n">
        <v>0</v>
      </c>
      <c r="O6050" t="n">
        <v>0</v>
      </c>
      <c r="P6050" t="n">
        <v>0</v>
      </c>
      <c r="Q6050" t="n">
        <v>0</v>
      </c>
      <c r="R6050" s="2" t="inlineStr"/>
    </row>
    <row r="6051" ht="15" customHeight="1">
      <c r="A6051" t="inlineStr">
        <is>
          <t>A 27204-2023</t>
        </is>
      </c>
      <c r="B6051" s="1" t="n">
        <v>45096</v>
      </c>
      <c r="C6051" s="1" t="n">
        <v>45883</v>
      </c>
      <c r="D6051" t="inlineStr">
        <is>
          <t>GÄVLEBORGS LÄN</t>
        </is>
      </c>
      <c r="E6051" t="inlineStr">
        <is>
          <t>HUDIKSVALL</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12079-2025</t>
        </is>
      </c>
      <c r="B6052" s="1" t="n">
        <v>45728.88731481481</v>
      </c>
      <c r="C6052" s="1" t="n">
        <v>45883</v>
      </c>
      <c r="D6052" t="inlineStr">
        <is>
          <t>GÄVLEBORGS LÄN</t>
        </is>
      </c>
      <c r="E6052" t="inlineStr">
        <is>
          <t>GÄVLE</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12088-2025</t>
        </is>
      </c>
      <c r="B6053" s="1" t="n">
        <v>45729.28755787037</v>
      </c>
      <c r="C6053" s="1" t="n">
        <v>45883</v>
      </c>
      <c r="D6053" t="inlineStr">
        <is>
          <t>GÄVLEBORGS LÄN</t>
        </is>
      </c>
      <c r="E6053" t="inlineStr">
        <is>
          <t>BOLLNÄS</t>
        </is>
      </c>
      <c r="F6053" t="inlineStr">
        <is>
          <t>Bergvik skog väst AB</t>
        </is>
      </c>
      <c r="G6053" t="n">
        <v>7.9</v>
      </c>
      <c r="H6053" t="n">
        <v>0</v>
      </c>
      <c r="I6053" t="n">
        <v>0</v>
      </c>
      <c r="J6053" t="n">
        <v>0</v>
      </c>
      <c r="K6053" t="n">
        <v>0</v>
      </c>
      <c r="L6053" t="n">
        <v>0</v>
      </c>
      <c r="M6053" t="n">
        <v>0</v>
      </c>
      <c r="N6053" t="n">
        <v>0</v>
      </c>
      <c r="O6053" t="n">
        <v>0</v>
      </c>
      <c r="P6053" t="n">
        <v>0</v>
      </c>
      <c r="Q6053" t="n">
        <v>0</v>
      </c>
      <c r="R6053" s="2" t="inlineStr"/>
    </row>
    <row r="6054" ht="15" customHeight="1">
      <c r="A6054" t="inlineStr">
        <is>
          <t>A 59637-2024</t>
        </is>
      </c>
      <c r="B6054" s="1" t="n">
        <v>45639.27597222223</v>
      </c>
      <c r="C6054" s="1" t="n">
        <v>45883</v>
      </c>
      <c r="D6054" t="inlineStr">
        <is>
          <t>GÄVLEBORGS LÄN</t>
        </is>
      </c>
      <c r="E6054" t="inlineStr">
        <is>
          <t>BOLLNÄS</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26581-2025</t>
        </is>
      </c>
      <c r="B6055" s="1" t="n">
        <v>45807</v>
      </c>
      <c r="C6055" s="1" t="n">
        <v>45883</v>
      </c>
      <c r="D6055" t="inlineStr">
        <is>
          <t>GÄVLEBORGS LÄN</t>
        </is>
      </c>
      <c r="E6055" t="inlineStr">
        <is>
          <t>OVANÅKER</t>
        </is>
      </c>
      <c r="G6055" t="n">
        <v>5.2</v>
      </c>
      <c r="H6055" t="n">
        <v>0</v>
      </c>
      <c r="I6055" t="n">
        <v>0</v>
      </c>
      <c r="J6055" t="n">
        <v>0</v>
      </c>
      <c r="K6055" t="n">
        <v>0</v>
      </c>
      <c r="L6055" t="n">
        <v>0</v>
      </c>
      <c r="M6055" t="n">
        <v>0</v>
      </c>
      <c r="N6055" t="n">
        <v>0</v>
      </c>
      <c r="O6055" t="n">
        <v>0</v>
      </c>
      <c r="P6055" t="n">
        <v>0</v>
      </c>
      <c r="Q6055" t="n">
        <v>0</v>
      </c>
      <c r="R6055" s="2" t="inlineStr"/>
    </row>
    <row r="6056" ht="15" customHeight="1">
      <c r="A6056" t="inlineStr">
        <is>
          <t>A 35052-2025</t>
        </is>
      </c>
      <c r="B6056" s="1" t="n">
        <v>45852.36641203704</v>
      </c>
      <c r="C6056" s="1" t="n">
        <v>45883</v>
      </c>
      <c r="D6056" t="inlineStr">
        <is>
          <t>GÄVLEBORGS LÄN</t>
        </is>
      </c>
      <c r="E6056" t="inlineStr">
        <is>
          <t>LJUSDAL</t>
        </is>
      </c>
      <c r="F6056" t="inlineStr">
        <is>
          <t>Bergvik skog väst AB</t>
        </is>
      </c>
      <c r="G6056" t="n">
        <v>4</v>
      </c>
      <c r="H6056" t="n">
        <v>0</v>
      </c>
      <c r="I6056" t="n">
        <v>0</v>
      </c>
      <c r="J6056" t="n">
        <v>0</v>
      </c>
      <c r="K6056" t="n">
        <v>0</v>
      </c>
      <c r="L6056" t="n">
        <v>0</v>
      </c>
      <c r="M6056" t="n">
        <v>0</v>
      </c>
      <c r="N6056" t="n">
        <v>0</v>
      </c>
      <c r="O6056" t="n">
        <v>0</v>
      </c>
      <c r="P6056" t="n">
        <v>0</v>
      </c>
      <c r="Q6056" t="n">
        <v>0</v>
      </c>
      <c r="R6056" s="2" t="inlineStr"/>
    </row>
    <row r="6057" ht="15" customHeight="1">
      <c r="A6057" t="inlineStr">
        <is>
          <t>A 24618-2023</t>
        </is>
      </c>
      <c r="B6057" s="1" t="n">
        <v>45084.35936342592</v>
      </c>
      <c r="C6057" s="1" t="n">
        <v>45883</v>
      </c>
      <c r="D6057" t="inlineStr">
        <is>
          <t>GÄVLEBORGS LÄN</t>
        </is>
      </c>
      <c r="E6057" t="inlineStr">
        <is>
          <t>GÄVLE</t>
        </is>
      </c>
      <c r="G6057" t="n">
        <v>3.2</v>
      </c>
      <c r="H6057" t="n">
        <v>0</v>
      </c>
      <c r="I6057" t="n">
        <v>0</v>
      </c>
      <c r="J6057" t="n">
        <v>0</v>
      </c>
      <c r="K6057" t="n">
        <v>0</v>
      </c>
      <c r="L6057" t="n">
        <v>0</v>
      </c>
      <c r="M6057" t="n">
        <v>0</v>
      </c>
      <c r="N6057" t="n">
        <v>0</v>
      </c>
      <c r="O6057" t="n">
        <v>0</v>
      </c>
      <c r="P6057" t="n">
        <v>0</v>
      </c>
      <c r="Q6057" t="n">
        <v>0</v>
      </c>
      <c r="R6057" s="2" t="inlineStr"/>
    </row>
    <row r="6058" ht="15" customHeight="1">
      <c r="A6058" t="inlineStr">
        <is>
          <t>A 9440-2025</t>
        </is>
      </c>
      <c r="B6058" s="1" t="n">
        <v>45715.41775462963</v>
      </c>
      <c r="C6058" s="1" t="n">
        <v>45883</v>
      </c>
      <c r="D6058" t="inlineStr">
        <is>
          <t>GÄVLEBORGS LÄN</t>
        </is>
      </c>
      <c r="E6058" t="inlineStr">
        <is>
          <t>GÄVLE</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9447-2025</t>
        </is>
      </c>
      <c r="B6059" s="1" t="n">
        <v>45715.42207175926</v>
      </c>
      <c r="C6059" s="1" t="n">
        <v>45883</v>
      </c>
      <c r="D6059" t="inlineStr">
        <is>
          <t>GÄVLEBORGS LÄN</t>
        </is>
      </c>
      <c r="E6059" t="inlineStr">
        <is>
          <t>OCKELBO</t>
        </is>
      </c>
      <c r="F6059" t="inlineStr">
        <is>
          <t>Bergvik skog öst AB</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7410-2025</t>
        </is>
      </c>
      <c r="B6060" s="1" t="n">
        <v>45705.36710648148</v>
      </c>
      <c r="C6060" s="1" t="n">
        <v>45883</v>
      </c>
      <c r="D6060" t="inlineStr">
        <is>
          <t>GÄVLEBORGS LÄN</t>
        </is>
      </c>
      <c r="E6060" t="inlineStr">
        <is>
          <t>GÄVLE</t>
        </is>
      </c>
      <c r="G6060" t="n">
        <v>4.7</v>
      </c>
      <c r="H6060" t="n">
        <v>0</v>
      </c>
      <c r="I6060" t="n">
        <v>0</v>
      </c>
      <c r="J6060" t="n">
        <v>0</v>
      </c>
      <c r="K6060" t="n">
        <v>0</v>
      </c>
      <c r="L6060" t="n">
        <v>0</v>
      </c>
      <c r="M6060" t="n">
        <v>0</v>
      </c>
      <c r="N6060" t="n">
        <v>0</v>
      </c>
      <c r="O6060" t="n">
        <v>0</v>
      </c>
      <c r="P6060" t="n">
        <v>0</v>
      </c>
      <c r="Q6060" t="n">
        <v>0</v>
      </c>
      <c r="R6060" s="2" t="inlineStr"/>
    </row>
    <row r="6061" ht="15" customHeight="1">
      <c r="A6061" t="inlineStr">
        <is>
          <t>A 20017-2022</t>
        </is>
      </c>
      <c r="B6061" s="1" t="n">
        <v>44697</v>
      </c>
      <c r="C6061" s="1" t="n">
        <v>45883</v>
      </c>
      <c r="D6061" t="inlineStr">
        <is>
          <t>GÄVLEBORGS LÄN</t>
        </is>
      </c>
      <c r="E6061" t="inlineStr">
        <is>
          <t>HUDIKSVALL</t>
        </is>
      </c>
      <c r="G6061" t="n">
        <v>5.5</v>
      </c>
      <c r="H6061" t="n">
        <v>0</v>
      </c>
      <c r="I6061" t="n">
        <v>0</v>
      </c>
      <c r="J6061" t="n">
        <v>0</v>
      </c>
      <c r="K6061" t="n">
        <v>0</v>
      </c>
      <c r="L6061" t="n">
        <v>0</v>
      </c>
      <c r="M6061" t="n">
        <v>0</v>
      </c>
      <c r="N6061" t="n">
        <v>0</v>
      </c>
      <c r="O6061" t="n">
        <v>0</v>
      </c>
      <c r="P6061" t="n">
        <v>0</v>
      </c>
      <c r="Q6061" t="n">
        <v>0</v>
      </c>
      <c r="R6061" s="2" t="inlineStr"/>
    </row>
    <row r="6062" ht="15" customHeight="1">
      <c r="A6062" t="inlineStr">
        <is>
          <t>A 65865-2020</t>
        </is>
      </c>
      <c r="B6062" s="1" t="n">
        <v>44174.73086805556</v>
      </c>
      <c r="C6062" s="1" t="n">
        <v>45883</v>
      </c>
      <c r="D6062" t="inlineStr">
        <is>
          <t>GÄVLEBORGS LÄN</t>
        </is>
      </c>
      <c r="E6062" t="inlineStr">
        <is>
          <t>LJUSDAL</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35826-2023</t>
        </is>
      </c>
      <c r="B6063" s="1" t="n">
        <v>45148.46752314815</v>
      </c>
      <c r="C6063" s="1" t="n">
        <v>45883</v>
      </c>
      <c r="D6063" t="inlineStr">
        <is>
          <t>GÄVLEBORGS LÄN</t>
        </is>
      </c>
      <c r="E6063" t="inlineStr">
        <is>
          <t>LJUSDAL</t>
        </is>
      </c>
      <c r="F6063" t="inlineStr">
        <is>
          <t>Kommuner</t>
        </is>
      </c>
      <c r="G6063" t="n">
        <v>4.2</v>
      </c>
      <c r="H6063" t="n">
        <v>0</v>
      </c>
      <c r="I6063" t="n">
        <v>0</v>
      </c>
      <c r="J6063" t="n">
        <v>0</v>
      </c>
      <c r="K6063" t="n">
        <v>0</v>
      </c>
      <c r="L6063" t="n">
        <v>0</v>
      </c>
      <c r="M6063" t="n">
        <v>0</v>
      </c>
      <c r="N6063" t="n">
        <v>0</v>
      </c>
      <c r="O6063" t="n">
        <v>0</v>
      </c>
      <c r="P6063" t="n">
        <v>0</v>
      </c>
      <c r="Q6063" t="n">
        <v>0</v>
      </c>
      <c r="R6063" s="2" t="inlineStr"/>
    </row>
    <row r="6064" ht="15" customHeight="1">
      <c r="A6064" t="inlineStr">
        <is>
          <t>A 32293-2023</t>
        </is>
      </c>
      <c r="B6064" s="1" t="n">
        <v>45107</v>
      </c>
      <c r="C6064" s="1" t="n">
        <v>45883</v>
      </c>
      <c r="D6064" t="inlineStr">
        <is>
          <t>GÄVLEBORGS LÄN</t>
        </is>
      </c>
      <c r="E6064" t="inlineStr">
        <is>
          <t>LJUSDAL</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32294-2023</t>
        </is>
      </c>
      <c r="B6065" s="1" t="n">
        <v>45107</v>
      </c>
      <c r="C6065" s="1" t="n">
        <v>45883</v>
      </c>
      <c r="D6065" t="inlineStr">
        <is>
          <t>GÄVLEBORGS LÄN</t>
        </is>
      </c>
      <c r="E6065" t="inlineStr">
        <is>
          <t>LJUSDAL</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32365-2023</t>
        </is>
      </c>
      <c r="B6066" s="1" t="n">
        <v>45120.56810185185</v>
      </c>
      <c r="C6066" s="1" t="n">
        <v>45883</v>
      </c>
      <c r="D6066" t="inlineStr">
        <is>
          <t>GÄVLEBORGS LÄN</t>
        </is>
      </c>
      <c r="E6066" t="inlineStr">
        <is>
          <t>LJUSDAL</t>
        </is>
      </c>
      <c r="F6066" t="inlineStr">
        <is>
          <t>Holmen skog AB</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29812-2024</t>
        </is>
      </c>
      <c r="B6067" s="1" t="n">
        <v>45485</v>
      </c>
      <c r="C6067" s="1" t="n">
        <v>45883</v>
      </c>
      <c r="D6067" t="inlineStr">
        <is>
          <t>GÄVLEBORGS LÄN</t>
        </is>
      </c>
      <c r="E6067" t="inlineStr">
        <is>
          <t>LJUSDAL</t>
        </is>
      </c>
      <c r="F6067" t="inlineStr">
        <is>
          <t>Allmännings- och besparingsskogar</t>
        </is>
      </c>
      <c r="G6067" t="n">
        <v>10.3</v>
      </c>
      <c r="H6067" t="n">
        <v>0</v>
      </c>
      <c r="I6067" t="n">
        <v>0</v>
      </c>
      <c r="J6067" t="n">
        <v>0</v>
      </c>
      <c r="K6067" t="n">
        <v>0</v>
      </c>
      <c r="L6067" t="n">
        <v>0</v>
      </c>
      <c r="M6067" t="n">
        <v>0</v>
      </c>
      <c r="N6067" t="n">
        <v>0</v>
      </c>
      <c r="O6067" t="n">
        <v>0</v>
      </c>
      <c r="P6067" t="n">
        <v>0</v>
      </c>
      <c r="Q6067" t="n">
        <v>0</v>
      </c>
      <c r="R6067" s="2" t="inlineStr"/>
    </row>
    <row r="6068" ht="15" customHeight="1">
      <c r="A6068" t="inlineStr">
        <is>
          <t>A 62903-2023</t>
        </is>
      </c>
      <c r="B6068" s="1" t="n">
        <v>45272</v>
      </c>
      <c r="C6068" s="1" t="n">
        <v>45883</v>
      </c>
      <c r="D6068" t="inlineStr">
        <is>
          <t>GÄVLEBORGS LÄN</t>
        </is>
      </c>
      <c r="E6068" t="inlineStr">
        <is>
          <t>SÖDERHAMN</t>
        </is>
      </c>
      <c r="G6068" t="n">
        <v>7.4</v>
      </c>
      <c r="H6068" t="n">
        <v>0</v>
      </c>
      <c r="I6068" t="n">
        <v>0</v>
      </c>
      <c r="J6068" t="n">
        <v>0</v>
      </c>
      <c r="K6068" t="n">
        <v>0</v>
      </c>
      <c r="L6068" t="n">
        <v>0</v>
      </c>
      <c r="M6068" t="n">
        <v>0</v>
      </c>
      <c r="N6068" t="n">
        <v>0</v>
      </c>
      <c r="O6068" t="n">
        <v>0</v>
      </c>
      <c r="P6068" t="n">
        <v>0</v>
      </c>
      <c r="Q6068" t="n">
        <v>0</v>
      </c>
      <c r="R6068" s="2" t="inlineStr"/>
    </row>
    <row r="6069" ht="15" customHeight="1">
      <c r="A6069" t="inlineStr">
        <is>
          <t>A 42088-2024</t>
        </is>
      </c>
      <c r="B6069" s="1" t="n">
        <v>45562.34226851852</v>
      </c>
      <c r="C6069" s="1" t="n">
        <v>45883</v>
      </c>
      <c r="D6069" t="inlineStr">
        <is>
          <t>GÄVLEBORGS LÄN</t>
        </is>
      </c>
      <c r="E6069" t="inlineStr">
        <is>
          <t>SANDVIKEN</t>
        </is>
      </c>
      <c r="G6069" t="n">
        <v>6</v>
      </c>
      <c r="H6069" t="n">
        <v>0</v>
      </c>
      <c r="I6069" t="n">
        <v>0</v>
      </c>
      <c r="J6069" t="n">
        <v>0</v>
      </c>
      <c r="K6069" t="n">
        <v>0</v>
      </c>
      <c r="L6069" t="n">
        <v>0</v>
      </c>
      <c r="M6069" t="n">
        <v>0</v>
      </c>
      <c r="N6069" t="n">
        <v>0</v>
      </c>
      <c r="O6069" t="n">
        <v>0</v>
      </c>
      <c r="P6069" t="n">
        <v>0</v>
      </c>
      <c r="Q6069" t="n">
        <v>0</v>
      </c>
      <c r="R6069" s="2" t="inlineStr"/>
    </row>
    <row r="6070" ht="15" customHeight="1">
      <c r="A6070" t="inlineStr">
        <is>
          <t>A 42107-2024</t>
        </is>
      </c>
      <c r="B6070" s="1" t="n">
        <v>45562.36814814815</v>
      </c>
      <c r="C6070" s="1" t="n">
        <v>45883</v>
      </c>
      <c r="D6070" t="inlineStr">
        <is>
          <t>GÄVLEBORGS LÄN</t>
        </is>
      </c>
      <c r="E6070" t="inlineStr">
        <is>
          <t>SANDVIKEN</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25814-2023</t>
        </is>
      </c>
      <c r="B6071" s="1" t="n">
        <v>45090.53184027778</v>
      </c>
      <c r="C6071" s="1" t="n">
        <v>45883</v>
      </c>
      <c r="D6071" t="inlineStr">
        <is>
          <t>GÄVLEBORGS LÄN</t>
        </is>
      </c>
      <c r="E6071" t="inlineStr">
        <is>
          <t>GÄVLE</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29841-2023</t>
        </is>
      </c>
      <c r="B6072" s="1" t="n">
        <v>45099</v>
      </c>
      <c r="C6072" s="1" t="n">
        <v>45883</v>
      </c>
      <c r="D6072" t="inlineStr">
        <is>
          <t>GÄVLEBORGS LÄN</t>
        </is>
      </c>
      <c r="E6072" t="inlineStr">
        <is>
          <t>LJUSDAL</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17690-2025</t>
        </is>
      </c>
      <c r="B6073" s="1" t="n">
        <v>45758.40640046296</v>
      </c>
      <c r="C6073" s="1" t="n">
        <v>45883</v>
      </c>
      <c r="D6073" t="inlineStr">
        <is>
          <t>GÄVLEBORGS LÄN</t>
        </is>
      </c>
      <c r="E6073" t="inlineStr">
        <is>
          <t>OCKELBO</t>
        </is>
      </c>
      <c r="F6073" t="inlineStr">
        <is>
          <t>Bergvik skog väst AB</t>
        </is>
      </c>
      <c r="G6073" t="n">
        <v>8.699999999999999</v>
      </c>
      <c r="H6073" t="n">
        <v>0</v>
      </c>
      <c r="I6073" t="n">
        <v>0</v>
      </c>
      <c r="J6073" t="n">
        <v>0</v>
      </c>
      <c r="K6073" t="n">
        <v>0</v>
      </c>
      <c r="L6073" t="n">
        <v>0</v>
      </c>
      <c r="M6073" t="n">
        <v>0</v>
      </c>
      <c r="N6073" t="n">
        <v>0</v>
      </c>
      <c r="O6073" t="n">
        <v>0</v>
      </c>
      <c r="P6073" t="n">
        <v>0</v>
      </c>
      <c r="Q6073" t="n">
        <v>0</v>
      </c>
      <c r="R6073" s="2" t="inlineStr"/>
    </row>
    <row r="6074" ht="15" customHeight="1">
      <c r="A6074" t="inlineStr">
        <is>
          <t>A 59130-2024</t>
        </is>
      </c>
      <c r="B6074" s="1" t="n">
        <v>45637</v>
      </c>
      <c r="C6074" s="1" t="n">
        <v>45883</v>
      </c>
      <c r="D6074" t="inlineStr">
        <is>
          <t>GÄVLEBORGS LÄN</t>
        </is>
      </c>
      <c r="E6074" t="inlineStr">
        <is>
          <t>HOFORS</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32924-2023</t>
        </is>
      </c>
      <c r="B6075" s="1" t="n">
        <v>45125.36489583334</v>
      </c>
      <c r="C6075" s="1" t="n">
        <v>45883</v>
      </c>
      <c r="D6075" t="inlineStr">
        <is>
          <t>GÄVLEBORGS LÄN</t>
        </is>
      </c>
      <c r="E6075" t="inlineStr">
        <is>
          <t>LJUSDAL</t>
        </is>
      </c>
      <c r="F6075" t="inlineStr">
        <is>
          <t>Holmen skog AB</t>
        </is>
      </c>
      <c r="G6075" t="n">
        <v>6</v>
      </c>
      <c r="H6075" t="n">
        <v>0</v>
      </c>
      <c r="I6075" t="n">
        <v>0</v>
      </c>
      <c r="J6075" t="n">
        <v>0</v>
      </c>
      <c r="K6075" t="n">
        <v>0</v>
      </c>
      <c r="L6075" t="n">
        <v>0</v>
      </c>
      <c r="M6075" t="n">
        <v>0</v>
      </c>
      <c r="N6075" t="n">
        <v>0</v>
      </c>
      <c r="O6075" t="n">
        <v>0</v>
      </c>
      <c r="P6075" t="n">
        <v>0</v>
      </c>
      <c r="Q6075" t="n">
        <v>0</v>
      </c>
      <c r="R6075" s="2" t="inlineStr"/>
    </row>
    <row r="6076" ht="15" customHeight="1">
      <c r="A6076" t="inlineStr">
        <is>
          <t>A 32943-2023</t>
        </is>
      </c>
      <c r="B6076" s="1" t="n">
        <v>45125</v>
      </c>
      <c r="C6076" s="1" t="n">
        <v>45883</v>
      </c>
      <c r="D6076" t="inlineStr">
        <is>
          <t>GÄVLEBORGS LÄN</t>
        </is>
      </c>
      <c r="E6076" t="inlineStr">
        <is>
          <t>LJUSDAL</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10074-2022</t>
        </is>
      </c>
      <c r="B6077" s="1" t="n">
        <v>44621</v>
      </c>
      <c r="C6077" s="1" t="n">
        <v>45883</v>
      </c>
      <c r="D6077" t="inlineStr">
        <is>
          <t>GÄVLEBORGS LÄN</t>
        </is>
      </c>
      <c r="E6077" t="inlineStr">
        <is>
          <t>LJUSDAL</t>
        </is>
      </c>
      <c r="F6077" t="inlineStr">
        <is>
          <t>Kommuner</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14222-2025</t>
        </is>
      </c>
      <c r="B6078" s="1" t="n">
        <v>45740.58918981482</v>
      </c>
      <c r="C6078" s="1" t="n">
        <v>45883</v>
      </c>
      <c r="D6078" t="inlineStr">
        <is>
          <t>GÄVLEBORGS LÄN</t>
        </is>
      </c>
      <c r="E6078" t="inlineStr">
        <is>
          <t>GÄVLE</t>
        </is>
      </c>
      <c r="F6078" t="inlineStr">
        <is>
          <t>Bergvik skog öst AB</t>
        </is>
      </c>
      <c r="G6078" t="n">
        <v>19.5</v>
      </c>
      <c r="H6078" t="n">
        <v>0</v>
      </c>
      <c r="I6078" t="n">
        <v>0</v>
      </c>
      <c r="J6078" t="n">
        <v>0</v>
      </c>
      <c r="K6078" t="n">
        <v>0</v>
      </c>
      <c r="L6078" t="n">
        <v>0</v>
      </c>
      <c r="M6078" t="n">
        <v>0</v>
      </c>
      <c r="N6078" t="n">
        <v>0</v>
      </c>
      <c r="O6078" t="n">
        <v>0</v>
      </c>
      <c r="P6078" t="n">
        <v>0</v>
      </c>
      <c r="Q6078" t="n">
        <v>0</v>
      </c>
      <c r="R6078" s="2" t="inlineStr"/>
    </row>
    <row r="6079" ht="15" customHeight="1">
      <c r="A6079" t="inlineStr">
        <is>
          <t>A 2901-2021</t>
        </is>
      </c>
      <c r="B6079" s="1" t="n">
        <v>44216</v>
      </c>
      <c r="C6079" s="1" t="n">
        <v>45883</v>
      </c>
      <c r="D6079" t="inlineStr">
        <is>
          <t>GÄVLEBORGS LÄN</t>
        </is>
      </c>
      <c r="E6079" t="inlineStr">
        <is>
          <t>GÄVLE</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18357-2024</t>
        </is>
      </c>
      <c r="B6080" s="1" t="n">
        <v>45422.71068287037</v>
      </c>
      <c r="C6080" s="1" t="n">
        <v>45883</v>
      </c>
      <c r="D6080" t="inlineStr">
        <is>
          <t>GÄVLEBORGS LÄN</t>
        </is>
      </c>
      <c r="E6080" t="inlineStr">
        <is>
          <t>LJUSDAL</t>
        </is>
      </c>
      <c r="G6080" t="n">
        <v>3.8</v>
      </c>
      <c r="H6080" t="n">
        <v>0</v>
      </c>
      <c r="I6080" t="n">
        <v>0</v>
      </c>
      <c r="J6080" t="n">
        <v>0</v>
      </c>
      <c r="K6080" t="n">
        <v>0</v>
      </c>
      <c r="L6080" t="n">
        <v>0</v>
      </c>
      <c r="M6080" t="n">
        <v>0</v>
      </c>
      <c r="N6080" t="n">
        <v>0</v>
      </c>
      <c r="O6080" t="n">
        <v>0</v>
      </c>
      <c r="P6080" t="n">
        <v>0</v>
      </c>
      <c r="Q6080" t="n">
        <v>0</v>
      </c>
      <c r="R6080" s="2" t="inlineStr"/>
    </row>
    <row r="6081" ht="15" customHeight="1">
      <c r="A6081" t="inlineStr">
        <is>
          <t>A 1060-2025</t>
        </is>
      </c>
      <c r="B6081" s="1" t="n">
        <v>45666.57957175926</v>
      </c>
      <c r="C6081" s="1" t="n">
        <v>45883</v>
      </c>
      <c r="D6081" t="inlineStr">
        <is>
          <t>GÄVLEBORGS LÄN</t>
        </is>
      </c>
      <c r="E6081" t="inlineStr">
        <is>
          <t>SANDVIKEN</t>
        </is>
      </c>
      <c r="F6081" t="inlineStr">
        <is>
          <t>Bergvik skog öst AB</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1066-2025</t>
        </is>
      </c>
      <c r="B6082" s="1" t="n">
        <v>45666.58805555556</v>
      </c>
      <c r="C6082" s="1" t="n">
        <v>45883</v>
      </c>
      <c r="D6082" t="inlineStr">
        <is>
          <t>GÄVLEBORGS LÄN</t>
        </is>
      </c>
      <c r="E6082" t="inlineStr">
        <is>
          <t>GÄVLE</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19789-2025</t>
        </is>
      </c>
      <c r="B6083" s="1" t="n">
        <v>45771.44474537037</v>
      </c>
      <c r="C6083" s="1" t="n">
        <v>45883</v>
      </c>
      <c r="D6083" t="inlineStr">
        <is>
          <t>GÄVLEBORGS LÄN</t>
        </is>
      </c>
      <c r="E6083" t="inlineStr">
        <is>
          <t>SÖDERHAMN</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20477-2025</t>
        </is>
      </c>
      <c r="B6084" s="1" t="n">
        <v>45775.55076388889</v>
      </c>
      <c r="C6084" s="1" t="n">
        <v>45883</v>
      </c>
      <c r="D6084" t="inlineStr">
        <is>
          <t>GÄVLEBORGS LÄN</t>
        </is>
      </c>
      <c r="E6084" t="inlineStr">
        <is>
          <t>LJUSDAL</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56209-2023</t>
        </is>
      </c>
      <c r="B6085" s="1" t="n">
        <v>45240</v>
      </c>
      <c r="C6085" s="1" t="n">
        <v>45883</v>
      </c>
      <c r="D6085" t="inlineStr">
        <is>
          <t>GÄVLEBORGS LÄN</t>
        </is>
      </c>
      <c r="E6085" t="inlineStr">
        <is>
          <t>BOLLNÄS</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35498-2024</t>
        </is>
      </c>
      <c r="B6086" s="1" t="n">
        <v>45531.51796296296</v>
      </c>
      <c r="C6086" s="1" t="n">
        <v>45883</v>
      </c>
      <c r="D6086" t="inlineStr">
        <is>
          <t>GÄVLEBORGS LÄN</t>
        </is>
      </c>
      <c r="E6086" t="inlineStr">
        <is>
          <t>HOFORS</t>
        </is>
      </c>
      <c r="F6086" t="inlineStr">
        <is>
          <t>Sveaskog</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34830-2025</t>
        </is>
      </c>
      <c r="B6087" s="1" t="n">
        <v>45849.3860300926</v>
      </c>
      <c r="C6087" s="1" t="n">
        <v>45883</v>
      </c>
      <c r="D6087" t="inlineStr">
        <is>
          <t>GÄVLEBORGS LÄN</t>
        </is>
      </c>
      <c r="E6087" t="inlineStr">
        <is>
          <t>SANDVIKEN</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25557-2025</t>
        </is>
      </c>
      <c r="B6088" s="1" t="n">
        <v>45803.45233796296</v>
      </c>
      <c r="C6088" s="1" t="n">
        <v>45883</v>
      </c>
      <c r="D6088" t="inlineStr">
        <is>
          <t>GÄVLEBORGS LÄN</t>
        </is>
      </c>
      <c r="E6088" t="inlineStr">
        <is>
          <t>OVANÅKER</t>
        </is>
      </c>
      <c r="G6088" t="n">
        <v>4.8</v>
      </c>
      <c r="H6088" t="n">
        <v>0</v>
      </c>
      <c r="I6088" t="n">
        <v>0</v>
      </c>
      <c r="J6088" t="n">
        <v>0</v>
      </c>
      <c r="K6088" t="n">
        <v>0</v>
      </c>
      <c r="L6088" t="n">
        <v>0</v>
      </c>
      <c r="M6088" t="n">
        <v>0</v>
      </c>
      <c r="N6088" t="n">
        <v>0</v>
      </c>
      <c r="O6088" t="n">
        <v>0</v>
      </c>
      <c r="P6088" t="n">
        <v>0</v>
      </c>
      <c r="Q6088" t="n">
        <v>0</v>
      </c>
      <c r="R6088" s="2" t="inlineStr"/>
    </row>
    <row r="6089" ht="15" customHeight="1">
      <c r="A6089" t="inlineStr">
        <is>
          <t>A 7136-2025</t>
        </is>
      </c>
      <c r="B6089" s="1" t="n">
        <v>45702.36628472222</v>
      </c>
      <c r="C6089" s="1" t="n">
        <v>45883</v>
      </c>
      <c r="D6089" t="inlineStr">
        <is>
          <t>GÄVLEBORGS LÄN</t>
        </is>
      </c>
      <c r="E6089" t="inlineStr">
        <is>
          <t>BOLLNÄS</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6730-2025</t>
        </is>
      </c>
      <c r="B6090" s="1" t="n">
        <v>45700.59322916667</v>
      </c>
      <c r="C6090" s="1" t="n">
        <v>45883</v>
      </c>
      <c r="D6090" t="inlineStr">
        <is>
          <t>GÄVLEBORGS LÄN</t>
        </is>
      </c>
      <c r="E6090" t="inlineStr">
        <is>
          <t>HUDIKSVALL</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1716-2025</t>
        </is>
      </c>
      <c r="B6091" s="1" t="n">
        <v>45671.3278587963</v>
      </c>
      <c r="C6091" s="1" t="n">
        <v>45883</v>
      </c>
      <c r="D6091" t="inlineStr">
        <is>
          <t>GÄVLEBORGS LÄN</t>
        </is>
      </c>
      <c r="E6091" t="inlineStr">
        <is>
          <t>OCKELBO</t>
        </is>
      </c>
      <c r="F6091" t="inlineStr">
        <is>
          <t>Bergvik skog väst AB</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45519-2022</t>
        </is>
      </c>
      <c r="B6092" s="1" t="n">
        <v>44845</v>
      </c>
      <c r="C6092" s="1" t="n">
        <v>45883</v>
      </c>
      <c r="D6092" t="inlineStr">
        <is>
          <t>GÄVLEBORGS LÄN</t>
        </is>
      </c>
      <c r="E6092" t="inlineStr">
        <is>
          <t>OCKELBO</t>
        </is>
      </c>
      <c r="F6092" t="inlineStr">
        <is>
          <t>Bergvik skog väst AB</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26582-2025</t>
        </is>
      </c>
      <c r="B6093" s="1" t="n">
        <v>45807</v>
      </c>
      <c r="C6093" s="1" t="n">
        <v>45883</v>
      </c>
      <c r="D6093" t="inlineStr">
        <is>
          <t>GÄVLEBORGS LÄN</t>
        </is>
      </c>
      <c r="E6093" t="inlineStr">
        <is>
          <t>OVANÅKER</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541-2021</t>
        </is>
      </c>
      <c r="B6094" s="1" t="n">
        <v>44203</v>
      </c>
      <c r="C6094" s="1" t="n">
        <v>45883</v>
      </c>
      <c r="D6094" t="inlineStr">
        <is>
          <t>GÄVLEBORGS LÄN</t>
        </is>
      </c>
      <c r="E6094" t="inlineStr">
        <is>
          <t>BOLLNÄS</t>
        </is>
      </c>
      <c r="F6094" t="inlineStr">
        <is>
          <t>Bergvik skog väst AB</t>
        </is>
      </c>
      <c r="G6094" t="n">
        <v>14.5</v>
      </c>
      <c r="H6094" t="n">
        <v>0</v>
      </c>
      <c r="I6094" t="n">
        <v>0</v>
      </c>
      <c r="J6094" t="n">
        <v>0</v>
      </c>
      <c r="K6094" t="n">
        <v>0</v>
      </c>
      <c r="L6094" t="n">
        <v>0</v>
      </c>
      <c r="M6094" t="n">
        <v>0</v>
      </c>
      <c r="N6094" t="n">
        <v>0</v>
      </c>
      <c r="O6094" t="n">
        <v>0</v>
      </c>
      <c r="P6094" t="n">
        <v>0</v>
      </c>
      <c r="Q6094" t="n">
        <v>0</v>
      </c>
      <c r="R6094" s="2" t="inlineStr"/>
    </row>
    <row r="6095" ht="15" customHeight="1">
      <c r="A6095" t="inlineStr">
        <is>
          <t>A 19972-2024</t>
        </is>
      </c>
      <c r="B6095" s="1" t="n">
        <v>45433</v>
      </c>
      <c r="C6095" s="1" t="n">
        <v>45883</v>
      </c>
      <c r="D6095" t="inlineStr">
        <is>
          <t>GÄVLEBORGS LÄN</t>
        </is>
      </c>
      <c r="E6095" t="inlineStr">
        <is>
          <t>BOLLNÄS</t>
        </is>
      </c>
      <c r="G6095" t="n">
        <v>9.4</v>
      </c>
      <c r="H6095" t="n">
        <v>0</v>
      </c>
      <c r="I6095" t="n">
        <v>0</v>
      </c>
      <c r="J6095" t="n">
        <v>0</v>
      </c>
      <c r="K6095" t="n">
        <v>0</v>
      </c>
      <c r="L6095" t="n">
        <v>0</v>
      </c>
      <c r="M6095" t="n">
        <v>0</v>
      </c>
      <c r="N6095" t="n">
        <v>0</v>
      </c>
      <c r="O6095" t="n">
        <v>0</v>
      </c>
      <c r="P6095" t="n">
        <v>0</v>
      </c>
      <c r="Q6095" t="n">
        <v>0</v>
      </c>
      <c r="R6095" s="2" t="inlineStr"/>
    </row>
    <row r="6096" ht="15" customHeight="1">
      <c r="A6096" t="inlineStr">
        <is>
          <t>A 20043-2024</t>
        </is>
      </c>
      <c r="B6096" s="1" t="n">
        <v>45434</v>
      </c>
      <c r="C6096" s="1" t="n">
        <v>45883</v>
      </c>
      <c r="D6096" t="inlineStr">
        <is>
          <t>GÄVLEBORGS LÄN</t>
        </is>
      </c>
      <c r="E6096" t="inlineStr">
        <is>
          <t>LJUSDAL</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35737-2023</t>
        </is>
      </c>
      <c r="B6097" s="1" t="n">
        <v>45147</v>
      </c>
      <c r="C6097" s="1" t="n">
        <v>45883</v>
      </c>
      <c r="D6097" t="inlineStr">
        <is>
          <t>GÄVLEBORGS LÄN</t>
        </is>
      </c>
      <c r="E6097" t="inlineStr">
        <is>
          <t>HUDIKSVALL</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50413-2023</t>
        </is>
      </c>
      <c r="B6098" s="1" t="n">
        <v>45216.66340277778</v>
      </c>
      <c r="C6098" s="1" t="n">
        <v>45883</v>
      </c>
      <c r="D6098" t="inlineStr">
        <is>
          <t>GÄVLEBORGS LÄN</t>
        </is>
      </c>
      <c r="E6098" t="inlineStr">
        <is>
          <t>NORDANSTIG</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67015-2020</t>
        </is>
      </c>
      <c r="B6099" s="1" t="n">
        <v>44176</v>
      </c>
      <c r="C6099" s="1" t="n">
        <v>45883</v>
      </c>
      <c r="D6099" t="inlineStr">
        <is>
          <t>GÄVLEBORGS LÄN</t>
        </is>
      </c>
      <c r="E6099" t="inlineStr">
        <is>
          <t>OCKELBO</t>
        </is>
      </c>
      <c r="G6099" t="n">
        <v>21.8</v>
      </c>
      <c r="H6099" t="n">
        <v>0</v>
      </c>
      <c r="I6099" t="n">
        <v>0</v>
      </c>
      <c r="J6099" t="n">
        <v>0</v>
      </c>
      <c r="K6099" t="n">
        <v>0</v>
      </c>
      <c r="L6099" t="n">
        <v>0</v>
      </c>
      <c r="M6099" t="n">
        <v>0</v>
      </c>
      <c r="N6099" t="n">
        <v>0</v>
      </c>
      <c r="O6099" t="n">
        <v>0</v>
      </c>
      <c r="P6099" t="n">
        <v>0</v>
      </c>
      <c r="Q6099" t="n">
        <v>0</v>
      </c>
      <c r="R6099" s="2" t="inlineStr"/>
    </row>
    <row r="6100" ht="15" customHeight="1">
      <c r="A6100" t="inlineStr">
        <is>
          <t>A 16771-2025</t>
        </is>
      </c>
      <c r="B6100" s="1" t="n">
        <v>45754.57960648148</v>
      </c>
      <c r="C6100" s="1" t="n">
        <v>45883</v>
      </c>
      <c r="D6100" t="inlineStr">
        <is>
          <t>GÄVLEBORGS LÄN</t>
        </is>
      </c>
      <c r="E6100" t="inlineStr">
        <is>
          <t>OCKELBO</t>
        </is>
      </c>
      <c r="G6100" t="n">
        <v>3.6</v>
      </c>
      <c r="H6100" t="n">
        <v>0</v>
      </c>
      <c r="I6100" t="n">
        <v>0</v>
      </c>
      <c r="J6100" t="n">
        <v>0</v>
      </c>
      <c r="K6100" t="n">
        <v>0</v>
      </c>
      <c r="L6100" t="n">
        <v>0</v>
      </c>
      <c r="M6100" t="n">
        <v>0</v>
      </c>
      <c r="N6100" t="n">
        <v>0</v>
      </c>
      <c r="O6100" t="n">
        <v>0</v>
      </c>
      <c r="P6100" t="n">
        <v>0</v>
      </c>
      <c r="Q6100" t="n">
        <v>0</v>
      </c>
      <c r="R6100" s="2" t="inlineStr"/>
    </row>
    <row r="6101" ht="15" customHeight="1">
      <c r="A6101" t="inlineStr">
        <is>
          <t>A 6990-2025</t>
        </is>
      </c>
      <c r="B6101" s="1" t="n">
        <v>45701</v>
      </c>
      <c r="C6101" s="1" t="n">
        <v>45883</v>
      </c>
      <c r="D6101" t="inlineStr">
        <is>
          <t>GÄVLEBORGS LÄN</t>
        </is>
      </c>
      <c r="E6101" t="inlineStr">
        <is>
          <t>HUDIKSVALL</t>
        </is>
      </c>
      <c r="G6101" t="n">
        <v>7.2</v>
      </c>
      <c r="H6101" t="n">
        <v>0</v>
      </c>
      <c r="I6101" t="n">
        <v>0</v>
      </c>
      <c r="J6101" t="n">
        <v>0</v>
      </c>
      <c r="K6101" t="n">
        <v>0</v>
      </c>
      <c r="L6101" t="n">
        <v>0</v>
      </c>
      <c r="M6101" t="n">
        <v>0</v>
      </c>
      <c r="N6101" t="n">
        <v>0</v>
      </c>
      <c r="O6101" t="n">
        <v>0</v>
      </c>
      <c r="P6101" t="n">
        <v>0</v>
      </c>
      <c r="Q6101" t="n">
        <v>0</v>
      </c>
      <c r="R6101" s="2" t="inlineStr"/>
    </row>
    <row r="6102" ht="15" customHeight="1">
      <c r="A6102" t="inlineStr">
        <is>
          <t>A 55291-2024</t>
        </is>
      </c>
      <c r="B6102" s="1" t="n">
        <v>45621.63578703703</v>
      </c>
      <c r="C6102" s="1" t="n">
        <v>45883</v>
      </c>
      <c r="D6102" t="inlineStr">
        <is>
          <t>GÄVLEBORGS LÄN</t>
        </is>
      </c>
      <c r="E6102" t="inlineStr">
        <is>
          <t>LJUSDAL</t>
        </is>
      </c>
      <c r="F6102" t="inlineStr">
        <is>
          <t>Sveaskog</t>
        </is>
      </c>
      <c r="G6102" t="n">
        <v>4.5</v>
      </c>
      <c r="H6102" t="n">
        <v>0</v>
      </c>
      <c r="I6102" t="n">
        <v>0</v>
      </c>
      <c r="J6102" t="n">
        <v>0</v>
      </c>
      <c r="K6102" t="n">
        <v>0</v>
      </c>
      <c r="L6102" t="n">
        <v>0</v>
      </c>
      <c r="M6102" t="n">
        <v>0</v>
      </c>
      <c r="N6102" t="n">
        <v>0</v>
      </c>
      <c r="O6102" t="n">
        <v>0</v>
      </c>
      <c r="P6102" t="n">
        <v>0</v>
      </c>
      <c r="Q6102" t="n">
        <v>0</v>
      </c>
      <c r="R6102" s="2" t="inlineStr"/>
    </row>
    <row r="6103" ht="15" customHeight="1">
      <c r="A6103" t="inlineStr">
        <is>
          <t>A 6780-2025</t>
        </is>
      </c>
      <c r="B6103" s="1" t="n">
        <v>45700.64942129629</v>
      </c>
      <c r="C6103" s="1" t="n">
        <v>45883</v>
      </c>
      <c r="D6103" t="inlineStr">
        <is>
          <t>GÄVLEBORGS LÄN</t>
        </is>
      </c>
      <c r="E6103" t="inlineStr">
        <is>
          <t>GÄVLE</t>
        </is>
      </c>
      <c r="F6103" t="inlineStr">
        <is>
          <t>Bergvik skog öst AB</t>
        </is>
      </c>
      <c r="G6103" t="n">
        <v>2.8</v>
      </c>
      <c r="H6103" t="n">
        <v>0</v>
      </c>
      <c r="I6103" t="n">
        <v>0</v>
      </c>
      <c r="J6103" t="n">
        <v>0</v>
      </c>
      <c r="K6103" t="n">
        <v>0</v>
      </c>
      <c r="L6103" t="n">
        <v>0</v>
      </c>
      <c r="M6103" t="n">
        <v>0</v>
      </c>
      <c r="N6103" t="n">
        <v>0</v>
      </c>
      <c r="O6103" t="n">
        <v>0</v>
      </c>
      <c r="P6103" t="n">
        <v>0</v>
      </c>
      <c r="Q6103" t="n">
        <v>0</v>
      </c>
      <c r="R6103" s="2" t="inlineStr"/>
    </row>
    <row r="6104" ht="15" customHeight="1">
      <c r="A6104" t="inlineStr">
        <is>
          <t>A 9449-2025</t>
        </is>
      </c>
      <c r="B6104" s="1" t="n">
        <v>45715.42604166667</v>
      </c>
      <c r="C6104" s="1" t="n">
        <v>45883</v>
      </c>
      <c r="D6104" t="inlineStr">
        <is>
          <t>GÄVLEBORGS LÄN</t>
        </is>
      </c>
      <c r="E6104" t="inlineStr">
        <is>
          <t>GÄVLE</t>
        </is>
      </c>
      <c r="G6104" t="n">
        <v>2.8</v>
      </c>
      <c r="H6104" t="n">
        <v>0</v>
      </c>
      <c r="I6104" t="n">
        <v>0</v>
      </c>
      <c r="J6104" t="n">
        <v>0</v>
      </c>
      <c r="K6104" t="n">
        <v>0</v>
      </c>
      <c r="L6104" t="n">
        <v>0</v>
      </c>
      <c r="M6104" t="n">
        <v>0</v>
      </c>
      <c r="N6104" t="n">
        <v>0</v>
      </c>
      <c r="O6104" t="n">
        <v>0</v>
      </c>
      <c r="P6104" t="n">
        <v>0</v>
      </c>
      <c r="Q6104" t="n">
        <v>0</v>
      </c>
      <c r="R6104" s="2" t="inlineStr"/>
    </row>
    <row r="6105" ht="15" customHeight="1">
      <c r="A6105" t="inlineStr">
        <is>
          <t>A 11967-2025</t>
        </is>
      </c>
      <c r="B6105" s="1" t="n">
        <v>45728</v>
      </c>
      <c r="C6105" s="1" t="n">
        <v>45883</v>
      </c>
      <c r="D6105" t="inlineStr">
        <is>
          <t>GÄVLEBORGS LÄN</t>
        </is>
      </c>
      <c r="E6105" t="inlineStr">
        <is>
          <t>SANDVIKEN</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18529-2022</t>
        </is>
      </c>
      <c r="B6106" s="1" t="n">
        <v>44686.7058912037</v>
      </c>
      <c r="C6106" s="1" t="n">
        <v>45883</v>
      </c>
      <c r="D6106" t="inlineStr">
        <is>
          <t>GÄVLEBORGS LÄN</t>
        </is>
      </c>
      <c r="E6106" t="inlineStr">
        <is>
          <t>NORDANSTIG</t>
        </is>
      </c>
      <c r="F6106" t="inlineStr">
        <is>
          <t>Holmen skog AB</t>
        </is>
      </c>
      <c r="G6106" t="n">
        <v>3.2</v>
      </c>
      <c r="H6106" t="n">
        <v>0</v>
      </c>
      <c r="I6106" t="n">
        <v>0</v>
      </c>
      <c r="J6106" t="n">
        <v>0</v>
      </c>
      <c r="K6106" t="n">
        <v>0</v>
      </c>
      <c r="L6106" t="n">
        <v>0</v>
      </c>
      <c r="M6106" t="n">
        <v>0</v>
      </c>
      <c r="N6106" t="n">
        <v>0</v>
      </c>
      <c r="O6106" t="n">
        <v>0</v>
      </c>
      <c r="P6106" t="n">
        <v>0</v>
      </c>
      <c r="Q6106" t="n">
        <v>0</v>
      </c>
      <c r="R6106" s="2" t="inlineStr"/>
    </row>
    <row r="6107" ht="15" customHeight="1">
      <c r="A6107" t="inlineStr">
        <is>
          <t>A 4212-2025</t>
        </is>
      </c>
      <c r="B6107" s="1" t="n">
        <v>45685</v>
      </c>
      <c r="C6107" s="1" t="n">
        <v>45883</v>
      </c>
      <c r="D6107" t="inlineStr">
        <is>
          <t>GÄVLEBORGS LÄN</t>
        </is>
      </c>
      <c r="E6107" t="inlineStr">
        <is>
          <t>LJUSDAL</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58196-2024</t>
        </is>
      </c>
      <c r="B6108" s="1" t="n">
        <v>45632.48064814815</v>
      </c>
      <c r="C6108" s="1" t="n">
        <v>45883</v>
      </c>
      <c r="D6108" t="inlineStr">
        <is>
          <t>GÄVLEBORGS LÄN</t>
        </is>
      </c>
      <c r="E6108" t="inlineStr">
        <is>
          <t>GÄVLE</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18168-2022</t>
        </is>
      </c>
      <c r="B6109" s="1" t="n">
        <v>44684</v>
      </c>
      <c r="C6109" s="1" t="n">
        <v>45883</v>
      </c>
      <c r="D6109" t="inlineStr">
        <is>
          <t>GÄVLEBORGS LÄN</t>
        </is>
      </c>
      <c r="E6109" t="inlineStr">
        <is>
          <t>GÄVLE</t>
        </is>
      </c>
      <c r="F6109" t="inlineStr">
        <is>
          <t>Bergvik skog väst AB</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51071-2023</t>
        </is>
      </c>
      <c r="B6110" s="1" t="n">
        <v>45218.67822916667</v>
      </c>
      <c r="C6110" s="1" t="n">
        <v>45883</v>
      </c>
      <c r="D6110" t="inlineStr">
        <is>
          <t>GÄVLEBORGS LÄN</t>
        </is>
      </c>
      <c r="E6110" t="inlineStr">
        <is>
          <t>GÄVLE</t>
        </is>
      </c>
      <c r="G6110" t="n">
        <v>3.1</v>
      </c>
      <c r="H6110" t="n">
        <v>0</v>
      </c>
      <c r="I6110" t="n">
        <v>0</v>
      </c>
      <c r="J6110" t="n">
        <v>0</v>
      </c>
      <c r="K6110" t="n">
        <v>0</v>
      </c>
      <c r="L6110" t="n">
        <v>0</v>
      </c>
      <c r="M6110" t="n">
        <v>0</v>
      </c>
      <c r="N6110" t="n">
        <v>0</v>
      </c>
      <c r="O6110" t="n">
        <v>0</v>
      </c>
      <c r="P6110" t="n">
        <v>0</v>
      </c>
      <c r="Q6110" t="n">
        <v>0</v>
      </c>
      <c r="R6110" s="2" t="inlineStr"/>
    </row>
    <row r="6111" ht="15" customHeight="1">
      <c r="A6111" t="inlineStr">
        <is>
          <t>A 17548-2025</t>
        </is>
      </c>
      <c r="B6111" s="1" t="n">
        <v>45757.61045138889</v>
      </c>
      <c r="C6111" s="1" t="n">
        <v>45883</v>
      </c>
      <c r="D6111" t="inlineStr">
        <is>
          <t>GÄVLEBORGS LÄN</t>
        </is>
      </c>
      <c r="E6111" t="inlineStr">
        <is>
          <t>OCKELBO</t>
        </is>
      </c>
      <c r="F6111" t="inlineStr">
        <is>
          <t>Bergvik skog väst AB</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35069-2025</t>
        </is>
      </c>
      <c r="B6112" s="1" t="n">
        <v>45852.46069444445</v>
      </c>
      <c r="C6112" s="1" t="n">
        <v>45883</v>
      </c>
      <c r="D6112" t="inlineStr">
        <is>
          <t>GÄVLEBORGS LÄN</t>
        </is>
      </c>
      <c r="E6112" t="inlineStr">
        <is>
          <t>OVANÅKER</t>
        </is>
      </c>
      <c r="F6112" t="inlineStr">
        <is>
          <t>Bergvik skog väst AB</t>
        </is>
      </c>
      <c r="G6112" t="n">
        <v>5.6</v>
      </c>
      <c r="H6112" t="n">
        <v>0</v>
      </c>
      <c r="I6112" t="n">
        <v>0</v>
      </c>
      <c r="J6112" t="n">
        <v>0</v>
      </c>
      <c r="K6112" t="n">
        <v>0</v>
      </c>
      <c r="L6112" t="n">
        <v>0</v>
      </c>
      <c r="M6112" t="n">
        <v>0</v>
      </c>
      <c r="N6112" t="n">
        <v>0</v>
      </c>
      <c r="O6112" t="n">
        <v>0</v>
      </c>
      <c r="P6112" t="n">
        <v>0</v>
      </c>
      <c r="Q6112" t="n">
        <v>0</v>
      </c>
      <c r="R6112" s="2" t="inlineStr"/>
    </row>
    <row r="6113" ht="15" customHeight="1">
      <c r="A6113" t="inlineStr">
        <is>
          <t>A 43521-2024</t>
        </is>
      </c>
      <c r="B6113" s="1" t="n">
        <v>45569.33457175926</v>
      </c>
      <c r="C6113" s="1" t="n">
        <v>45883</v>
      </c>
      <c r="D6113" t="inlineStr">
        <is>
          <t>GÄVLEBORGS LÄN</t>
        </is>
      </c>
      <c r="E6113" t="inlineStr">
        <is>
          <t>OVANÅKER</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26634-2025</t>
        </is>
      </c>
      <c r="B6114" s="1" t="n">
        <v>45810.35309027778</v>
      </c>
      <c r="C6114" s="1" t="n">
        <v>45883</v>
      </c>
      <c r="D6114" t="inlineStr">
        <is>
          <t>GÄVLEBORGS LÄN</t>
        </is>
      </c>
      <c r="E6114" t="inlineStr">
        <is>
          <t>BOLLNÄS</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34836-2025</t>
        </is>
      </c>
      <c r="B6115" s="1" t="n">
        <v>45849.39090277778</v>
      </c>
      <c r="C6115" s="1" t="n">
        <v>45883</v>
      </c>
      <c r="D6115" t="inlineStr">
        <is>
          <t>GÄVLEBORGS LÄN</t>
        </is>
      </c>
      <c r="E6115" t="inlineStr">
        <is>
          <t>HUDIKSVALL</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35075-2025</t>
        </is>
      </c>
      <c r="B6116" s="1" t="n">
        <v>45852.48225694444</v>
      </c>
      <c r="C6116" s="1" t="n">
        <v>45883</v>
      </c>
      <c r="D6116" t="inlineStr">
        <is>
          <t>GÄVLEBORGS LÄN</t>
        </is>
      </c>
      <c r="E6116" t="inlineStr">
        <is>
          <t>OVANÅKER</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26627-2025</t>
        </is>
      </c>
      <c r="B6117" s="1" t="n">
        <v>45810.34349537037</v>
      </c>
      <c r="C6117" s="1" t="n">
        <v>45883</v>
      </c>
      <c r="D6117" t="inlineStr">
        <is>
          <t>GÄVLEBORGS LÄN</t>
        </is>
      </c>
      <c r="E6117" t="inlineStr">
        <is>
          <t>OVANÅKER</t>
        </is>
      </c>
      <c r="F6117" t="inlineStr">
        <is>
          <t>Kyrkan</t>
        </is>
      </c>
      <c r="G6117" t="n">
        <v>5.9</v>
      </c>
      <c r="H6117" t="n">
        <v>0</v>
      </c>
      <c r="I6117" t="n">
        <v>0</v>
      </c>
      <c r="J6117" t="n">
        <v>0</v>
      </c>
      <c r="K6117" t="n">
        <v>0</v>
      </c>
      <c r="L6117" t="n">
        <v>0</v>
      </c>
      <c r="M6117" t="n">
        <v>0</v>
      </c>
      <c r="N6117" t="n">
        <v>0</v>
      </c>
      <c r="O6117" t="n">
        <v>0</v>
      </c>
      <c r="P6117" t="n">
        <v>0</v>
      </c>
      <c r="Q6117" t="n">
        <v>0</v>
      </c>
      <c r="R6117" s="2" t="inlineStr"/>
    </row>
    <row r="6118" ht="15" customHeight="1">
      <c r="A6118" t="inlineStr">
        <is>
          <t>A 34845-2025</t>
        </is>
      </c>
      <c r="B6118" s="1" t="n">
        <v>45849.41206018518</v>
      </c>
      <c r="C6118" s="1" t="n">
        <v>45883</v>
      </c>
      <c r="D6118" t="inlineStr">
        <is>
          <t>GÄVLEBORGS LÄN</t>
        </is>
      </c>
      <c r="E6118" t="inlineStr">
        <is>
          <t>SANDVIKEN</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61052-2024</t>
        </is>
      </c>
      <c r="B6119" s="1" t="n">
        <v>45645.48365740741</v>
      </c>
      <c r="C6119" s="1" t="n">
        <v>45883</v>
      </c>
      <c r="D6119" t="inlineStr">
        <is>
          <t>GÄVLEBORGS LÄN</t>
        </is>
      </c>
      <c r="E6119" t="inlineStr">
        <is>
          <t>SANDVIKEN</t>
        </is>
      </c>
      <c r="F6119" t="inlineStr">
        <is>
          <t>Naturvårdsverket</t>
        </is>
      </c>
      <c r="G6119" t="n">
        <v>7.2</v>
      </c>
      <c r="H6119" t="n">
        <v>0</v>
      </c>
      <c r="I6119" t="n">
        <v>0</v>
      </c>
      <c r="J6119" t="n">
        <v>0</v>
      </c>
      <c r="K6119" t="n">
        <v>0</v>
      </c>
      <c r="L6119" t="n">
        <v>0</v>
      </c>
      <c r="M6119" t="n">
        <v>0</v>
      </c>
      <c r="N6119" t="n">
        <v>0</v>
      </c>
      <c r="O6119" t="n">
        <v>0</v>
      </c>
      <c r="P6119" t="n">
        <v>0</v>
      </c>
      <c r="Q6119" t="n">
        <v>0</v>
      </c>
      <c r="R6119" s="2" t="inlineStr"/>
    </row>
    <row r="6120" ht="15" customHeight="1">
      <c r="A6120" t="inlineStr">
        <is>
          <t>A 48310-2023</t>
        </is>
      </c>
      <c r="B6120" s="1" t="n">
        <v>45205</v>
      </c>
      <c r="C6120" s="1" t="n">
        <v>45883</v>
      </c>
      <c r="D6120" t="inlineStr">
        <is>
          <t>GÄVLEBORGS LÄN</t>
        </is>
      </c>
      <c r="E6120" t="inlineStr">
        <is>
          <t>BOLLNÄS</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10811-2025</t>
        </is>
      </c>
      <c r="B6121" s="1" t="n">
        <v>45722.53859953704</v>
      </c>
      <c r="C6121" s="1" t="n">
        <v>45883</v>
      </c>
      <c r="D6121" t="inlineStr">
        <is>
          <t>GÄVLEBORGS LÄN</t>
        </is>
      </c>
      <c r="E6121" t="inlineStr">
        <is>
          <t>GÄVLE</t>
        </is>
      </c>
      <c r="G6121" t="n">
        <v>3.5</v>
      </c>
      <c r="H6121" t="n">
        <v>0</v>
      </c>
      <c r="I6121" t="n">
        <v>0</v>
      </c>
      <c r="J6121" t="n">
        <v>0</v>
      </c>
      <c r="K6121" t="n">
        <v>0</v>
      </c>
      <c r="L6121" t="n">
        <v>0</v>
      </c>
      <c r="M6121" t="n">
        <v>0</v>
      </c>
      <c r="N6121" t="n">
        <v>0</v>
      </c>
      <c r="O6121" t="n">
        <v>0</v>
      </c>
      <c r="P6121" t="n">
        <v>0</v>
      </c>
      <c r="Q6121" t="n">
        <v>0</v>
      </c>
      <c r="R6121" s="2" t="inlineStr"/>
    </row>
    <row r="6122" ht="15" customHeight="1">
      <c r="A6122" t="inlineStr">
        <is>
          <t>A 9191-2022</t>
        </is>
      </c>
      <c r="B6122" s="1" t="n">
        <v>44615</v>
      </c>
      <c r="C6122" s="1" t="n">
        <v>45883</v>
      </c>
      <c r="D6122" t="inlineStr">
        <is>
          <t>GÄVLEBORGS LÄN</t>
        </is>
      </c>
      <c r="E6122" t="inlineStr">
        <is>
          <t>LJUSDAL</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3639-2022</t>
        </is>
      </c>
      <c r="B6123" s="1" t="n">
        <v>44586</v>
      </c>
      <c r="C6123" s="1" t="n">
        <v>45883</v>
      </c>
      <c r="D6123" t="inlineStr">
        <is>
          <t>GÄVLEBORGS LÄN</t>
        </is>
      </c>
      <c r="E6123" t="inlineStr">
        <is>
          <t>GÄVLE</t>
        </is>
      </c>
      <c r="F6123" t="inlineStr">
        <is>
          <t>Bergvik skog öst AB</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7298-2025</t>
        </is>
      </c>
      <c r="B6124" s="1" t="n">
        <v>45702.65122685185</v>
      </c>
      <c r="C6124" s="1" t="n">
        <v>45883</v>
      </c>
      <c r="D6124" t="inlineStr">
        <is>
          <t>GÄVLEBORGS LÄN</t>
        </is>
      </c>
      <c r="E6124" t="inlineStr">
        <is>
          <t>GÄVLE</t>
        </is>
      </c>
      <c r="F6124" t="inlineStr">
        <is>
          <t>Bergvik skog öst AB</t>
        </is>
      </c>
      <c r="G6124" t="n">
        <v>4.4</v>
      </c>
      <c r="H6124" t="n">
        <v>0</v>
      </c>
      <c r="I6124" t="n">
        <v>0</v>
      </c>
      <c r="J6124" t="n">
        <v>0</v>
      </c>
      <c r="K6124" t="n">
        <v>0</v>
      </c>
      <c r="L6124" t="n">
        <v>0</v>
      </c>
      <c r="M6124" t="n">
        <v>0</v>
      </c>
      <c r="N6124" t="n">
        <v>0</v>
      </c>
      <c r="O6124" t="n">
        <v>0</v>
      </c>
      <c r="P6124" t="n">
        <v>0</v>
      </c>
      <c r="Q6124" t="n">
        <v>0</v>
      </c>
      <c r="R6124" s="2" t="inlineStr"/>
    </row>
    <row r="6125" ht="15" customHeight="1">
      <c r="A6125" t="inlineStr">
        <is>
          <t>A 25064-2025</t>
        </is>
      </c>
      <c r="B6125" s="1" t="n">
        <v>45799.70355324074</v>
      </c>
      <c r="C6125" s="1" t="n">
        <v>45883</v>
      </c>
      <c r="D6125" t="inlineStr">
        <is>
          <t>GÄVLEBORGS LÄN</t>
        </is>
      </c>
      <c r="E6125" t="inlineStr">
        <is>
          <t>GÄVLE</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26787-2025</t>
        </is>
      </c>
      <c r="B6126" s="1" t="n">
        <v>45810</v>
      </c>
      <c r="C6126" s="1" t="n">
        <v>45883</v>
      </c>
      <c r="D6126" t="inlineStr">
        <is>
          <t>GÄVLEBORGS LÄN</t>
        </is>
      </c>
      <c r="E6126" t="inlineStr">
        <is>
          <t>SANDVIKEN</t>
        </is>
      </c>
      <c r="F6126" t="inlineStr">
        <is>
          <t>Sveaskog</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26799-2025</t>
        </is>
      </c>
      <c r="B6127" s="1" t="n">
        <v>45810.60430555556</v>
      </c>
      <c r="C6127" s="1" t="n">
        <v>45883</v>
      </c>
      <c r="D6127" t="inlineStr">
        <is>
          <t>GÄVLEBORGS LÄN</t>
        </is>
      </c>
      <c r="E6127" t="inlineStr">
        <is>
          <t>BOLLNÄS</t>
        </is>
      </c>
      <c r="G6127" t="n">
        <v>10.3</v>
      </c>
      <c r="H6127" t="n">
        <v>0</v>
      </c>
      <c r="I6127" t="n">
        <v>0</v>
      </c>
      <c r="J6127" t="n">
        <v>0</v>
      </c>
      <c r="K6127" t="n">
        <v>0</v>
      </c>
      <c r="L6127" t="n">
        <v>0</v>
      </c>
      <c r="M6127" t="n">
        <v>0</v>
      </c>
      <c r="N6127" t="n">
        <v>0</v>
      </c>
      <c r="O6127" t="n">
        <v>0</v>
      </c>
      <c r="P6127" t="n">
        <v>0</v>
      </c>
      <c r="Q6127" t="n">
        <v>0</v>
      </c>
      <c r="R6127" s="2" t="inlineStr"/>
    </row>
    <row r="6128" ht="15" customHeight="1">
      <c r="A6128" t="inlineStr">
        <is>
          <t>A 26538-2025</t>
        </is>
      </c>
      <c r="B6128" s="1" t="n">
        <v>45807.57506944444</v>
      </c>
      <c r="C6128" s="1" t="n">
        <v>45883</v>
      </c>
      <c r="D6128" t="inlineStr">
        <is>
          <t>GÄVLEBORGS LÄN</t>
        </is>
      </c>
      <c r="E6128" t="inlineStr">
        <is>
          <t>LJUSDAL</t>
        </is>
      </c>
      <c r="G6128" t="n">
        <v>10.5</v>
      </c>
      <c r="H6128" t="n">
        <v>0</v>
      </c>
      <c r="I6128" t="n">
        <v>0</v>
      </c>
      <c r="J6128" t="n">
        <v>0</v>
      </c>
      <c r="K6128" t="n">
        <v>0</v>
      </c>
      <c r="L6128" t="n">
        <v>0</v>
      </c>
      <c r="M6128" t="n">
        <v>0</v>
      </c>
      <c r="N6128" t="n">
        <v>0</v>
      </c>
      <c r="O6128" t="n">
        <v>0</v>
      </c>
      <c r="P6128" t="n">
        <v>0</v>
      </c>
      <c r="Q6128" t="n">
        <v>0</v>
      </c>
      <c r="R6128" s="2" t="inlineStr"/>
    </row>
    <row r="6129" ht="15" customHeight="1">
      <c r="A6129" t="inlineStr">
        <is>
          <t>A 26578-2025</t>
        </is>
      </c>
      <c r="B6129" s="1" t="n">
        <v>45807</v>
      </c>
      <c r="C6129" s="1" t="n">
        <v>45883</v>
      </c>
      <c r="D6129" t="inlineStr">
        <is>
          <t>GÄVLEBORGS LÄN</t>
        </is>
      </c>
      <c r="E6129" t="inlineStr">
        <is>
          <t>LJUSDAL</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26580-2025</t>
        </is>
      </c>
      <c r="B6130" s="1" t="n">
        <v>45807</v>
      </c>
      <c r="C6130" s="1" t="n">
        <v>45883</v>
      </c>
      <c r="D6130" t="inlineStr">
        <is>
          <t>GÄVLEBORGS LÄN</t>
        </is>
      </c>
      <c r="E6130" t="inlineStr">
        <is>
          <t>LJUSDAL</t>
        </is>
      </c>
      <c r="G6130" t="n">
        <v>0.2</v>
      </c>
      <c r="H6130" t="n">
        <v>0</v>
      </c>
      <c r="I6130" t="n">
        <v>0</v>
      </c>
      <c r="J6130" t="n">
        <v>0</v>
      </c>
      <c r="K6130" t="n">
        <v>0</v>
      </c>
      <c r="L6130" t="n">
        <v>0</v>
      </c>
      <c r="M6130" t="n">
        <v>0</v>
      </c>
      <c r="N6130" t="n">
        <v>0</v>
      </c>
      <c r="O6130" t="n">
        <v>0</v>
      </c>
      <c r="P6130" t="n">
        <v>0</v>
      </c>
      <c r="Q6130" t="n">
        <v>0</v>
      </c>
      <c r="R6130" s="2" t="inlineStr"/>
    </row>
    <row r="6131" ht="15" customHeight="1">
      <c r="A6131" t="inlineStr">
        <is>
          <t>A 26583-2025</t>
        </is>
      </c>
      <c r="B6131" s="1" t="n">
        <v>45807</v>
      </c>
      <c r="C6131" s="1" t="n">
        <v>45883</v>
      </c>
      <c r="D6131" t="inlineStr">
        <is>
          <t>GÄVLEBORGS LÄN</t>
        </is>
      </c>
      <c r="E6131" t="inlineStr">
        <is>
          <t>OVANÅKER</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48605-2023</t>
        </is>
      </c>
      <c r="B6132" s="1" t="n">
        <v>45208</v>
      </c>
      <c r="C6132" s="1" t="n">
        <v>45883</v>
      </c>
      <c r="D6132" t="inlineStr">
        <is>
          <t>GÄVLEBORGS LÄN</t>
        </is>
      </c>
      <c r="E6132" t="inlineStr">
        <is>
          <t>BOLLNÄS</t>
        </is>
      </c>
      <c r="G6132" t="n">
        <v>0.2</v>
      </c>
      <c r="H6132" t="n">
        <v>0</v>
      </c>
      <c r="I6132" t="n">
        <v>0</v>
      </c>
      <c r="J6132" t="n">
        <v>0</v>
      </c>
      <c r="K6132" t="n">
        <v>0</v>
      </c>
      <c r="L6132" t="n">
        <v>0</v>
      </c>
      <c r="M6132" t="n">
        <v>0</v>
      </c>
      <c r="N6132" t="n">
        <v>0</v>
      </c>
      <c r="O6132" t="n">
        <v>0</v>
      </c>
      <c r="P6132" t="n">
        <v>0</v>
      </c>
      <c r="Q6132" t="n">
        <v>0</v>
      </c>
      <c r="R6132" s="2" t="inlineStr"/>
    </row>
    <row r="6133" ht="15" customHeight="1">
      <c r="A6133" t="inlineStr">
        <is>
          <t>A 26819-2025</t>
        </is>
      </c>
      <c r="B6133" s="1" t="n">
        <v>45810.63636574074</v>
      </c>
      <c r="C6133" s="1" t="n">
        <v>45883</v>
      </c>
      <c r="D6133" t="inlineStr">
        <is>
          <t>GÄVLEBORGS LÄN</t>
        </is>
      </c>
      <c r="E6133" t="inlineStr">
        <is>
          <t>LJUSDAL</t>
        </is>
      </c>
      <c r="F6133" t="inlineStr">
        <is>
          <t>SCA</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26864-2025</t>
        </is>
      </c>
      <c r="B6134" s="1" t="n">
        <v>45810.69826388889</v>
      </c>
      <c r="C6134" s="1" t="n">
        <v>45883</v>
      </c>
      <c r="D6134" t="inlineStr">
        <is>
          <t>GÄVLEBORGS LÄN</t>
        </is>
      </c>
      <c r="E6134" t="inlineStr">
        <is>
          <t>LJUSDAL</t>
        </is>
      </c>
      <c r="F6134" t="inlineStr">
        <is>
          <t>SCA</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12674-2023</t>
        </is>
      </c>
      <c r="B6135" s="1" t="n">
        <v>45000</v>
      </c>
      <c r="C6135" s="1" t="n">
        <v>45883</v>
      </c>
      <c r="D6135" t="inlineStr">
        <is>
          <t>GÄVLEBORGS LÄN</t>
        </is>
      </c>
      <c r="E6135" t="inlineStr">
        <is>
          <t>HUDIKSVALL</t>
        </is>
      </c>
      <c r="F6135" t="inlineStr">
        <is>
          <t>Holmen skog AB</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39665-2024</t>
        </is>
      </c>
      <c r="B6136" s="1" t="n">
        <v>45552.51726851852</v>
      </c>
      <c r="C6136" s="1" t="n">
        <v>45883</v>
      </c>
      <c r="D6136" t="inlineStr">
        <is>
          <t>GÄVLEBORGS LÄN</t>
        </is>
      </c>
      <c r="E6136" t="inlineStr">
        <is>
          <t>LJUSDAL</t>
        </is>
      </c>
      <c r="G6136" t="n">
        <v>4.6</v>
      </c>
      <c r="H6136" t="n">
        <v>0</v>
      </c>
      <c r="I6136" t="n">
        <v>0</v>
      </c>
      <c r="J6136" t="n">
        <v>0</v>
      </c>
      <c r="K6136" t="n">
        <v>0</v>
      </c>
      <c r="L6136" t="n">
        <v>0</v>
      </c>
      <c r="M6136" t="n">
        <v>0</v>
      </c>
      <c r="N6136" t="n">
        <v>0</v>
      </c>
      <c r="O6136" t="n">
        <v>0</v>
      </c>
      <c r="P6136" t="n">
        <v>0</v>
      </c>
      <c r="Q6136" t="n">
        <v>0</v>
      </c>
      <c r="R6136" s="2" t="inlineStr"/>
    </row>
    <row r="6137" ht="15" customHeight="1">
      <c r="A6137" t="inlineStr">
        <is>
          <t>A 34837-2025</t>
        </is>
      </c>
      <c r="B6137" s="1" t="n">
        <v>45849</v>
      </c>
      <c r="C6137" s="1" t="n">
        <v>45883</v>
      </c>
      <c r="D6137" t="inlineStr">
        <is>
          <t>GÄVLEBORGS LÄN</t>
        </is>
      </c>
      <c r="E6137" t="inlineStr">
        <is>
          <t>HUDIKSVALL</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30928-2023</t>
        </is>
      </c>
      <c r="B6138" s="1" t="n">
        <v>45113.44694444445</v>
      </c>
      <c r="C6138" s="1" t="n">
        <v>45883</v>
      </c>
      <c r="D6138" t="inlineStr">
        <is>
          <t>GÄVLEBORGS LÄN</t>
        </is>
      </c>
      <c r="E6138" t="inlineStr">
        <is>
          <t>SÖDERHAMN</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19564-2025</t>
        </is>
      </c>
      <c r="B6139" s="1" t="n">
        <v>45770.53148148148</v>
      </c>
      <c r="C6139" s="1" t="n">
        <v>45883</v>
      </c>
      <c r="D6139" t="inlineStr">
        <is>
          <t>GÄVLEBORGS LÄN</t>
        </is>
      </c>
      <c r="E6139" t="inlineStr">
        <is>
          <t>LJUSDAL</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20284-2025</t>
        </is>
      </c>
      <c r="B6140" s="1" t="n">
        <v>45774.50434027778</v>
      </c>
      <c r="C6140" s="1" t="n">
        <v>45883</v>
      </c>
      <c r="D6140" t="inlineStr">
        <is>
          <t>GÄVLEBORGS LÄN</t>
        </is>
      </c>
      <c r="E6140" t="inlineStr">
        <is>
          <t>BOLLNÄS</t>
        </is>
      </c>
      <c r="F6140" t="inlineStr">
        <is>
          <t>Bergvik skog väst AB</t>
        </is>
      </c>
      <c r="G6140" t="n">
        <v>0.4</v>
      </c>
      <c r="H6140" t="n">
        <v>0</v>
      </c>
      <c r="I6140" t="n">
        <v>0</v>
      </c>
      <c r="J6140" t="n">
        <v>0</v>
      </c>
      <c r="K6140" t="n">
        <v>0</v>
      </c>
      <c r="L6140" t="n">
        <v>0</v>
      </c>
      <c r="M6140" t="n">
        <v>0</v>
      </c>
      <c r="N6140" t="n">
        <v>0</v>
      </c>
      <c r="O6140" t="n">
        <v>0</v>
      </c>
      <c r="P6140" t="n">
        <v>0</v>
      </c>
      <c r="Q6140" t="n">
        <v>0</v>
      </c>
      <c r="R6140" s="2" t="inlineStr"/>
    </row>
    <row r="6141" ht="15" customHeight="1">
      <c r="A6141" t="inlineStr">
        <is>
          <t>A 7478-2025</t>
        </is>
      </c>
      <c r="B6141" s="1" t="n">
        <v>45705</v>
      </c>
      <c r="C6141" s="1" t="n">
        <v>45883</v>
      </c>
      <c r="D6141" t="inlineStr">
        <is>
          <t>GÄVLEBORGS LÄN</t>
        </is>
      </c>
      <c r="E6141" t="inlineStr">
        <is>
          <t>OCKELBO</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44826-2024</t>
        </is>
      </c>
      <c r="B6142" s="1" t="n">
        <v>45574.67715277777</v>
      </c>
      <c r="C6142" s="1" t="n">
        <v>45883</v>
      </c>
      <c r="D6142" t="inlineStr">
        <is>
          <t>GÄVLEBORGS LÄN</t>
        </is>
      </c>
      <c r="E6142" t="inlineStr">
        <is>
          <t>NORDANSTIG</t>
        </is>
      </c>
      <c r="F6142" t="inlineStr">
        <is>
          <t>Holmen skog AB</t>
        </is>
      </c>
      <c r="G6142" t="n">
        <v>15.3</v>
      </c>
      <c r="H6142" t="n">
        <v>0</v>
      </c>
      <c r="I6142" t="n">
        <v>0</v>
      </c>
      <c r="J6142" t="n">
        <v>0</v>
      </c>
      <c r="K6142" t="n">
        <v>0</v>
      </c>
      <c r="L6142" t="n">
        <v>0</v>
      </c>
      <c r="M6142" t="n">
        <v>0</v>
      </c>
      <c r="N6142" t="n">
        <v>0</v>
      </c>
      <c r="O6142" t="n">
        <v>0</v>
      </c>
      <c r="P6142" t="n">
        <v>0</v>
      </c>
      <c r="Q6142" t="n">
        <v>0</v>
      </c>
      <c r="R6142" s="2" t="inlineStr"/>
    </row>
    <row r="6143" ht="15" customHeight="1">
      <c r="A6143" t="inlineStr">
        <is>
          <t>A 60628-2023</t>
        </is>
      </c>
      <c r="B6143" s="1" t="n">
        <v>45260.39491898148</v>
      </c>
      <c r="C6143" s="1" t="n">
        <v>45883</v>
      </c>
      <c r="D6143" t="inlineStr">
        <is>
          <t>GÄVLEBORGS LÄN</t>
        </is>
      </c>
      <c r="E6143" t="inlineStr">
        <is>
          <t>HUDIKSVALL</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7559-2025</t>
        </is>
      </c>
      <c r="B6144" s="1" t="n">
        <v>45705.58496527778</v>
      </c>
      <c r="C6144" s="1" t="n">
        <v>45883</v>
      </c>
      <c r="D6144" t="inlineStr">
        <is>
          <t>GÄVLEBORGS LÄN</t>
        </is>
      </c>
      <c r="E6144" t="inlineStr">
        <is>
          <t>SÖDERHAMN</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8448-2025</t>
        </is>
      </c>
      <c r="B6145" s="1" t="n">
        <v>45709</v>
      </c>
      <c r="C6145" s="1" t="n">
        <v>45883</v>
      </c>
      <c r="D6145" t="inlineStr">
        <is>
          <t>GÄVLEBORGS LÄN</t>
        </is>
      </c>
      <c r="E6145" t="inlineStr">
        <is>
          <t>HOFORS</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21525-2022</t>
        </is>
      </c>
      <c r="B6146" s="1" t="n">
        <v>44706.51047453703</v>
      </c>
      <c r="C6146" s="1" t="n">
        <v>45883</v>
      </c>
      <c r="D6146" t="inlineStr">
        <is>
          <t>GÄVLEBORGS LÄN</t>
        </is>
      </c>
      <c r="E6146" t="inlineStr">
        <is>
          <t>HUDIKSVALL</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57871-2023</t>
        </is>
      </c>
      <c r="B6147" s="1" t="n">
        <v>45247.45946759259</v>
      </c>
      <c r="C6147" s="1" t="n">
        <v>45883</v>
      </c>
      <c r="D6147" t="inlineStr">
        <is>
          <t>GÄVLEBORGS LÄN</t>
        </is>
      </c>
      <c r="E6147" t="inlineStr">
        <is>
          <t>HUDIKSVALL</t>
        </is>
      </c>
      <c r="F6147" t="inlineStr">
        <is>
          <t>Holmen skog AB</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5892-2025</t>
        </is>
      </c>
      <c r="B6148" s="1" t="n">
        <v>45695.38471064815</v>
      </c>
      <c r="C6148" s="1" t="n">
        <v>45883</v>
      </c>
      <c r="D6148" t="inlineStr">
        <is>
          <t>GÄVLEBORGS LÄN</t>
        </is>
      </c>
      <c r="E6148" t="inlineStr">
        <is>
          <t>HUDIKSVALL</t>
        </is>
      </c>
      <c r="F6148" t="inlineStr">
        <is>
          <t>Holmen skog AB</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7038-2025</t>
        </is>
      </c>
      <c r="B6149" s="1" t="n">
        <v>45701.63686342593</v>
      </c>
      <c r="C6149" s="1" t="n">
        <v>45883</v>
      </c>
      <c r="D6149" t="inlineStr">
        <is>
          <t>GÄVLEBORGS LÄN</t>
        </is>
      </c>
      <c r="E6149" t="inlineStr">
        <is>
          <t>SANDVIKEN</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17436-2025</t>
        </is>
      </c>
      <c r="B6150" s="1" t="n">
        <v>45757.42239583333</v>
      </c>
      <c r="C6150" s="1" t="n">
        <v>45883</v>
      </c>
      <c r="D6150" t="inlineStr">
        <is>
          <t>GÄVLEBORGS LÄN</t>
        </is>
      </c>
      <c r="E6150" t="inlineStr">
        <is>
          <t>SANDVIKEN</t>
        </is>
      </c>
      <c r="F6150" t="inlineStr">
        <is>
          <t>Bergvik skog öst AB</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7056-2025</t>
        </is>
      </c>
      <c r="B6151" s="1" t="n">
        <v>45701.65290509259</v>
      </c>
      <c r="C6151" s="1" t="n">
        <v>45883</v>
      </c>
      <c r="D6151" t="inlineStr">
        <is>
          <t>GÄVLEBORGS LÄN</t>
        </is>
      </c>
      <c r="E6151" t="inlineStr">
        <is>
          <t>SANDVIKEN</t>
        </is>
      </c>
      <c r="G6151" t="n">
        <v>6.4</v>
      </c>
      <c r="H6151" t="n">
        <v>0</v>
      </c>
      <c r="I6151" t="n">
        <v>0</v>
      </c>
      <c r="J6151" t="n">
        <v>0</v>
      </c>
      <c r="K6151" t="n">
        <v>0</v>
      </c>
      <c r="L6151" t="n">
        <v>0</v>
      </c>
      <c r="M6151" t="n">
        <v>0</v>
      </c>
      <c r="N6151" t="n">
        <v>0</v>
      </c>
      <c r="O6151" t="n">
        <v>0</v>
      </c>
      <c r="P6151" t="n">
        <v>0</v>
      </c>
      <c r="Q6151" t="n">
        <v>0</v>
      </c>
      <c r="R6151" s="2" t="inlineStr"/>
    </row>
    <row r="6152" ht="15" customHeight="1">
      <c r="A6152" t="inlineStr">
        <is>
          <t>A 59930-2024</t>
        </is>
      </c>
      <c r="B6152" s="1" t="n">
        <v>45642</v>
      </c>
      <c r="C6152" s="1" t="n">
        <v>45883</v>
      </c>
      <c r="D6152" t="inlineStr">
        <is>
          <t>GÄVLEBORGS LÄN</t>
        </is>
      </c>
      <c r="E6152" t="inlineStr">
        <is>
          <t>NORDANSTIG</t>
        </is>
      </c>
      <c r="G6152" t="n">
        <v>0.1</v>
      </c>
      <c r="H6152" t="n">
        <v>0</v>
      </c>
      <c r="I6152" t="n">
        <v>0</v>
      </c>
      <c r="J6152" t="n">
        <v>0</v>
      </c>
      <c r="K6152" t="n">
        <v>0</v>
      </c>
      <c r="L6152" t="n">
        <v>0</v>
      </c>
      <c r="M6152" t="n">
        <v>0</v>
      </c>
      <c r="N6152" t="n">
        <v>0</v>
      </c>
      <c r="O6152" t="n">
        <v>0</v>
      </c>
      <c r="P6152" t="n">
        <v>0</v>
      </c>
      <c r="Q6152" t="n">
        <v>0</v>
      </c>
      <c r="R6152" s="2" t="inlineStr"/>
    </row>
    <row r="6153" ht="15" customHeight="1">
      <c r="A6153" t="inlineStr">
        <is>
          <t>A 59941-2024</t>
        </is>
      </c>
      <c r="B6153" s="1" t="n">
        <v>45642.33047453704</v>
      </c>
      <c r="C6153" s="1" t="n">
        <v>45883</v>
      </c>
      <c r="D6153" t="inlineStr">
        <is>
          <t>GÄVLEBORGS LÄN</t>
        </is>
      </c>
      <c r="E6153" t="inlineStr">
        <is>
          <t>OCKELBO</t>
        </is>
      </c>
      <c r="F6153" t="inlineStr">
        <is>
          <t>Bergvik skog öst AB</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12549-2025</t>
        </is>
      </c>
      <c r="B6154" s="1" t="n">
        <v>45731.3146412037</v>
      </c>
      <c r="C6154" s="1" t="n">
        <v>45883</v>
      </c>
      <c r="D6154" t="inlineStr">
        <is>
          <t>GÄVLEBORGS LÄN</t>
        </is>
      </c>
      <c r="E6154" t="inlineStr">
        <is>
          <t>OVANÅKER</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28163-2023</t>
        </is>
      </c>
      <c r="B6155" s="1" t="n">
        <v>45096</v>
      </c>
      <c r="C6155" s="1" t="n">
        <v>45883</v>
      </c>
      <c r="D6155" t="inlineStr">
        <is>
          <t>GÄVLEBORGS LÄN</t>
        </is>
      </c>
      <c r="E6155" t="inlineStr">
        <is>
          <t>SANDVIKEN</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53494-2023</t>
        </is>
      </c>
      <c r="B6156" s="1" t="n">
        <v>45230.36850694445</v>
      </c>
      <c r="C6156" s="1" t="n">
        <v>45883</v>
      </c>
      <c r="D6156" t="inlineStr">
        <is>
          <t>GÄVLEBORGS LÄN</t>
        </is>
      </c>
      <c r="E6156" t="inlineStr">
        <is>
          <t>BOLLNÄS</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41882-2024</t>
        </is>
      </c>
      <c r="B6157" s="1" t="n">
        <v>45561.4859375</v>
      </c>
      <c r="C6157" s="1" t="n">
        <v>45883</v>
      </c>
      <c r="D6157" t="inlineStr">
        <is>
          <t>GÄVLEBORGS LÄN</t>
        </is>
      </c>
      <c r="E6157" t="inlineStr">
        <is>
          <t>LJUSDAL</t>
        </is>
      </c>
      <c r="G6157" t="n">
        <v>11.9</v>
      </c>
      <c r="H6157" t="n">
        <v>0</v>
      </c>
      <c r="I6157" t="n">
        <v>0</v>
      </c>
      <c r="J6157" t="n">
        <v>0</v>
      </c>
      <c r="K6157" t="n">
        <v>0</v>
      </c>
      <c r="L6157" t="n">
        <v>0</v>
      </c>
      <c r="M6157" t="n">
        <v>0</v>
      </c>
      <c r="N6157" t="n">
        <v>0</v>
      </c>
      <c r="O6157" t="n">
        <v>0</v>
      </c>
      <c r="P6157" t="n">
        <v>0</v>
      </c>
      <c r="Q6157" t="n">
        <v>0</v>
      </c>
      <c r="R6157" s="2" t="inlineStr"/>
    </row>
    <row r="6158" ht="15" customHeight="1">
      <c r="A6158" t="inlineStr">
        <is>
          <t>A 31005-2023</t>
        </is>
      </c>
      <c r="B6158" s="1" t="n">
        <v>45113.5514699074</v>
      </c>
      <c r="C6158" s="1" t="n">
        <v>45883</v>
      </c>
      <c r="D6158" t="inlineStr">
        <is>
          <t>GÄVLEBORGS LÄN</t>
        </is>
      </c>
      <c r="E6158" t="inlineStr">
        <is>
          <t>OVANÅKER</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31023-2023</t>
        </is>
      </c>
      <c r="B6159" s="1" t="n">
        <v>45113.57775462963</v>
      </c>
      <c r="C6159" s="1" t="n">
        <v>45883</v>
      </c>
      <c r="D6159" t="inlineStr">
        <is>
          <t>GÄVLEBORGS LÄN</t>
        </is>
      </c>
      <c r="E6159" t="inlineStr">
        <is>
          <t>OVANÅKER</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35022-2025</t>
        </is>
      </c>
      <c r="B6160" s="1" t="n">
        <v>45851.95064814815</v>
      </c>
      <c r="C6160" s="1" t="n">
        <v>45883</v>
      </c>
      <c r="D6160" t="inlineStr">
        <is>
          <t>GÄVLEBORGS LÄN</t>
        </is>
      </c>
      <c r="E6160" t="inlineStr">
        <is>
          <t>LJUSDAL</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26403-2025</t>
        </is>
      </c>
      <c r="B6161" s="1" t="n">
        <v>45807.33965277778</v>
      </c>
      <c r="C6161" s="1" t="n">
        <v>45883</v>
      </c>
      <c r="D6161" t="inlineStr">
        <is>
          <t>GÄVLEBORGS LÄN</t>
        </is>
      </c>
      <c r="E6161" t="inlineStr">
        <is>
          <t>HUDIKSVALL</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24040-2025</t>
        </is>
      </c>
      <c r="B6162" s="1" t="n">
        <v>45796.48783564815</v>
      </c>
      <c r="C6162" s="1" t="n">
        <v>45883</v>
      </c>
      <c r="D6162" t="inlineStr">
        <is>
          <t>GÄVLEBORGS LÄN</t>
        </is>
      </c>
      <c r="E6162" t="inlineStr">
        <is>
          <t>HUDIKSVALL</t>
        </is>
      </c>
      <c r="F6162" t="inlineStr">
        <is>
          <t>Holmen skog AB</t>
        </is>
      </c>
      <c r="G6162" t="n">
        <v>16.3</v>
      </c>
      <c r="H6162" t="n">
        <v>0</v>
      </c>
      <c r="I6162" t="n">
        <v>0</v>
      </c>
      <c r="J6162" t="n">
        <v>0</v>
      </c>
      <c r="K6162" t="n">
        <v>0</v>
      </c>
      <c r="L6162" t="n">
        <v>0</v>
      </c>
      <c r="M6162" t="n">
        <v>0</v>
      </c>
      <c r="N6162" t="n">
        <v>0</v>
      </c>
      <c r="O6162" t="n">
        <v>0</v>
      </c>
      <c r="P6162" t="n">
        <v>0</v>
      </c>
      <c r="Q6162" t="n">
        <v>0</v>
      </c>
      <c r="R6162" s="2" t="inlineStr"/>
    </row>
    <row r="6163" ht="15" customHeight="1">
      <c r="A6163" t="inlineStr">
        <is>
          <t>A 26723-2025</t>
        </is>
      </c>
      <c r="B6163" s="1" t="n">
        <v>45810.49068287037</v>
      </c>
      <c r="C6163" s="1" t="n">
        <v>45883</v>
      </c>
      <c r="D6163" t="inlineStr">
        <is>
          <t>GÄVLEBORGS LÄN</t>
        </is>
      </c>
      <c r="E6163" t="inlineStr">
        <is>
          <t>BOLLNÄS</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26654-2025</t>
        </is>
      </c>
      <c r="B6164" s="1" t="n">
        <v>45810.38966435185</v>
      </c>
      <c r="C6164" s="1" t="n">
        <v>45883</v>
      </c>
      <c r="D6164" t="inlineStr">
        <is>
          <t>GÄVLEBORGS LÄN</t>
        </is>
      </c>
      <c r="E6164" t="inlineStr">
        <is>
          <t>OVANÅKER</t>
        </is>
      </c>
      <c r="F6164" t="inlineStr">
        <is>
          <t>Kyrkan</t>
        </is>
      </c>
      <c r="G6164" t="n">
        <v>7.1</v>
      </c>
      <c r="H6164" t="n">
        <v>0</v>
      </c>
      <c r="I6164" t="n">
        <v>0</v>
      </c>
      <c r="J6164" t="n">
        <v>0</v>
      </c>
      <c r="K6164" t="n">
        <v>0</v>
      </c>
      <c r="L6164" t="n">
        <v>0</v>
      </c>
      <c r="M6164" t="n">
        <v>0</v>
      </c>
      <c r="N6164" t="n">
        <v>0</v>
      </c>
      <c r="O6164" t="n">
        <v>0</v>
      </c>
      <c r="P6164" t="n">
        <v>0</v>
      </c>
      <c r="Q6164" t="n">
        <v>0</v>
      </c>
      <c r="R6164" s="2" t="inlineStr"/>
    </row>
    <row r="6165" ht="15" customHeight="1">
      <c r="A6165" t="inlineStr">
        <is>
          <t>A 13470-2025</t>
        </is>
      </c>
      <c r="B6165" s="1" t="n">
        <v>45736.40509259259</v>
      </c>
      <c r="C6165" s="1" t="n">
        <v>45883</v>
      </c>
      <c r="D6165" t="inlineStr">
        <is>
          <t>GÄVLEBORGS LÄN</t>
        </is>
      </c>
      <c r="E6165" t="inlineStr">
        <is>
          <t>NORDANSTIG</t>
        </is>
      </c>
      <c r="F6165" t="inlineStr">
        <is>
          <t>Holmen skog AB</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60520-2023</t>
        </is>
      </c>
      <c r="B6166" s="1" t="n">
        <v>45259.65444444444</v>
      </c>
      <c r="C6166" s="1" t="n">
        <v>45883</v>
      </c>
      <c r="D6166" t="inlineStr">
        <is>
          <t>GÄVLEBORGS LÄN</t>
        </is>
      </c>
      <c r="E6166" t="inlineStr">
        <is>
          <t>NORDANSTIG</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33594-2025</t>
        </is>
      </c>
      <c r="B6167" s="1" t="n">
        <v>45841</v>
      </c>
      <c r="C6167" s="1" t="n">
        <v>45883</v>
      </c>
      <c r="D6167" t="inlineStr">
        <is>
          <t>GÄVLEBORGS LÄN</t>
        </is>
      </c>
      <c r="E6167" t="inlineStr">
        <is>
          <t>LJUSDAL</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35100-2025</t>
        </is>
      </c>
      <c r="B6168" s="1" t="n">
        <v>45852.56472222223</v>
      </c>
      <c r="C6168" s="1" t="n">
        <v>45883</v>
      </c>
      <c r="D6168" t="inlineStr">
        <is>
          <t>GÄVLEBORGS LÄN</t>
        </is>
      </c>
      <c r="E6168" t="inlineStr">
        <is>
          <t>HUDIKSVALL</t>
        </is>
      </c>
      <c r="F6168" t="inlineStr">
        <is>
          <t>Holmen skog AB</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35023-2025</t>
        </is>
      </c>
      <c r="B6169" s="1" t="n">
        <v>45851.95334490741</v>
      </c>
      <c r="C6169" s="1" t="n">
        <v>45883</v>
      </c>
      <c r="D6169" t="inlineStr">
        <is>
          <t>GÄVLEBORGS LÄN</t>
        </is>
      </c>
      <c r="E6169" t="inlineStr">
        <is>
          <t>LJUSDAL</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35029-2025</t>
        </is>
      </c>
      <c r="B6170" s="1" t="n">
        <v>45852.30025462963</v>
      </c>
      <c r="C6170" s="1" t="n">
        <v>45883</v>
      </c>
      <c r="D6170" t="inlineStr">
        <is>
          <t>GÄVLEBORGS LÄN</t>
        </is>
      </c>
      <c r="E6170" t="inlineStr">
        <is>
          <t>OVANÅKER</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35037-2025</t>
        </is>
      </c>
      <c r="B6171" s="1" t="n">
        <v>45852</v>
      </c>
      <c r="C6171" s="1" t="n">
        <v>45883</v>
      </c>
      <c r="D6171" t="inlineStr">
        <is>
          <t>GÄVLEBORGS LÄN</t>
        </is>
      </c>
      <c r="E6171" t="inlineStr">
        <is>
          <t>LJUSDAL</t>
        </is>
      </c>
      <c r="F6171" t="inlineStr">
        <is>
          <t>Bergvik skog väst AB</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26788-2025</t>
        </is>
      </c>
      <c r="B6172" s="1" t="n">
        <v>45810.58700231482</v>
      </c>
      <c r="C6172" s="1" t="n">
        <v>45883</v>
      </c>
      <c r="D6172" t="inlineStr">
        <is>
          <t>GÄVLEBORGS LÄN</t>
        </is>
      </c>
      <c r="E6172" t="inlineStr">
        <is>
          <t>HUDIKSVALL</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230-2025</t>
        </is>
      </c>
      <c r="B6173" s="1" t="n">
        <v>45660.36721064815</v>
      </c>
      <c r="C6173" s="1" t="n">
        <v>45883</v>
      </c>
      <c r="D6173" t="inlineStr">
        <is>
          <t>GÄVLEBORGS LÄN</t>
        </is>
      </c>
      <c r="E6173" t="inlineStr">
        <is>
          <t>GÄVLE</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1062-2025</t>
        </is>
      </c>
      <c r="B6174" s="1" t="n">
        <v>45666.58149305556</v>
      </c>
      <c r="C6174" s="1" t="n">
        <v>45883</v>
      </c>
      <c r="D6174" t="inlineStr">
        <is>
          <t>GÄVLEBORGS LÄN</t>
        </is>
      </c>
      <c r="E6174" t="inlineStr">
        <is>
          <t>GÄVLE</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1659-2025</t>
        </is>
      </c>
      <c r="B6175" s="1" t="n">
        <v>45670</v>
      </c>
      <c r="C6175" s="1" t="n">
        <v>45883</v>
      </c>
      <c r="D6175" t="inlineStr">
        <is>
          <t>GÄVLEBORGS LÄN</t>
        </is>
      </c>
      <c r="E6175" t="inlineStr">
        <is>
          <t>SÖDERHAMN</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24890-2023</t>
        </is>
      </c>
      <c r="B6176" s="1" t="n">
        <v>45085.45846064815</v>
      </c>
      <c r="C6176" s="1" t="n">
        <v>45883</v>
      </c>
      <c r="D6176" t="inlineStr">
        <is>
          <t>GÄVLEBORGS LÄN</t>
        </is>
      </c>
      <c r="E6176" t="inlineStr">
        <is>
          <t>HUDIKSVALL</t>
        </is>
      </c>
      <c r="G6176" t="n">
        <v>2.5</v>
      </c>
      <c r="H6176" t="n">
        <v>0</v>
      </c>
      <c r="I6176" t="n">
        <v>0</v>
      </c>
      <c r="J6176" t="n">
        <v>0</v>
      </c>
      <c r="K6176" t="n">
        <v>0</v>
      </c>
      <c r="L6176" t="n">
        <v>0</v>
      </c>
      <c r="M6176" t="n">
        <v>0</v>
      </c>
      <c r="N6176" t="n">
        <v>0</v>
      </c>
      <c r="O6176" t="n">
        <v>0</v>
      </c>
      <c r="P6176" t="n">
        <v>0</v>
      </c>
      <c r="Q6176" t="n">
        <v>0</v>
      </c>
      <c r="R6176" s="2" t="inlineStr"/>
    </row>
    <row r="6177" ht="15" customHeight="1">
      <c r="A6177" t="inlineStr">
        <is>
          <t>A 17762-2022</t>
        </is>
      </c>
      <c r="B6177" s="1" t="n">
        <v>44680</v>
      </c>
      <c r="C6177" s="1" t="n">
        <v>45883</v>
      </c>
      <c r="D6177" t="inlineStr">
        <is>
          <t>GÄVLEBORGS LÄN</t>
        </is>
      </c>
      <c r="E6177" t="inlineStr">
        <is>
          <t>HOFORS</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33629-2021</t>
        </is>
      </c>
      <c r="B6178" s="1" t="n">
        <v>44378</v>
      </c>
      <c r="C6178" s="1" t="n">
        <v>45883</v>
      </c>
      <c r="D6178" t="inlineStr">
        <is>
          <t>GÄVLEBORGS LÄN</t>
        </is>
      </c>
      <c r="E6178" t="inlineStr">
        <is>
          <t>HUDIKSVALL</t>
        </is>
      </c>
      <c r="F6178" t="inlineStr">
        <is>
          <t>Kyrkan</t>
        </is>
      </c>
      <c r="G6178" t="n">
        <v>3.4</v>
      </c>
      <c r="H6178" t="n">
        <v>0</v>
      </c>
      <c r="I6178" t="n">
        <v>0</v>
      </c>
      <c r="J6178" t="n">
        <v>0</v>
      </c>
      <c r="K6178" t="n">
        <v>0</v>
      </c>
      <c r="L6178" t="n">
        <v>0</v>
      </c>
      <c r="M6178" t="n">
        <v>0</v>
      </c>
      <c r="N6178" t="n">
        <v>0</v>
      </c>
      <c r="O6178" t="n">
        <v>0</v>
      </c>
      <c r="P6178" t="n">
        <v>0</v>
      </c>
      <c r="Q6178" t="n">
        <v>0</v>
      </c>
      <c r="R6178" s="2" t="inlineStr"/>
    </row>
    <row r="6179" ht="15" customHeight="1">
      <c r="A6179" t="inlineStr">
        <is>
          <t>A 53867-2024</t>
        </is>
      </c>
      <c r="B6179" s="1" t="n">
        <v>45615.64972222222</v>
      </c>
      <c r="C6179" s="1" t="n">
        <v>45883</v>
      </c>
      <c r="D6179" t="inlineStr">
        <is>
          <t>GÄVLEBORGS LÄN</t>
        </is>
      </c>
      <c r="E6179" t="inlineStr">
        <is>
          <t>SANDVIKEN</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32804-2024</t>
        </is>
      </c>
      <c r="B6180" s="1" t="n">
        <v>45516.56881944444</v>
      </c>
      <c r="C6180" s="1" t="n">
        <v>45883</v>
      </c>
      <c r="D6180" t="inlineStr">
        <is>
          <t>GÄVLEBORGS LÄN</t>
        </is>
      </c>
      <c r="E6180" t="inlineStr">
        <is>
          <t>OVANÅKER</t>
        </is>
      </c>
      <c r="F6180" t="inlineStr">
        <is>
          <t>Bergvik skog öst AB</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44092-2024</t>
        </is>
      </c>
      <c r="B6181" s="1" t="n">
        <v>45572.62274305556</v>
      </c>
      <c r="C6181" s="1" t="n">
        <v>45883</v>
      </c>
      <c r="D6181" t="inlineStr">
        <is>
          <t>GÄVLEBORGS LÄN</t>
        </is>
      </c>
      <c r="E6181" t="inlineStr">
        <is>
          <t>LJUSDAL</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26805-2025</t>
        </is>
      </c>
      <c r="B6182" s="1" t="n">
        <v>45810.61028935185</v>
      </c>
      <c r="C6182" s="1" t="n">
        <v>45883</v>
      </c>
      <c r="D6182" t="inlineStr">
        <is>
          <t>GÄVLEBORGS LÄN</t>
        </is>
      </c>
      <c r="E6182" t="inlineStr">
        <is>
          <t>SÖDERHAMN</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26806-2025</t>
        </is>
      </c>
      <c r="B6183" s="1" t="n">
        <v>45810.61306712963</v>
      </c>
      <c r="C6183" s="1" t="n">
        <v>45883</v>
      </c>
      <c r="D6183" t="inlineStr">
        <is>
          <t>GÄVLEBORGS LÄN</t>
        </is>
      </c>
      <c r="E6183" t="inlineStr">
        <is>
          <t>BOLLNÄS</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2149-2024</t>
        </is>
      </c>
      <c r="B6184" s="1" t="n">
        <v>45309.57211805556</v>
      </c>
      <c r="C6184" s="1" t="n">
        <v>45883</v>
      </c>
      <c r="D6184" t="inlineStr">
        <is>
          <t>GÄVLEBORGS LÄN</t>
        </is>
      </c>
      <c r="E6184" t="inlineStr">
        <is>
          <t>NORDANSTIG</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42732-2023</t>
        </is>
      </c>
      <c r="B6185" s="1" t="n">
        <v>45181</v>
      </c>
      <c r="C6185" s="1" t="n">
        <v>45883</v>
      </c>
      <c r="D6185" t="inlineStr">
        <is>
          <t>GÄVLEBORGS LÄN</t>
        </is>
      </c>
      <c r="E6185" t="inlineStr">
        <is>
          <t>LJUSDAL</t>
        </is>
      </c>
      <c r="F6185" t="inlineStr">
        <is>
          <t>Kommuner</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59253-2023</t>
        </is>
      </c>
      <c r="B6186" s="1" t="n">
        <v>45253</v>
      </c>
      <c r="C6186" s="1" t="n">
        <v>45883</v>
      </c>
      <c r="D6186" t="inlineStr">
        <is>
          <t>GÄVLEBORGS LÄN</t>
        </is>
      </c>
      <c r="E6186" t="inlineStr">
        <is>
          <t>OVANÅKER</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14051-2025</t>
        </is>
      </c>
      <c r="B6187" s="1" t="n">
        <v>45740.38570601852</v>
      </c>
      <c r="C6187" s="1" t="n">
        <v>45883</v>
      </c>
      <c r="D6187" t="inlineStr">
        <is>
          <t>GÄVLEBORGS LÄN</t>
        </is>
      </c>
      <c r="E6187" t="inlineStr">
        <is>
          <t>NORDANSTIG</t>
        </is>
      </c>
      <c r="G6187" t="n">
        <v>4.1</v>
      </c>
      <c r="H6187" t="n">
        <v>0</v>
      </c>
      <c r="I6187" t="n">
        <v>0</v>
      </c>
      <c r="J6187" t="n">
        <v>0</v>
      </c>
      <c r="K6187" t="n">
        <v>0</v>
      </c>
      <c r="L6187" t="n">
        <v>0</v>
      </c>
      <c r="M6187" t="n">
        <v>0</v>
      </c>
      <c r="N6187" t="n">
        <v>0</v>
      </c>
      <c r="O6187" t="n">
        <v>0</v>
      </c>
      <c r="P6187" t="n">
        <v>0</v>
      </c>
      <c r="Q6187" t="n">
        <v>0</v>
      </c>
      <c r="R6187" s="2" t="inlineStr"/>
    </row>
    <row r="6188" ht="15" customHeight="1">
      <c r="A6188" t="inlineStr">
        <is>
          <t>A 35169-2025</t>
        </is>
      </c>
      <c r="B6188" s="1" t="n">
        <v>45852</v>
      </c>
      <c r="C6188" s="1" t="n">
        <v>45883</v>
      </c>
      <c r="D6188" t="inlineStr">
        <is>
          <t>GÄVLEBORGS LÄN</t>
        </is>
      </c>
      <c r="E6188" t="inlineStr">
        <is>
          <t>BOLLNÄS</t>
        </is>
      </c>
      <c r="G6188" t="n">
        <v>3.8</v>
      </c>
      <c r="H6188" t="n">
        <v>0</v>
      </c>
      <c r="I6188" t="n">
        <v>0</v>
      </c>
      <c r="J6188" t="n">
        <v>0</v>
      </c>
      <c r="K6188" t="n">
        <v>0</v>
      </c>
      <c r="L6188" t="n">
        <v>0</v>
      </c>
      <c r="M6188" t="n">
        <v>0</v>
      </c>
      <c r="N6188" t="n">
        <v>0</v>
      </c>
      <c r="O6188" t="n">
        <v>0</v>
      </c>
      <c r="P6188" t="n">
        <v>0</v>
      </c>
      <c r="Q6188" t="n">
        <v>0</v>
      </c>
      <c r="R6188" s="2" t="inlineStr"/>
    </row>
    <row r="6189" ht="15" customHeight="1">
      <c r="A6189" t="inlineStr">
        <is>
          <t>A 26557-2025</t>
        </is>
      </c>
      <c r="B6189" s="1" t="n">
        <v>45807.62958333334</v>
      </c>
      <c r="C6189" s="1" t="n">
        <v>45883</v>
      </c>
      <c r="D6189" t="inlineStr">
        <is>
          <t>GÄVLEBORGS LÄN</t>
        </is>
      </c>
      <c r="E6189" t="inlineStr">
        <is>
          <t>LJUSDAL</t>
        </is>
      </c>
      <c r="G6189" t="n">
        <v>4.4</v>
      </c>
      <c r="H6189" t="n">
        <v>0</v>
      </c>
      <c r="I6189" t="n">
        <v>0</v>
      </c>
      <c r="J6189" t="n">
        <v>0</v>
      </c>
      <c r="K6189" t="n">
        <v>0</v>
      </c>
      <c r="L6189" t="n">
        <v>0</v>
      </c>
      <c r="M6189" t="n">
        <v>0</v>
      </c>
      <c r="N6189" t="n">
        <v>0</v>
      </c>
      <c r="O6189" t="n">
        <v>0</v>
      </c>
      <c r="P6189" t="n">
        <v>0</v>
      </c>
      <c r="Q6189" t="n">
        <v>0</v>
      </c>
      <c r="R6189" s="2" t="inlineStr"/>
    </row>
    <row r="6190" ht="15" customHeight="1">
      <c r="A6190" t="inlineStr">
        <is>
          <t>A 26579-2025</t>
        </is>
      </c>
      <c r="B6190" s="1" t="n">
        <v>45807</v>
      </c>
      <c r="C6190" s="1" t="n">
        <v>45883</v>
      </c>
      <c r="D6190" t="inlineStr">
        <is>
          <t>GÄVLEBORGS LÄN</t>
        </is>
      </c>
      <c r="E6190" t="inlineStr">
        <is>
          <t>LJUSDAL</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26636-2025</t>
        </is>
      </c>
      <c r="B6191" s="1" t="n">
        <v>45810.3549537037</v>
      </c>
      <c r="C6191" s="1" t="n">
        <v>45883</v>
      </c>
      <c r="D6191" t="inlineStr">
        <is>
          <t>GÄVLEBORGS LÄN</t>
        </is>
      </c>
      <c r="E6191" t="inlineStr">
        <is>
          <t>NORDANSTIG</t>
        </is>
      </c>
      <c r="F6191" t="inlineStr">
        <is>
          <t>Holmen skog AB</t>
        </is>
      </c>
      <c r="G6191" t="n">
        <v>42.8</v>
      </c>
      <c r="H6191" t="n">
        <v>0</v>
      </c>
      <c r="I6191" t="n">
        <v>0</v>
      </c>
      <c r="J6191" t="n">
        <v>0</v>
      </c>
      <c r="K6191" t="n">
        <v>0</v>
      </c>
      <c r="L6191" t="n">
        <v>0</v>
      </c>
      <c r="M6191" t="n">
        <v>0</v>
      </c>
      <c r="N6191" t="n">
        <v>0</v>
      </c>
      <c r="O6191" t="n">
        <v>0</v>
      </c>
      <c r="P6191" t="n">
        <v>0</v>
      </c>
      <c r="Q6191" t="n">
        <v>0</v>
      </c>
      <c r="R6191" s="2" t="inlineStr"/>
    </row>
    <row r="6192" ht="15" customHeight="1">
      <c r="A6192" t="inlineStr">
        <is>
          <t>A 35095-2025</t>
        </is>
      </c>
      <c r="B6192" s="1" t="n">
        <v>45852.5432175926</v>
      </c>
      <c r="C6192" s="1" t="n">
        <v>45883</v>
      </c>
      <c r="D6192" t="inlineStr">
        <is>
          <t>GÄVLEBORGS LÄN</t>
        </is>
      </c>
      <c r="E6192" t="inlineStr">
        <is>
          <t>BOLLNÄS</t>
        </is>
      </c>
      <c r="F6192" t="inlineStr">
        <is>
          <t>Bergvik skog väst AB</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25029-2025</t>
        </is>
      </c>
      <c r="B6193" s="1" t="n">
        <v>45799.65251157407</v>
      </c>
      <c r="C6193" s="1" t="n">
        <v>45883</v>
      </c>
      <c r="D6193" t="inlineStr">
        <is>
          <t>GÄVLEBORGS LÄN</t>
        </is>
      </c>
      <c r="E6193" t="inlineStr">
        <is>
          <t>SÖDERHAMN</t>
        </is>
      </c>
      <c r="F6193" t="inlineStr">
        <is>
          <t>Bergvik skog väst AB</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13603-2025</t>
        </is>
      </c>
      <c r="B6194" s="1" t="n">
        <v>45736</v>
      </c>
      <c r="C6194" s="1" t="n">
        <v>45883</v>
      </c>
      <c r="D6194" t="inlineStr">
        <is>
          <t>GÄVLEBORGS LÄN</t>
        </is>
      </c>
      <c r="E6194" t="inlineStr">
        <is>
          <t>HUDIKSVALL</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18466-2025</t>
        </is>
      </c>
      <c r="B6195" s="1" t="n">
        <v>45762.70567129629</v>
      </c>
      <c r="C6195" s="1" t="n">
        <v>45883</v>
      </c>
      <c r="D6195" t="inlineStr">
        <is>
          <t>GÄVLEBORGS LÄN</t>
        </is>
      </c>
      <c r="E6195" t="inlineStr">
        <is>
          <t>SÖDERHAMN</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26682-2025</t>
        </is>
      </c>
      <c r="B6196" s="1" t="n">
        <v>45810</v>
      </c>
      <c r="C6196" s="1" t="n">
        <v>45883</v>
      </c>
      <c r="D6196" t="inlineStr">
        <is>
          <t>GÄVLEBORGS LÄN</t>
        </is>
      </c>
      <c r="E6196" t="inlineStr">
        <is>
          <t>BOLLNÄS</t>
        </is>
      </c>
      <c r="F6196" t="inlineStr">
        <is>
          <t>Bergvik skog väst AB</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26894-2025</t>
        </is>
      </c>
      <c r="B6197" s="1" t="n">
        <v>45811.33554398148</v>
      </c>
      <c r="C6197" s="1" t="n">
        <v>45883</v>
      </c>
      <c r="D6197" t="inlineStr">
        <is>
          <t>GÄVLEBORGS LÄN</t>
        </is>
      </c>
      <c r="E6197" t="inlineStr">
        <is>
          <t>HUDIKSVALL</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26933-2025</t>
        </is>
      </c>
      <c r="B6198" s="1" t="n">
        <v>45811.40111111111</v>
      </c>
      <c r="C6198" s="1" t="n">
        <v>45883</v>
      </c>
      <c r="D6198" t="inlineStr">
        <is>
          <t>GÄVLEBORGS LÄN</t>
        </is>
      </c>
      <c r="E6198" t="inlineStr">
        <is>
          <t>GÄVLE</t>
        </is>
      </c>
      <c r="G6198" t="n">
        <v>3.3</v>
      </c>
      <c r="H6198" t="n">
        <v>0</v>
      </c>
      <c r="I6198" t="n">
        <v>0</v>
      </c>
      <c r="J6198" t="n">
        <v>0</v>
      </c>
      <c r="K6198" t="n">
        <v>0</v>
      </c>
      <c r="L6198" t="n">
        <v>0</v>
      </c>
      <c r="M6198" t="n">
        <v>0</v>
      </c>
      <c r="N6198" t="n">
        <v>0</v>
      </c>
      <c r="O6198" t="n">
        <v>0</v>
      </c>
      <c r="P6198" t="n">
        <v>0</v>
      </c>
      <c r="Q6198" t="n">
        <v>0</v>
      </c>
      <c r="R6198" s="2" t="inlineStr"/>
    </row>
    <row r="6199" ht="15" customHeight="1">
      <c r="A6199" t="inlineStr">
        <is>
          <t>A 26999-2025</t>
        </is>
      </c>
      <c r="B6199" s="1" t="n">
        <v>45811.54422453704</v>
      </c>
      <c r="C6199" s="1" t="n">
        <v>45883</v>
      </c>
      <c r="D6199" t="inlineStr">
        <is>
          <t>GÄVLEBORGS LÄN</t>
        </is>
      </c>
      <c r="E6199" t="inlineStr">
        <is>
          <t>LJUSDAL</t>
        </is>
      </c>
      <c r="F6199" t="inlineStr">
        <is>
          <t>Bergvik skog väst AB</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27361-2025</t>
        </is>
      </c>
      <c r="B6200" s="1" t="n">
        <v>45812.64255787037</v>
      </c>
      <c r="C6200" s="1" t="n">
        <v>45883</v>
      </c>
      <c r="D6200" t="inlineStr">
        <is>
          <t>GÄVLEBORGS LÄN</t>
        </is>
      </c>
      <c r="E6200" t="inlineStr">
        <is>
          <t>BOLLNÄS</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27305-2025</t>
        </is>
      </c>
      <c r="B6201" s="1" t="n">
        <v>45812.57285879629</v>
      </c>
      <c r="C6201" s="1" t="n">
        <v>45883</v>
      </c>
      <c r="D6201" t="inlineStr">
        <is>
          <t>GÄVLEBORGS LÄN</t>
        </is>
      </c>
      <c r="E6201" t="inlineStr">
        <is>
          <t>LJUSDAL</t>
        </is>
      </c>
      <c r="F6201" t="inlineStr">
        <is>
          <t>Allmännings- och besparingsskogar</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35336-2025</t>
        </is>
      </c>
      <c r="B6202" s="1" t="n">
        <v>45854.58572916667</v>
      </c>
      <c r="C6202" s="1" t="n">
        <v>45883</v>
      </c>
      <c r="D6202" t="inlineStr">
        <is>
          <t>GÄVLEBORGS LÄN</t>
        </is>
      </c>
      <c r="E6202" t="inlineStr">
        <is>
          <t>GÄVLE</t>
        </is>
      </c>
      <c r="G6202" t="n">
        <v>10</v>
      </c>
      <c r="H6202" t="n">
        <v>0</v>
      </c>
      <c r="I6202" t="n">
        <v>0</v>
      </c>
      <c r="J6202" t="n">
        <v>0</v>
      </c>
      <c r="K6202" t="n">
        <v>0</v>
      </c>
      <c r="L6202" t="n">
        <v>0</v>
      </c>
      <c r="M6202" t="n">
        <v>0</v>
      </c>
      <c r="N6202" t="n">
        <v>0</v>
      </c>
      <c r="O6202" t="n">
        <v>0</v>
      </c>
      <c r="P6202" t="n">
        <v>0</v>
      </c>
      <c r="Q6202" t="n">
        <v>0</v>
      </c>
      <c r="R6202" s="2" t="inlineStr"/>
    </row>
    <row r="6203" ht="15" customHeight="1">
      <c r="A6203" t="inlineStr">
        <is>
          <t>A 27178-2025</t>
        </is>
      </c>
      <c r="B6203" s="1" t="n">
        <v>45812.35587962963</v>
      </c>
      <c r="C6203" s="1" t="n">
        <v>45883</v>
      </c>
      <c r="D6203" t="inlineStr">
        <is>
          <t>GÄVLEBORGS LÄN</t>
        </is>
      </c>
      <c r="E6203" t="inlineStr">
        <is>
          <t>OVANÅKER</t>
        </is>
      </c>
      <c r="G6203" t="n">
        <v>13.1</v>
      </c>
      <c r="H6203" t="n">
        <v>0</v>
      </c>
      <c r="I6203" t="n">
        <v>0</v>
      </c>
      <c r="J6203" t="n">
        <v>0</v>
      </c>
      <c r="K6203" t="n">
        <v>0</v>
      </c>
      <c r="L6203" t="n">
        <v>0</v>
      </c>
      <c r="M6203" t="n">
        <v>0</v>
      </c>
      <c r="N6203" t="n">
        <v>0</v>
      </c>
      <c r="O6203" t="n">
        <v>0</v>
      </c>
      <c r="P6203" t="n">
        <v>0</v>
      </c>
      <c r="Q6203" t="n">
        <v>0</v>
      </c>
      <c r="R6203" s="2" t="inlineStr"/>
    </row>
    <row r="6204" ht="15" customHeight="1">
      <c r="A6204" t="inlineStr">
        <is>
          <t>A 27186-2025</t>
        </is>
      </c>
      <c r="B6204" s="1" t="n">
        <v>45812.36540509259</v>
      </c>
      <c r="C6204" s="1" t="n">
        <v>45883</v>
      </c>
      <c r="D6204" t="inlineStr">
        <is>
          <t>GÄVLEBORGS LÄN</t>
        </is>
      </c>
      <c r="E6204" t="inlineStr">
        <is>
          <t>LJUSDAL</t>
        </is>
      </c>
      <c r="F6204" t="inlineStr">
        <is>
          <t>Holmen skog AB</t>
        </is>
      </c>
      <c r="G6204" t="n">
        <v>3.5</v>
      </c>
      <c r="H6204" t="n">
        <v>0</v>
      </c>
      <c r="I6204" t="n">
        <v>0</v>
      </c>
      <c r="J6204" t="n">
        <v>0</v>
      </c>
      <c r="K6204" t="n">
        <v>0</v>
      </c>
      <c r="L6204" t="n">
        <v>0</v>
      </c>
      <c r="M6204" t="n">
        <v>0</v>
      </c>
      <c r="N6204" t="n">
        <v>0</v>
      </c>
      <c r="O6204" t="n">
        <v>0</v>
      </c>
      <c r="P6204" t="n">
        <v>0</v>
      </c>
      <c r="Q6204" t="n">
        <v>0</v>
      </c>
      <c r="R6204" s="2" t="inlineStr"/>
    </row>
    <row r="6205" ht="15" customHeight="1">
      <c r="A6205" t="inlineStr">
        <is>
          <t>A 27243-2025</t>
        </is>
      </c>
      <c r="B6205" s="1" t="n">
        <v>45812.46144675926</v>
      </c>
      <c r="C6205" s="1" t="n">
        <v>45883</v>
      </c>
      <c r="D6205" t="inlineStr">
        <is>
          <t>GÄVLEBORGS LÄN</t>
        </is>
      </c>
      <c r="E6205" t="inlineStr">
        <is>
          <t>OCKELBO</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26813-2025</t>
        </is>
      </c>
      <c r="B6206" s="1" t="n">
        <v>45810.62530092592</v>
      </c>
      <c r="C6206" s="1" t="n">
        <v>45883</v>
      </c>
      <c r="D6206" t="inlineStr">
        <is>
          <t>GÄVLEBORGS LÄN</t>
        </is>
      </c>
      <c r="E6206" t="inlineStr">
        <is>
          <t>HUDIKSVALL</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2946-2025</t>
        </is>
      </c>
      <c r="B6207" s="1" t="n">
        <v>45678.42084490741</v>
      </c>
      <c r="C6207" s="1" t="n">
        <v>45883</v>
      </c>
      <c r="D6207" t="inlineStr">
        <is>
          <t>GÄVLEBORGS LÄN</t>
        </is>
      </c>
      <c r="E6207" t="inlineStr">
        <is>
          <t>NORDANSTIG</t>
        </is>
      </c>
      <c r="F6207" t="inlineStr">
        <is>
          <t>Holmen skog AB</t>
        </is>
      </c>
      <c r="G6207" t="n">
        <v>9.6</v>
      </c>
      <c r="H6207" t="n">
        <v>0</v>
      </c>
      <c r="I6207" t="n">
        <v>0</v>
      </c>
      <c r="J6207" t="n">
        <v>0</v>
      </c>
      <c r="K6207" t="n">
        <v>0</v>
      </c>
      <c r="L6207" t="n">
        <v>0</v>
      </c>
      <c r="M6207" t="n">
        <v>0</v>
      </c>
      <c r="N6207" t="n">
        <v>0</v>
      </c>
      <c r="O6207" t="n">
        <v>0</v>
      </c>
      <c r="P6207" t="n">
        <v>0</v>
      </c>
      <c r="Q6207" t="n">
        <v>0</v>
      </c>
      <c r="R6207" s="2" t="inlineStr"/>
    </row>
    <row r="6208" ht="15" customHeight="1">
      <c r="A6208" t="inlineStr">
        <is>
          <t>A 17783-2025</t>
        </is>
      </c>
      <c r="B6208" s="1" t="n">
        <v>45758.53125</v>
      </c>
      <c r="C6208" s="1" t="n">
        <v>45883</v>
      </c>
      <c r="D6208" t="inlineStr">
        <is>
          <t>GÄVLEBORGS LÄN</t>
        </is>
      </c>
      <c r="E6208" t="inlineStr">
        <is>
          <t>LJUSDAL</t>
        </is>
      </c>
      <c r="G6208" t="n">
        <v>15.3</v>
      </c>
      <c r="H6208" t="n">
        <v>0</v>
      </c>
      <c r="I6208" t="n">
        <v>0</v>
      </c>
      <c r="J6208" t="n">
        <v>0</v>
      </c>
      <c r="K6208" t="n">
        <v>0</v>
      </c>
      <c r="L6208" t="n">
        <v>0</v>
      </c>
      <c r="M6208" t="n">
        <v>0</v>
      </c>
      <c r="N6208" t="n">
        <v>0</v>
      </c>
      <c r="O6208" t="n">
        <v>0</v>
      </c>
      <c r="P6208" t="n">
        <v>0</v>
      </c>
      <c r="Q6208" t="n">
        <v>0</v>
      </c>
      <c r="R6208" s="2" t="inlineStr"/>
    </row>
    <row r="6209" ht="15" customHeight="1">
      <c r="A6209" t="inlineStr">
        <is>
          <t>A 57101-2023</t>
        </is>
      </c>
      <c r="B6209" s="1" t="n">
        <v>45245.34210648148</v>
      </c>
      <c r="C6209" s="1" t="n">
        <v>45883</v>
      </c>
      <c r="D6209" t="inlineStr">
        <is>
          <t>GÄVLEBORGS LÄN</t>
        </is>
      </c>
      <c r="E6209" t="inlineStr">
        <is>
          <t>LJUSDAL</t>
        </is>
      </c>
      <c r="F6209" t="inlineStr">
        <is>
          <t>Holmen skog AB</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17788-2025</t>
        </is>
      </c>
      <c r="B6210" s="1" t="n">
        <v>45758.5408912037</v>
      </c>
      <c r="C6210" s="1" t="n">
        <v>45883</v>
      </c>
      <c r="D6210" t="inlineStr">
        <is>
          <t>GÄVLEBORGS LÄN</t>
        </is>
      </c>
      <c r="E6210" t="inlineStr">
        <is>
          <t>GÄVLE</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35356-2025</t>
        </is>
      </c>
      <c r="B6211" s="1" t="n">
        <v>45854.65872685185</v>
      </c>
      <c r="C6211" s="1" t="n">
        <v>45883</v>
      </c>
      <c r="D6211" t="inlineStr">
        <is>
          <t>GÄVLEBORGS LÄN</t>
        </is>
      </c>
      <c r="E6211" t="inlineStr">
        <is>
          <t>GÄVLE</t>
        </is>
      </c>
      <c r="F6211" t="inlineStr">
        <is>
          <t>Bergvik skog öst AB</t>
        </is>
      </c>
      <c r="G6211" t="n">
        <v>8.6</v>
      </c>
      <c r="H6211" t="n">
        <v>0</v>
      </c>
      <c r="I6211" t="n">
        <v>0</v>
      </c>
      <c r="J6211" t="n">
        <v>0</v>
      </c>
      <c r="K6211" t="n">
        <v>0</v>
      </c>
      <c r="L6211" t="n">
        <v>0</v>
      </c>
      <c r="M6211" t="n">
        <v>0</v>
      </c>
      <c r="N6211" t="n">
        <v>0</v>
      </c>
      <c r="O6211" t="n">
        <v>0</v>
      </c>
      <c r="P6211" t="n">
        <v>0</v>
      </c>
      <c r="Q6211" t="n">
        <v>0</v>
      </c>
      <c r="R6211" s="2" t="inlineStr"/>
    </row>
    <row r="6212" ht="15" customHeight="1">
      <c r="A6212" t="inlineStr">
        <is>
          <t>A 27224-2025</t>
        </is>
      </c>
      <c r="B6212" s="1" t="n">
        <v>45812.42760416667</v>
      </c>
      <c r="C6212" s="1" t="n">
        <v>45883</v>
      </c>
      <c r="D6212" t="inlineStr">
        <is>
          <t>GÄVLEBORGS LÄN</t>
        </is>
      </c>
      <c r="E6212" t="inlineStr">
        <is>
          <t>NORDANSTIG</t>
        </is>
      </c>
      <c r="G6212" t="n">
        <v>3</v>
      </c>
      <c r="H6212" t="n">
        <v>0</v>
      </c>
      <c r="I6212" t="n">
        <v>0</v>
      </c>
      <c r="J6212" t="n">
        <v>0</v>
      </c>
      <c r="K6212" t="n">
        <v>0</v>
      </c>
      <c r="L6212" t="n">
        <v>0</v>
      </c>
      <c r="M6212" t="n">
        <v>0</v>
      </c>
      <c r="N6212" t="n">
        <v>0</v>
      </c>
      <c r="O6212" t="n">
        <v>0</v>
      </c>
      <c r="P6212" t="n">
        <v>0</v>
      </c>
      <c r="Q6212" t="n">
        <v>0</v>
      </c>
      <c r="R6212" s="2" t="inlineStr"/>
    </row>
    <row r="6213" ht="15" customHeight="1">
      <c r="A6213" t="inlineStr">
        <is>
          <t>A 36125-2023</t>
        </is>
      </c>
      <c r="B6213" s="1" t="n">
        <v>45149.57210648148</v>
      </c>
      <c r="C6213" s="1" t="n">
        <v>45883</v>
      </c>
      <c r="D6213" t="inlineStr">
        <is>
          <t>GÄVLEBORGS LÄN</t>
        </is>
      </c>
      <c r="E6213" t="inlineStr">
        <is>
          <t>HUDIKSVALL</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27155-2025</t>
        </is>
      </c>
      <c r="B6214" s="1" t="n">
        <v>45812.33081018519</v>
      </c>
      <c r="C6214" s="1" t="n">
        <v>45883</v>
      </c>
      <c r="D6214" t="inlineStr">
        <is>
          <t>GÄVLEBORGS LÄN</t>
        </is>
      </c>
      <c r="E6214" t="inlineStr">
        <is>
          <t>OVANÅKER</t>
        </is>
      </c>
      <c r="G6214" t="n">
        <v>6.3</v>
      </c>
      <c r="H6214" t="n">
        <v>0</v>
      </c>
      <c r="I6214" t="n">
        <v>0</v>
      </c>
      <c r="J6214" t="n">
        <v>0</v>
      </c>
      <c r="K6214" t="n">
        <v>0</v>
      </c>
      <c r="L6214" t="n">
        <v>0</v>
      </c>
      <c r="M6214" t="n">
        <v>0</v>
      </c>
      <c r="N6214" t="n">
        <v>0</v>
      </c>
      <c r="O6214" t="n">
        <v>0</v>
      </c>
      <c r="P6214" t="n">
        <v>0</v>
      </c>
      <c r="Q6214" t="n">
        <v>0</v>
      </c>
      <c r="R6214" s="2" t="inlineStr"/>
    </row>
    <row r="6215" ht="15" customHeight="1">
      <c r="A6215" t="inlineStr">
        <is>
          <t>A 35357-2025</t>
        </is>
      </c>
      <c r="B6215" s="1" t="n">
        <v>45853</v>
      </c>
      <c r="C6215" s="1" t="n">
        <v>45883</v>
      </c>
      <c r="D6215" t="inlineStr">
        <is>
          <t>GÄVLEBORGS LÄN</t>
        </is>
      </c>
      <c r="E6215" t="inlineStr">
        <is>
          <t>LJUSDAL</t>
        </is>
      </c>
      <c r="F6215" t="inlineStr">
        <is>
          <t>Sveaskog</t>
        </is>
      </c>
      <c r="G6215" t="n">
        <v>0.4</v>
      </c>
      <c r="H6215" t="n">
        <v>0</v>
      </c>
      <c r="I6215" t="n">
        <v>0</v>
      </c>
      <c r="J6215" t="n">
        <v>0</v>
      </c>
      <c r="K6215" t="n">
        <v>0</v>
      </c>
      <c r="L6215" t="n">
        <v>0</v>
      </c>
      <c r="M6215" t="n">
        <v>0</v>
      </c>
      <c r="N6215" t="n">
        <v>0</v>
      </c>
      <c r="O6215" t="n">
        <v>0</v>
      </c>
      <c r="P6215" t="n">
        <v>0</v>
      </c>
      <c r="Q6215" t="n">
        <v>0</v>
      </c>
      <c r="R6215" s="2" t="inlineStr"/>
    </row>
    <row r="6216" ht="15" customHeight="1">
      <c r="A6216" t="inlineStr">
        <is>
          <t>A 24999-2022</t>
        </is>
      </c>
      <c r="B6216" s="1" t="n">
        <v>44728</v>
      </c>
      <c r="C6216" s="1" t="n">
        <v>45883</v>
      </c>
      <c r="D6216" t="inlineStr">
        <is>
          <t>GÄVLEBORGS LÄN</t>
        </is>
      </c>
      <c r="E6216" t="inlineStr">
        <is>
          <t>NORDANSTIG</t>
        </is>
      </c>
      <c r="G6216" t="n">
        <v>18.5</v>
      </c>
      <c r="H6216" t="n">
        <v>0</v>
      </c>
      <c r="I6216" t="n">
        <v>0</v>
      </c>
      <c r="J6216" t="n">
        <v>0</v>
      </c>
      <c r="K6216" t="n">
        <v>0</v>
      </c>
      <c r="L6216" t="n">
        <v>0</v>
      </c>
      <c r="M6216" t="n">
        <v>0</v>
      </c>
      <c r="N6216" t="n">
        <v>0</v>
      </c>
      <c r="O6216" t="n">
        <v>0</v>
      </c>
      <c r="P6216" t="n">
        <v>0</v>
      </c>
      <c r="Q6216" t="n">
        <v>0</v>
      </c>
      <c r="R6216" s="2" t="inlineStr"/>
    </row>
    <row r="6217" ht="15" customHeight="1">
      <c r="A6217" t="inlineStr">
        <is>
          <t>A 27215-2024</t>
        </is>
      </c>
      <c r="B6217" s="1" t="n">
        <v>45471.62099537037</v>
      </c>
      <c r="C6217" s="1" t="n">
        <v>45883</v>
      </c>
      <c r="D6217" t="inlineStr">
        <is>
          <t>GÄVLEBORGS LÄN</t>
        </is>
      </c>
      <c r="E6217" t="inlineStr">
        <is>
          <t>OVANÅKER</t>
        </is>
      </c>
      <c r="G6217" t="n">
        <v>4.5</v>
      </c>
      <c r="H6217" t="n">
        <v>0</v>
      </c>
      <c r="I6217" t="n">
        <v>0</v>
      </c>
      <c r="J6217" t="n">
        <v>0</v>
      </c>
      <c r="K6217" t="n">
        <v>0</v>
      </c>
      <c r="L6217" t="n">
        <v>0</v>
      </c>
      <c r="M6217" t="n">
        <v>0</v>
      </c>
      <c r="N6217" t="n">
        <v>0</v>
      </c>
      <c r="O6217" t="n">
        <v>0</v>
      </c>
      <c r="P6217" t="n">
        <v>0</v>
      </c>
      <c r="Q6217" t="n">
        <v>0</v>
      </c>
      <c r="R6217" s="2" t="inlineStr"/>
    </row>
    <row r="6218" ht="15" customHeight="1">
      <c r="A6218" t="inlineStr">
        <is>
          <t>A 55473-2023</t>
        </is>
      </c>
      <c r="B6218" s="1" t="n">
        <v>45231</v>
      </c>
      <c r="C6218" s="1" t="n">
        <v>45883</v>
      </c>
      <c r="D6218" t="inlineStr">
        <is>
          <t>GÄVLEBORGS LÄN</t>
        </is>
      </c>
      <c r="E6218" t="inlineStr">
        <is>
          <t>GÄVLE</t>
        </is>
      </c>
      <c r="F6218" t="inlineStr">
        <is>
          <t>Bergvik skog väst AB</t>
        </is>
      </c>
      <c r="G6218" t="n">
        <v>5</v>
      </c>
      <c r="H6218" t="n">
        <v>0</v>
      </c>
      <c r="I6218" t="n">
        <v>0</v>
      </c>
      <c r="J6218" t="n">
        <v>0</v>
      </c>
      <c r="K6218" t="n">
        <v>0</v>
      </c>
      <c r="L6218" t="n">
        <v>0</v>
      </c>
      <c r="M6218" t="n">
        <v>0</v>
      </c>
      <c r="N6218" t="n">
        <v>0</v>
      </c>
      <c r="O6218" t="n">
        <v>0</v>
      </c>
      <c r="P6218" t="n">
        <v>0</v>
      </c>
      <c r="Q6218" t="n">
        <v>0</v>
      </c>
      <c r="R6218" s="2" t="inlineStr"/>
    </row>
    <row r="6219" ht="15" customHeight="1">
      <c r="A6219" t="inlineStr">
        <is>
          <t>A 69219-2020</t>
        </is>
      </c>
      <c r="B6219" s="1" t="n">
        <v>44192</v>
      </c>
      <c r="C6219" s="1" t="n">
        <v>45883</v>
      </c>
      <c r="D6219" t="inlineStr">
        <is>
          <t>GÄVLEBORGS LÄN</t>
        </is>
      </c>
      <c r="E6219" t="inlineStr">
        <is>
          <t>GÄVLE</t>
        </is>
      </c>
      <c r="F6219" t="inlineStr">
        <is>
          <t>Kommuner</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69251-2020</t>
        </is>
      </c>
      <c r="B6220" s="1" t="n">
        <v>44192</v>
      </c>
      <c r="C6220" s="1" t="n">
        <v>45883</v>
      </c>
      <c r="D6220" t="inlineStr">
        <is>
          <t>GÄVLEBORGS LÄN</t>
        </is>
      </c>
      <c r="E6220" t="inlineStr">
        <is>
          <t>GÄVLE</t>
        </is>
      </c>
      <c r="F6220" t="inlineStr">
        <is>
          <t>Kommuner</t>
        </is>
      </c>
      <c r="G6220" t="n">
        <v>4.7</v>
      </c>
      <c r="H6220" t="n">
        <v>0</v>
      </c>
      <c r="I6220" t="n">
        <v>0</v>
      </c>
      <c r="J6220" t="n">
        <v>0</v>
      </c>
      <c r="K6220" t="n">
        <v>0</v>
      </c>
      <c r="L6220" t="n">
        <v>0</v>
      </c>
      <c r="M6220" t="n">
        <v>0</v>
      </c>
      <c r="N6220" t="n">
        <v>0</v>
      </c>
      <c r="O6220" t="n">
        <v>0</v>
      </c>
      <c r="P6220" t="n">
        <v>0</v>
      </c>
      <c r="Q6220" t="n">
        <v>0</v>
      </c>
      <c r="R6220" s="2" t="inlineStr"/>
    </row>
    <row r="6221" ht="15" customHeight="1">
      <c r="A6221" t="inlineStr">
        <is>
          <t>A 69252-2020</t>
        </is>
      </c>
      <c r="B6221" s="1" t="n">
        <v>44192</v>
      </c>
      <c r="C6221" s="1" t="n">
        <v>45883</v>
      </c>
      <c r="D6221" t="inlineStr">
        <is>
          <t>GÄVLEBORGS LÄN</t>
        </is>
      </c>
      <c r="E6221" t="inlineStr">
        <is>
          <t>GÄVLE</t>
        </is>
      </c>
      <c r="F6221" t="inlineStr">
        <is>
          <t>Kommuner</t>
        </is>
      </c>
      <c r="G6221" t="n">
        <v>4.8</v>
      </c>
      <c r="H6221" t="n">
        <v>0</v>
      </c>
      <c r="I6221" t="n">
        <v>0</v>
      </c>
      <c r="J6221" t="n">
        <v>0</v>
      </c>
      <c r="K6221" t="n">
        <v>0</v>
      </c>
      <c r="L6221" t="n">
        <v>0</v>
      </c>
      <c r="M6221" t="n">
        <v>0</v>
      </c>
      <c r="N6221" t="n">
        <v>0</v>
      </c>
      <c r="O6221" t="n">
        <v>0</v>
      </c>
      <c r="P6221" t="n">
        <v>0</v>
      </c>
      <c r="Q6221" t="n">
        <v>0</v>
      </c>
      <c r="R6221" s="2" t="inlineStr"/>
    </row>
    <row r="6222" ht="15" customHeight="1">
      <c r="A6222" t="inlineStr">
        <is>
          <t>A 69254-2020</t>
        </is>
      </c>
      <c r="B6222" s="1" t="n">
        <v>44192</v>
      </c>
      <c r="C6222" s="1" t="n">
        <v>45883</v>
      </c>
      <c r="D6222" t="inlineStr">
        <is>
          <t>GÄVLEBORGS LÄN</t>
        </is>
      </c>
      <c r="E6222" t="inlineStr">
        <is>
          <t>GÄVLE</t>
        </is>
      </c>
      <c r="F6222" t="inlineStr">
        <is>
          <t>Kommuner</t>
        </is>
      </c>
      <c r="G6222" t="n">
        <v>4</v>
      </c>
      <c r="H6222" t="n">
        <v>0</v>
      </c>
      <c r="I6222" t="n">
        <v>0</v>
      </c>
      <c r="J6222" t="n">
        <v>0</v>
      </c>
      <c r="K6222" t="n">
        <v>0</v>
      </c>
      <c r="L6222" t="n">
        <v>0</v>
      </c>
      <c r="M6222" t="n">
        <v>0</v>
      </c>
      <c r="N6222" t="n">
        <v>0</v>
      </c>
      <c r="O6222" t="n">
        <v>0</v>
      </c>
      <c r="P6222" t="n">
        <v>0</v>
      </c>
      <c r="Q6222" t="n">
        <v>0</v>
      </c>
      <c r="R6222" s="2" t="inlineStr"/>
    </row>
    <row r="6223" ht="15" customHeight="1">
      <c r="A6223" t="inlineStr">
        <is>
          <t>A 27253-2025</t>
        </is>
      </c>
      <c r="B6223" s="1" t="n">
        <v>45812.47171296296</v>
      </c>
      <c r="C6223" s="1" t="n">
        <v>45883</v>
      </c>
      <c r="D6223" t="inlineStr">
        <is>
          <t>GÄVLEBORGS LÄN</t>
        </is>
      </c>
      <c r="E6223" t="inlineStr">
        <is>
          <t>HUDIKSVALL</t>
        </is>
      </c>
      <c r="F6223" t="inlineStr">
        <is>
          <t>Holmen skog AB</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26753-2025</t>
        </is>
      </c>
      <c r="B6224" s="1" t="n">
        <v>45810.55490740741</v>
      </c>
      <c r="C6224" s="1" t="n">
        <v>45883</v>
      </c>
      <c r="D6224" t="inlineStr">
        <is>
          <t>GÄVLEBORGS LÄN</t>
        </is>
      </c>
      <c r="E6224" t="inlineStr">
        <is>
          <t>HOFORS</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19846-2024</t>
        </is>
      </c>
      <c r="B6225" s="1" t="n">
        <v>45433.39193287037</v>
      </c>
      <c r="C6225" s="1" t="n">
        <v>45883</v>
      </c>
      <c r="D6225" t="inlineStr">
        <is>
          <t>GÄVLEBORGS LÄN</t>
        </is>
      </c>
      <c r="E6225" t="inlineStr">
        <is>
          <t>SÖDERHAMN</t>
        </is>
      </c>
      <c r="G6225" t="n">
        <v>4.8</v>
      </c>
      <c r="H6225" t="n">
        <v>0</v>
      </c>
      <c r="I6225" t="n">
        <v>0</v>
      </c>
      <c r="J6225" t="n">
        <v>0</v>
      </c>
      <c r="K6225" t="n">
        <v>0</v>
      </c>
      <c r="L6225" t="n">
        <v>0</v>
      </c>
      <c r="M6225" t="n">
        <v>0</v>
      </c>
      <c r="N6225" t="n">
        <v>0</v>
      </c>
      <c r="O6225" t="n">
        <v>0</v>
      </c>
      <c r="P6225" t="n">
        <v>0</v>
      </c>
      <c r="Q6225" t="n">
        <v>0</v>
      </c>
      <c r="R6225" s="2" t="inlineStr"/>
    </row>
    <row r="6226" ht="15" customHeight="1">
      <c r="A6226" t="inlineStr">
        <is>
          <t>A 4084-2025</t>
        </is>
      </c>
      <c r="B6226" s="1" t="n">
        <v>45684.66099537037</v>
      </c>
      <c r="C6226" s="1" t="n">
        <v>45883</v>
      </c>
      <c r="D6226" t="inlineStr">
        <is>
          <t>GÄVLEBORGS LÄN</t>
        </is>
      </c>
      <c r="E6226" t="inlineStr">
        <is>
          <t>NORDANSTIG</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27231-2025</t>
        </is>
      </c>
      <c r="B6227" s="1" t="n">
        <v>45812.44027777778</v>
      </c>
      <c r="C6227" s="1" t="n">
        <v>45883</v>
      </c>
      <c r="D6227" t="inlineStr">
        <is>
          <t>GÄVLEBORGS LÄN</t>
        </is>
      </c>
      <c r="E6227" t="inlineStr">
        <is>
          <t>LJUSDAL</t>
        </is>
      </c>
      <c r="G6227" t="n">
        <v>3.7</v>
      </c>
      <c r="H6227" t="n">
        <v>0</v>
      </c>
      <c r="I6227" t="n">
        <v>0</v>
      </c>
      <c r="J6227" t="n">
        <v>0</v>
      </c>
      <c r="K6227" t="n">
        <v>0</v>
      </c>
      <c r="L6227" t="n">
        <v>0</v>
      </c>
      <c r="M6227" t="n">
        <v>0</v>
      </c>
      <c r="N6227" t="n">
        <v>0</v>
      </c>
      <c r="O6227" t="n">
        <v>0</v>
      </c>
      <c r="P6227" t="n">
        <v>0</v>
      </c>
      <c r="Q6227" t="n">
        <v>0</v>
      </c>
      <c r="R6227" s="2" t="inlineStr"/>
    </row>
    <row r="6228" ht="15" customHeight="1">
      <c r="A6228" t="inlineStr">
        <is>
          <t>A 27285-2025</t>
        </is>
      </c>
      <c r="B6228" s="1" t="n">
        <v>45812.55133101852</v>
      </c>
      <c r="C6228" s="1" t="n">
        <v>45883</v>
      </c>
      <c r="D6228" t="inlineStr">
        <is>
          <t>GÄVLEBORGS LÄN</t>
        </is>
      </c>
      <c r="E6228" t="inlineStr">
        <is>
          <t>SÖDERHAMN</t>
        </is>
      </c>
      <c r="F6228" t="inlineStr">
        <is>
          <t>Bergvik skog väst AB</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55520-2023</t>
        </is>
      </c>
      <c r="B6229" s="1" t="n">
        <v>45238</v>
      </c>
      <c r="C6229" s="1" t="n">
        <v>45883</v>
      </c>
      <c r="D6229" t="inlineStr">
        <is>
          <t>GÄVLEBORGS LÄN</t>
        </is>
      </c>
      <c r="E6229" t="inlineStr">
        <is>
          <t>BOLLNÄS</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22294-2024</t>
        </is>
      </c>
      <c r="B6230" s="1" t="n">
        <v>45446.56048611111</v>
      </c>
      <c r="C6230" s="1" t="n">
        <v>45883</v>
      </c>
      <c r="D6230" t="inlineStr">
        <is>
          <t>GÄVLEBORGS LÄN</t>
        </is>
      </c>
      <c r="E6230" t="inlineStr">
        <is>
          <t>LJUSDAL</t>
        </is>
      </c>
      <c r="F6230" t="inlineStr">
        <is>
          <t>Bergvik skog väst AB</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27200-2025</t>
        </is>
      </c>
      <c r="B6231" s="1" t="n">
        <v>45812.3918287037</v>
      </c>
      <c r="C6231" s="1" t="n">
        <v>45883</v>
      </c>
      <c r="D6231" t="inlineStr">
        <is>
          <t>GÄVLEBORGS LÄN</t>
        </is>
      </c>
      <c r="E6231" t="inlineStr">
        <is>
          <t>LJUSDAL</t>
        </is>
      </c>
      <c r="G6231" t="n">
        <v>7.7</v>
      </c>
      <c r="H6231" t="n">
        <v>0</v>
      </c>
      <c r="I6231" t="n">
        <v>0</v>
      </c>
      <c r="J6231" t="n">
        <v>0</v>
      </c>
      <c r="K6231" t="n">
        <v>0</v>
      </c>
      <c r="L6231" t="n">
        <v>0</v>
      </c>
      <c r="M6231" t="n">
        <v>0</v>
      </c>
      <c r="N6231" t="n">
        <v>0</v>
      </c>
      <c r="O6231" t="n">
        <v>0</v>
      </c>
      <c r="P6231" t="n">
        <v>0</v>
      </c>
      <c r="Q6231" t="n">
        <v>0</v>
      </c>
      <c r="R6231" s="2" t="inlineStr"/>
    </row>
    <row r="6232" ht="15" customHeight="1">
      <c r="A6232" t="inlineStr">
        <is>
          <t>A 27241-2025</t>
        </is>
      </c>
      <c r="B6232" s="1" t="n">
        <v>45812.45516203704</v>
      </c>
      <c r="C6232" s="1" t="n">
        <v>45883</v>
      </c>
      <c r="D6232" t="inlineStr">
        <is>
          <t>GÄVLEBORGS LÄN</t>
        </is>
      </c>
      <c r="E6232" t="inlineStr">
        <is>
          <t>LJUSDAL</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31312-2022</t>
        </is>
      </c>
      <c r="B6233" s="1" t="n">
        <v>44774.33094907407</v>
      </c>
      <c r="C6233" s="1" t="n">
        <v>45883</v>
      </c>
      <c r="D6233" t="inlineStr">
        <is>
          <t>GÄVLEBORGS LÄN</t>
        </is>
      </c>
      <c r="E6233" t="inlineStr">
        <is>
          <t>LJUSDAL</t>
        </is>
      </c>
      <c r="F6233" t="inlineStr">
        <is>
          <t>Holmen skog AB</t>
        </is>
      </c>
      <c r="G6233" t="n">
        <v>2.8</v>
      </c>
      <c r="H6233" t="n">
        <v>0</v>
      </c>
      <c r="I6233" t="n">
        <v>0</v>
      </c>
      <c r="J6233" t="n">
        <v>0</v>
      </c>
      <c r="K6233" t="n">
        <v>0</v>
      </c>
      <c r="L6233" t="n">
        <v>0</v>
      </c>
      <c r="M6233" t="n">
        <v>0</v>
      </c>
      <c r="N6233" t="n">
        <v>0</v>
      </c>
      <c r="O6233" t="n">
        <v>0</v>
      </c>
      <c r="P6233" t="n">
        <v>0</v>
      </c>
      <c r="Q6233" t="n">
        <v>0</v>
      </c>
      <c r="R6233" s="2" t="inlineStr"/>
    </row>
    <row r="6234" ht="15" customHeight="1">
      <c r="A6234" t="inlineStr">
        <is>
          <t>A 27345-2025</t>
        </is>
      </c>
      <c r="B6234" s="1" t="n">
        <v>45812.62276620371</v>
      </c>
      <c r="C6234" s="1" t="n">
        <v>45883</v>
      </c>
      <c r="D6234" t="inlineStr">
        <is>
          <t>GÄVLEBORGS LÄN</t>
        </is>
      </c>
      <c r="E6234" t="inlineStr">
        <is>
          <t>BOLLNÄS</t>
        </is>
      </c>
      <c r="G6234" t="n">
        <v>9.199999999999999</v>
      </c>
      <c r="H6234" t="n">
        <v>0</v>
      </c>
      <c r="I6234" t="n">
        <v>0</v>
      </c>
      <c r="J6234" t="n">
        <v>0</v>
      </c>
      <c r="K6234" t="n">
        <v>0</v>
      </c>
      <c r="L6234" t="n">
        <v>0</v>
      </c>
      <c r="M6234" t="n">
        <v>0</v>
      </c>
      <c r="N6234" t="n">
        <v>0</v>
      </c>
      <c r="O6234" t="n">
        <v>0</v>
      </c>
      <c r="P6234" t="n">
        <v>0</v>
      </c>
      <c r="Q6234" t="n">
        <v>0</v>
      </c>
      <c r="R6234" s="2" t="inlineStr"/>
    </row>
    <row r="6235" ht="15" customHeight="1">
      <c r="A6235" t="inlineStr">
        <is>
          <t>A 27409-2025</t>
        </is>
      </c>
      <c r="B6235" s="1" t="n">
        <v>45812.74663194444</v>
      </c>
      <c r="C6235" s="1" t="n">
        <v>45883</v>
      </c>
      <c r="D6235" t="inlineStr">
        <is>
          <t>GÄVLEBORGS LÄN</t>
        </is>
      </c>
      <c r="E6235" t="inlineStr">
        <is>
          <t>LJUSDAL</t>
        </is>
      </c>
      <c r="F6235" t="inlineStr">
        <is>
          <t>Sveaskog</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27159-2025</t>
        </is>
      </c>
      <c r="B6236" s="1" t="n">
        <v>45812</v>
      </c>
      <c r="C6236" s="1" t="n">
        <v>45883</v>
      </c>
      <c r="D6236" t="inlineStr">
        <is>
          <t>GÄVLEBORGS LÄN</t>
        </is>
      </c>
      <c r="E6236" t="inlineStr">
        <is>
          <t>HUDIKSVALL</t>
        </is>
      </c>
      <c r="F6236" t="inlineStr">
        <is>
          <t>Holmen skog AB</t>
        </is>
      </c>
      <c r="G6236" t="n">
        <v>29.4</v>
      </c>
      <c r="H6236" t="n">
        <v>0</v>
      </c>
      <c r="I6236" t="n">
        <v>0</v>
      </c>
      <c r="J6236" t="n">
        <v>0</v>
      </c>
      <c r="K6236" t="n">
        <v>0</v>
      </c>
      <c r="L6236" t="n">
        <v>0</v>
      </c>
      <c r="M6236" t="n">
        <v>0</v>
      </c>
      <c r="N6236" t="n">
        <v>0</v>
      </c>
      <c r="O6236" t="n">
        <v>0</v>
      </c>
      <c r="P6236" t="n">
        <v>0</v>
      </c>
      <c r="Q6236" t="n">
        <v>0</v>
      </c>
      <c r="R6236" s="2" t="inlineStr"/>
    </row>
    <row r="6237" ht="15" customHeight="1">
      <c r="A6237" t="inlineStr">
        <is>
          <t>A 27176-2025</t>
        </is>
      </c>
      <c r="B6237" s="1" t="n">
        <v>45812.35118055555</v>
      </c>
      <c r="C6237" s="1" t="n">
        <v>45883</v>
      </c>
      <c r="D6237" t="inlineStr">
        <is>
          <t>GÄVLEBORGS LÄN</t>
        </is>
      </c>
      <c r="E6237" t="inlineStr">
        <is>
          <t>HUDIKSVALL</t>
        </is>
      </c>
      <c r="F6237" t="inlineStr">
        <is>
          <t>Holmen skog AB</t>
        </is>
      </c>
      <c r="G6237" t="n">
        <v>6.9</v>
      </c>
      <c r="H6237" t="n">
        <v>0</v>
      </c>
      <c r="I6237" t="n">
        <v>0</v>
      </c>
      <c r="J6237" t="n">
        <v>0</v>
      </c>
      <c r="K6237" t="n">
        <v>0</v>
      </c>
      <c r="L6237" t="n">
        <v>0</v>
      </c>
      <c r="M6237" t="n">
        <v>0</v>
      </c>
      <c r="N6237" t="n">
        <v>0</v>
      </c>
      <c r="O6237" t="n">
        <v>0</v>
      </c>
      <c r="P6237" t="n">
        <v>0</v>
      </c>
      <c r="Q6237" t="n">
        <v>0</v>
      </c>
      <c r="R6237" s="2" t="inlineStr"/>
    </row>
    <row r="6238" ht="15" customHeight="1">
      <c r="A6238" t="inlineStr">
        <is>
          <t>A 27193-2025</t>
        </is>
      </c>
      <c r="B6238" s="1" t="n">
        <v>45812.37642361111</v>
      </c>
      <c r="C6238" s="1" t="n">
        <v>45883</v>
      </c>
      <c r="D6238" t="inlineStr">
        <is>
          <t>GÄVLEBORGS LÄN</t>
        </is>
      </c>
      <c r="E6238" t="inlineStr">
        <is>
          <t>OCKELBO</t>
        </is>
      </c>
      <c r="G6238" t="n">
        <v>5.6</v>
      </c>
      <c r="H6238" t="n">
        <v>0</v>
      </c>
      <c r="I6238" t="n">
        <v>0</v>
      </c>
      <c r="J6238" t="n">
        <v>0</v>
      </c>
      <c r="K6238" t="n">
        <v>0</v>
      </c>
      <c r="L6238" t="n">
        <v>0</v>
      </c>
      <c r="M6238" t="n">
        <v>0</v>
      </c>
      <c r="N6238" t="n">
        <v>0</v>
      </c>
      <c r="O6238" t="n">
        <v>0</v>
      </c>
      <c r="P6238" t="n">
        <v>0</v>
      </c>
      <c r="Q6238" t="n">
        <v>0</v>
      </c>
      <c r="R6238" s="2" t="inlineStr"/>
    </row>
    <row r="6239" ht="15" customHeight="1">
      <c r="A6239" t="inlineStr">
        <is>
          <t>A 27206-2025</t>
        </is>
      </c>
      <c r="B6239" s="1" t="n">
        <v>45812.40342592593</v>
      </c>
      <c r="C6239" s="1" t="n">
        <v>45883</v>
      </c>
      <c r="D6239" t="inlineStr">
        <is>
          <t>GÄVLEBORGS LÄN</t>
        </is>
      </c>
      <c r="E6239" t="inlineStr">
        <is>
          <t>HUDIKSVALL</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27217-2025</t>
        </is>
      </c>
      <c r="B6240" s="1" t="n">
        <v>45812.42059027778</v>
      </c>
      <c r="C6240" s="1" t="n">
        <v>45883</v>
      </c>
      <c r="D6240" t="inlineStr">
        <is>
          <t>GÄVLEBORGS LÄN</t>
        </is>
      </c>
      <c r="E6240" t="inlineStr">
        <is>
          <t>BOLLNÄS</t>
        </is>
      </c>
      <c r="G6240" t="n">
        <v>3.6</v>
      </c>
      <c r="H6240" t="n">
        <v>0</v>
      </c>
      <c r="I6240" t="n">
        <v>0</v>
      </c>
      <c r="J6240" t="n">
        <v>0</v>
      </c>
      <c r="K6240" t="n">
        <v>0</v>
      </c>
      <c r="L6240" t="n">
        <v>0</v>
      </c>
      <c r="M6240" t="n">
        <v>0</v>
      </c>
      <c r="N6240" t="n">
        <v>0</v>
      </c>
      <c r="O6240" t="n">
        <v>0</v>
      </c>
      <c r="P6240" t="n">
        <v>0</v>
      </c>
      <c r="Q6240" t="n">
        <v>0</v>
      </c>
      <c r="R6240" s="2" t="inlineStr"/>
    </row>
    <row r="6241" ht="15" customHeight="1">
      <c r="A6241" t="inlineStr">
        <is>
          <t>A 18311-2025</t>
        </is>
      </c>
      <c r="B6241" s="1" t="n">
        <v>45762</v>
      </c>
      <c r="C6241" s="1" t="n">
        <v>45883</v>
      </c>
      <c r="D6241" t="inlineStr">
        <is>
          <t>GÄVLEBORGS LÄN</t>
        </is>
      </c>
      <c r="E6241" t="inlineStr">
        <is>
          <t>BOLLNÄS</t>
        </is>
      </c>
      <c r="F6241" t="inlineStr">
        <is>
          <t>Bergvik skog väst AB</t>
        </is>
      </c>
      <c r="G6241" t="n">
        <v>0.3</v>
      </c>
      <c r="H6241" t="n">
        <v>0</v>
      </c>
      <c r="I6241" t="n">
        <v>0</v>
      </c>
      <c r="J6241" t="n">
        <v>0</v>
      </c>
      <c r="K6241" t="n">
        <v>0</v>
      </c>
      <c r="L6241" t="n">
        <v>0</v>
      </c>
      <c r="M6241" t="n">
        <v>0</v>
      </c>
      <c r="N6241" t="n">
        <v>0</v>
      </c>
      <c r="O6241" t="n">
        <v>0</v>
      </c>
      <c r="P6241" t="n">
        <v>0</v>
      </c>
      <c r="Q6241" t="n">
        <v>0</v>
      </c>
      <c r="R6241" s="2" t="inlineStr"/>
    </row>
    <row r="6242" ht="15" customHeight="1">
      <c r="A6242" t="inlineStr">
        <is>
          <t>A 12983-2022</t>
        </is>
      </c>
      <c r="B6242" s="1" t="n">
        <v>44643.41052083333</v>
      </c>
      <c r="C6242" s="1" t="n">
        <v>45883</v>
      </c>
      <c r="D6242" t="inlineStr">
        <is>
          <t>GÄVLEBORGS LÄN</t>
        </is>
      </c>
      <c r="E6242" t="inlineStr">
        <is>
          <t>OCKELBO</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21637-2024</t>
        </is>
      </c>
      <c r="B6243" s="1" t="n">
        <v>45442.34444444445</v>
      </c>
      <c r="C6243" s="1" t="n">
        <v>45883</v>
      </c>
      <c r="D6243" t="inlineStr">
        <is>
          <t>GÄVLEBORGS LÄN</t>
        </is>
      </c>
      <c r="E6243" t="inlineStr">
        <is>
          <t>LJUSDAL</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15707-2024</t>
        </is>
      </c>
      <c r="B6244" s="1" t="n">
        <v>45404.47491898148</v>
      </c>
      <c r="C6244" s="1" t="n">
        <v>45883</v>
      </c>
      <c r="D6244" t="inlineStr">
        <is>
          <t>GÄVLEBORGS LÄN</t>
        </is>
      </c>
      <c r="E6244" t="inlineStr">
        <is>
          <t>GÄVLE</t>
        </is>
      </c>
      <c r="G6244" t="n">
        <v>4.7</v>
      </c>
      <c r="H6244" t="n">
        <v>0</v>
      </c>
      <c r="I6244" t="n">
        <v>0</v>
      </c>
      <c r="J6244" t="n">
        <v>0</v>
      </c>
      <c r="K6244" t="n">
        <v>0</v>
      </c>
      <c r="L6244" t="n">
        <v>0</v>
      </c>
      <c r="M6244" t="n">
        <v>0</v>
      </c>
      <c r="N6244" t="n">
        <v>0</v>
      </c>
      <c r="O6244" t="n">
        <v>0</v>
      </c>
      <c r="P6244" t="n">
        <v>0</v>
      </c>
      <c r="Q6244" t="n">
        <v>0</v>
      </c>
      <c r="R6244" s="2" t="inlineStr"/>
    </row>
    <row r="6245" ht="15" customHeight="1">
      <c r="A6245" t="inlineStr">
        <is>
          <t>A 23758-2024</t>
        </is>
      </c>
      <c r="B6245" s="1" t="n">
        <v>45455.35325231482</v>
      </c>
      <c r="C6245" s="1" t="n">
        <v>45883</v>
      </c>
      <c r="D6245" t="inlineStr">
        <is>
          <t>GÄVLEBORGS LÄN</t>
        </is>
      </c>
      <c r="E6245" t="inlineStr">
        <is>
          <t>SANDVIKEN</t>
        </is>
      </c>
      <c r="F6245" t="inlineStr">
        <is>
          <t>Kyrkan</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35222-2025</t>
        </is>
      </c>
      <c r="B6246" s="1" t="n">
        <v>45853.54243055556</v>
      </c>
      <c r="C6246" s="1" t="n">
        <v>45883</v>
      </c>
      <c r="D6246" t="inlineStr">
        <is>
          <t>GÄVLEBORGS LÄN</t>
        </is>
      </c>
      <c r="E6246" t="inlineStr">
        <is>
          <t>LJUSDAL</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32149-2024</t>
        </is>
      </c>
      <c r="B6247" s="1" t="n">
        <v>45511</v>
      </c>
      <c r="C6247" s="1" t="n">
        <v>45883</v>
      </c>
      <c r="D6247" t="inlineStr">
        <is>
          <t>GÄVLEBORGS LÄN</t>
        </is>
      </c>
      <c r="E6247" t="inlineStr">
        <is>
          <t>NORDANSTIG</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44045-2023</t>
        </is>
      </c>
      <c r="B6248" s="1" t="n">
        <v>45188.38197916667</v>
      </c>
      <c r="C6248" s="1" t="n">
        <v>45883</v>
      </c>
      <c r="D6248" t="inlineStr">
        <is>
          <t>GÄVLEBORGS LÄN</t>
        </is>
      </c>
      <c r="E6248" t="inlineStr">
        <is>
          <t>HUDIKSVALL</t>
        </is>
      </c>
      <c r="F6248" t="inlineStr">
        <is>
          <t>Holmen skog AB</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27024-2025</t>
        </is>
      </c>
      <c r="B6249" s="1" t="n">
        <v>45811.57541666667</v>
      </c>
      <c r="C6249" s="1" t="n">
        <v>45883</v>
      </c>
      <c r="D6249" t="inlineStr">
        <is>
          <t>GÄVLEBORGS LÄN</t>
        </is>
      </c>
      <c r="E6249" t="inlineStr">
        <is>
          <t>SÖDERHAMN</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8380-2025</t>
        </is>
      </c>
      <c r="B6250" s="1" t="n">
        <v>45709</v>
      </c>
      <c r="C6250" s="1" t="n">
        <v>45883</v>
      </c>
      <c r="D6250" t="inlineStr">
        <is>
          <t>GÄVLEBORGS LÄN</t>
        </is>
      </c>
      <c r="E6250" t="inlineStr">
        <is>
          <t>SANDVIKEN</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27028-2025</t>
        </is>
      </c>
      <c r="B6251" s="1" t="n">
        <v>45811.58194444444</v>
      </c>
      <c r="C6251" s="1" t="n">
        <v>45883</v>
      </c>
      <c r="D6251" t="inlineStr">
        <is>
          <t>GÄVLEBORGS LÄN</t>
        </is>
      </c>
      <c r="E6251" t="inlineStr">
        <is>
          <t>SÖDERHAMN</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6221-2025</t>
        </is>
      </c>
      <c r="B6252" s="1" t="n">
        <v>45698.54001157408</v>
      </c>
      <c r="C6252" s="1" t="n">
        <v>45883</v>
      </c>
      <c r="D6252" t="inlineStr">
        <is>
          <t>GÄVLEBORGS LÄN</t>
        </is>
      </c>
      <c r="E6252" t="inlineStr">
        <is>
          <t>BOLLNÄS</t>
        </is>
      </c>
      <c r="G6252" t="n">
        <v>5.4</v>
      </c>
      <c r="H6252" t="n">
        <v>0</v>
      </c>
      <c r="I6252" t="n">
        <v>0</v>
      </c>
      <c r="J6252" t="n">
        <v>0</v>
      </c>
      <c r="K6252" t="n">
        <v>0</v>
      </c>
      <c r="L6252" t="n">
        <v>0</v>
      </c>
      <c r="M6252" t="n">
        <v>0</v>
      </c>
      <c r="N6252" t="n">
        <v>0</v>
      </c>
      <c r="O6252" t="n">
        <v>0</v>
      </c>
      <c r="P6252" t="n">
        <v>0</v>
      </c>
      <c r="Q6252" t="n">
        <v>0</v>
      </c>
      <c r="R6252" s="2" t="inlineStr"/>
    </row>
    <row r="6253" ht="15" customHeight="1">
      <c r="A6253" t="inlineStr">
        <is>
          <t>A 27369-2025</t>
        </is>
      </c>
      <c r="B6253" s="1" t="n">
        <v>45812.64680555555</v>
      </c>
      <c r="C6253" s="1" t="n">
        <v>45883</v>
      </c>
      <c r="D6253" t="inlineStr">
        <is>
          <t>GÄVLEBORGS LÄN</t>
        </is>
      </c>
      <c r="E6253" t="inlineStr">
        <is>
          <t>BOLLNÄS</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4770-2025</t>
        </is>
      </c>
      <c r="B6254" s="1" t="n">
        <v>45688.49590277778</v>
      </c>
      <c r="C6254" s="1" t="n">
        <v>45883</v>
      </c>
      <c r="D6254" t="inlineStr">
        <is>
          <t>GÄVLEBORGS LÄN</t>
        </is>
      </c>
      <c r="E6254" t="inlineStr">
        <is>
          <t>HUDIKSVALL</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27027-2025</t>
        </is>
      </c>
      <c r="B6255" s="1" t="n">
        <v>45811.58193287037</v>
      </c>
      <c r="C6255" s="1" t="n">
        <v>45883</v>
      </c>
      <c r="D6255" t="inlineStr">
        <is>
          <t>GÄVLEBORGS LÄN</t>
        </is>
      </c>
      <c r="E6255" t="inlineStr">
        <is>
          <t>LJUSDAL</t>
        </is>
      </c>
      <c r="F6255" t="inlineStr">
        <is>
          <t>Holmen skog AB</t>
        </is>
      </c>
      <c r="G6255" t="n">
        <v>27.2</v>
      </c>
      <c r="H6255" t="n">
        <v>0</v>
      </c>
      <c r="I6255" t="n">
        <v>0</v>
      </c>
      <c r="J6255" t="n">
        <v>0</v>
      </c>
      <c r="K6255" t="n">
        <v>0</v>
      </c>
      <c r="L6255" t="n">
        <v>0</v>
      </c>
      <c r="M6255" t="n">
        <v>0</v>
      </c>
      <c r="N6255" t="n">
        <v>0</v>
      </c>
      <c r="O6255" t="n">
        <v>0</v>
      </c>
      <c r="P6255" t="n">
        <v>0</v>
      </c>
      <c r="Q6255" t="n">
        <v>0</v>
      </c>
      <c r="R6255" s="2" t="inlineStr"/>
    </row>
    <row r="6256" ht="15" customHeight="1">
      <c r="A6256" t="inlineStr">
        <is>
          <t>A 27078-2025</t>
        </is>
      </c>
      <c r="B6256" s="1" t="n">
        <v>45811.65109953703</v>
      </c>
      <c r="C6256" s="1" t="n">
        <v>45883</v>
      </c>
      <c r="D6256" t="inlineStr">
        <is>
          <t>GÄVLEBORGS LÄN</t>
        </is>
      </c>
      <c r="E6256" t="inlineStr">
        <is>
          <t>HUDIKSVALL</t>
        </is>
      </c>
      <c r="G6256" t="n">
        <v>5.9</v>
      </c>
      <c r="H6256" t="n">
        <v>0</v>
      </c>
      <c r="I6256" t="n">
        <v>0</v>
      </c>
      <c r="J6256" t="n">
        <v>0</v>
      </c>
      <c r="K6256" t="n">
        <v>0</v>
      </c>
      <c r="L6256" t="n">
        <v>0</v>
      </c>
      <c r="M6256" t="n">
        <v>0</v>
      </c>
      <c r="N6256" t="n">
        <v>0</v>
      </c>
      <c r="O6256" t="n">
        <v>0</v>
      </c>
      <c r="P6256" t="n">
        <v>0</v>
      </c>
      <c r="Q6256" t="n">
        <v>0</v>
      </c>
      <c r="R6256" s="2" t="inlineStr"/>
    </row>
    <row r="6257" ht="15" customHeight="1">
      <c r="A6257" t="inlineStr">
        <is>
          <t>A 27299-2025</t>
        </is>
      </c>
      <c r="B6257" s="1" t="n">
        <v>45812.57129629629</v>
      </c>
      <c r="C6257" s="1" t="n">
        <v>45883</v>
      </c>
      <c r="D6257" t="inlineStr">
        <is>
          <t>GÄVLEBORGS LÄN</t>
        </is>
      </c>
      <c r="E6257" t="inlineStr">
        <is>
          <t>HUDIKSVALL</t>
        </is>
      </c>
      <c r="F6257" t="inlineStr">
        <is>
          <t>Holmen skog AB</t>
        </is>
      </c>
      <c r="G6257" t="n">
        <v>6</v>
      </c>
      <c r="H6257" t="n">
        <v>0</v>
      </c>
      <c r="I6257" t="n">
        <v>0</v>
      </c>
      <c r="J6257" t="n">
        <v>0</v>
      </c>
      <c r="K6257" t="n">
        <v>0</v>
      </c>
      <c r="L6257" t="n">
        <v>0</v>
      </c>
      <c r="M6257" t="n">
        <v>0</v>
      </c>
      <c r="N6257" t="n">
        <v>0</v>
      </c>
      <c r="O6257" t="n">
        <v>0</v>
      </c>
      <c r="P6257" t="n">
        <v>0</v>
      </c>
      <c r="Q6257" t="n">
        <v>0</v>
      </c>
      <c r="R6257" s="2" t="inlineStr"/>
    </row>
    <row r="6258" ht="15" customHeight="1">
      <c r="A6258" t="inlineStr">
        <is>
          <t>A 27373-2025</t>
        </is>
      </c>
      <c r="B6258" s="1" t="n">
        <v>45812.65377314815</v>
      </c>
      <c r="C6258" s="1" t="n">
        <v>45883</v>
      </c>
      <c r="D6258" t="inlineStr">
        <is>
          <t>GÄVLEBORGS LÄN</t>
        </is>
      </c>
      <c r="E6258" t="inlineStr">
        <is>
          <t>LJUSDAL</t>
        </is>
      </c>
      <c r="G6258" t="n">
        <v>8.9</v>
      </c>
      <c r="H6258" t="n">
        <v>0</v>
      </c>
      <c r="I6258" t="n">
        <v>0</v>
      </c>
      <c r="J6258" t="n">
        <v>0</v>
      </c>
      <c r="K6258" t="n">
        <v>0</v>
      </c>
      <c r="L6258" t="n">
        <v>0</v>
      </c>
      <c r="M6258" t="n">
        <v>0</v>
      </c>
      <c r="N6258" t="n">
        <v>0</v>
      </c>
      <c r="O6258" t="n">
        <v>0</v>
      </c>
      <c r="P6258" t="n">
        <v>0</v>
      </c>
      <c r="Q6258" t="n">
        <v>0</v>
      </c>
      <c r="R6258" s="2" t="inlineStr"/>
    </row>
    <row r="6259" ht="15" customHeight="1">
      <c r="A6259" t="inlineStr">
        <is>
          <t>A 27408-2025</t>
        </is>
      </c>
      <c r="B6259" s="1" t="n">
        <v>45812.74564814815</v>
      </c>
      <c r="C6259" s="1" t="n">
        <v>45883</v>
      </c>
      <c r="D6259" t="inlineStr">
        <is>
          <t>GÄVLEBORGS LÄN</t>
        </is>
      </c>
      <c r="E6259" t="inlineStr">
        <is>
          <t>LJUSDAL</t>
        </is>
      </c>
      <c r="F6259" t="inlineStr">
        <is>
          <t>Sveaskog</t>
        </is>
      </c>
      <c r="G6259" t="n">
        <v>0.3</v>
      </c>
      <c r="H6259" t="n">
        <v>0</v>
      </c>
      <c r="I6259" t="n">
        <v>0</v>
      </c>
      <c r="J6259" t="n">
        <v>0</v>
      </c>
      <c r="K6259" t="n">
        <v>0</v>
      </c>
      <c r="L6259" t="n">
        <v>0</v>
      </c>
      <c r="M6259" t="n">
        <v>0</v>
      </c>
      <c r="N6259" t="n">
        <v>0</v>
      </c>
      <c r="O6259" t="n">
        <v>0</v>
      </c>
      <c r="P6259" t="n">
        <v>0</v>
      </c>
      <c r="Q6259" t="n">
        <v>0</v>
      </c>
      <c r="R6259" s="2" t="inlineStr"/>
    </row>
    <row r="6260" ht="15" customHeight="1">
      <c r="A6260" t="inlineStr">
        <is>
          <t>A 27410-2025</t>
        </is>
      </c>
      <c r="B6260" s="1" t="n">
        <v>45812.74857638889</v>
      </c>
      <c r="C6260" s="1" t="n">
        <v>45883</v>
      </c>
      <c r="D6260" t="inlineStr">
        <is>
          <t>GÄVLEBORGS LÄN</t>
        </is>
      </c>
      <c r="E6260" t="inlineStr">
        <is>
          <t>LJUSDAL</t>
        </is>
      </c>
      <c r="F6260" t="inlineStr">
        <is>
          <t>Sveaskog</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37345-2024</t>
        </is>
      </c>
      <c r="B6261" s="1" t="n">
        <v>45540.53148148148</v>
      </c>
      <c r="C6261" s="1" t="n">
        <v>45883</v>
      </c>
      <c r="D6261" t="inlineStr">
        <is>
          <t>GÄVLEBORGS LÄN</t>
        </is>
      </c>
      <c r="E6261" t="inlineStr">
        <is>
          <t>BOLLNÄS</t>
        </is>
      </c>
      <c r="F6261" t="inlineStr">
        <is>
          <t>Bergvik skog väst AB</t>
        </is>
      </c>
      <c r="G6261" t="n">
        <v>3.3</v>
      </c>
      <c r="H6261" t="n">
        <v>0</v>
      </c>
      <c r="I6261" t="n">
        <v>0</v>
      </c>
      <c r="J6261" t="n">
        <v>0</v>
      </c>
      <c r="K6261" t="n">
        <v>0</v>
      </c>
      <c r="L6261" t="n">
        <v>0</v>
      </c>
      <c r="M6261" t="n">
        <v>0</v>
      </c>
      <c r="N6261" t="n">
        <v>0</v>
      </c>
      <c r="O6261" t="n">
        <v>0</v>
      </c>
      <c r="P6261" t="n">
        <v>0</v>
      </c>
      <c r="Q6261" t="n">
        <v>0</v>
      </c>
      <c r="R6261" s="2" t="inlineStr"/>
    </row>
    <row r="6262" ht="15" customHeight="1">
      <c r="A6262" t="inlineStr">
        <is>
          <t>A 33052-2024</t>
        </is>
      </c>
      <c r="B6262" s="1" t="n">
        <v>45517.63001157407</v>
      </c>
      <c r="C6262" s="1" t="n">
        <v>45883</v>
      </c>
      <c r="D6262" t="inlineStr">
        <is>
          <t>GÄVLEBORGS LÄN</t>
        </is>
      </c>
      <c r="E6262" t="inlineStr">
        <is>
          <t>LJUSDAL</t>
        </is>
      </c>
      <c r="F6262" t="inlineStr">
        <is>
          <t>Allmännings- och besparingsskogar</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27143-2025</t>
        </is>
      </c>
      <c r="B6263" s="1" t="n">
        <v>45812.28103009259</v>
      </c>
      <c r="C6263" s="1" t="n">
        <v>45883</v>
      </c>
      <c r="D6263" t="inlineStr">
        <is>
          <t>GÄVLEBORGS LÄN</t>
        </is>
      </c>
      <c r="E6263" t="inlineStr">
        <is>
          <t>BOLLNÄS</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4783-2025</t>
        </is>
      </c>
      <c r="B6264" s="1" t="n">
        <v>45688.52892361111</v>
      </c>
      <c r="C6264" s="1" t="n">
        <v>45883</v>
      </c>
      <c r="D6264" t="inlineStr">
        <is>
          <t>GÄVLEBORGS LÄN</t>
        </is>
      </c>
      <c r="E6264" t="inlineStr">
        <is>
          <t>SANDVIKEN</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35311-2025</t>
        </is>
      </c>
      <c r="B6265" s="1" t="n">
        <v>45854.45430555556</v>
      </c>
      <c r="C6265" s="1" t="n">
        <v>45883</v>
      </c>
      <c r="D6265" t="inlineStr">
        <is>
          <t>GÄVLEBORGS LÄN</t>
        </is>
      </c>
      <c r="E6265" t="inlineStr">
        <is>
          <t>OVANÅKER</t>
        </is>
      </c>
      <c r="F6265" t="inlineStr">
        <is>
          <t>Bergvik skog väst AB</t>
        </is>
      </c>
      <c r="G6265" t="n">
        <v>4.2</v>
      </c>
      <c r="H6265" t="n">
        <v>0</v>
      </c>
      <c r="I6265" t="n">
        <v>0</v>
      </c>
      <c r="J6265" t="n">
        <v>0</v>
      </c>
      <c r="K6265" t="n">
        <v>0</v>
      </c>
      <c r="L6265" t="n">
        <v>0</v>
      </c>
      <c r="M6265" t="n">
        <v>0</v>
      </c>
      <c r="N6265" t="n">
        <v>0</v>
      </c>
      <c r="O6265" t="n">
        <v>0</v>
      </c>
      <c r="P6265" t="n">
        <v>0</v>
      </c>
      <c r="Q6265" t="n">
        <v>0</v>
      </c>
      <c r="R6265" s="2" t="inlineStr"/>
    </row>
    <row r="6266" ht="15" customHeight="1">
      <c r="A6266" t="inlineStr">
        <is>
          <t>A 35337-2025</t>
        </is>
      </c>
      <c r="B6266" s="1" t="n">
        <v>45854.58831018519</v>
      </c>
      <c r="C6266" s="1" t="n">
        <v>45883</v>
      </c>
      <c r="D6266" t="inlineStr">
        <is>
          <t>GÄVLEBORGS LÄN</t>
        </is>
      </c>
      <c r="E6266" t="inlineStr">
        <is>
          <t>GÄVLE</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27289-2025</t>
        </is>
      </c>
      <c r="B6267" s="1" t="n">
        <v>45812.55351851852</v>
      </c>
      <c r="C6267" s="1" t="n">
        <v>45883</v>
      </c>
      <c r="D6267" t="inlineStr">
        <is>
          <t>GÄVLEBORGS LÄN</t>
        </is>
      </c>
      <c r="E6267" t="inlineStr">
        <is>
          <t>HUDIKSVALL</t>
        </is>
      </c>
      <c r="F6267" t="inlineStr">
        <is>
          <t>Holmen skog AB</t>
        </is>
      </c>
      <c r="G6267" t="n">
        <v>4.4</v>
      </c>
      <c r="H6267" t="n">
        <v>0</v>
      </c>
      <c r="I6267" t="n">
        <v>0</v>
      </c>
      <c r="J6267" t="n">
        <v>0</v>
      </c>
      <c r="K6267" t="n">
        <v>0</v>
      </c>
      <c r="L6267" t="n">
        <v>0</v>
      </c>
      <c r="M6267" t="n">
        <v>0</v>
      </c>
      <c r="N6267" t="n">
        <v>0</v>
      </c>
      <c r="O6267" t="n">
        <v>0</v>
      </c>
      <c r="P6267" t="n">
        <v>0</v>
      </c>
      <c r="Q6267" t="n">
        <v>0</v>
      </c>
      <c r="R6267" s="2" t="inlineStr"/>
    </row>
    <row r="6268" ht="15" customHeight="1">
      <c r="A6268" t="inlineStr">
        <is>
          <t>A 35017-2025</t>
        </is>
      </c>
      <c r="B6268" s="1" t="n">
        <v>45851</v>
      </c>
      <c r="C6268" s="1" t="n">
        <v>45883</v>
      </c>
      <c r="D6268" t="inlineStr">
        <is>
          <t>GÄVLEBORGS LÄN</t>
        </is>
      </c>
      <c r="E6268" t="inlineStr">
        <is>
          <t>OCKELBO</t>
        </is>
      </c>
      <c r="F6268" t="inlineStr">
        <is>
          <t>Bergvik skog väst AB</t>
        </is>
      </c>
      <c r="G6268" t="n">
        <v>27.8</v>
      </c>
      <c r="H6268" t="n">
        <v>0</v>
      </c>
      <c r="I6268" t="n">
        <v>0</v>
      </c>
      <c r="J6268" t="n">
        <v>0</v>
      </c>
      <c r="K6268" t="n">
        <v>0</v>
      </c>
      <c r="L6268" t="n">
        <v>0</v>
      </c>
      <c r="M6268" t="n">
        <v>0</v>
      </c>
      <c r="N6268" t="n">
        <v>0</v>
      </c>
      <c r="O6268" t="n">
        <v>0</v>
      </c>
      <c r="P6268" t="n">
        <v>0</v>
      </c>
      <c r="Q6268" t="n">
        <v>0</v>
      </c>
      <c r="R6268" s="2" t="inlineStr"/>
    </row>
    <row r="6269" ht="15" customHeight="1">
      <c r="A6269" t="inlineStr">
        <is>
          <t>A 61065-2023</t>
        </is>
      </c>
      <c r="B6269" s="1" t="n">
        <v>45261.61618055555</v>
      </c>
      <c r="C6269" s="1" t="n">
        <v>45883</v>
      </c>
      <c r="D6269" t="inlineStr">
        <is>
          <t>GÄVLEBORGS LÄN</t>
        </is>
      </c>
      <c r="E6269" t="inlineStr">
        <is>
          <t>BOLLNÄS</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27203-2025</t>
        </is>
      </c>
      <c r="B6270" s="1" t="n">
        <v>45812.39972222222</v>
      </c>
      <c r="C6270" s="1" t="n">
        <v>45883</v>
      </c>
      <c r="D6270" t="inlineStr">
        <is>
          <t>GÄVLEBORGS LÄN</t>
        </is>
      </c>
      <c r="E6270" t="inlineStr">
        <is>
          <t>NORDANSTIG</t>
        </is>
      </c>
      <c r="F6270" t="inlineStr">
        <is>
          <t>Holmen skog AB</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6701-2025</t>
        </is>
      </c>
      <c r="B6271" s="1" t="n">
        <v>45700.54153935185</v>
      </c>
      <c r="C6271" s="1" t="n">
        <v>45883</v>
      </c>
      <c r="D6271" t="inlineStr">
        <is>
          <t>GÄVLEBORGS LÄN</t>
        </is>
      </c>
      <c r="E6271" t="inlineStr">
        <is>
          <t>GÄVLE</t>
        </is>
      </c>
      <c r="F6271" t="inlineStr">
        <is>
          <t>Bergvik skog öst AB</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37391-2023</t>
        </is>
      </c>
      <c r="B6272" s="1" t="n">
        <v>45156</v>
      </c>
      <c r="C6272" s="1" t="n">
        <v>45883</v>
      </c>
      <c r="D6272" t="inlineStr">
        <is>
          <t>GÄVLEBORGS LÄN</t>
        </is>
      </c>
      <c r="E6272" t="inlineStr">
        <is>
          <t>OCKELBO</t>
        </is>
      </c>
      <c r="F6272" t="inlineStr">
        <is>
          <t>Bergvik skog väst AB</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35302-2025</t>
        </is>
      </c>
      <c r="B6273" s="1" t="n">
        <v>45854.42663194444</v>
      </c>
      <c r="C6273" s="1" t="n">
        <v>45883</v>
      </c>
      <c r="D6273" t="inlineStr">
        <is>
          <t>GÄVLEBORGS LÄN</t>
        </is>
      </c>
      <c r="E6273" t="inlineStr">
        <is>
          <t>OVANÅKER</t>
        </is>
      </c>
      <c r="F6273" t="inlineStr">
        <is>
          <t>Bergvik skog väst AB</t>
        </is>
      </c>
      <c r="G6273" t="n">
        <v>3.5</v>
      </c>
      <c r="H6273" t="n">
        <v>0</v>
      </c>
      <c r="I6273" t="n">
        <v>0</v>
      </c>
      <c r="J6273" t="n">
        <v>0</v>
      </c>
      <c r="K6273" t="n">
        <v>0</v>
      </c>
      <c r="L6273" t="n">
        <v>0</v>
      </c>
      <c r="M6273" t="n">
        <v>0</v>
      </c>
      <c r="N6273" t="n">
        <v>0</v>
      </c>
      <c r="O6273" t="n">
        <v>0</v>
      </c>
      <c r="P6273" t="n">
        <v>0</v>
      </c>
      <c r="Q6273" t="n">
        <v>0</v>
      </c>
      <c r="R6273" s="2" t="inlineStr"/>
    </row>
    <row r="6274" ht="15" customHeight="1">
      <c r="A6274" t="inlineStr">
        <is>
          <t>A 47415-2023</t>
        </is>
      </c>
      <c r="B6274" s="1" t="n">
        <v>45202.65471064814</v>
      </c>
      <c r="C6274" s="1" t="n">
        <v>45883</v>
      </c>
      <c r="D6274" t="inlineStr">
        <is>
          <t>GÄVLEBORGS LÄN</t>
        </is>
      </c>
      <c r="E6274" t="inlineStr">
        <is>
          <t>HUDIKSVALL</t>
        </is>
      </c>
      <c r="F6274" t="inlineStr">
        <is>
          <t>Holmen skog AB</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35255-2025</t>
        </is>
      </c>
      <c r="B6275" s="1" t="n">
        <v>45853</v>
      </c>
      <c r="C6275" s="1" t="n">
        <v>45883</v>
      </c>
      <c r="D6275" t="inlineStr">
        <is>
          <t>GÄVLEBORGS LÄN</t>
        </is>
      </c>
      <c r="E6275" t="inlineStr">
        <is>
          <t>LJUSDAL</t>
        </is>
      </c>
      <c r="F6275" t="inlineStr">
        <is>
          <t>Sveaskog</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30630-2022</t>
        </is>
      </c>
      <c r="B6276" s="1" t="n">
        <v>44763.44563657408</v>
      </c>
      <c r="C6276" s="1" t="n">
        <v>45883</v>
      </c>
      <c r="D6276" t="inlineStr">
        <is>
          <t>GÄVLEBORGS LÄN</t>
        </is>
      </c>
      <c r="E6276" t="inlineStr">
        <is>
          <t>NORDANSTIG</t>
        </is>
      </c>
      <c r="F6276" t="inlineStr">
        <is>
          <t>Holmen skog AB</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23195-2022</t>
        </is>
      </c>
      <c r="B6277" s="1" t="n">
        <v>44719.92542824074</v>
      </c>
      <c r="C6277" s="1" t="n">
        <v>45883</v>
      </c>
      <c r="D6277" t="inlineStr">
        <is>
          <t>GÄVLEBORGS LÄN</t>
        </is>
      </c>
      <c r="E6277" t="inlineStr">
        <is>
          <t>LJUSDAL</t>
        </is>
      </c>
      <c r="G6277" t="n">
        <v>4.2</v>
      </c>
      <c r="H6277" t="n">
        <v>0</v>
      </c>
      <c r="I6277" t="n">
        <v>0</v>
      </c>
      <c r="J6277" t="n">
        <v>0</v>
      </c>
      <c r="K6277" t="n">
        <v>0</v>
      </c>
      <c r="L6277" t="n">
        <v>0</v>
      </c>
      <c r="M6277" t="n">
        <v>0</v>
      </c>
      <c r="N6277" t="n">
        <v>0</v>
      </c>
      <c r="O6277" t="n">
        <v>0</v>
      </c>
      <c r="P6277" t="n">
        <v>0</v>
      </c>
      <c r="Q6277" t="n">
        <v>0</v>
      </c>
      <c r="R6277" s="2" t="inlineStr"/>
    </row>
    <row r="6278" ht="15" customHeight="1">
      <c r="A6278" t="inlineStr">
        <is>
          <t>A 4428-2025</t>
        </is>
      </c>
      <c r="B6278" s="1" t="n">
        <v>45686.48658564815</v>
      </c>
      <c r="C6278" s="1" t="n">
        <v>45883</v>
      </c>
      <c r="D6278" t="inlineStr">
        <is>
          <t>GÄVLEBORGS LÄN</t>
        </is>
      </c>
      <c r="E6278" t="inlineStr">
        <is>
          <t>HUDIKSVALL</t>
        </is>
      </c>
      <c r="F6278" t="inlineStr">
        <is>
          <t>Holmen skog AB</t>
        </is>
      </c>
      <c r="G6278" t="n">
        <v>3</v>
      </c>
      <c r="H6278" t="n">
        <v>0</v>
      </c>
      <c r="I6278" t="n">
        <v>0</v>
      </c>
      <c r="J6278" t="n">
        <v>0</v>
      </c>
      <c r="K6278" t="n">
        <v>0</v>
      </c>
      <c r="L6278" t="n">
        <v>0</v>
      </c>
      <c r="M6278" t="n">
        <v>0</v>
      </c>
      <c r="N6278" t="n">
        <v>0</v>
      </c>
      <c r="O6278" t="n">
        <v>0</v>
      </c>
      <c r="P6278" t="n">
        <v>0</v>
      </c>
      <c r="Q6278" t="n">
        <v>0</v>
      </c>
      <c r="R6278" s="2" t="inlineStr"/>
    </row>
    <row r="6279" ht="15" customHeight="1">
      <c r="A6279" t="inlineStr">
        <is>
          <t>A 27376-2025</t>
        </is>
      </c>
      <c r="B6279" s="1" t="n">
        <v>45812.65765046296</v>
      </c>
      <c r="C6279" s="1" t="n">
        <v>45883</v>
      </c>
      <c r="D6279" t="inlineStr">
        <is>
          <t>GÄVLEBORGS LÄN</t>
        </is>
      </c>
      <c r="E6279" t="inlineStr">
        <is>
          <t>LJUSDAL</t>
        </is>
      </c>
      <c r="G6279" t="n">
        <v>6.1</v>
      </c>
      <c r="H6279" t="n">
        <v>0</v>
      </c>
      <c r="I6279" t="n">
        <v>0</v>
      </c>
      <c r="J6279" t="n">
        <v>0</v>
      </c>
      <c r="K6279" t="n">
        <v>0</v>
      </c>
      <c r="L6279" t="n">
        <v>0</v>
      </c>
      <c r="M6279" t="n">
        <v>0</v>
      </c>
      <c r="N6279" t="n">
        <v>0</v>
      </c>
      <c r="O6279" t="n">
        <v>0</v>
      </c>
      <c r="P6279" t="n">
        <v>0</v>
      </c>
      <c r="Q6279" t="n">
        <v>0</v>
      </c>
      <c r="R6279" s="2" t="inlineStr"/>
    </row>
    <row r="6280" ht="15" customHeight="1">
      <c r="A6280" t="inlineStr">
        <is>
          <t>A 27086-2025</t>
        </is>
      </c>
      <c r="B6280" s="1" t="n">
        <v>45811.66273148148</v>
      </c>
      <c r="C6280" s="1" t="n">
        <v>45883</v>
      </c>
      <c r="D6280" t="inlineStr">
        <is>
          <t>GÄVLEBORGS LÄN</t>
        </is>
      </c>
      <c r="E6280" t="inlineStr">
        <is>
          <t>LJUSDAL</t>
        </is>
      </c>
      <c r="F6280" t="inlineStr">
        <is>
          <t>Holmen skog AB</t>
        </is>
      </c>
      <c r="G6280" t="n">
        <v>8.9</v>
      </c>
      <c r="H6280" t="n">
        <v>0</v>
      </c>
      <c r="I6280" t="n">
        <v>0</v>
      </c>
      <c r="J6280" t="n">
        <v>0</v>
      </c>
      <c r="K6280" t="n">
        <v>0</v>
      </c>
      <c r="L6280" t="n">
        <v>0</v>
      </c>
      <c r="M6280" t="n">
        <v>0</v>
      </c>
      <c r="N6280" t="n">
        <v>0</v>
      </c>
      <c r="O6280" t="n">
        <v>0</v>
      </c>
      <c r="P6280" t="n">
        <v>0</v>
      </c>
      <c r="Q6280" t="n">
        <v>0</v>
      </c>
      <c r="R6280" s="2" t="inlineStr"/>
    </row>
    <row r="6281" ht="15" customHeight="1">
      <c r="A6281" t="inlineStr">
        <is>
          <t>A 24770-2022</t>
        </is>
      </c>
      <c r="B6281" s="1" t="n">
        <v>44728.36199074074</v>
      </c>
      <c r="C6281" s="1" t="n">
        <v>45883</v>
      </c>
      <c r="D6281" t="inlineStr">
        <is>
          <t>GÄVLEBORGS LÄN</t>
        </is>
      </c>
      <c r="E6281" t="inlineStr">
        <is>
          <t>BOLLNÄS</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27199-2025</t>
        </is>
      </c>
      <c r="B6282" s="1" t="n">
        <v>45812.38626157407</v>
      </c>
      <c r="C6282" s="1" t="n">
        <v>45883</v>
      </c>
      <c r="D6282" t="inlineStr">
        <is>
          <t>GÄVLEBORGS LÄN</t>
        </is>
      </c>
      <c r="E6282" t="inlineStr">
        <is>
          <t>OCKELBO</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24329-2024</t>
        </is>
      </c>
      <c r="B6283" s="1" t="n">
        <v>45457.53825231481</v>
      </c>
      <c r="C6283" s="1" t="n">
        <v>45883</v>
      </c>
      <c r="D6283" t="inlineStr">
        <is>
          <t>GÄVLEBORGS LÄN</t>
        </is>
      </c>
      <c r="E6283" t="inlineStr">
        <is>
          <t>HUDIKSVALL</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61418-2024</t>
        </is>
      </c>
      <c r="B6284" s="1" t="n">
        <v>45646.44805555556</v>
      </c>
      <c r="C6284" s="1" t="n">
        <v>45883</v>
      </c>
      <c r="D6284" t="inlineStr">
        <is>
          <t>GÄVLEBORGS LÄN</t>
        </is>
      </c>
      <c r="E6284" t="inlineStr">
        <is>
          <t>NORDANSTIG</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57168-2023</t>
        </is>
      </c>
      <c r="B6285" s="1" t="n">
        <v>45245.44936342593</v>
      </c>
      <c r="C6285" s="1" t="n">
        <v>45883</v>
      </c>
      <c r="D6285" t="inlineStr">
        <is>
          <t>GÄVLEBORGS LÄN</t>
        </is>
      </c>
      <c r="E6285" t="inlineStr">
        <is>
          <t>GÄVLE</t>
        </is>
      </c>
      <c r="F6285" t="inlineStr">
        <is>
          <t>Kyrkan</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21682-2024</t>
        </is>
      </c>
      <c r="B6286" s="1" t="n">
        <v>45442.43586805555</v>
      </c>
      <c r="C6286" s="1" t="n">
        <v>45883</v>
      </c>
      <c r="D6286" t="inlineStr">
        <is>
          <t>GÄVLEBORGS LÄN</t>
        </is>
      </c>
      <c r="E6286" t="inlineStr">
        <is>
          <t>BOLLNÄS</t>
        </is>
      </c>
      <c r="F6286" t="inlineStr">
        <is>
          <t>Bergvik skog väst AB</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39669-2022</t>
        </is>
      </c>
      <c r="B6287" s="1" t="n">
        <v>44818</v>
      </c>
      <c r="C6287" s="1" t="n">
        <v>45883</v>
      </c>
      <c r="D6287" t="inlineStr">
        <is>
          <t>GÄVLEBORGS LÄN</t>
        </is>
      </c>
      <c r="E6287" t="inlineStr">
        <is>
          <t>HUDIKSVALL</t>
        </is>
      </c>
      <c r="F6287" t="inlineStr">
        <is>
          <t>Holmen skog AB</t>
        </is>
      </c>
      <c r="G6287" t="n">
        <v>5.9</v>
      </c>
      <c r="H6287" t="n">
        <v>0</v>
      </c>
      <c r="I6287" t="n">
        <v>0</v>
      </c>
      <c r="J6287" t="n">
        <v>0</v>
      </c>
      <c r="K6287" t="n">
        <v>0</v>
      </c>
      <c r="L6287" t="n">
        <v>0</v>
      </c>
      <c r="M6287" t="n">
        <v>0</v>
      </c>
      <c r="N6287" t="n">
        <v>0</v>
      </c>
      <c r="O6287" t="n">
        <v>0</v>
      </c>
      <c r="P6287" t="n">
        <v>0</v>
      </c>
      <c r="Q6287" t="n">
        <v>0</v>
      </c>
      <c r="R6287" s="2" t="inlineStr"/>
    </row>
    <row r="6288" ht="15" customHeight="1">
      <c r="A6288" t="inlineStr">
        <is>
          <t>A 28711-2022</t>
        </is>
      </c>
      <c r="B6288" s="1" t="n">
        <v>44748</v>
      </c>
      <c r="C6288" s="1" t="n">
        <v>45883</v>
      </c>
      <c r="D6288" t="inlineStr">
        <is>
          <t>GÄVLEBORGS LÄN</t>
        </is>
      </c>
      <c r="E6288" t="inlineStr">
        <is>
          <t>NORDANSTIG</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7827-2025</t>
        </is>
      </c>
      <c r="B6289" s="1" t="n">
        <v>45706.64928240741</v>
      </c>
      <c r="C6289" s="1" t="n">
        <v>45883</v>
      </c>
      <c r="D6289" t="inlineStr">
        <is>
          <t>GÄVLEBORGS LÄN</t>
        </is>
      </c>
      <c r="E6289" t="inlineStr">
        <is>
          <t>OCKELBO</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27521-2025</t>
        </is>
      </c>
      <c r="B6290" s="1" t="n">
        <v>45813.44327546296</v>
      </c>
      <c r="C6290" s="1" t="n">
        <v>45883</v>
      </c>
      <c r="D6290" t="inlineStr">
        <is>
          <t>GÄVLEBORGS LÄN</t>
        </is>
      </c>
      <c r="E6290" t="inlineStr">
        <is>
          <t>OVANÅKER</t>
        </is>
      </c>
      <c r="F6290" t="inlineStr">
        <is>
          <t>Bergvik skog väst AB</t>
        </is>
      </c>
      <c r="G6290" t="n">
        <v>11.2</v>
      </c>
      <c r="H6290" t="n">
        <v>0</v>
      </c>
      <c r="I6290" t="n">
        <v>0</v>
      </c>
      <c r="J6290" t="n">
        <v>0</v>
      </c>
      <c r="K6290" t="n">
        <v>0</v>
      </c>
      <c r="L6290" t="n">
        <v>0</v>
      </c>
      <c r="M6290" t="n">
        <v>0</v>
      </c>
      <c r="N6290" t="n">
        <v>0</v>
      </c>
      <c r="O6290" t="n">
        <v>0</v>
      </c>
      <c r="P6290" t="n">
        <v>0</v>
      </c>
      <c r="Q6290" t="n">
        <v>0</v>
      </c>
      <c r="R6290" s="2" t="inlineStr"/>
    </row>
    <row r="6291" ht="15" customHeight="1">
      <c r="A6291" t="inlineStr">
        <is>
          <t>A 58088-2022</t>
        </is>
      </c>
      <c r="B6291" s="1" t="n">
        <v>44900.62633101852</v>
      </c>
      <c r="C6291" s="1" t="n">
        <v>45883</v>
      </c>
      <c r="D6291" t="inlineStr">
        <is>
          <t>GÄVLEBORGS LÄN</t>
        </is>
      </c>
      <c r="E6291" t="inlineStr">
        <is>
          <t>HUDIKSVALL</t>
        </is>
      </c>
      <c r="G6291" t="n">
        <v>7.5</v>
      </c>
      <c r="H6291" t="n">
        <v>0</v>
      </c>
      <c r="I6291" t="n">
        <v>0</v>
      </c>
      <c r="J6291" t="n">
        <v>0</v>
      </c>
      <c r="K6291" t="n">
        <v>0</v>
      </c>
      <c r="L6291" t="n">
        <v>0</v>
      </c>
      <c r="M6291" t="n">
        <v>0</v>
      </c>
      <c r="N6291" t="n">
        <v>0</v>
      </c>
      <c r="O6291" t="n">
        <v>0</v>
      </c>
      <c r="P6291" t="n">
        <v>0</v>
      </c>
      <c r="Q6291" t="n">
        <v>0</v>
      </c>
      <c r="R6291" s="2" t="inlineStr"/>
    </row>
    <row r="6292" ht="15" customHeight="1">
      <c r="A6292" t="inlineStr">
        <is>
          <t>A 26323-2021</t>
        </is>
      </c>
      <c r="B6292" s="1" t="n">
        <v>44347</v>
      </c>
      <c r="C6292" s="1" t="n">
        <v>45883</v>
      </c>
      <c r="D6292" t="inlineStr">
        <is>
          <t>GÄVLEBORGS LÄN</t>
        </is>
      </c>
      <c r="E6292" t="inlineStr">
        <is>
          <t>GÄVLE</t>
        </is>
      </c>
      <c r="F6292" t="inlineStr">
        <is>
          <t>Bergvik skog väst AB</t>
        </is>
      </c>
      <c r="G6292" t="n">
        <v>7</v>
      </c>
      <c r="H6292" t="n">
        <v>0</v>
      </c>
      <c r="I6292" t="n">
        <v>0</v>
      </c>
      <c r="J6292" t="n">
        <v>0</v>
      </c>
      <c r="K6292" t="n">
        <v>0</v>
      </c>
      <c r="L6292" t="n">
        <v>0</v>
      </c>
      <c r="M6292" t="n">
        <v>0</v>
      </c>
      <c r="N6292" t="n">
        <v>0</v>
      </c>
      <c r="O6292" t="n">
        <v>0</v>
      </c>
      <c r="P6292" t="n">
        <v>0</v>
      </c>
      <c r="Q6292" t="n">
        <v>0</v>
      </c>
      <c r="R6292" s="2" t="inlineStr"/>
    </row>
    <row r="6293" ht="15" customHeight="1">
      <c r="A6293" t="inlineStr">
        <is>
          <t>A 14115-2025</t>
        </is>
      </c>
      <c r="B6293" s="1" t="n">
        <v>45740.46099537037</v>
      </c>
      <c r="C6293" s="1" t="n">
        <v>45883</v>
      </c>
      <c r="D6293" t="inlineStr">
        <is>
          <t>GÄVLEBORGS LÄN</t>
        </is>
      </c>
      <c r="E6293" t="inlineStr">
        <is>
          <t>GÄVLE</t>
        </is>
      </c>
      <c r="F6293" t="inlineStr">
        <is>
          <t>Bergvik skog öst AB</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53845-2023</t>
        </is>
      </c>
      <c r="B6294" s="1" t="n">
        <v>45231.44913194444</v>
      </c>
      <c r="C6294" s="1" t="n">
        <v>45883</v>
      </c>
      <c r="D6294" t="inlineStr">
        <is>
          <t>GÄVLEBORGS LÄN</t>
        </is>
      </c>
      <c r="E6294" t="inlineStr">
        <is>
          <t>OVANÅKER</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27611-2025</t>
        </is>
      </c>
      <c r="B6295" s="1" t="n">
        <v>45813.53916666667</v>
      </c>
      <c r="C6295" s="1" t="n">
        <v>45883</v>
      </c>
      <c r="D6295" t="inlineStr">
        <is>
          <t>GÄVLEBORGS LÄN</t>
        </is>
      </c>
      <c r="E6295" t="inlineStr">
        <is>
          <t>GÄVLE</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14402-2025</t>
        </is>
      </c>
      <c r="B6296" s="1" t="n">
        <v>45741.4575</v>
      </c>
      <c r="C6296" s="1" t="n">
        <v>45883</v>
      </c>
      <c r="D6296" t="inlineStr">
        <is>
          <t>GÄVLEBORGS LÄN</t>
        </is>
      </c>
      <c r="E6296" t="inlineStr">
        <is>
          <t>NORDANSTIG</t>
        </is>
      </c>
      <c r="G6296" t="n">
        <v>17.1</v>
      </c>
      <c r="H6296" t="n">
        <v>0</v>
      </c>
      <c r="I6296" t="n">
        <v>0</v>
      </c>
      <c r="J6296" t="n">
        <v>0</v>
      </c>
      <c r="K6296" t="n">
        <v>0</v>
      </c>
      <c r="L6296" t="n">
        <v>0</v>
      </c>
      <c r="M6296" t="n">
        <v>0</v>
      </c>
      <c r="N6296" t="n">
        <v>0</v>
      </c>
      <c r="O6296" t="n">
        <v>0</v>
      </c>
      <c r="P6296" t="n">
        <v>0</v>
      </c>
      <c r="Q6296" t="n">
        <v>0</v>
      </c>
      <c r="R6296" s="2" t="inlineStr"/>
    </row>
    <row r="6297" ht="15" customHeight="1">
      <c r="A6297" t="inlineStr">
        <is>
          <t>A 27599-2025</t>
        </is>
      </c>
      <c r="B6297" s="1" t="n">
        <v>45813.52609953703</v>
      </c>
      <c r="C6297" s="1" t="n">
        <v>45883</v>
      </c>
      <c r="D6297" t="inlineStr">
        <is>
          <t>GÄVLEBORGS LÄN</t>
        </is>
      </c>
      <c r="E6297" t="inlineStr">
        <is>
          <t>LJUSDAL</t>
        </is>
      </c>
      <c r="G6297" t="n">
        <v>4</v>
      </c>
      <c r="H6297" t="n">
        <v>0</v>
      </c>
      <c r="I6297" t="n">
        <v>0</v>
      </c>
      <c r="J6297" t="n">
        <v>0</v>
      </c>
      <c r="K6297" t="n">
        <v>0</v>
      </c>
      <c r="L6297" t="n">
        <v>0</v>
      </c>
      <c r="M6297" t="n">
        <v>0</v>
      </c>
      <c r="N6297" t="n">
        <v>0</v>
      </c>
      <c r="O6297" t="n">
        <v>0</v>
      </c>
      <c r="P6297" t="n">
        <v>0</v>
      </c>
      <c r="Q6297" t="n">
        <v>0</v>
      </c>
      <c r="R6297" s="2" t="inlineStr"/>
    </row>
    <row r="6298" ht="15" customHeight="1">
      <c r="A6298" t="inlineStr">
        <is>
          <t>A 27618-2025</t>
        </is>
      </c>
      <c r="B6298" s="1" t="n">
        <v>45813.54710648148</v>
      </c>
      <c r="C6298" s="1" t="n">
        <v>45883</v>
      </c>
      <c r="D6298" t="inlineStr">
        <is>
          <t>GÄVLEBORGS LÄN</t>
        </is>
      </c>
      <c r="E6298" t="inlineStr">
        <is>
          <t>HUDIKSVALL</t>
        </is>
      </c>
      <c r="F6298" t="inlineStr">
        <is>
          <t>Holmen skog AB</t>
        </is>
      </c>
      <c r="G6298" t="n">
        <v>5.5</v>
      </c>
      <c r="H6298" t="n">
        <v>0</v>
      </c>
      <c r="I6298" t="n">
        <v>0</v>
      </c>
      <c r="J6298" t="n">
        <v>0</v>
      </c>
      <c r="K6298" t="n">
        <v>0</v>
      </c>
      <c r="L6298" t="n">
        <v>0</v>
      </c>
      <c r="M6298" t="n">
        <v>0</v>
      </c>
      <c r="N6298" t="n">
        <v>0</v>
      </c>
      <c r="O6298" t="n">
        <v>0</v>
      </c>
      <c r="P6298" t="n">
        <v>0</v>
      </c>
      <c r="Q6298" t="n">
        <v>0</v>
      </c>
      <c r="R6298" s="2" t="inlineStr"/>
    </row>
    <row r="6299" ht="15" customHeight="1">
      <c r="A6299" t="inlineStr">
        <is>
          <t>A 27628-2025</t>
        </is>
      </c>
      <c r="B6299" s="1" t="n">
        <v>45813.5585300926</v>
      </c>
      <c r="C6299" s="1" t="n">
        <v>45883</v>
      </c>
      <c r="D6299" t="inlineStr">
        <is>
          <t>GÄVLEBORGS LÄN</t>
        </is>
      </c>
      <c r="E6299" t="inlineStr">
        <is>
          <t>OVANÅKER</t>
        </is>
      </c>
      <c r="F6299" t="inlineStr">
        <is>
          <t>Bergvik skog väst AB</t>
        </is>
      </c>
      <c r="G6299" t="n">
        <v>5.8</v>
      </c>
      <c r="H6299" t="n">
        <v>0</v>
      </c>
      <c r="I6299" t="n">
        <v>0</v>
      </c>
      <c r="J6299" t="n">
        <v>0</v>
      </c>
      <c r="K6299" t="n">
        <v>0</v>
      </c>
      <c r="L6299" t="n">
        <v>0</v>
      </c>
      <c r="M6299" t="n">
        <v>0</v>
      </c>
      <c r="N6299" t="n">
        <v>0</v>
      </c>
      <c r="O6299" t="n">
        <v>0</v>
      </c>
      <c r="P6299" t="n">
        <v>0</v>
      </c>
      <c r="Q6299" t="n">
        <v>0</v>
      </c>
      <c r="R6299" s="2" t="inlineStr"/>
    </row>
    <row r="6300" ht="15" customHeight="1">
      <c r="A6300" t="inlineStr">
        <is>
          <t>A 27633-2025</t>
        </is>
      </c>
      <c r="B6300" s="1" t="n">
        <v>45813.56456018519</v>
      </c>
      <c r="C6300" s="1" t="n">
        <v>45883</v>
      </c>
      <c r="D6300" t="inlineStr">
        <is>
          <t>GÄVLEBORGS LÄN</t>
        </is>
      </c>
      <c r="E6300" t="inlineStr">
        <is>
          <t>GÄVLE</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35475-2025</t>
        </is>
      </c>
      <c r="B6301" s="1" t="n">
        <v>45855.67001157408</v>
      </c>
      <c r="C6301" s="1" t="n">
        <v>45883</v>
      </c>
      <c r="D6301" t="inlineStr">
        <is>
          <t>GÄVLEBORGS LÄN</t>
        </is>
      </c>
      <c r="E6301" t="inlineStr">
        <is>
          <t>HOFORS</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36607-2023</t>
        </is>
      </c>
      <c r="B6302" s="1" t="n">
        <v>45153.48958333334</v>
      </c>
      <c r="C6302" s="1" t="n">
        <v>45883</v>
      </c>
      <c r="D6302" t="inlineStr">
        <is>
          <t>GÄVLEBORGS LÄN</t>
        </is>
      </c>
      <c r="E6302" t="inlineStr">
        <is>
          <t>BOLLNÄS</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3587-2025</t>
        </is>
      </c>
      <c r="B6303" s="1" t="n">
        <v>45680.87159722222</v>
      </c>
      <c r="C6303" s="1" t="n">
        <v>45883</v>
      </c>
      <c r="D6303" t="inlineStr">
        <is>
          <t>GÄVLEBORGS LÄN</t>
        </is>
      </c>
      <c r="E6303" t="inlineStr">
        <is>
          <t>OVANÅKER</t>
        </is>
      </c>
      <c r="G6303" t="n">
        <v>11.4</v>
      </c>
      <c r="H6303" t="n">
        <v>0</v>
      </c>
      <c r="I6303" t="n">
        <v>0</v>
      </c>
      <c r="J6303" t="n">
        <v>0</v>
      </c>
      <c r="K6303" t="n">
        <v>0</v>
      </c>
      <c r="L6303" t="n">
        <v>0</v>
      </c>
      <c r="M6303" t="n">
        <v>0</v>
      </c>
      <c r="N6303" t="n">
        <v>0</v>
      </c>
      <c r="O6303" t="n">
        <v>0</v>
      </c>
      <c r="P6303" t="n">
        <v>0</v>
      </c>
      <c r="Q6303" t="n">
        <v>0</v>
      </c>
      <c r="R6303" s="2" t="inlineStr"/>
    </row>
    <row r="6304" ht="15" customHeight="1">
      <c r="A6304" t="inlineStr">
        <is>
          <t>A 41990-2023</t>
        </is>
      </c>
      <c r="B6304" s="1" t="n">
        <v>45177</v>
      </c>
      <c r="C6304" s="1" t="n">
        <v>45883</v>
      </c>
      <c r="D6304" t="inlineStr">
        <is>
          <t>GÄVLEBORGS LÄN</t>
        </is>
      </c>
      <c r="E6304" t="inlineStr">
        <is>
          <t>OVANÅKER</t>
        </is>
      </c>
      <c r="F6304" t="inlineStr">
        <is>
          <t>Bergvik skog väst AB</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19269-2025</t>
        </is>
      </c>
      <c r="B6305" s="1" t="n">
        <v>45769.51464120371</v>
      </c>
      <c r="C6305" s="1" t="n">
        <v>45883</v>
      </c>
      <c r="D6305" t="inlineStr">
        <is>
          <t>GÄVLEBORGS LÄN</t>
        </is>
      </c>
      <c r="E6305" t="inlineStr">
        <is>
          <t>SANDVIKEN</t>
        </is>
      </c>
      <c r="G6305" t="n">
        <v>8</v>
      </c>
      <c r="H6305" t="n">
        <v>0</v>
      </c>
      <c r="I6305" t="n">
        <v>0</v>
      </c>
      <c r="J6305" t="n">
        <v>0</v>
      </c>
      <c r="K6305" t="n">
        <v>0</v>
      </c>
      <c r="L6305" t="n">
        <v>0</v>
      </c>
      <c r="M6305" t="n">
        <v>0</v>
      </c>
      <c r="N6305" t="n">
        <v>0</v>
      </c>
      <c r="O6305" t="n">
        <v>0</v>
      </c>
      <c r="P6305" t="n">
        <v>0</v>
      </c>
      <c r="Q6305" t="n">
        <v>0</v>
      </c>
      <c r="R6305" s="2" t="inlineStr"/>
    </row>
    <row r="6306" ht="15" customHeight="1">
      <c r="A6306" t="inlineStr">
        <is>
          <t>A 71442-2021</t>
        </is>
      </c>
      <c r="B6306" s="1" t="n">
        <v>44540.45574074074</v>
      </c>
      <c r="C6306" s="1" t="n">
        <v>45883</v>
      </c>
      <c r="D6306" t="inlineStr">
        <is>
          <t>GÄVLEBORGS LÄN</t>
        </is>
      </c>
      <c r="E6306" t="inlineStr">
        <is>
          <t>NORDANSTIG</t>
        </is>
      </c>
      <c r="F6306" t="inlineStr">
        <is>
          <t>Holmen skog AB</t>
        </is>
      </c>
      <c r="G6306" t="n">
        <v>4</v>
      </c>
      <c r="H6306" t="n">
        <v>0</v>
      </c>
      <c r="I6306" t="n">
        <v>0</v>
      </c>
      <c r="J6306" t="n">
        <v>0</v>
      </c>
      <c r="K6306" t="n">
        <v>0</v>
      </c>
      <c r="L6306" t="n">
        <v>0</v>
      </c>
      <c r="M6306" t="n">
        <v>0</v>
      </c>
      <c r="N6306" t="n">
        <v>0</v>
      </c>
      <c r="O6306" t="n">
        <v>0</v>
      </c>
      <c r="P6306" t="n">
        <v>0</v>
      </c>
      <c r="Q6306" t="n">
        <v>0</v>
      </c>
      <c r="R6306" s="2" t="inlineStr"/>
    </row>
    <row r="6307" ht="15" customHeight="1">
      <c r="A6307" t="inlineStr">
        <is>
          <t>A 19303-2025</t>
        </is>
      </c>
      <c r="B6307" s="1" t="n">
        <v>45769.56547453703</v>
      </c>
      <c r="C6307" s="1" t="n">
        <v>45883</v>
      </c>
      <c r="D6307" t="inlineStr">
        <is>
          <t>GÄVLEBORGS LÄN</t>
        </is>
      </c>
      <c r="E6307" t="inlineStr">
        <is>
          <t>OVANÅKER</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22165-2022</t>
        </is>
      </c>
      <c r="B6308" s="1" t="n">
        <v>44712</v>
      </c>
      <c r="C6308" s="1" t="n">
        <v>45883</v>
      </c>
      <c r="D6308" t="inlineStr">
        <is>
          <t>GÄVLEBORGS LÄN</t>
        </is>
      </c>
      <c r="E6308" t="inlineStr">
        <is>
          <t>HUDIKSVALL</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27666-2025</t>
        </is>
      </c>
      <c r="B6309" s="1" t="n">
        <v>45813.61989583333</v>
      </c>
      <c r="C6309" s="1" t="n">
        <v>45883</v>
      </c>
      <c r="D6309" t="inlineStr">
        <is>
          <t>GÄVLEBORGS LÄN</t>
        </is>
      </c>
      <c r="E6309" t="inlineStr">
        <is>
          <t>GÄVLE</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27631-2025</t>
        </is>
      </c>
      <c r="B6310" s="1" t="n">
        <v>45813.56162037037</v>
      </c>
      <c r="C6310" s="1" t="n">
        <v>45883</v>
      </c>
      <c r="D6310" t="inlineStr">
        <is>
          <t>GÄVLEBORGS LÄN</t>
        </is>
      </c>
      <c r="E6310" t="inlineStr">
        <is>
          <t>OVANÅKER</t>
        </is>
      </c>
      <c r="F6310" t="inlineStr">
        <is>
          <t>Bergvik skog väst AB</t>
        </is>
      </c>
      <c r="G6310" t="n">
        <v>5</v>
      </c>
      <c r="H6310" t="n">
        <v>0</v>
      </c>
      <c r="I6310" t="n">
        <v>0</v>
      </c>
      <c r="J6310" t="n">
        <v>0</v>
      </c>
      <c r="K6310" t="n">
        <v>0</v>
      </c>
      <c r="L6310" t="n">
        <v>0</v>
      </c>
      <c r="M6310" t="n">
        <v>0</v>
      </c>
      <c r="N6310" t="n">
        <v>0</v>
      </c>
      <c r="O6310" t="n">
        <v>0</v>
      </c>
      <c r="P6310" t="n">
        <v>0</v>
      </c>
      <c r="Q6310" t="n">
        <v>0</v>
      </c>
      <c r="R6310" s="2" t="inlineStr"/>
    </row>
    <row r="6311" ht="15" customHeight="1">
      <c r="A6311" t="inlineStr">
        <is>
          <t>A 52219-2023</t>
        </is>
      </c>
      <c r="B6311" s="1" t="n">
        <v>45224</v>
      </c>
      <c r="C6311" s="1" t="n">
        <v>45883</v>
      </c>
      <c r="D6311" t="inlineStr">
        <is>
          <t>GÄVLEBORGS LÄN</t>
        </is>
      </c>
      <c r="E6311" t="inlineStr">
        <is>
          <t>HUDIKSVALL</t>
        </is>
      </c>
      <c r="F6311" t="inlineStr">
        <is>
          <t>Holmen skog AB</t>
        </is>
      </c>
      <c r="G6311" t="n">
        <v>3.3</v>
      </c>
      <c r="H6311" t="n">
        <v>0</v>
      </c>
      <c r="I6311" t="n">
        <v>0</v>
      </c>
      <c r="J6311" t="n">
        <v>0</v>
      </c>
      <c r="K6311" t="n">
        <v>0</v>
      </c>
      <c r="L6311" t="n">
        <v>0</v>
      </c>
      <c r="M6311" t="n">
        <v>0</v>
      </c>
      <c r="N6311" t="n">
        <v>0</v>
      </c>
      <c r="O6311" t="n">
        <v>0</v>
      </c>
      <c r="P6311" t="n">
        <v>0</v>
      </c>
      <c r="Q6311" t="n">
        <v>0</v>
      </c>
      <c r="R6311" s="2" t="inlineStr"/>
    </row>
    <row r="6312" ht="15" customHeight="1">
      <c r="A6312" t="inlineStr">
        <is>
          <t>A 27443-2025</t>
        </is>
      </c>
      <c r="B6312" s="1" t="n">
        <v>45813.3215625</v>
      </c>
      <c r="C6312" s="1" t="n">
        <v>45883</v>
      </c>
      <c r="D6312" t="inlineStr">
        <is>
          <t>GÄVLEBORGS LÄN</t>
        </is>
      </c>
      <c r="E6312" t="inlineStr">
        <is>
          <t>LJUSDAL</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56634-2023</t>
        </is>
      </c>
      <c r="B6313" s="1" t="n">
        <v>45243.71267361111</v>
      </c>
      <c r="C6313" s="1" t="n">
        <v>45883</v>
      </c>
      <c r="D6313" t="inlineStr">
        <is>
          <t>GÄVLEBORGS LÄN</t>
        </is>
      </c>
      <c r="E6313" t="inlineStr">
        <is>
          <t>OCKELBO</t>
        </is>
      </c>
      <c r="G6313" t="n">
        <v>4.7</v>
      </c>
      <c r="H6313" t="n">
        <v>0</v>
      </c>
      <c r="I6313" t="n">
        <v>0</v>
      </c>
      <c r="J6313" t="n">
        <v>0</v>
      </c>
      <c r="K6313" t="n">
        <v>0</v>
      </c>
      <c r="L6313" t="n">
        <v>0</v>
      </c>
      <c r="M6313" t="n">
        <v>0</v>
      </c>
      <c r="N6313" t="n">
        <v>0</v>
      </c>
      <c r="O6313" t="n">
        <v>0</v>
      </c>
      <c r="P6313" t="n">
        <v>0</v>
      </c>
      <c r="Q6313" t="n">
        <v>0</v>
      </c>
      <c r="R6313" s="2" t="inlineStr"/>
    </row>
    <row r="6314" ht="15" customHeight="1">
      <c r="A6314" t="inlineStr">
        <is>
          <t>A 52158-2023</t>
        </is>
      </c>
      <c r="B6314" s="1" t="n">
        <v>45224.31581018519</v>
      </c>
      <c r="C6314" s="1" t="n">
        <v>45883</v>
      </c>
      <c r="D6314" t="inlineStr">
        <is>
          <t>GÄVLEBORGS LÄN</t>
        </is>
      </c>
      <c r="E6314" t="inlineStr">
        <is>
          <t>OVANÅKER</t>
        </is>
      </c>
      <c r="G6314" t="n">
        <v>0.4</v>
      </c>
      <c r="H6314" t="n">
        <v>0</v>
      </c>
      <c r="I6314" t="n">
        <v>0</v>
      </c>
      <c r="J6314" t="n">
        <v>0</v>
      </c>
      <c r="K6314" t="n">
        <v>0</v>
      </c>
      <c r="L6314" t="n">
        <v>0</v>
      </c>
      <c r="M6314" t="n">
        <v>0</v>
      </c>
      <c r="N6314" t="n">
        <v>0</v>
      </c>
      <c r="O6314" t="n">
        <v>0</v>
      </c>
      <c r="P6314" t="n">
        <v>0</v>
      </c>
      <c r="Q6314" t="n">
        <v>0</v>
      </c>
      <c r="R6314" s="2" t="inlineStr"/>
    </row>
    <row r="6315" ht="15" customHeight="1">
      <c r="A6315" t="inlineStr">
        <is>
          <t>A 33880-2022</t>
        </is>
      </c>
      <c r="B6315" s="1" t="n">
        <v>44790.59284722222</v>
      </c>
      <c r="C6315" s="1" t="n">
        <v>45883</v>
      </c>
      <c r="D6315" t="inlineStr">
        <is>
          <t>GÄVLEBORGS LÄN</t>
        </is>
      </c>
      <c r="E6315" t="inlineStr">
        <is>
          <t>GÄVLE</t>
        </is>
      </c>
      <c r="G6315" t="n">
        <v>9.4</v>
      </c>
      <c r="H6315" t="n">
        <v>0</v>
      </c>
      <c r="I6315" t="n">
        <v>0</v>
      </c>
      <c r="J6315" t="n">
        <v>0</v>
      </c>
      <c r="K6315" t="n">
        <v>0</v>
      </c>
      <c r="L6315" t="n">
        <v>0</v>
      </c>
      <c r="M6315" t="n">
        <v>0</v>
      </c>
      <c r="N6315" t="n">
        <v>0</v>
      </c>
      <c r="O6315" t="n">
        <v>0</v>
      </c>
      <c r="P6315" t="n">
        <v>0</v>
      </c>
      <c r="Q6315" t="n">
        <v>0</v>
      </c>
      <c r="R6315" s="2" t="inlineStr"/>
    </row>
    <row r="6316" ht="15" customHeight="1">
      <c r="A6316" t="inlineStr">
        <is>
          <t>A 18854-2025</t>
        </is>
      </c>
      <c r="B6316" s="1" t="n">
        <v>45764.42233796296</v>
      </c>
      <c r="C6316" s="1" t="n">
        <v>45883</v>
      </c>
      <c r="D6316" t="inlineStr">
        <is>
          <t>GÄVLEBORGS LÄN</t>
        </is>
      </c>
      <c r="E6316" t="inlineStr">
        <is>
          <t>LJUSDAL</t>
        </is>
      </c>
      <c r="F6316" t="inlineStr">
        <is>
          <t>Sveaskog</t>
        </is>
      </c>
      <c r="G6316" t="n">
        <v>6.5</v>
      </c>
      <c r="H6316" t="n">
        <v>0</v>
      </c>
      <c r="I6316" t="n">
        <v>0</v>
      </c>
      <c r="J6316" t="n">
        <v>0</v>
      </c>
      <c r="K6316" t="n">
        <v>0</v>
      </c>
      <c r="L6316" t="n">
        <v>0</v>
      </c>
      <c r="M6316" t="n">
        <v>0</v>
      </c>
      <c r="N6316" t="n">
        <v>0</v>
      </c>
      <c r="O6316" t="n">
        <v>0</v>
      </c>
      <c r="P6316" t="n">
        <v>0</v>
      </c>
      <c r="Q6316" t="n">
        <v>0</v>
      </c>
      <c r="R6316" s="2" t="inlineStr"/>
    </row>
    <row r="6317" ht="15" customHeight="1">
      <c r="A6317" t="inlineStr">
        <is>
          <t>A 24512-2022</t>
        </is>
      </c>
      <c r="B6317" s="1" t="n">
        <v>44726</v>
      </c>
      <c r="C6317" s="1" t="n">
        <v>45883</v>
      </c>
      <c r="D6317" t="inlineStr">
        <is>
          <t>GÄVLEBORGS LÄN</t>
        </is>
      </c>
      <c r="E6317" t="inlineStr">
        <is>
          <t>LJUSDAL</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57475-2023</t>
        </is>
      </c>
      <c r="B6318" s="1" t="n">
        <v>45246.38005787037</v>
      </c>
      <c r="C6318" s="1" t="n">
        <v>45883</v>
      </c>
      <c r="D6318" t="inlineStr">
        <is>
          <t>GÄVLEBORGS LÄN</t>
        </is>
      </c>
      <c r="E6318" t="inlineStr">
        <is>
          <t>LJUSDAL</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27438-2025</t>
        </is>
      </c>
      <c r="B6319" s="1" t="n">
        <v>45813.3143287037</v>
      </c>
      <c r="C6319" s="1" t="n">
        <v>45883</v>
      </c>
      <c r="D6319" t="inlineStr">
        <is>
          <t>GÄVLEBORGS LÄN</t>
        </is>
      </c>
      <c r="E6319" t="inlineStr">
        <is>
          <t>HOFORS</t>
        </is>
      </c>
      <c r="F6319" t="inlineStr">
        <is>
          <t>Sveaskog</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27440-2025</t>
        </is>
      </c>
      <c r="B6320" s="1" t="n">
        <v>45813.3159375</v>
      </c>
      <c r="C6320" s="1" t="n">
        <v>45883</v>
      </c>
      <c r="D6320" t="inlineStr">
        <is>
          <t>GÄVLEBORGS LÄN</t>
        </is>
      </c>
      <c r="E6320" t="inlineStr">
        <is>
          <t>LJUSDAL</t>
        </is>
      </c>
      <c r="G6320" t="n">
        <v>3.3</v>
      </c>
      <c r="H6320" t="n">
        <v>0</v>
      </c>
      <c r="I6320" t="n">
        <v>0</v>
      </c>
      <c r="J6320" t="n">
        <v>0</v>
      </c>
      <c r="K6320" t="n">
        <v>0</v>
      </c>
      <c r="L6320" t="n">
        <v>0</v>
      </c>
      <c r="M6320" t="n">
        <v>0</v>
      </c>
      <c r="N6320" t="n">
        <v>0</v>
      </c>
      <c r="O6320" t="n">
        <v>0</v>
      </c>
      <c r="P6320" t="n">
        <v>0</v>
      </c>
      <c r="Q6320" t="n">
        <v>0</v>
      </c>
      <c r="R6320" s="2" t="inlineStr"/>
    </row>
    <row r="6321" ht="15" customHeight="1">
      <c r="A6321" t="inlineStr">
        <is>
          <t>A 27668-2025</t>
        </is>
      </c>
      <c r="B6321" s="1" t="n">
        <v>45813.6222337963</v>
      </c>
      <c r="C6321" s="1" t="n">
        <v>45883</v>
      </c>
      <c r="D6321" t="inlineStr">
        <is>
          <t>GÄVLEBORGS LÄN</t>
        </is>
      </c>
      <c r="E6321" t="inlineStr">
        <is>
          <t>OVANÅKER</t>
        </is>
      </c>
      <c r="G6321" t="n">
        <v>3.8</v>
      </c>
      <c r="H6321" t="n">
        <v>0</v>
      </c>
      <c r="I6321" t="n">
        <v>0</v>
      </c>
      <c r="J6321" t="n">
        <v>0</v>
      </c>
      <c r="K6321" t="n">
        <v>0</v>
      </c>
      <c r="L6321" t="n">
        <v>0</v>
      </c>
      <c r="M6321" t="n">
        <v>0</v>
      </c>
      <c r="N6321" t="n">
        <v>0</v>
      </c>
      <c r="O6321" t="n">
        <v>0</v>
      </c>
      <c r="P6321" t="n">
        <v>0</v>
      </c>
      <c r="Q6321" t="n">
        <v>0</v>
      </c>
      <c r="R6321" s="2" t="inlineStr"/>
    </row>
    <row r="6322" ht="15" customHeight="1">
      <c r="A6322" t="inlineStr">
        <is>
          <t>A 35473-2025</t>
        </is>
      </c>
      <c r="B6322" s="1" t="n">
        <v>45855.66804398148</v>
      </c>
      <c r="C6322" s="1" t="n">
        <v>45883</v>
      </c>
      <c r="D6322" t="inlineStr">
        <is>
          <t>GÄVLEBORGS LÄN</t>
        </is>
      </c>
      <c r="E6322" t="inlineStr">
        <is>
          <t>HOFORS</t>
        </is>
      </c>
      <c r="G6322" t="n">
        <v>3.3</v>
      </c>
      <c r="H6322" t="n">
        <v>0</v>
      </c>
      <c r="I6322" t="n">
        <v>0</v>
      </c>
      <c r="J6322" t="n">
        <v>0</v>
      </c>
      <c r="K6322" t="n">
        <v>0</v>
      </c>
      <c r="L6322" t="n">
        <v>0</v>
      </c>
      <c r="M6322" t="n">
        <v>0</v>
      </c>
      <c r="N6322" t="n">
        <v>0</v>
      </c>
      <c r="O6322" t="n">
        <v>0</v>
      </c>
      <c r="P6322" t="n">
        <v>0</v>
      </c>
      <c r="Q6322" t="n">
        <v>0</v>
      </c>
      <c r="R6322" s="2" t="inlineStr"/>
    </row>
    <row r="6323" ht="15" customHeight="1">
      <c r="A6323" t="inlineStr">
        <is>
          <t>A 27623-2025</t>
        </is>
      </c>
      <c r="B6323" s="1" t="n">
        <v>45813.55280092593</v>
      </c>
      <c r="C6323" s="1" t="n">
        <v>45883</v>
      </c>
      <c r="D6323" t="inlineStr">
        <is>
          <t>GÄVLEBORGS LÄN</t>
        </is>
      </c>
      <c r="E6323" t="inlineStr">
        <is>
          <t>OVANÅKER</t>
        </is>
      </c>
      <c r="F6323" t="inlineStr">
        <is>
          <t>Bergvik skog väst AB</t>
        </is>
      </c>
      <c r="G6323" t="n">
        <v>34.7</v>
      </c>
      <c r="H6323" t="n">
        <v>0</v>
      </c>
      <c r="I6323" t="n">
        <v>0</v>
      </c>
      <c r="J6323" t="n">
        <v>0</v>
      </c>
      <c r="K6323" t="n">
        <v>0</v>
      </c>
      <c r="L6323" t="n">
        <v>0</v>
      </c>
      <c r="M6323" t="n">
        <v>0</v>
      </c>
      <c r="N6323" t="n">
        <v>0</v>
      </c>
      <c r="O6323" t="n">
        <v>0</v>
      </c>
      <c r="P6323" t="n">
        <v>0</v>
      </c>
      <c r="Q6323" t="n">
        <v>0</v>
      </c>
      <c r="R6323" s="2" t="inlineStr"/>
    </row>
    <row r="6324" ht="15" customHeight="1">
      <c r="A6324" t="inlineStr">
        <is>
          <t>A 27514-2025</t>
        </is>
      </c>
      <c r="B6324" s="1" t="n">
        <v>45813.42991898148</v>
      </c>
      <c r="C6324" s="1" t="n">
        <v>45883</v>
      </c>
      <c r="D6324" t="inlineStr">
        <is>
          <t>GÄVLEBORGS LÄN</t>
        </is>
      </c>
      <c r="E6324" t="inlineStr">
        <is>
          <t>HUDIKSVALL</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27536-2025</t>
        </is>
      </c>
      <c r="B6325" s="1" t="n">
        <v>45813.45946759259</v>
      </c>
      <c r="C6325" s="1" t="n">
        <v>45883</v>
      </c>
      <c r="D6325" t="inlineStr">
        <is>
          <t>GÄVLEBORGS LÄN</t>
        </is>
      </c>
      <c r="E6325" t="inlineStr">
        <is>
          <t>OVANÅKER</t>
        </is>
      </c>
      <c r="F6325" t="inlineStr">
        <is>
          <t>Bergvik skog väst AB</t>
        </is>
      </c>
      <c r="G6325" t="n">
        <v>4.8</v>
      </c>
      <c r="H6325" t="n">
        <v>0</v>
      </c>
      <c r="I6325" t="n">
        <v>0</v>
      </c>
      <c r="J6325" t="n">
        <v>0</v>
      </c>
      <c r="K6325" t="n">
        <v>0</v>
      </c>
      <c r="L6325" t="n">
        <v>0</v>
      </c>
      <c r="M6325" t="n">
        <v>0</v>
      </c>
      <c r="N6325" t="n">
        <v>0</v>
      </c>
      <c r="O6325" t="n">
        <v>0</v>
      </c>
      <c r="P6325" t="n">
        <v>0</v>
      </c>
      <c r="Q6325" t="n">
        <v>0</v>
      </c>
      <c r="R6325" s="2" t="inlineStr"/>
    </row>
    <row r="6326" ht="15" customHeight="1">
      <c r="A6326" t="inlineStr">
        <is>
          <t>A 35405-2025</t>
        </is>
      </c>
      <c r="B6326" s="1" t="n">
        <v>45855.35709490741</v>
      </c>
      <c r="C6326" s="1" t="n">
        <v>45883</v>
      </c>
      <c r="D6326" t="inlineStr">
        <is>
          <t>GÄVLEBORGS LÄN</t>
        </is>
      </c>
      <c r="E6326" t="inlineStr">
        <is>
          <t>NORDANSTIG</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35443-2025</t>
        </is>
      </c>
      <c r="B6327" s="1" t="n">
        <v>45855.52385416667</v>
      </c>
      <c r="C6327" s="1" t="n">
        <v>45883</v>
      </c>
      <c r="D6327" t="inlineStr">
        <is>
          <t>GÄVLEBORGS LÄN</t>
        </is>
      </c>
      <c r="E6327" t="inlineStr">
        <is>
          <t>SANDVIKEN</t>
        </is>
      </c>
      <c r="G6327" t="n">
        <v>3.8</v>
      </c>
      <c r="H6327" t="n">
        <v>0</v>
      </c>
      <c r="I6327" t="n">
        <v>0</v>
      </c>
      <c r="J6327" t="n">
        <v>0</v>
      </c>
      <c r="K6327" t="n">
        <v>0</v>
      </c>
      <c r="L6327" t="n">
        <v>0</v>
      </c>
      <c r="M6327" t="n">
        <v>0</v>
      </c>
      <c r="N6327" t="n">
        <v>0</v>
      </c>
      <c r="O6327" t="n">
        <v>0</v>
      </c>
      <c r="P6327" t="n">
        <v>0</v>
      </c>
      <c r="Q6327" t="n">
        <v>0</v>
      </c>
      <c r="R6327" s="2" t="inlineStr"/>
    </row>
    <row r="6328" ht="15" customHeight="1">
      <c r="A6328" t="inlineStr">
        <is>
          <t>A 35380-2025</t>
        </is>
      </c>
      <c r="B6328" s="1" t="n">
        <v>45855.3087962963</v>
      </c>
      <c r="C6328" s="1" t="n">
        <v>45883</v>
      </c>
      <c r="D6328" t="inlineStr">
        <is>
          <t>GÄVLEBORGS LÄN</t>
        </is>
      </c>
      <c r="E6328" t="inlineStr">
        <is>
          <t>BOLLNÄS</t>
        </is>
      </c>
      <c r="F6328" t="inlineStr">
        <is>
          <t>Bergvik skog väst AB</t>
        </is>
      </c>
      <c r="G6328" t="n">
        <v>13.2</v>
      </c>
      <c r="H6328" t="n">
        <v>0</v>
      </c>
      <c r="I6328" t="n">
        <v>0</v>
      </c>
      <c r="J6328" t="n">
        <v>0</v>
      </c>
      <c r="K6328" t="n">
        <v>0</v>
      </c>
      <c r="L6328" t="n">
        <v>0</v>
      </c>
      <c r="M6328" t="n">
        <v>0</v>
      </c>
      <c r="N6328" t="n">
        <v>0</v>
      </c>
      <c r="O6328" t="n">
        <v>0</v>
      </c>
      <c r="P6328" t="n">
        <v>0</v>
      </c>
      <c r="Q6328" t="n">
        <v>0</v>
      </c>
      <c r="R6328" s="2" t="inlineStr"/>
    </row>
    <row r="6329" ht="15" customHeight="1">
      <c r="A6329" t="inlineStr">
        <is>
          <t>A 4090-2025</t>
        </is>
      </c>
      <c r="B6329" s="1" t="n">
        <v>45684.67178240741</v>
      </c>
      <c r="C6329" s="1" t="n">
        <v>45883</v>
      </c>
      <c r="D6329" t="inlineStr">
        <is>
          <t>GÄVLEBORGS LÄN</t>
        </is>
      </c>
      <c r="E6329" t="inlineStr">
        <is>
          <t>GÄVLE</t>
        </is>
      </c>
      <c r="G6329" t="n">
        <v>4.4</v>
      </c>
      <c r="H6329" t="n">
        <v>0</v>
      </c>
      <c r="I6329" t="n">
        <v>0</v>
      </c>
      <c r="J6329" t="n">
        <v>0</v>
      </c>
      <c r="K6329" t="n">
        <v>0</v>
      </c>
      <c r="L6329" t="n">
        <v>0</v>
      </c>
      <c r="M6329" t="n">
        <v>0</v>
      </c>
      <c r="N6329" t="n">
        <v>0</v>
      </c>
      <c r="O6329" t="n">
        <v>0</v>
      </c>
      <c r="P6329" t="n">
        <v>0</v>
      </c>
      <c r="Q6329" t="n">
        <v>0</v>
      </c>
      <c r="R6329" s="2" t="inlineStr"/>
    </row>
    <row r="6330" ht="15" customHeight="1">
      <c r="A6330" t="inlineStr">
        <is>
          <t>A 4097-2025</t>
        </is>
      </c>
      <c r="B6330" s="1" t="n">
        <v>45684.68004629629</v>
      </c>
      <c r="C6330" s="1" t="n">
        <v>45883</v>
      </c>
      <c r="D6330" t="inlineStr">
        <is>
          <t>GÄVLEBORGS LÄN</t>
        </is>
      </c>
      <c r="E6330" t="inlineStr">
        <is>
          <t>GÄVLE</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59533-2023</t>
        </is>
      </c>
      <c r="B6331" s="1" t="n">
        <v>45254.51929398148</v>
      </c>
      <c r="C6331" s="1" t="n">
        <v>45883</v>
      </c>
      <c r="D6331" t="inlineStr">
        <is>
          <t>GÄVLEBORGS LÄN</t>
        </is>
      </c>
      <c r="E6331" t="inlineStr">
        <is>
          <t>OCKELBO</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36960-2023</t>
        </is>
      </c>
      <c r="B6332" s="1" t="n">
        <v>45154</v>
      </c>
      <c r="C6332" s="1" t="n">
        <v>45883</v>
      </c>
      <c r="D6332" t="inlineStr">
        <is>
          <t>GÄVLEBORGS LÄN</t>
        </is>
      </c>
      <c r="E6332" t="inlineStr">
        <is>
          <t>NORDANSTIG</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43659-2023</t>
        </is>
      </c>
      <c r="B6333" s="1" t="n">
        <v>45187</v>
      </c>
      <c r="C6333" s="1" t="n">
        <v>45883</v>
      </c>
      <c r="D6333" t="inlineStr">
        <is>
          <t>GÄVLEBORGS LÄN</t>
        </is>
      </c>
      <c r="E6333" t="inlineStr">
        <is>
          <t>HUDIKSVALL</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29260-2023</t>
        </is>
      </c>
      <c r="B6334" s="1" t="n">
        <v>45105.6580787037</v>
      </c>
      <c r="C6334" s="1" t="n">
        <v>45883</v>
      </c>
      <c r="D6334" t="inlineStr">
        <is>
          <t>GÄVLEBORGS LÄN</t>
        </is>
      </c>
      <c r="E6334" t="inlineStr">
        <is>
          <t>LJUSDAL</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43734-2023</t>
        </is>
      </c>
      <c r="B6335" s="1" t="n">
        <v>45187.45697916667</v>
      </c>
      <c r="C6335" s="1" t="n">
        <v>45883</v>
      </c>
      <c r="D6335" t="inlineStr">
        <is>
          <t>GÄVLEBORGS LÄN</t>
        </is>
      </c>
      <c r="E6335" t="inlineStr">
        <is>
          <t>BOLLNÄS</t>
        </is>
      </c>
      <c r="F6335" t="inlineStr">
        <is>
          <t>Kyrkan</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7252-2025</t>
        </is>
      </c>
      <c r="B6336" s="1" t="n">
        <v>45702.56151620371</v>
      </c>
      <c r="C6336" s="1" t="n">
        <v>45883</v>
      </c>
      <c r="D6336" t="inlineStr">
        <is>
          <t>GÄVLEBORGS LÄN</t>
        </is>
      </c>
      <c r="E6336" t="inlineStr">
        <is>
          <t>NORDANSTIG</t>
        </is>
      </c>
      <c r="G6336" t="n">
        <v>3.2</v>
      </c>
      <c r="H6336" t="n">
        <v>0</v>
      </c>
      <c r="I6336" t="n">
        <v>0</v>
      </c>
      <c r="J6336" t="n">
        <v>0</v>
      </c>
      <c r="K6336" t="n">
        <v>0</v>
      </c>
      <c r="L6336" t="n">
        <v>0</v>
      </c>
      <c r="M6336" t="n">
        <v>0</v>
      </c>
      <c r="N6336" t="n">
        <v>0</v>
      </c>
      <c r="O6336" t="n">
        <v>0</v>
      </c>
      <c r="P6336" t="n">
        <v>0</v>
      </c>
      <c r="Q6336" t="n">
        <v>0</v>
      </c>
      <c r="R6336" s="2" t="inlineStr"/>
    </row>
    <row r="6337" ht="15" customHeight="1">
      <c r="A6337" t="inlineStr">
        <is>
          <t>A 44338-2023</t>
        </is>
      </c>
      <c r="B6337" s="1" t="n">
        <v>45188</v>
      </c>
      <c r="C6337" s="1" t="n">
        <v>45883</v>
      </c>
      <c r="D6337" t="inlineStr">
        <is>
          <t>GÄVLEBORGS LÄN</t>
        </is>
      </c>
      <c r="E6337" t="inlineStr">
        <is>
          <t>SÖDERHAMN</t>
        </is>
      </c>
      <c r="F6337" t="inlineStr">
        <is>
          <t>Kommuner</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44341-2023</t>
        </is>
      </c>
      <c r="B6338" s="1" t="n">
        <v>45188</v>
      </c>
      <c r="C6338" s="1" t="n">
        <v>45883</v>
      </c>
      <c r="D6338" t="inlineStr">
        <is>
          <t>GÄVLEBORGS LÄN</t>
        </is>
      </c>
      <c r="E6338" t="inlineStr">
        <is>
          <t>SÖDERHAMN</t>
        </is>
      </c>
      <c r="F6338" t="inlineStr">
        <is>
          <t>Kommuner</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7899-2025</t>
        </is>
      </c>
      <c r="B6339" s="1" t="n">
        <v>45707.31538194444</v>
      </c>
      <c r="C6339" s="1" t="n">
        <v>45883</v>
      </c>
      <c r="D6339" t="inlineStr">
        <is>
          <t>GÄVLEBORGS LÄN</t>
        </is>
      </c>
      <c r="E6339" t="inlineStr">
        <is>
          <t>LJUSDAL</t>
        </is>
      </c>
      <c r="F6339" t="inlineStr">
        <is>
          <t>Övriga Aktiebolag</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7919-2025</t>
        </is>
      </c>
      <c r="B6340" s="1" t="n">
        <v>45707.35554398148</v>
      </c>
      <c r="C6340" s="1" t="n">
        <v>45883</v>
      </c>
      <c r="D6340" t="inlineStr">
        <is>
          <t>GÄVLEBORGS LÄN</t>
        </is>
      </c>
      <c r="E6340" t="inlineStr">
        <is>
          <t>OCKELBO</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15646-2022</t>
        </is>
      </c>
      <c r="B6341" s="1" t="n">
        <v>44662.9243287037</v>
      </c>
      <c r="C6341" s="1" t="n">
        <v>45883</v>
      </c>
      <c r="D6341" t="inlineStr">
        <is>
          <t>GÄVLEBORGS LÄN</t>
        </is>
      </c>
      <c r="E6341" t="inlineStr">
        <is>
          <t>SÖDERHAMN</t>
        </is>
      </c>
      <c r="G6341" t="n">
        <v>7.6</v>
      </c>
      <c r="H6341" t="n">
        <v>0</v>
      </c>
      <c r="I6341" t="n">
        <v>0</v>
      </c>
      <c r="J6341" t="n">
        <v>0</v>
      </c>
      <c r="K6341" t="n">
        <v>0</v>
      </c>
      <c r="L6341" t="n">
        <v>0</v>
      </c>
      <c r="M6341" t="n">
        <v>0</v>
      </c>
      <c r="N6341" t="n">
        <v>0</v>
      </c>
      <c r="O6341" t="n">
        <v>0</v>
      </c>
      <c r="P6341" t="n">
        <v>0</v>
      </c>
      <c r="Q6341" t="n">
        <v>0</v>
      </c>
      <c r="R6341" s="2" t="inlineStr"/>
    </row>
    <row r="6342" ht="15" customHeight="1">
      <c r="A6342" t="inlineStr">
        <is>
          <t>A 30940-2022</t>
        </is>
      </c>
      <c r="B6342" s="1" t="n">
        <v>44768.34793981481</v>
      </c>
      <c r="C6342" s="1" t="n">
        <v>45883</v>
      </c>
      <c r="D6342" t="inlineStr">
        <is>
          <t>GÄVLEBORGS LÄN</t>
        </is>
      </c>
      <c r="E6342" t="inlineStr">
        <is>
          <t>NORDANSTIG</t>
        </is>
      </c>
      <c r="F6342" t="inlineStr">
        <is>
          <t>Holmen skog AB</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15825-2025</t>
        </is>
      </c>
      <c r="B6343" s="1" t="n">
        <v>45748.70894675926</v>
      </c>
      <c r="C6343" s="1" t="n">
        <v>45883</v>
      </c>
      <c r="D6343" t="inlineStr">
        <is>
          <t>GÄVLEBORGS LÄN</t>
        </is>
      </c>
      <c r="E6343" t="inlineStr">
        <is>
          <t>LJUSDAL</t>
        </is>
      </c>
      <c r="F6343" t="inlineStr">
        <is>
          <t>SCA</t>
        </is>
      </c>
      <c r="G6343" t="n">
        <v>9.9</v>
      </c>
      <c r="H6343" t="n">
        <v>0</v>
      </c>
      <c r="I6343" t="n">
        <v>0</v>
      </c>
      <c r="J6343" t="n">
        <v>0</v>
      </c>
      <c r="K6343" t="n">
        <v>0</v>
      </c>
      <c r="L6343" t="n">
        <v>0</v>
      </c>
      <c r="M6343" t="n">
        <v>0</v>
      </c>
      <c r="N6343" t="n">
        <v>0</v>
      </c>
      <c r="O6343" t="n">
        <v>0</v>
      </c>
      <c r="P6343" t="n">
        <v>0</v>
      </c>
      <c r="Q6343" t="n">
        <v>0</v>
      </c>
      <c r="R6343" s="2" t="inlineStr"/>
      <c r="U6343">
        <f>HYPERLINK("https://klasma.github.io/Logging_2161/knärot/A 15825-2025 karta knärot.png", "A 15825-2025")</f>
        <v/>
      </c>
      <c r="V6343">
        <f>HYPERLINK("https://klasma.github.io/Logging_2161/klagomål/A 15825-2025 FSC-klagomål.docx", "A 15825-2025")</f>
        <v/>
      </c>
      <c r="W6343">
        <f>HYPERLINK("https://klasma.github.io/Logging_2161/klagomålsmail/A 15825-2025 FSC-klagomål mail.docx", "A 15825-2025")</f>
        <v/>
      </c>
      <c r="X6343">
        <f>HYPERLINK("https://klasma.github.io/Logging_2161/tillsyn/A 15825-2025 tillsynsbegäran.docx", "A 15825-2025")</f>
        <v/>
      </c>
      <c r="Y6343">
        <f>HYPERLINK("https://klasma.github.io/Logging_2161/tillsynsmail/A 15825-2025 tillsynsbegäran mail.docx", "A 15825-2025")</f>
        <v/>
      </c>
    </row>
    <row r="6344" ht="15" customHeight="1">
      <c r="A6344" t="inlineStr">
        <is>
          <t>A 58840-2023</t>
        </is>
      </c>
      <c r="B6344" s="1" t="n">
        <v>45252.42072916667</v>
      </c>
      <c r="C6344" s="1" t="n">
        <v>45883</v>
      </c>
      <c r="D6344" t="inlineStr">
        <is>
          <t>GÄVLEBORGS LÄN</t>
        </is>
      </c>
      <c r="E6344" t="inlineStr">
        <is>
          <t>SANDVIKEN</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58911-2023</t>
        </is>
      </c>
      <c r="B6345" s="1" t="n">
        <v>45250</v>
      </c>
      <c r="C6345" s="1" t="n">
        <v>45883</v>
      </c>
      <c r="D6345" t="inlineStr">
        <is>
          <t>GÄVLEBORGS LÄN</t>
        </is>
      </c>
      <c r="E6345" t="inlineStr">
        <is>
          <t>SANDVIKEN</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35530-2025</t>
        </is>
      </c>
      <c r="B6346" s="1" t="n">
        <v>45856.43303240741</v>
      </c>
      <c r="C6346" s="1" t="n">
        <v>45883</v>
      </c>
      <c r="D6346" t="inlineStr">
        <is>
          <t>GÄVLEBORGS LÄN</t>
        </is>
      </c>
      <c r="E6346" t="inlineStr">
        <is>
          <t>OCKELBO</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53520-2023</t>
        </is>
      </c>
      <c r="B6347" s="1" t="n">
        <v>45230.42870370371</v>
      </c>
      <c r="C6347" s="1" t="n">
        <v>45883</v>
      </c>
      <c r="D6347" t="inlineStr">
        <is>
          <t>GÄVLEBORGS LÄN</t>
        </is>
      </c>
      <c r="E6347" t="inlineStr">
        <is>
          <t>HUDIKSVALL</t>
        </is>
      </c>
      <c r="F6347" t="inlineStr">
        <is>
          <t>Holmen skog AB</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55002-2023</t>
        </is>
      </c>
      <c r="B6348" s="1" t="n">
        <v>45236</v>
      </c>
      <c r="C6348" s="1" t="n">
        <v>45883</v>
      </c>
      <c r="D6348" t="inlineStr">
        <is>
          <t>GÄVLEBORGS LÄN</t>
        </is>
      </c>
      <c r="E6348" t="inlineStr">
        <is>
          <t>NORDANSTIG</t>
        </is>
      </c>
      <c r="F6348" t="inlineStr">
        <is>
          <t>SCA</t>
        </is>
      </c>
      <c r="G6348" t="n">
        <v>3.7</v>
      </c>
      <c r="H6348" t="n">
        <v>0</v>
      </c>
      <c r="I6348" t="n">
        <v>0</v>
      </c>
      <c r="J6348" t="n">
        <v>0</v>
      </c>
      <c r="K6348" t="n">
        <v>0</v>
      </c>
      <c r="L6348" t="n">
        <v>0</v>
      </c>
      <c r="M6348" t="n">
        <v>0</v>
      </c>
      <c r="N6348" t="n">
        <v>0</v>
      </c>
      <c r="O6348" t="n">
        <v>0</v>
      </c>
      <c r="P6348" t="n">
        <v>0</v>
      </c>
      <c r="Q6348" t="n">
        <v>0</v>
      </c>
      <c r="R6348" s="2" t="inlineStr"/>
    </row>
    <row r="6349" ht="15" customHeight="1">
      <c r="A6349" t="inlineStr">
        <is>
          <t>A 35447-2025</t>
        </is>
      </c>
      <c r="B6349" s="1" t="n">
        <v>45855.54505787037</v>
      </c>
      <c r="C6349" s="1" t="n">
        <v>45883</v>
      </c>
      <c r="D6349" t="inlineStr">
        <is>
          <t>GÄVLEBORGS LÄN</t>
        </is>
      </c>
      <c r="E6349" t="inlineStr">
        <is>
          <t>BOLLNÄS</t>
        </is>
      </c>
      <c r="F6349" t="inlineStr">
        <is>
          <t>Bergvik skog väst AB</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27499-2025</t>
        </is>
      </c>
      <c r="B6350" s="1" t="n">
        <v>45813.40526620371</v>
      </c>
      <c r="C6350" s="1" t="n">
        <v>45883</v>
      </c>
      <c r="D6350" t="inlineStr">
        <is>
          <t>GÄVLEBORGS LÄN</t>
        </is>
      </c>
      <c r="E6350" t="inlineStr">
        <is>
          <t>OVANÅKER</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60041-2023</t>
        </is>
      </c>
      <c r="B6351" s="1" t="n">
        <v>45258.34424768519</v>
      </c>
      <c r="C6351" s="1" t="n">
        <v>45883</v>
      </c>
      <c r="D6351" t="inlineStr">
        <is>
          <t>GÄVLEBORGS LÄN</t>
        </is>
      </c>
      <c r="E6351" t="inlineStr">
        <is>
          <t>NORDANSTIG</t>
        </is>
      </c>
      <c r="G6351" t="n">
        <v>7.2</v>
      </c>
      <c r="H6351" t="n">
        <v>0</v>
      </c>
      <c r="I6351" t="n">
        <v>0</v>
      </c>
      <c r="J6351" t="n">
        <v>0</v>
      </c>
      <c r="K6351" t="n">
        <v>0</v>
      </c>
      <c r="L6351" t="n">
        <v>0</v>
      </c>
      <c r="M6351" t="n">
        <v>0</v>
      </c>
      <c r="N6351" t="n">
        <v>0</v>
      </c>
      <c r="O6351" t="n">
        <v>0</v>
      </c>
      <c r="P6351" t="n">
        <v>0</v>
      </c>
      <c r="Q6351" t="n">
        <v>0</v>
      </c>
      <c r="R6351" s="2" t="inlineStr"/>
    </row>
    <row r="6352" ht="15" customHeight="1">
      <c r="A6352" t="inlineStr">
        <is>
          <t>A 51560-2023</t>
        </is>
      </c>
      <c r="B6352" s="1" t="n">
        <v>45222.44016203703</v>
      </c>
      <c r="C6352" s="1" t="n">
        <v>45883</v>
      </c>
      <c r="D6352" t="inlineStr">
        <is>
          <t>GÄVLEBORGS LÄN</t>
        </is>
      </c>
      <c r="E6352" t="inlineStr">
        <is>
          <t>NORDANSTIG</t>
        </is>
      </c>
      <c r="G6352" t="n">
        <v>26.9</v>
      </c>
      <c r="H6352" t="n">
        <v>0</v>
      </c>
      <c r="I6352" t="n">
        <v>0</v>
      </c>
      <c r="J6352" t="n">
        <v>0</v>
      </c>
      <c r="K6352" t="n">
        <v>0</v>
      </c>
      <c r="L6352" t="n">
        <v>0</v>
      </c>
      <c r="M6352" t="n">
        <v>0</v>
      </c>
      <c r="N6352" t="n">
        <v>0</v>
      </c>
      <c r="O6352" t="n">
        <v>0</v>
      </c>
      <c r="P6352" t="n">
        <v>0</v>
      </c>
      <c r="Q6352" t="n">
        <v>0</v>
      </c>
      <c r="R6352" s="2" t="inlineStr"/>
    </row>
    <row r="6353" ht="15" customHeight="1">
      <c r="A6353" t="inlineStr">
        <is>
          <t>A 9477-2025</t>
        </is>
      </c>
      <c r="B6353" s="1" t="n">
        <v>45715.47542824074</v>
      </c>
      <c r="C6353" s="1" t="n">
        <v>45883</v>
      </c>
      <c r="D6353" t="inlineStr">
        <is>
          <t>GÄVLEBORGS LÄN</t>
        </is>
      </c>
      <c r="E6353" t="inlineStr">
        <is>
          <t>HUDIKSVALL</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27447-2025</t>
        </is>
      </c>
      <c r="B6354" s="1" t="n">
        <v>45813.32945601852</v>
      </c>
      <c r="C6354" s="1" t="n">
        <v>45883</v>
      </c>
      <c r="D6354" t="inlineStr">
        <is>
          <t>GÄVLEBORGS LÄN</t>
        </is>
      </c>
      <c r="E6354" t="inlineStr">
        <is>
          <t>NORDANSTIG</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33296-2023</t>
        </is>
      </c>
      <c r="B6355" s="1" t="n">
        <v>45127.69603009259</v>
      </c>
      <c r="C6355" s="1" t="n">
        <v>45883</v>
      </c>
      <c r="D6355" t="inlineStr">
        <is>
          <t>GÄVLEBORGS LÄN</t>
        </is>
      </c>
      <c r="E6355" t="inlineStr">
        <is>
          <t>HOFORS</t>
        </is>
      </c>
      <c r="F6355" t="inlineStr">
        <is>
          <t>Sveaskog</t>
        </is>
      </c>
      <c r="G6355" t="n">
        <v>6.4</v>
      </c>
      <c r="H6355" t="n">
        <v>0</v>
      </c>
      <c r="I6355" t="n">
        <v>0</v>
      </c>
      <c r="J6355" t="n">
        <v>0</v>
      </c>
      <c r="K6355" t="n">
        <v>0</v>
      </c>
      <c r="L6355" t="n">
        <v>0</v>
      </c>
      <c r="M6355" t="n">
        <v>0</v>
      </c>
      <c r="N6355" t="n">
        <v>0</v>
      </c>
      <c r="O6355" t="n">
        <v>0</v>
      </c>
      <c r="P6355" t="n">
        <v>0</v>
      </c>
      <c r="Q6355" t="n">
        <v>0</v>
      </c>
      <c r="R6355" s="2" t="inlineStr"/>
    </row>
    <row r="6356" ht="15" customHeight="1">
      <c r="A6356" t="inlineStr">
        <is>
          <t>A 36521-2022</t>
        </is>
      </c>
      <c r="B6356" s="1" t="n">
        <v>44804.53847222222</v>
      </c>
      <c r="C6356" s="1" t="n">
        <v>45883</v>
      </c>
      <c r="D6356" t="inlineStr">
        <is>
          <t>GÄVLEBORGS LÄN</t>
        </is>
      </c>
      <c r="E6356" t="inlineStr">
        <is>
          <t>OCKELBO</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27432-2025</t>
        </is>
      </c>
      <c r="B6357" s="1" t="n">
        <v>45813</v>
      </c>
      <c r="C6357" s="1" t="n">
        <v>45883</v>
      </c>
      <c r="D6357" t="inlineStr">
        <is>
          <t>GÄVLEBORGS LÄN</t>
        </is>
      </c>
      <c r="E6357" t="inlineStr">
        <is>
          <t>HOFORS</t>
        </is>
      </c>
      <c r="F6357" t="inlineStr">
        <is>
          <t>Sveaskog</t>
        </is>
      </c>
      <c r="G6357" t="n">
        <v>3.6</v>
      </c>
      <c r="H6357" t="n">
        <v>0</v>
      </c>
      <c r="I6357" t="n">
        <v>0</v>
      </c>
      <c r="J6357" t="n">
        <v>0</v>
      </c>
      <c r="K6357" t="n">
        <v>0</v>
      </c>
      <c r="L6357" t="n">
        <v>0</v>
      </c>
      <c r="M6357" t="n">
        <v>0</v>
      </c>
      <c r="N6357" t="n">
        <v>0</v>
      </c>
      <c r="O6357" t="n">
        <v>0</v>
      </c>
      <c r="P6357" t="n">
        <v>0</v>
      </c>
      <c r="Q6357" t="n">
        <v>0</v>
      </c>
      <c r="R6357" s="2" t="inlineStr"/>
    </row>
    <row r="6358" ht="15" customHeight="1">
      <c r="A6358" t="inlineStr">
        <is>
          <t>A 27441-2025</t>
        </is>
      </c>
      <c r="B6358" s="1" t="n">
        <v>45813.31630787037</v>
      </c>
      <c r="C6358" s="1" t="n">
        <v>45883</v>
      </c>
      <c r="D6358" t="inlineStr">
        <is>
          <t>GÄVLEBORGS LÄN</t>
        </is>
      </c>
      <c r="E6358" t="inlineStr">
        <is>
          <t>HOFORS</t>
        </is>
      </c>
      <c r="F6358" t="inlineStr">
        <is>
          <t>Sveaskog</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60398-2023</t>
        </is>
      </c>
      <c r="B6359" s="1" t="n">
        <v>45259</v>
      </c>
      <c r="C6359" s="1" t="n">
        <v>45883</v>
      </c>
      <c r="D6359" t="inlineStr">
        <is>
          <t>GÄVLEBORGS LÄN</t>
        </is>
      </c>
      <c r="E6359" t="inlineStr">
        <is>
          <t>NORDANSTIG</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21211-2025</t>
        </is>
      </c>
      <c r="B6360" s="1" t="n">
        <v>45779</v>
      </c>
      <c r="C6360" s="1" t="n">
        <v>45883</v>
      </c>
      <c r="D6360" t="inlineStr">
        <is>
          <t>GÄVLEBORGS LÄN</t>
        </is>
      </c>
      <c r="E6360" t="inlineStr">
        <is>
          <t>BOLLNÄS</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27431-2025</t>
        </is>
      </c>
      <c r="B6361" s="1" t="n">
        <v>45813</v>
      </c>
      <c r="C6361" s="1" t="n">
        <v>45883</v>
      </c>
      <c r="D6361" t="inlineStr">
        <is>
          <t>GÄVLEBORGS LÄN</t>
        </is>
      </c>
      <c r="E6361" t="inlineStr">
        <is>
          <t>HOFORS</t>
        </is>
      </c>
      <c r="F6361" t="inlineStr">
        <is>
          <t>Sveaskog</t>
        </is>
      </c>
      <c r="G6361" t="n">
        <v>3.4</v>
      </c>
      <c r="H6361" t="n">
        <v>0</v>
      </c>
      <c r="I6361" t="n">
        <v>0</v>
      </c>
      <c r="J6361" t="n">
        <v>0</v>
      </c>
      <c r="K6361" t="n">
        <v>0</v>
      </c>
      <c r="L6361" t="n">
        <v>0</v>
      </c>
      <c r="M6361" t="n">
        <v>0</v>
      </c>
      <c r="N6361" t="n">
        <v>0</v>
      </c>
      <c r="O6361" t="n">
        <v>0</v>
      </c>
      <c r="P6361" t="n">
        <v>0</v>
      </c>
      <c r="Q6361" t="n">
        <v>0</v>
      </c>
      <c r="R6361" s="2" t="inlineStr"/>
    </row>
    <row r="6362" ht="15" customHeight="1">
      <c r="A6362" t="inlineStr">
        <is>
          <t>A 27436-2025</t>
        </is>
      </c>
      <c r="B6362" s="1" t="n">
        <v>45813</v>
      </c>
      <c r="C6362" s="1" t="n">
        <v>45883</v>
      </c>
      <c r="D6362" t="inlineStr">
        <is>
          <t>GÄVLEBORGS LÄN</t>
        </is>
      </c>
      <c r="E6362" t="inlineStr">
        <is>
          <t>HOFORS</t>
        </is>
      </c>
      <c r="F6362" t="inlineStr">
        <is>
          <t>Sveaskog</t>
        </is>
      </c>
      <c r="G6362" t="n">
        <v>5.5</v>
      </c>
      <c r="H6362" t="n">
        <v>0</v>
      </c>
      <c r="I6362" t="n">
        <v>0</v>
      </c>
      <c r="J6362" t="n">
        <v>0</v>
      </c>
      <c r="K6362" t="n">
        <v>0</v>
      </c>
      <c r="L6362" t="n">
        <v>0</v>
      </c>
      <c r="M6362" t="n">
        <v>0</v>
      </c>
      <c r="N6362" t="n">
        <v>0</v>
      </c>
      <c r="O6362" t="n">
        <v>0</v>
      </c>
      <c r="P6362" t="n">
        <v>0</v>
      </c>
      <c r="Q6362" t="n">
        <v>0</v>
      </c>
      <c r="R6362" s="2" t="inlineStr"/>
    </row>
    <row r="6363" ht="15" customHeight="1">
      <c r="A6363" t="inlineStr">
        <is>
          <t>A 41023-2023</t>
        </is>
      </c>
      <c r="B6363" s="1" t="n">
        <v>45173.59473379629</v>
      </c>
      <c r="C6363" s="1" t="n">
        <v>45883</v>
      </c>
      <c r="D6363" t="inlineStr">
        <is>
          <t>GÄVLEBORGS LÄN</t>
        </is>
      </c>
      <c r="E6363" t="inlineStr">
        <is>
          <t>SANDVIKEN</t>
        </is>
      </c>
      <c r="F6363" t="inlineStr">
        <is>
          <t>Sveaskog</t>
        </is>
      </c>
      <c r="G6363" t="n">
        <v>5.2</v>
      </c>
      <c r="H6363" t="n">
        <v>0</v>
      </c>
      <c r="I6363" t="n">
        <v>0</v>
      </c>
      <c r="J6363" t="n">
        <v>0</v>
      </c>
      <c r="K6363" t="n">
        <v>0</v>
      </c>
      <c r="L6363" t="n">
        <v>0</v>
      </c>
      <c r="M6363" t="n">
        <v>0</v>
      </c>
      <c r="N6363" t="n">
        <v>0</v>
      </c>
      <c r="O6363" t="n">
        <v>0</v>
      </c>
      <c r="P6363" t="n">
        <v>0</v>
      </c>
      <c r="Q6363" t="n">
        <v>0</v>
      </c>
      <c r="R6363" s="2" t="inlineStr"/>
    </row>
    <row r="6364" ht="15" customHeight="1">
      <c r="A6364" t="inlineStr">
        <is>
          <t>A 35997-2023</t>
        </is>
      </c>
      <c r="B6364" s="1" t="n">
        <v>45149.33300925926</v>
      </c>
      <c r="C6364" s="1" t="n">
        <v>45883</v>
      </c>
      <c r="D6364" t="inlineStr">
        <is>
          <t>GÄVLEBORGS LÄN</t>
        </is>
      </c>
      <c r="E6364" t="inlineStr">
        <is>
          <t>LJUSDAL</t>
        </is>
      </c>
      <c r="F6364" t="inlineStr">
        <is>
          <t>Holmen skog AB</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35450-2025</t>
        </is>
      </c>
      <c r="B6365" s="1" t="n">
        <v>45855.56597222222</v>
      </c>
      <c r="C6365" s="1" t="n">
        <v>45883</v>
      </c>
      <c r="D6365" t="inlineStr">
        <is>
          <t>GÄVLEBORGS LÄN</t>
        </is>
      </c>
      <c r="E6365" t="inlineStr">
        <is>
          <t>GÄVLE</t>
        </is>
      </c>
      <c r="G6365" t="n">
        <v>8.199999999999999</v>
      </c>
      <c r="H6365" t="n">
        <v>0</v>
      </c>
      <c r="I6365" t="n">
        <v>0</v>
      </c>
      <c r="J6365" t="n">
        <v>0</v>
      </c>
      <c r="K6365" t="n">
        <v>0</v>
      </c>
      <c r="L6365" t="n">
        <v>0</v>
      </c>
      <c r="M6365" t="n">
        <v>0</v>
      </c>
      <c r="N6365" t="n">
        <v>0</v>
      </c>
      <c r="O6365" t="n">
        <v>0</v>
      </c>
      <c r="P6365" t="n">
        <v>0</v>
      </c>
      <c r="Q6365" t="n">
        <v>0</v>
      </c>
      <c r="R6365" s="2" t="inlineStr"/>
    </row>
    <row r="6366" ht="15" customHeight="1">
      <c r="A6366" t="inlineStr">
        <is>
          <t>A 27932-2025</t>
        </is>
      </c>
      <c r="B6366" s="1" t="n">
        <v>45817.49524305556</v>
      </c>
      <c r="C6366" s="1" t="n">
        <v>45883</v>
      </c>
      <c r="D6366" t="inlineStr">
        <is>
          <t>GÄVLEBORGS LÄN</t>
        </is>
      </c>
      <c r="E6366" t="inlineStr">
        <is>
          <t>LJUSDAL</t>
        </is>
      </c>
      <c r="F6366" t="inlineStr">
        <is>
          <t>Holmen skog AB</t>
        </is>
      </c>
      <c r="G6366" t="n">
        <v>18.2</v>
      </c>
      <c r="H6366" t="n">
        <v>0</v>
      </c>
      <c r="I6366" t="n">
        <v>0</v>
      </c>
      <c r="J6366" t="n">
        <v>0</v>
      </c>
      <c r="K6366" t="n">
        <v>0</v>
      </c>
      <c r="L6366" t="n">
        <v>0</v>
      </c>
      <c r="M6366" t="n">
        <v>0</v>
      </c>
      <c r="N6366" t="n">
        <v>0</v>
      </c>
      <c r="O6366" t="n">
        <v>0</v>
      </c>
      <c r="P6366" t="n">
        <v>0</v>
      </c>
      <c r="Q6366" t="n">
        <v>0</v>
      </c>
      <c r="R6366" s="2" t="inlineStr"/>
    </row>
    <row r="6367" ht="15" customHeight="1">
      <c r="A6367" t="inlineStr">
        <is>
          <t>A 58562-2023</t>
        </is>
      </c>
      <c r="B6367" s="1" t="n">
        <v>45251.43935185186</v>
      </c>
      <c r="C6367" s="1" t="n">
        <v>45883</v>
      </c>
      <c r="D6367" t="inlineStr">
        <is>
          <t>GÄVLEBORGS LÄN</t>
        </is>
      </c>
      <c r="E6367" t="inlineStr">
        <is>
          <t>SANDVIKEN</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26249-2022</t>
        </is>
      </c>
      <c r="B6368" s="1" t="n">
        <v>44735.49341435185</v>
      </c>
      <c r="C6368" s="1" t="n">
        <v>45883</v>
      </c>
      <c r="D6368" t="inlineStr">
        <is>
          <t>GÄVLEBORGS LÄN</t>
        </is>
      </c>
      <c r="E6368" t="inlineStr">
        <is>
          <t>GÄVLE</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27964-2025</t>
        </is>
      </c>
      <c r="B6369" s="1" t="n">
        <v>45817.55414351852</v>
      </c>
      <c r="C6369" s="1" t="n">
        <v>45883</v>
      </c>
      <c r="D6369" t="inlineStr">
        <is>
          <t>GÄVLEBORGS LÄN</t>
        </is>
      </c>
      <c r="E6369" t="inlineStr">
        <is>
          <t>OVANÅKER</t>
        </is>
      </c>
      <c r="F6369" t="inlineStr">
        <is>
          <t>Bergvik skog väst AB</t>
        </is>
      </c>
      <c r="G6369" t="n">
        <v>14.8</v>
      </c>
      <c r="H6369" t="n">
        <v>0</v>
      </c>
      <c r="I6369" t="n">
        <v>0</v>
      </c>
      <c r="J6369" t="n">
        <v>0</v>
      </c>
      <c r="K6369" t="n">
        <v>0</v>
      </c>
      <c r="L6369" t="n">
        <v>0</v>
      </c>
      <c r="M6369" t="n">
        <v>0</v>
      </c>
      <c r="N6369" t="n">
        <v>0</v>
      </c>
      <c r="O6369" t="n">
        <v>0</v>
      </c>
      <c r="P6369" t="n">
        <v>0</v>
      </c>
      <c r="Q6369" t="n">
        <v>0</v>
      </c>
      <c r="R6369" s="2" t="inlineStr"/>
    </row>
    <row r="6370" ht="15" customHeight="1">
      <c r="A6370" t="inlineStr">
        <is>
          <t>A 27997-2025</t>
        </is>
      </c>
      <c r="B6370" s="1" t="n">
        <v>45817.59430555555</v>
      </c>
      <c r="C6370" s="1" t="n">
        <v>45883</v>
      </c>
      <c r="D6370" t="inlineStr">
        <is>
          <t>GÄVLEBORGS LÄN</t>
        </is>
      </c>
      <c r="E6370" t="inlineStr">
        <is>
          <t>OCKELBO</t>
        </is>
      </c>
      <c r="F6370" t="inlineStr">
        <is>
          <t>Bergvik skog väst AB</t>
        </is>
      </c>
      <c r="G6370" t="n">
        <v>5.4</v>
      </c>
      <c r="H6370" t="n">
        <v>0</v>
      </c>
      <c r="I6370" t="n">
        <v>0</v>
      </c>
      <c r="J6370" t="n">
        <v>0</v>
      </c>
      <c r="K6370" t="n">
        <v>0</v>
      </c>
      <c r="L6370" t="n">
        <v>0</v>
      </c>
      <c r="M6370" t="n">
        <v>0</v>
      </c>
      <c r="N6370" t="n">
        <v>0</v>
      </c>
      <c r="O6370" t="n">
        <v>0</v>
      </c>
      <c r="P6370" t="n">
        <v>0</v>
      </c>
      <c r="Q6370" t="n">
        <v>0</v>
      </c>
      <c r="R6370" s="2" t="inlineStr"/>
    </row>
    <row r="6371" ht="15" customHeight="1">
      <c r="A6371" t="inlineStr">
        <is>
          <t>A 58369-2023</t>
        </is>
      </c>
      <c r="B6371" s="1" t="n">
        <v>45250</v>
      </c>
      <c r="C6371" s="1" t="n">
        <v>45883</v>
      </c>
      <c r="D6371" t="inlineStr">
        <is>
          <t>GÄVLEBORGS LÄN</t>
        </is>
      </c>
      <c r="E6371" t="inlineStr">
        <is>
          <t>HOFORS</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29289-2022</t>
        </is>
      </c>
      <c r="B6372" s="1" t="n">
        <v>44750</v>
      </c>
      <c r="C6372" s="1" t="n">
        <v>45883</v>
      </c>
      <c r="D6372" t="inlineStr">
        <is>
          <t>GÄVLEBORGS LÄN</t>
        </is>
      </c>
      <c r="E6372" t="inlineStr">
        <is>
          <t>SÖDERHAMN</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18909-2025</t>
        </is>
      </c>
      <c r="B6373" s="1" t="n">
        <v>45764.46388888889</v>
      </c>
      <c r="C6373" s="1" t="n">
        <v>45883</v>
      </c>
      <c r="D6373" t="inlineStr">
        <is>
          <t>GÄVLEBORGS LÄN</t>
        </is>
      </c>
      <c r="E6373" t="inlineStr">
        <is>
          <t>SÖDERHAMN</t>
        </is>
      </c>
      <c r="F6373" t="inlineStr">
        <is>
          <t>Kommuner</t>
        </is>
      </c>
      <c r="G6373" t="n">
        <v>4.1</v>
      </c>
      <c r="H6373" t="n">
        <v>0</v>
      </c>
      <c r="I6373" t="n">
        <v>0</v>
      </c>
      <c r="J6373" t="n">
        <v>0</v>
      </c>
      <c r="K6373" t="n">
        <v>0</v>
      </c>
      <c r="L6373" t="n">
        <v>0</v>
      </c>
      <c r="M6373" t="n">
        <v>0</v>
      </c>
      <c r="N6373" t="n">
        <v>0</v>
      </c>
      <c r="O6373" t="n">
        <v>0</v>
      </c>
      <c r="P6373" t="n">
        <v>0</v>
      </c>
      <c r="Q6373" t="n">
        <v>0</v>
      </c>
      <c r="R6373" s="2" t="inlineStr"/>
    </row>
    <row r="6374" ht="15" customHeight="1">
      <c r="A6374" t="inlineStr">
        <is>
          <t>A 18911-2025</t>
        </is>
      </c>
      <c r="B6374" s="1" t="n">
        <v>45764.46538194444</v>
      </c>
      <c r="C6374" s="1" t="n">
        <v>45883</v>
      </c>
      <c r="D6374" t="inlineStr">
        <is>
          <t>GÄVLEBORGS LÄN</t>
        </is>
      </c>
      <c r="E6374" t="inlineStr">
        <is>
          <t>LJUSDAL</t>
        </is>
      </c>
      <c r="G6374" t="n">
        <v>2.8</v>
      </c>
      <c r="H6374" t="n">
        <v>0</v>
      </c>
      <c r="I6374" t="n">
        <v>0</v>
      </c>
      <c r="J6374" t="n">
        <v>0</v>
      </c>
      <c r="K6374" t="n">
        <v>0</v>
      </c>
      <c r="L6374" t="n">
        <v>0</v>
      </c>
      <c r="M6374" t="n">
        <v>0</v>
      </c>
      <c r="N6374" t="n">
        <v>0</v>
      </c>
      <c r="O6374" t="n">
        <v>0</v>
      </c>
      <c r="P6374" t="n">
        <v>0</v>
      </c>
      <c r="Q6374" t="n">
        <v>0</v>
      </c>
      <c r="R6374" s="2" t="inlineStr"/>
    </row>
    <row r="6375" ht="15" customHeight="1">
      <c r="A6375" t="inlineStr">
        <is>
          <t>A 24228-2022</t>
        </is>
      </c>
      <c r="B6375" s="1" t="n">
        <v>44725</v>
      </c>
      <c r="C6375" s="1" t="n">
        <v>45883</v>
      </c>
      <c r="D6375" t="inlineStr">
        <is>
          <t>GÄVLEBORGS LÄN</t>
        </is>
      </c>
      <c r="E6375" t="inlineStr">
        <is>
          <t>OCKELBO</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27791-2025</t>
        </is>
      </c>
      <c r="B6376" s="1" t="n">
        <v>45816</v>
      </c>
      <c r="C6376" s="1" t="n">
        <v>45883</v>
      </c>
      <c r="D6376" t="inlineStr">
        <is>
          <t>GÄVLEBORGS LÄN</t>
        </is>
      </c>
      <c r="E6376" t="inlineStr">
        <is>
          <t>HUDIKSVALL</t>
        </is>
      </c>
      <c r="G6376" t="n">
        <v>3.5</v>
      </c>
      <c r="H6376" t="n">
        <v>0</v>
      </c>
      <c r="I6376" t="n">
        <v>0</v>
      </c>
      <c r="J6376" t="n">
        <v>0</v>
      </c>
      <c r="K6376" t="n">
        <v>0</v>
      </c>
      <c r="L6376" t="n">
        <v>0</v>
      </c>
      <c r="M6376" t="n">
        <v>0</v>
      </c>
      <c r="N6376" t="n">
        <v>0</v>
      </c>
      <c r="O6376" t="n">
        <v>0</v>
      </c>
      <c r="P6376" t="n">
        <v>0</v>
      </c>
      <c r="Q6376" t="n">
        <v>0</v>
      </c>
      <c r="R6376" s="2" t="inlineStr"/>
    </row>
    <row r="6377" ht="15" customHeight="1">
      <c r="A6377" t="inlineStr">
        <is>
          <t>A 27880-2025</t>
        </is>
      </c>
      <c r="B6377" s="1" t="n">
        <v>45817.44366898148</v>
      </c>
      <c r="C6377" s="1" t="n">
        <v>45883</v>
      </c>
      <c r="D6377" t="inlineStr">
        <is>
          <t>GÄVLEBORGS LÄN</t>
        </is>
      </c>
      <c r="E6377" t="inlineStr">
        <is>
          <t>OVANÅKER</t>
        </is>
      </c>
      <c r="F6377" t="inlineStr">
        <is>
          <t>Bergvik skog väst AB</t>
        </is>
      </c>
      <c r="G6377" t="n">
        <v>16.9</v>
      </c>
      <c r="H6377" t="n">
        <v>0</v>
      </c>
      <c r="I6377" t="n">
        <v>0</v>
      </c>
      <c r="J6377" t="n">
        <v>0</v>
      </c>
      <c r="K6377" t="n">
        <v>0</v>
      </c>
      <c r="L6377" t="n">
        <v>0</v>
      </c>
      <c r="M6377" t="n">
        <v>0</v>
      </c>
      <c r="N6377" t="n">
        <v>0</v>
      </c>
      <c r="O6377" t="n">
        <v>0</v>
      </c>
      <c r="P6377" t="n">
        <v>0</v>
      </c>
      <c r="Q6377" t="n">
        <v>0</v>
      </c>
      <c r="R6377" s="2" t="inlineStr"/>
    </row>
    <row r="6378" ht="15" customHeight="1">
      <c r="A6378" t="inlineStr">
        <is>
          <t>A 28237-2025</t>
        </is>
      </c>
      <c r="B6378" s="1" t="n">
        <v>45818.50258101852</v>
      </c>
      <c r="C6378" s="1" t="n">
        <v>45883</v>
      </c>
      <c r="D6378" t="inlineStr">
        <is>
          <t>GÄVLEBORGS LÄN</t>
        </is>
      </c>
      <c r="E6378" t="inlineStr">
        <is>
          <t>NORDANSTIG</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28238-2025</t>
        </is>
      </c>
      <c r="B6379" s="1" t="n">
        <v>45818.50530092593</v>
      </c>
      <c r="C6379" s="1" t="n">
        <v>45883</v>
      </c>
      <c r="D6379" t="inlineStr">
        <is>
          <t>GÄVLEBORGS LÄN</t>
        </is>
      </c>
      <c r="E6379" t="inlineStr">
        <is>
          <t>NORDANSTIG</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28163-2025</t>
        </is>
      </c>
      <c r="B6380" s="1" t="n">
        <v>45818.37123842593</v>
      </c>
      <c r="C6380" s="1" t="n">
        <v>45883</v>
      </c>
      <c r="D6380" t="inlineStr">
        <is>
          <t>GÄVLEBORGS LÄN</t>
        </is>
      </c>
      <c r="E6380" t="inlineStr">
        <is>
          <t>HUDIKSVALL</t>
        </is>
      </c>
      <c r="G6380" t="n">
        <v>4.4</v>
      </c>
      <c r="H6380" t="n">
        <v>0</v>
      </c>
      <c r="I6380" t="n">
        <v>0</v>
      </c>
      <c r="J6380" t="n">
        <v>0</v>
      </c>
      <c r="K6380" t="n">
        <v>0</v>
      </c>
      <c r="L6380" t="n">
        <v>0</v>
      </c>
      <c r="M6380" t="n">
        <v>0</v>
      </c>
      <c r="N6380" t="n">
        <v>0</v>
      </c>
      <c r="O6380" t="n">
        <v>0</v>
      </c>
      <c r="P6380" t="n">
        <v>0</v>
      </c>
      <c r="Q6380" t="n">
        <v>0</v>
      </c>
      <c r="R6380" s="2" t="inlineStr"/>
    </row>
    <row r="6381" ht="15" customHeight="1">
      <c r="A6381" t="inlineStr">
        <is>
          <t>A 18926-2025</t>
        </is>
      </c>
      <c r="B6381" s="1" t="n">
        <v>45764.48270833334</v>
      </c>
      <c r="C6381" s="1" t="n">
        <v>45883</v>
      </c>
      <c r="D6381" t="inlineStr">
        <is>
          <t>GÄVLEBORGS LÄN</t>
        </is>
      </c>
      <c r="E6381" t="inlineStr">
        <is>
          <t>HUDIKSVALL</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28339-2025</t>
        </is>
      </c>
      <c r="B6382" s="1" t="n">
        <v>45818.67405092593</v>
      </c>
      <c r="C6382" s="1" t="n">
        <v>45883</v>
      </c>
      <c r="D6382" t="inlineStr">
        <is>
          <t>GÄVLEBORGS LÄN</t>
        </is>
      </c>
      <c r="E6382" t="inlineStr">
        <is>
          <t>BOLLNÄS</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20999-2022</t>
        </is>
      </c>
      <c r="B6383" s="1" t="n">
        <v>44701</v>
      </c>
      <c r="C6383" s="1" t="n">
        <v>45883</v>
      </c>
      <c r="D6383" t="inlineStr">
        <is>
          <t>GÄVLEBORGS LÄN</t>
        </is>
      </c>
      <c r="E6383" t="inlineStr">
        <is>
          <t>GÄVLE</t>
        </is>
      </c>
      <c r="F6383" t="inlineStr">
        <is>
          <t>Bergvik skog väst AB</t>
        </is>
      </c>
      <c r="G6383" t="n">
        <v>26.3</v>
      </c>
      <c r="H6383" t="n">
        <v>0</v>
      </c>
      <c r="I6383" t="n">
        <v>0</v>
      </c>
      <c r="J6383" t="n">
        <v>0</v>
      </c>
      <c r="K6383" t="n">
        <v>0</v>
      </c>
      <c r="L6383" t="n">
        <v>0</v>
      </c>
      <c r="M6383" t="n">
        <v>0</v>
      </c>
      <c r="N6383" t="n">
        <v>0</v>
      </c>
      <c r="O6383" t="n">
        <v>0</v>
      </c>
      <c r="P6383" t="n">
        <v>0</v>
      </c>
      <c r="Q6383" t="n">
        <v>0</v>
      </c>
      <c r="R6383" s="2" t="inlineStr"/>
    </row>
    <row r="6384" ht="15" customHeight="1">
      <c r="A6384" t="inlineStr">
        <is>
          <t>A 35725-2025</t>
        </is>
      </c>
      <c r="B6384" s="1" t="n">
        <v>45860.45087962963</v>
      </c>
      <c r="C6384" s="1" t="n">
        <v>45883</v>
      </c>
      <c r="D6384" t="inlineStr">
        <is>
          <t>GÄVLEBORGS LÄN</t>
        </is>
      </c>
      <c r="E6384" t="inlineStr">
        <is>
          <t>NORDANSTIG</t>
        </is>
      </c>
      <c r="F6384" t="inlineStr">
        <is>
          <t>Holmen skog AB</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27903-2025</t>
        </is>
      </c>
      <c r="B6385" s="1" t="n">
        <v>45817.46649305556</v>
      </c>
      <c r="C6385" s="1" t="n">
        <v>45883</v>
      </c>
      <c r="D6385" t="inlineStr">
        <is>
          <t>GÄVLEBORGS LÄN</t>
        </is>
      </c>
      <c r="E6385" t="inlineStr">
        <is>
          <t>OVANÅKER</t>
        </is>
      </c>
      <c r="F6385" t="inlineStr">
        <is>
          <t>Bergvik skog väst AB</t>
        </is>
      </c>
      <c r="G6385" t="n">
        <v>13.1</v>
      </c>
      <c r="H6385" t="n">
        <v>0</v>
      </c>
      <c r="I6385" t="n">
        <v>0</v>
      </c>
      <c r="J6385" t="n">
        <v>0</v>
      </c>
      <c r="K6385" t="n">
        <v>0</v>
      </c>
      <c r="L6385" t="n">
        <v>0</v>
      </c>
      <c r="M6385" t="n">
        <v>0</v>
      </c>
      <c r="N6385" t="n">
        <v>0</v>
      </c>
      <c r="O6385" t="n">
        <v>0</v>
      </c>
      <c r="P6385" t="n">
        <v>0</v>
      </c>
      <c r="Q6385" t="n">
        <v>0</v>
      </c>
      <c r="R6385" s="2" t="inlineStr"/>
    </row>
    <row r="6386" ht="15" customHeight="1">
      <c r="A6386" t="inlineStr">
        <is>
          <t>A 27911-2025</t>
        </is>
      </c>
      <c r="B6386" s="1" t="n">
        <v>45817.4777662037</v>
      </c>
      <c r="C6386" s="1" t="n">
        <v>45883</v>
      </c>
      <c r="D6386" t="inlineStr">
        <is>
          <t>GÄVLEBORGS LÄN</t>
        </is>
      </c>
      <c r="E6386" t="inlineStr">
        <is>
          <t>OVANÅKER</t>
        </is>
      </c>
      <c r="F6386" t="inlineStr">
        <is>
          <t>Bergvik skog väst AB</t>
        </is>
      </c>
      <c r="G6386" t="n">
        <v>7.7</v>
      </c>
      <c r="H6386" t="n">
        <v>0</v>
      </c>
      <c r="I6386" t="n">
        <v>0</v>
      </c>
      <c r="J6386" t="n">
        <v>0</v>
      </c>
      <c r="K6386" t="n">
        <v>0</v>
      </c>
      <c r="L6386" t="n">
        <v>0</v>
      </c>
      <c r="M6386" t="n">
        <v>0</v>
      </c>
      <c r="N6386" t="n">
        <v>0</v>
      </c>
      <c r="O6386" t="n">
        <v>0</v>
      </c>
      <c r="P6386" t="n">
        <v>0</v>
      </c>
      <c r="Q6386" t="n">
        <v>0</v>
      </c>
      <c r="R6386" s="2" t="inlineStr"/>
    </row>
    <row r="6387" ht="15" customHeight="1">
      <c r="A6387" t="inlineStr">
        <is>
          <t>A 27970-2025</t>
        </is>
      </c>
      <c r="B6387" s="1" t="n">
        <v>45817.56043981481</v>
      </c>
      <c r="C6387" s="1" t="n">
        <v>45883</v>
      </c>
      <c r="D6387" t="inlineStr">
        <is>
          <t>GÄVLEBORGS LÄN</t>
        </is>
      </c>
      <c r="E6387" t="inlineStr">
        <is>
          <t>LJUSDAL</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25477-2024</t>
        </is>
      </c>
      <c r="B6388" s="1" t="n">
        <v>45463.45015046297</v>
      </c>
      <c r="C6388" s="1" t="n">
        <v>45883</v>
      </c>
      <c r="D6388" t="inlineStr">
        <is>
          <t>GÄVLEBORGS LÄN</t>
        </is>
      </c>
      <c r="E6388" t="inlineStr">
        <is>
          <t>HOFORS</t>
        </is>
      </c>
      <c r="F6388" t="inlineStr">
        <is>
          <t>Sveaskog</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43930-2023</t>
        </is>
      </c>
      <c r="B6389" s="1" t="n">
        <v>45187</v>
      </c>
      <c r="C6389" s="1" t="n">
        <v>45883</v>
      </c>
      <c r="D6389" t="inlineStr">
        <is>
          <t>GÄVLEBORGS LÄN</t>
        </is>
      </c>
      <c r="E6389" t="inlineStr">
        <is>
          <t>HUDIKSVALL</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27990-2025</t>
        </is>
      </c>
      <c r="B6390" s="1" t="n">
        <v>45817.58722222222</v>
      </c>
      <c r="C6390" s="1" t="n">
        <v>45883</v>
      </c>
      <c r="D6390" t="inlineStr">
        <is>
          <t>GÄVLEBORGS LÄN</t>
        </is>
      </c>
      <c r="E6390" t="inlineStr">
        <is>
          <t>OCKELBO</t>
        </is>
      </c>
      <c r="F6390" t="inlineStr">
        <is>
          <t>Bergvik skog väst AB</t>
        </is>
      </c>
      <c r="G6390" t="n">
        <v>7.8</v>
      </c>
      <c r="H6390" t="n">
        <v>0</v>
      </c>
      <c r="I6390" t="n">
        <v>0</v>
      </c>
      <c r="J6390" t="n">
        <v>0</v>
      </c>
      <c r="K6390" t="n">
        <v>0</v>
      </c>
      <c r="L6390" t="n">
        <v>0</v>
      </c>
      <c r="M6390" t="n">
        <v>0</v>
      </c>
      <c r="N6390" t="n">
        <v>0</v>
      </c>
      <c r="O6390" t="n">
        <v>0</v>
      </c>
      <c r="P6390" t="n">
        <v>0</v>
      </c>
      <c r="Q6390" t="n">
        <v>0</v>
      </c>
      <c r="R6390" s="2" t="inlineStr"/>
    </row>
    <row r="6391" ht="15" customHeight="1">
      <c r="A6391" t="inlineStr">
        <is>
          <t>A 25544-2024</t>
        </is>
      </c>
      <c r="B6391" s="1" t="n">
        <v>45463</v>
      </c>
      <c r="C6391" s="1" t="n">
        <v>45883</v>
      </c>
      <c r="D6391" t="inlineStr">
        <is>
          <t>GÄVLEBORGS LÄN</t>
        </is>
      </c>
      <c r="E6391" t="inlineStr">
        <is>
          <t>SANDVIKEN</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38401-2023</t>
        </is>
      </c>
      <c r="B6392" s="1" t="n">
        <v>45162</v>
      </c>
      <c r="C6392" s="1" t="n">
        <v>45883</v>
      </c>
      <c r="D6392" t="inlineStr">
        <is>
          <t>GÄVLEBORGS LÄN</t>
        </is>
      </c>
      <c r="E6392" t="inlineStr">
        <is>
          <t>OCKELBO</t>
        </is>
      </c>
      <c r="F6392" t="inlineStr">
        <is>
          <t>Bergvik skog väst AB</t>
        </is>
      </c>
      <c r="G6392" t="n">
        <v>3</v>
      </c>
      <c r="H6392" t="n">
        <v>0</v>
      </c>
      <c r="I6392" t="n">
        <v>0</v>
      </c>
      <c r="J6392" t="n">
        <v>0</v>
      </c>
      <c r="K6392" t="n">
        <v>0</v>
      </c>
      <c r="L6392" t="n">
        <v>0</v>
      </c>
      <c r="M6392" t="n">
        <v>0</v>
      </c>
      <c r="N6392" t="n">
        <v>0</v>
      </c>
      <c r="O6392" t="n">
        <v>0</v>
      </c>
      <c r="P6392" t="n">
        <v>0</v>
      </c>
      <c r="Q6392" t="n">
        <v>0</v>
      </c>
      <c r="R6392" s="2" t="inlineStr"/>
    </row>
    <row r="6393" ht="15" customHeight="1">
      <c r="A6393" t="inlineStr">
        <is>
          <t>A 29768-2023</t>
        </is>
      </c>
      <c r="B6393" s="1" t="n">
        <v>45107.48458333333</v>
      </c>
      <c r="C6393" s="1" t="n">
        <v>45883</v>
      </c>
      <c r="D6393" t="inlineStr">
        <is>
          <t>GÄVLEBORGS LÄN</t>
        </is>
      </c>
      <c r="E6393" t="inlineStr">
        <is>
          <t>OCKELBO</t>
        </is>
      </c>
      <c r="F6393" t="inlineStr">
        <is>
          <t>Bergvik skog väst AB</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27834-2025</t>
        </is>
      </c>
      <c r="B6394" s="1" t="n">
        <v>45817.36806712963</v>
      </c>
      <c r="C6394" s="1" t="n">
        <v>45883</v>
      </c>
      <c r="D6394" t="inlineStr">
        <is>
          <t>GÄVLEBORGS LÄN</t>
        </is>
      </c>
      <c r="E6394" t="inlineStr">
        <is>
          <t>OVANÅKER</t>
        </is>
      </c>
      <c r="F6394" t="inlineStr">
        <is>
          <t>Bergvik skog väst AB</t>
        </is>
      </c>
      <c r="G6394" t="n">
        <v>6.7</v>
      </c>
      <c r="H6394" t="n">
        <v>0</v>
      </c>
      <c r="I6394" t="n">
        <v>0</v>
      </c>
      <c r="J6394" t="n">
        <v>0</v>
      </c>
      <c r="K6394" t="n">
        <v>0</v>
      </c>
      <c r="L6394" t="n">
        <v>0</v>
      </c>
      <c r="M6394" t="n">
        <v>0</v>
      </c>
      <c r="N6394" t="n">
        <v>0</v>
      </c>
      <c r="O6394" t="n">
        <v>0</v>
      </c>
      <c r="P6394" t="n">
        <v>0</v>
      </c>
      <c r="Q6394" t="n">
        <v>0</v>
      </c>
      <c r="R6394" s="2" t="inlineStr"/>
    </row>
    <row r="6395" ht="15" customHeight="1">
      <c r="A6395" t="inlineStr">
        <is>
          <t>A 12391-2021</t>
        </is>
      </c>
      <c r="B6395" s="1" t="n">
        <v>44267.54184027778</v>
      </c>
      <c r="C6395" s="1" t="n">
        <v>45883</v>
      </c>
      <c r="D6395" t="inlineStr">
        <is>
          <t>GÄVLEBORGS LÄN</t>
        </is>
      </c>
      <c r="E6395" t="inlineStr">
        <is>
          <t>LJUSDAL</t>
        </is>
      </c>
      <c r="F6395" t="inlineStr">
        <is>
          <t>Bergvik skog väst AB</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43274-2023</t>
        </is>
      </c>
      <c r="B6396" s="1" t="n">
        <v>45183.54471064815</v>
      </c>
      <c r="C6396" s="1" t="n">
        <v>45883</v>
      </c>
      <c r="D6396" t="inlineStr">
        <is>
          <t>GÄVLEBORGS LÄN</t>
        </is>
      </c>
      <c r="E6396" t="inlineStr">
        <is>
          <t>OVANÅKER</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43800-2023</t>
        </is>
      </c>
      <c r="B6397" s="1" t="n">
        <v>45187.55690972223</v>
      </c>
      <c r="C6397" s="1" t="n">
        <v>45883</v>
      </c>
      <c r="D6397" t="inlineStr">
        <is>
          <t>GÄVLEBORGS LÄN</t>
        </is>
      </c>
      <c r="E6397" t="inlineStr">
        <is>
          <t>LJUSDAL</t>
        </is>
      </c>
      <c r="F6397" t="inlineStr">
        <is>
          <t>Bergvik skog väst AB</t>
        </is>
      </c>
      <c r="G6397" t="n">
        <v>6.9</v>
      </c>
      <c r="H6397" t="n">
        <v>0</v>
      </c>
      <c r="I6397" t="n">
        <v>0</v>
      </c>
      <c r="J6397" t="n">
        <v>0</v>
      </c>
      <c r="K6397" t="n">
        <v>0</v>
      </c>
      <c r="L6397" t="n">
        <v>0</v>
      </c>
      <c r="M6397" t="n">
        <v>0</v>
      </c>
      <c r="N6397" t="n">
        <v>0</v>
      </c>
      <c r="O6397" t="n">
        <v>0</v>
      </c>
      <c r="P6397" t="n">
        <v>0</v>
      </c>
      <c r="Q6397" t="n">
        <v>0</v>
      </c>
      <c r="R6397" s="2" t="inlineStr"/>
    </row>
    <row r="6398" ht="15" customHeight="1">
      <c r="A6398" t="inlineStr">
        <is>
          <t>A 13461-2024</t>
        </is>
      </c>
      <c r="B6398" s="1" t="n">
        <v>45387.55202546297</v>
      </c>
      <c r="C6398" s="1" t="n">
        <v>45883</v>
      </c>
      <c r="D6398" t="inlineStr">
        <is>
          <t>GÄVLEBORGS LÄN</t>
        </is>
      </c>
      <c r="E6398" t="inlineStr">
        <is>
          <t>BOLLNÄS</t>
        </is>
      </c>
      <c r="F6398" t="inlineStr">
        <is>
          <t>Holmen skog AB</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32301-2022</t>
        </is>
      </c>
      <c r="B6399" s="1" t="n">
        <v>44781.62321759259</v>
      </c>
      <c r="C6399" s="1" t="n">
        <v>45883</v>
      </c>
      <c r="D6399" t="inlineStr">
        <is>
          <t>GÄVLEBORGS LÄN</t>
        </is>
      </c>
      <c r="E6399" t="inlineStr">
        <is>
          <t>OCKELBO</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14093-2025</t>
        </is>
      </c>
      <c r="B6400" s="1" t="n">
        <v>45740.44788194444</v>
      </c>
      <c r="C6400" s="1" t="n">
        <v>45883</v>
      </c>
      <c r="D6400" t="inlineStr">
        <is>
          <t>GÄVLEBORGS LÄN</t>
        </is>
      </c>
      <c r="E6400" t="inlineStr">
        <is>
          <t>GÄVLE</t>
        </is>
      </c>
      <c r="F6400" t="inlineStr">
        <is>
          <t>Bergvik skog öst AB</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28224-2025</t>
        </is>
      </c>
      <c r="B6401" s="1" t="n">
        <v>45818.4800925926</v>
      </c>
      <c r="C6401" s="1" t="n">
        <v>45883</v>
      </c>
      <c r="D6401" t="inlineStr">
        <is>
          <t>GÄVLEBORGS LÄN</t>
        </is>
      </c>
      <c r="E6401" t="inlineStr">
        <is>
          <t>HUDIKSVALL</t>
        </is>
      </c>
      <c r="G6401" t="n">
        <v>2.9</v>
      </c>
      <c r="H6401" t="n">
        <v>0</v>
      </c>
      <c r="I6401" t="n">
        <v>0</v>
      </c>
      <c r="J6401" t="n">
        <v>0</v>
      </c>
      <c r="K6401" t="n">
        <v>0</v>
      </c>
      <c r="L6401" t="n">
        <v>0</v>
      </c>
      <c r="M6401" t="n">
        <v>0</v>
      </c>
      <c r="N6401" t="n">
        <v>0</v>
      </c>
      <c r="O6401" t="n">
        <v>0</v>
      </c>
      <c r="P6401" t="n">
        <v>0</v>
      </c>
      <c r="Q6401" t="n">
        <v>0</v>
      </c>
      <c r="R6401" s="2" t="inlineStr"/>
    </row>
    <row r="6402" ht="15" customHeight="1">
      <c r="A6402" t="inlineStr">
        <is>
          <t>A 411-2025</t>
        </is>
      </c>
      <c r="B6402" s="1" t="n">
        <v>45663</v>
      </c>
      <c r="C6402" s="1" t="n">
        <v>45883</v>
      </c>
      <c r="D6402" t="inlineStr">
        <is>
          <t>GÄVLEBORGS LÄN</t>
        </is>
      </c>
      <c r="E6402" t="inlineStr">
        <is>
          <t>NORDANSTIG</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18244-2024</t>
        </is>
      </c>
      <c r="B6403" s="1" t="n">
        <v>45421.353125</v>
      </c>
      <c r="C6403" s="1" t="n">
        <v>45883</v>
      </c>
      <c r="D6403" t="inlineStr">
        <is>
          <t>GÄVLEBORGS LÄN</t>
        </is>
      </c>
      <c r="E6403" t="inlineStr">
        <is>
          <t>OVANÅKER</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27976-2025</t>
        </is>
      </c>
      <c r="B6404" s="1" t="n">
        <v>45817.57092592592</v>
      </c>
      <c r="C6404" s="1" t="n">
        <v>45883</v>
      </c>
      <c r="D6404" t="inlineStr">
        <is>
          <t>GÄVLEBORGS LÄN</t>
        </is>
      </c>
      <c r="E6404" t="inlineStr">
        <is>
          <t>LJUSDAL</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35707-2025</t>
        </is>
      </c>
      <c r="B6405" s="1" t="n">
        <v>45860.37251157407</v>
      </c>
      <c r="C6405" s="1" t="n">
        <v>45883</v>
      </c>
      <c r="D6405" t="inlineStr">
        <is>
          <t>GÄVLEBORGS LÄN</t>
        </is>
      </c>
      <c r="E6405" t="inlineStr">
        <is>
          <t>NORDANSTIG</t>
        </is>
      </c>
      <c r="F6405" t="inlineStr">
        <is>
          <t>Holmen skog AB</t>
        </is>
      </c>
      <c r="G6405" t="n">
        <v>4.2</v>
      </c>
      <c r="H6405" t="n">
        <v>0</v>
      </c>
      <c r="I6405" t="n">
        <v>0</v>
      </c>
      <c r="J6405" t="n">
        <v>0</v>
      </c>
      <c r="K6405" t="n">
        <v>0</v>
      </c>
      <c r="L6405" t="n">
        <v>0</v>
      </c>
      <c r="M6405" t="n">
        <v>0</v>
      </c>
      <c r="N6405" t="n">
        <v>0</v>
      </c>
      <c r="O6405" t="n">
        <v>0</v>
      </c>
      <c r="P6405" t="n">
        <v>0</v>
      </c>
      <c r="Q6405" t="n">
        <v>0</v>
      </c>
      <c r="R6405" s="2" t="inlineStr"/>
    </row>
    <row r="6406" ht="15" customHeight="1">
      <c r="A6406" t="inlineStr">
        <is>
          <t>A 35733-2025</t>
        </is>
      </c>
      <c r="B6406" s="1" t="n">
        <v>45860.47178240741</v>
      </c>
      <c r="C6406" s="1" t="n">
        <v>45883</v>
      </c>
      <c r="D6406" t="inlineStr">
        <is>
          <t>GÄVLEBORGS LÄN</t>
        </is>
      </c>
      <c r="E6406" t="inlineStr">
        <is>
          <t>NORDANSTIG</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28375-2025</t>
        </is>
      </c>
      <c r="B6407" s="1" t="n">
        <v>45818</v>
      </c>
      <c r="C6407" s="1" t="n">
        <v>45883</v>
      </c>
      <c r="D6407" t="inlineStr">
        <is>
          <t>GÄVLEBORGS LÄN</t>
        </is>
      </c>
      <c r="E6407" t="inlineStr">
        <is>
          <t>GÄVLE</t>
        </is>
      </c>
      <c r="F6407" t="inlineStr">
        <is>
          <t>Bergvik skog väst AB</t>
        </is>
      </c>
      <c r="G6407" t="n">
        <v>11.6</v>
      </c>
      <c r="H6407" t="n">
        <v>0</v>
      </c>
      <c r="I6407" t="n">
        <v>0</v>
      </c>
      <c r="J6407" t="n">
        <v>0</v>
      </c>
      <c r="K6407" t="n">
        <v>0</v>
      </c>
      <c r="L6407" t="n">
        <v>0</v>
      </c>
      <c r="M6407" t="n">
        <v>0</v>
      </c>
      <c r="N6407" t="n">
        <v>0</v>
      </c>
      <c r="O6407" t="n">
        <v>0</v>
      </c>
      <c r="P6407" t="n">
        <v>0</v>
      </c>
      <c r="Q6407" t="n">
        <v>0</v>
      </c>
      <c r="R6407" s="2" t="inlineStr"/>
    </row>
    <row r="6408" ht="15" customHeight="1">
      <c r="A6408" t="inlineStr">
        <is>
          <t>A 28184-2025</t>
        </is>
      </c>
      <c r="B6408" s="1" t="n">
        <v>45818.40274305556</v>
      </c>
      <c r="C6408" s="1" t="n">
        <v>45883</v>
      </c>
      <c r="D6408" t="inlineStr">
        <is>
          <t>GÄVLEBORGS LÄN</t>
        </is>
      </c>
      <c r="E6408" t="inlineStr">
        <is>
          <t>HUDIKSVALL</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28338-2025</t>
        </is>
      </c>
      <c r="B6409" s="1" t="n">
        <v>45818.66855324074</v>
      </c>
      <c r="C6409" s="1" t="n">
        <v>45883</v>
      </c>
      <c r="D6409" t="inlineStr">
        <is>
          <t>GÄVLEBORGS LÄN</t>
        </is>
      </c>
      <c r="E6409" t="inlineStr">
        <is>
          <t>BOLLNÄS</t>
        </is>
      </c>
      <c r="G6409" t="n">
        <v>4.7</v>
      </c>
      <c r="H6409" t="n">
        <v>0</v>
      </c>
      <c r="I6409" t="n">
        <v>0</v>
      </c>
      <c r="J6409" t="n">
        <v>0</v>
      </c>
      <c r="K6409" t="n">
        <v>0</v>
      </c>
      <c r="L6409" t="n">
        <v>0</v>
      </c>
      <c r="M6409" t="n">
        <v>0</v>
      </c>
      <c r="N6409" t="n">
        <v>0</v>
      </c>
      <c r="O6409" t="n">
        <v>0</v>
      </c>
      <c r="P6409" t="n">
        <v>0</v>
      </c>
      <c r="Q6409" t="n">
        <v>0</v>
      </c>
      <c r="R6409" s="2" t="inlineStr"/>
    </row>
    <row r="6410" ht="15" customHeight="1">
      <c r="A6410" t="inlineStr">
        <is>
          <t>A 27916-2025</t>
        </is>
      </c>
      <c r="B6410" s="1" t="n">
        <v>45817.48046296297</v>
      </c>
      <c r="C6410" s="1" t="n">
        <v>45883</v>
      </c>
      <c r="D6410" t="inlineStr">
        <is>
          <t>GÄVLEBORGS LÄN</t>
        </is>
      </c>
      <c r="E6410" t="inlineStr">
        <is>
          <t>LJUSDAL</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35650-2025</t>
        </is>
      </c>
      <c r="B6411" s="1" t="n">
        <v>45859.51940972222</v>
      </c>
      <c r="C6411" s="1" t="n">
        <v>45883</v>
      </c>
      <c r="D6411" t="inlineStr">
        <is>
          <t>GÄVLEBORGS LÄN</t>
        </is>
      </c>
      <c r="E6411" t="inlineStr">
        <is>
          <t>GÄVLE</t>
        </is>
      </c>
      <c r="F6411" t="inlineStr">
        <is>
          <t>Bergvik skog väst AB</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27886-2025</t>
        </is>
      </c>
      <c r="B6412" s="1" t="n">
        <v>45817.45390046296</v>
      </c>
      <c r="C6412" s="1" t="n">
        <v>45883</v>
      </c>
      <c r="D6412" t="inlineStr">
        <is>
          <t>GÄVLEBORGS LÄN</t>
        </is>
      </c>
      <c r="E6412" t="inlineStr">
        <is>
          <t>HUDIKSVALL</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53007-2023</t>
        </is>
      </c>
      <c r="B6413" s="1" t="n">
        <v>45226</v>
      </c>
      <c r="C6413" s="1" t="n">
        <v>45883</v>
      </c>
      <c r="D6413" t="inlineStr">
        <is>
          <t>GÄVLEBORGS LÄN</t>
        </is>
      </c>
      <c r="E6413" t="inlineStr">
        <is>
          <t>SANDVIKEN</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53013-2023</t>
        </is>
      </c>
      <c r="B6414" s="1" t="n">
        <v>45226.66094907407</v>
      </c>
      <c r="C6414" s="1" t="n">
        <v>45883</v>
      </c>
      <c r="D6414" t="inlineStr">
        <is>
          <t>GÄVLEBORGS LÄN</t>
        </is>
      </c>
      <c r="E6414" t="inlineStr">
        <is>
          <t>LJUSDAL</t>
        </is>
      </c>
      <c r="F6414" t="inlineStr">
        <is>
          <t>Sveaskog</t>
        </is>
      </c>
      <c r="G6414" t="n">
        <v>21.1</v>
      </c>
      <c r="H6414" t="n">
        <v>0</v>
      </c>
      <c r="I6414" t="n">
        <v>0</v>
      </c>
      <c r="J6414" t="n">
        <v>0</v>
      </c>
      <c r="K6414" t="n">
        <v>0</v>
      </c>
      <c r="L6414" t="n">
        <v>0</v>
      </c>
      <c r="M6414" t="n">
        <v>0</v>
      </c>
      <c r="N6414" t="n">
        <v>0</v>
      </c>
      <c r="O6414" t="n">
        <v>0</v>
      </c>
      <c r="P6414" t="n">
        <v>0</v>
      </c>
      <c r="Q6414" t="n">
        <v>0</v>
      </c>
      <c r="R6414" s="2" t="inlineStr"/>
    </row>
    <row r="6415" ht="15" customHeight="1">
      <c r="A6415" t="inlineStr">
        <is>
          <t>A 51023-2023</t>
        </is>
      </c>
      <c r="B6415" s="1" t="n">
        <v>45218</v>
      </c>
      <c r="C6415" s="1" t="n">
        <v>45883</v>
      </c>
      <c r="D6415" t="inlineStr">
        <is>
          <t>GÄVLEBORGS LÄN</t>
        </is>
      </c>
      <c r="E6415" t="inlineStr">
        <is>
          <t>HUDIKSVALL</t>
        </is>
      </c>
      <c r="F6415" t="inlineStr">
        <is>
          <t>Holmen skog AB</t>
        </is>
      </c>
      <c r="G6415" t="n">
        <v>13.7</v>
      </c>
      <c r="H6415" t="n">
        <v>0</v>
      </c>
      <c r="I6415" t="n">
        <v>0</v>
      </c>
      <c r="J6415" t="n">
        <v>0</v>
      </c>
      <c r="K6415" t="n">
        <v>0</v>
      </c>
      <c r="L6415" t="n">
        <v>0</v>
      </c>
      <c r="M6415" t="n">
        <v>0</v>
      </c>
      <c r="N6415" t="n">
        <v>0</v>
      </c>
      <c r="O6415" t="n">
        <v>0</v>
      </c>
      <c r="P6415" t="n">
        <v>0</v>
      </c>
      <c r="Q6415" t="n">
        <v>0</v>
      </c>
      <c r="R6415" s="2" t="inlineStr"/>
    </row>
    <row r="6416" ht="15" customHeight="1">
      <c r="A6416" t="inlineStr">
        <is>
          <t>A 41544-2023</t>
        </is>
      </c>
      <c r="B6416" s="1" t="n">
        <v>45175.56778935185</v>
      </c>
      <c r="C6416" s="1" t="n">
        <v>45883</v>
      </c>
      <c r="D6416" t="inlineStr">
        <is>
          <t>GÄVLEBORGS LÄN</t>
        </is>
      </c>
      <c r="E6416" t="inlineStr">
        <is>
          <t>OVANÅKER</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43726-2023</t>
        </is>
      </c>
      <c r="B6417" s="1" t="n">
        <v>45187</v>
      </c>
      <c r="C6417" s="1" t="n">
        <v>45883</v>
      </c>
      <c r="D6417" t="inlineStr">
        <is>
          <t>GÄVLEBORGS LÄN</t>
        </is>
      </c>
      <c r="E6417" t="inlineStr">
        <is>
          <t>HOFORS</t>
        </is>
      </c>
      <c r="F6417" t="inlineStr">
        <is>
          <t>Sveaskog</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34175-2022</t>
        </is>
      </c>
      <c r="B6418" s="1" t="n">
        <v>44791</v>
      </c>
      <c r="C6418" s="1" t="n">
        <v>45883</v>
      </c>
      <c r="D6418" t="inlineStr">
        <is>
          <t>GÄVLEBORGS LÄN</t>
        </is>
      </c>
      <c r="E6418" t="inlineStr">
        <is>
          <t>BOLLNÄS</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937-2025</t>
        </is>
      </c>
      <c r="B6419" s="1" t="n">
        <v>45666</v>
      </c>
      <c r="C6419" s="1" t="n">
        <v>45883</v>
      </c>
      <c r="D6419" t="inlineStr">
        <is>
          <t>GÄVLEBORGS LÄN</t>
        </is>
      </c>
      <c r="E6419" t="inlineStr">
        <is>
          <t>SANDVIKEN</t>
        </is>
      </c>
      <c r="G6419" t="n">
        <v>6</v>
      </c>
      <c r="H6419" t="n">
        <v>0</v>
      </c>
      <c r="I6419" t="n">
        <v>0</v>
      </c>
      <c r="J6419" t="n">
        <v>0</v>
      </c>
      <c r="K6419" t="n">
        <v>0</v>
      </c>
      <c r="L6419" t="n">
        <v>0</v>
      </c>
      <c r="M6419" t="n">
        <v>0</v>
      </c>
      <c r="N6419" t="n">
        <v>0</v>
      </c>
      <c r="O6419" t="n">
        <v>0</v>
      </c>
      <c r="P6419" t="n">
        <v>0</v>
      </c>
      <c r="Q6419" t="n">
        <v>0</v>
      </c>
      <c r="R6419" s="2" t="inlineStr"/>
    </row>
    <row r="6420" ht="15" customHeight="1">
      <c r="A6420" t="inlineStr">
        <is>
          <t>A 7916-2022</t>
        </is>
      </c>
      <c r="B6420" s="1" t="n">
        <v>44608.68528935185</v>
      </c>
      <c r="C6420" s="1" t="n">
        <v>45883</v>
      </c>
      <c r="D6420" t="inlineStr">
        <is>
          <t>GÄVLEBORGS LÄN</t>
        </is>
      </c>
      <c r="E6420" t="inlineStr">
        <is>
          <t>NORDANSTIG</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27858-2025</t>
        </is>
      </c>
      <c r="B6421" s="1" t="n">
        <v>45817.41371527778</v>
      </c>
      <c r="C6421" s="1" t="n">
        <v>45883</v>
      </c>
      <c r="D6421" t="inlineStr">
        <is>
          <t>GÄVLEBORGS LÄN</t>
        </is>
      </c>
      <c r="E6421" t="inlineStr">
        <is>
          <t>GÄVLE</t>
        </is>
      </c>
      <c r="F6421" t="inlineStr">
        <is>
          <t>Bergvik skog väst AB</t>
        </is>
      </c>
      <c r="G6421" t="n">
        <v>4.1</v>
      </c>
      <c r="H6421" t="n">
        <v>0</v>
      </c>
      <c r="I6421" t="n">
        <v>0</v>
      </c>
      <c r="J6421" t="n">
        <v>0</v>
      </c>
      <c r="K6421" t="n">
        <v>0</v>
      </c>
      <c r="L6421" t="n">
        <v>0</v>
      </c>
      <c r="M6421" t="n">
        <v>0</v>
      </c>
      <c r="N6421" t="n">
        <v>0</v>
      </c>
      <c r="O6421" t="n">
        <v>0</v>
      </c>
      <c r="P6421" t="n">
        <v>0</v>
      </c>
      <c r="Q6421" t="n">
        <v>0</v>
      </c>
      <c r="R6421" s="2" t="inlineStr"/>
    </row>
    <row r="6422" ht="15" customHeight="1">
      <c r="A6422" t="inlineStr">
        <is>
          <t>A 27881-2025</t>
        </is>
      </c>
      <c r="B6422" s="1" t="n">
        <v>45817</v>
      </c>
      <c r="C6422" s="1" t="n">
        <v>45883</v>
      </c>
      <c r="D6422" t="inlineStr">
        <is>
          <t>GÄVLEBORGS LÄN</t>
        </is>
      </c>
      <c r="E6422" t="inlineStr">
        <is>
          <t>HUDIKSVALL</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27909-2025</t>
        </is>
      </c>
      <c r="B6423" s="1" t="n">
        <v>45817.47628472222</v>
      </c>
      <c r="C6423" s="1" t="n">
        <v>45883</v>
      </c>
      <c r="D6423" t="inlineStr">
        <is>
          <t>GÄVLEBORGS LÄN</t>
        </is>
      </c>
      <c r="E6423" t="inlineStr">
        <is>
          <t>HUDIKSVALL</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28295-2025</t>
        </is>
      </c>
      <c r="B6424" s="1" t="n">
        <v>45818.59716435185</v>
      </c>
      <c r="C6424" s="1" t="n">
        <v>45883</v>
      </c>
      <c r="D6424" t="inlineStr">
        <is>
          <t>GÄVLEBORGS LÄN</t>
        </is>
      </c>
      <c r="E6424" t="inlineStr">
        <is>
          <t>SANDVIKEN</t>
        </is>
      </c>
      <c r="G6424" t="n">
        <v>4.6</v>
      </c>
      <c r="H6424" t="n">
        <v>0</v>
      </c>
      <c r="I6424" t="n">
        <v>0</v>
      </c>
      <c r="J6424" t="n">
        <v>0</v>
      </c>
      <c r="K6424" t="n">
        <v>0</v>
      </c>
      <c r="L6424" t="n">
        <v>0</v>
      </c>
      <c r="M6424" t="n">
        <v>0</v>
      </c>
      <c r="N6424" t="n">
        <v>0</v>
      </c>
      <c r="O6424" t="n">
        <v>0</v>
      </c>
      <c r="P6424" t="n">
        <v>0</v>
      </c>
      <c r="Q6424" t="n">
        <v>0</v>
      </c>
      <c r="R6424" s="2" t="inlineStr"/>
    </row>
    <row r="6425" ht="15" customHeight="1">
      <c r="A6425" t="inlineStr">
        <is>
          <t>A 58791-2023</t>
        </is>
      </c>
      <c r="B6425" s="1" t="n">
        <v>45252.33528935185</v>
      </c>
      <c r="C6425" s="1" t="n">
        <v>45883</v>
      </c>
      <c r="D6425" t="inlineStr">
        <is>
          <t>GÄVLEBORGS LÄN</t>
        </is>
      </c>
      <c r="E6425" t="inlineStr">
        <is>
          <t>OVANÅKER</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27959-2025</t>
        </is>
      </c>
      <c r="B6426" s="1" t="n">
        <v>45816</v>
      </c>
      <c r="C6426" s="1" t="n">
        <v>45883</v>
      </c>
      <c r="D6426" t="inlineStr">
        <is>
          <t>GÄVLEBORGS LÄN</t>
        </is>
      </c>
      <c r="E6426" t="inlineStr">
        <is>
          <t>HOFORS</t>
        </is>
      </c>
      <c r="F6426" t="inlineStr">
        <is>
          <t>Bergvik skog väst AB</t>
        </is>
      </c>
      <c r="G6426" t="n">
        <v>45.6</v>
      </c>
      <c r="H6426" t="n">
        <v>0</v>
      </c>
      <c r="I6426" t="n">
        <v>0</v>
      </c>
      <c r="J6426" t="n">
        <v>0</v>
      </c>
      <c r="K6426" t="n">
        <v>0</v>
      </c>
      <c r="L6426" t="n">
        <v>0</v>
      </c>
      <c r="M6426" t="n">
        <v>0</v>
      </c>
      <c r="N6426" t="n">
        <v>0</v>
      </c>
      <c r="O6426" t="n">
        <v>0</v>
      </c>
      <c r="P6426" t="n">
        <v>0</v>
      </c>
      <c r="Q6426" t="n">
        <v>0</v>
      </c>
      <c r="R6426" s="2" t="inlineStr"/>
    </row>
    <row r="6427" ht="15" customHeight="1">
      <c r="A6427" t="inlineStr">
        <is>
          <t>A 27993-2025</t>
        </is>
      </c>
      <c r="B6427" s="1" t="n">
        <v>45817.59138888889</v>
      </c>
      <c r="C6427" s="1" t="n">
        <v>45883</v>
      </c>
      <c r="D6427" t="inlineStr">
        <is>
          <t>GÄVLEBORGS LÄN</t>
        </is>
      </c>
      <c r="E6427" t="inlineStr">
        <is>
          <t>HUDIKSVALL</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28005-2025</t>
        </is>
      </c>
      <c r="B6428" s="1" t="n">
        <v>45817.59769675926</v>
      </c>
      <c r="C6428" s="1" t="n">
        <v>45883</v>
      </c>
      <c r="D6428" t="inlineStr">
        <is>
          <t>GÄVLEBORGS LÄN</t>
        </is>
      </c>
      <c r="E6428" t="inlineStr">
        <is>
          <t>GÄVLE</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28006-2025</t>
        </is>
      </c>
      <c r="B6429" s="1" t="n">
        <v>45817.59944444444</v>
      </c>
      <c r="C6429" s="1" t="n">
        <v>45883</v>
      </c>
      <c r="D6429" t="inlineStr">
        <is>
          <t>GÄVLEBORGS LÄN</t>
        </is>
      </c>
      <c r="E6429" t="inlineStr">
        <is>
          <t>OCKELBO</t>
        </is>
      </c>
      <c r="F6429" t="inlineStr">
        <is>
          <t>Bergvik skog väst AB</t>
        </is>
      </c>
      <c r="G6429" t="n">
        <v>8.1</v>
      </c>
      <c r="H6429" t="n">
        <v>0</v>
      </c>
      <c r="I6429" t="n">
        <v>0</v>
      </c>
      <c r="J6429" t="n">
        <v>0</v>
      </c>
      <c r="K6429" t="n">
        <v>0</v>
      </c>
      <c r="L6429" t="n">
        <v>0</v>
      </c>
      <c r="M6429" t="n">
        <v>0</v>
      </c>
      <c r="N6429" t="n">
        <v>0</v>
      </c>
      <c r="O6429" t="n">
        <v>0</v>
      </c>
      <c r="P6429" t="n">
        <v>0</v>
      </c>
      <c r="Q6429" t="n">
        <v>0</v>
      </c>
      <c r="R6429" s="2" t="inlineStr"/>
    </row>
    <row r="6430" ht="15" customHeight="1">
      <c r="A6430" t="inlineStr">
        <is>
          <t>A 36576-2022</t>
        </is>
      </c>
      <c r="B6430" s="1" t="n">
        <v>44804</v>
      </c>
      <c r="C6430" s="1" t="n">
        <v>45883</v>
      </c>
      <c r="D6430" t="inlineStr">
        <is>
          <t>GÄVLEBORGS LÄN</t>
        </is>
      </c>
      <c r="E6430" t="inlineStr">
        <is>
          <t>OVANÅKER</t>
        </is>
      </c>
      <c r="G6430" t="n">
        <v>4.9</v>
      </c>
      <c r="H6430" t="n">
        <v>0</v>
      </c>
      <c r="I6430" t="n">
        <v>0</v>
      </c>
      <c r="J6430" t="n">
        <v>0</v>
      </c>
      <c r="K6430" t="n">
        <v>0</v>
      </c>
      <c r="L6430" t="n">
        <v>0</v>
      </c>
      <c r="M6430" t="n">
        <v>0</v>
      </c>
      <c r="N6430" t="n">
        <v>0</v>
      </c>
      <c r="O6430" t="n">
        <v>0</v>
      </c>
      <c r="P6430" t="n">
        <v>0</v>
      </c>
      <c r="Q6430" t="n">
        <v>0</v>
      </c>
      <c r="R6430" s="2" t="inlineStr"/>
    </row>
    <row r="6431" ht="15" customHeight="1">
      <c r="A6431" t="inlineStr">
        <is>
          <t>A 35649-2025</t>
        </is>
      </c>
      <c r="B6431" s="1" t="n">
        <v>45859.51931712963</v>
      </c>
      <c r="C6431" s="1" t="n">
        <v>45883</v>
      </c>
      <c r="D6431" t="inlineStr">
        <is>
          <t>GÄVLEBORGS LÄN</t>
        </is>
      </c>
      <c r="E6431" t="inlineStr">
        <is>
          <t>NORDANSTIG</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35652-2025</t>
        </is>
      </c>
      <c r="B6432" s="1" t="n">
        <v>45859.52591435185</v>
      </c>
      <c r="C6432" s="1" t="n">
        <v>45883</v>
      </c>
      <c r="D6432" t="inlineStr">
        <is>
          <t>GÄVLEBORGS LÄN</t>
        </is>
      </c>
      <c r="E6432" t="inlineStr">
        <is>
          <t>NORDANSTIG</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34370-2022</t>
        </is>
      </c>
      <c r="B6433" s="1" t="n">
        <v>44792</v>
      </c>
      <c r="C6433" s="1" t="n">
        <v>45883</v>
      </c>
      <c r="D6433" t="inlineStr">
        <is>
          <t>GÄVLEBORGS LÄN</t>
        </is>
      </c>
      <c r="E6433" t="inlineStr">
        <is>
          <t>HUDIKSVALL</t>
        </is>
      </c>
      <c r="F6433" t="inlineStr">
        <is>
          <t>Holmen skog AB</t>
        </is>
      </c>
      <c r="G6433" t="n">
        <v>3.7</v>
      </c>
      <c r="H6433" t="n">
        <v>0</v>
      </c>
      <c r="I6433" t="n">
        <v>0</v>
      </c>
      <c r="J6433" t="n">
        <v>0</v>
      </c>
      <c r="K6433" t="n">
        <v>0</v>
      </c>
      <c r="L6433" t="n">
        <v>0</v>
      </c>
      <c r="M6433" t="n">
        <v>0</v>
      </c>
      <c r="N6433" t="n">
        <v>0</v>
      </c>
      <c r="O6433" t="n">
        <v>0</v>
      </c>
      <c r="P6433" t="n">
        <v>0</v>
      </c>
      <c r="Q6433" t="n">
        <v>0</v>
      </c>
      <c r="R6433" s="2" t="inlineStr"/>
    </row>
    <row r="6434" ht="15" customHeight="1">
      <c r="A6434" t="inlineStr">
        <is>
          <t>A 28062-2025</t>
        </is>
      </c>
      <c r="B6434" s="1" t="n">
        <v>45817</v>
      </c>
      <c r="C6434" s="1" t="n">
        <v>45883</v>
      </c>
      <c r="D6434" t="inlineStr">
        <is>
          <t>GÄVLEBORGS LÄN</t>
        </is>
      </c>
      <c r="E6434" t="inlineStr">
        <is>
          <t>SÖDERHAMN</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27894-2025</t>
        </is>
      </c>
      <c r="B6435" s="1" t="n">
        <v>45817.4644212963</v>
      </c>
      <c r="C6435" s="1" t="n">
        <v>45883</v>
      </c>
      <c r="D6435" t="inlineStr">
        <is>
          <t>GÄVLEBORGS LÄN</t>
        </is>
      </c>
      <c r="E6435" t="inlineStr">
        <is>
          <t>NORDANSTIG</t>
        </is>
      </c>
      <c r="F6435" t="inlineStr">
        <is>
          <t>Holmen skog AB</t>
        </is>
      </c>
      <c r="G6435" t="n">
        <v>8.6</v>
      </c>
      <c r="H6435" t="n">
        <v>0</v>
      </c>
      <c r="I6435" t="n">
        <v>0</v>
      </c>
      <c r="J6435" t="n">
        <v>0</v>
      </c>
      <c r="K6435" t="n">
        <v>0</v>
      </c>
      <c r="L6435" t="n">
        <v>0</v>
      </c>
      <c r="M6435" t="n">
        <v>0</v>
      </c>
      <c r="N6435" t="n">
        <v>0</v>
      </c>
      <c r="O6435" t="n">
        <v>0</v>
      </c>
      <c r="P6435" t="n">
        <v>0</v>
      </c>
      <c r="Q6435" t="n">
        <v>0</v>
      </c>
      <c r="R6435" s="2" t="inlineStr"/>
    </row>
    <row r="6436" ht="15" customHeight="1">
      <c r="A6436" t="inlineStr">
        <is>
          <t>A 27928-2025</t>
        </is>
      </c>
      <c r="B6436" s="1" t="n">
        <v>45817.49019675926</v>
      </c>
      <c r="C6436" s="1" t="n">
        <v>45883</v>
      </c>
      <c r="D6436" t="inlineStr">
        <is>
          <t>GÄVLEBORGS LÄN</t>
        </is>
      </c>
      <c r="E6436" t="inlineStr">
        <is>
          <t>LJUSDAL</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18111-2024</t>
        </is>
      </c>
      <c r="B6437" s="1" t="n">
        <v>45420.49853009259</v>
      </c>
      <c r="C6437" s="1" t="n">
        <v>45883</v>
      </c>
      <c r="D6437" t="inlineStr">
        <is>
          <t>GÄVLEBORGS LÄN</t>
        </is>
      </c>
      <c r="E6437" t="inlineStr">
        <is>
          <t>LJUSDAL</t>
        </is>
      </c>
      <c r="F6437" t="inlineStr">
        <is>
          <t>Holmen skog AB</t>
        </is>
      </c>
      <c r="G6437" t="n">
        <v>5.7</v>
      </c>
      <c r="H6437" t="n">
        <v>0</v>
      </c>
      <c r="I6437" t="n">
        <v>0</v>
      </c>
      <c r="J6437" t="n">
        <v>0</v>
      </c>
      <c r="K6437" t="n">
        <v>0</v>
      </c>
      <c r="L6437" t="n">
        <v>0</v>
      </c>
      <c r="M6437" t="n">
        <v>0</v>
      </c>
      <c r="N6437" t="n">
        <v>0</v>
      </c>
      <c r="O6437" t="n">
        <v>0</v>
      </c>
      <c r="P6437" t="n">
        <v>0</v>
      </c>
      <c r="Q6437" t="n">
        <v>0</v>
      </c>
      <c r="R6437" s="2" t="inlineStr"/>
    </row>
    <row r="6438" ht="15" customHeight="1">
      <c r="A6438" t="inlineStr">
        <is>
          <t>A 28241-2025</t>
        </is>
      </c>
      <c r="B6438" s="1" t="n">
        <v>45818.50731481481</v>
      </c>
      <c r="C6438" s="1" t="n">
        <v>45883</v>
      </c>
      <c r="D6438" t="inlineStr">
        <is>
          <t>GÄVLEBORGS LÄN</t>
        </is>
      </c>
      <c r="E6438" t="inlineStr">
        <is>
          <t>NORDANSTIG</t>
        </is>
      </c>
      <c r="G6438" t="n">
        <v>9.800000000000001</v>
      </c>
      <c r="H6438" t="n">
        <v>0</v>
      </c>
      <c r="I6438" t="n">
        <v>0</v>
      </c>
      <c r="J6438" t="n">
        <v>0</v>
      </c>
      <c r="K6438" t="n">
        <v>0</v>
      </c>
      <c r="L6438" t="n">
        <v>0</v>
      </c>
      <c r="M6438" t="n">
        <v>0</v>
      </c>
      <c r="N6438" t="n">
        <v>0</v>
      </c>
      <c r="O6438" t="n">
        <v>0</v>
      </c>
      <c r="P6438" t="n">
        <v>0</v>
      </c>
      <c r="Q6438" t="n">
        <v>0</v>
      </c>
      <c r="R6438" s="2" t="inlineStr"/>
    </row>
    <row r="6439" ht="15" customHeight="1">
      <c r="A6439" t="inlineStr">
        <is>
          <t>A 28245-2025</t>
        </is>
      </c>
      <c r="B6439" s="1" t="n">
        <v>45818.51226851852</v>
      </c>
      <c r="C6439" s="1" t="n">
        <v>45883</v>
      </c>
      <c r="D6439" t="inlineStr">
        <is>
          <t>GÄVLEBORGS LÄN</t>
        </is>
      </c>
      <c r="E6439" t="inlineStr">
        <is>
          <t>NORDANSTIG</t>
        </is>
      </c>
      <c r="G6439" t="n">
        <v>5.6</v>
      </c>
      <c r="H6439" t="n">
        <v>0</v>
      </c>
      <c r="I6439" t="n">
        <v>0</v>
      </c>
      <c r="J6439" t="n">
        <v>0</v>
      </c>
      <c r="K6439" t="n">
        <v>0</v>
      </c>
      <c r="L6439" t="n">
        <v>0</v>
      </c>
      <c r="M6439" t="n">
        <v>0</v>
      </c>
      <c r="N6439" t="n">
        <v>0</v>
      </c>
      <c r="O6439" t="n">
        <v>0</v>
      </c>
      <c r="P6439" t="n">
        <v>0</v>
      </c>
      <c r="Q6439" t="n">
        <v>0</v>
      </c>
      <c r="R6439" s="2" t="inlineStr"/>
    </row>
    <row r="6440" ht="15" customHeight="1">
      <c r="A6440" t="inlineStr">
        <is>
          <t>A 28080-2025</t>
        </is>
      </c>
      <c r="B6440" s="1" t="n">
        <v>45817.70028935185</v>
      </c>
      <c r="C6440" s="1" t="n">
        <v>45883</v>
      </c>
      <c r="D6440" t="inlineStr">
        <is>
          <t>GÄVLEBORGS LÄN</t>
        </is>
      </c>
      <c r="E6440" t="inlineStr">
        <is>
          <t>OCKELBO</t>
        </is>
      </c>
      <c r="G6440" t="n">
        <v>4.9</v>
      </c>
      <c r="H6440" t="n">
        <v>0</v>
      </c>
      <c r="I6440" t="n">
        <v>0</v>
      </c>
      <c r="J6440" t="n">
        <v>0</v>
      </c>
      <c r="K6440" t="n">
        <v>0</v>
      </c>
      <c r="L6440" t="n">
        <v>0</v>
      </c>
      <c r="M6440" t="n">
        <v>0</v>
      </c>
      <c r="N6440" t="n">
        <v>0</v>
      </c>
      <c r="O6440" t="n">
        <v>0</v>
      </c>
      <c r="P6440" t="n">
        <v>0</v>
      </c>
      <c r="Q6440" t="n">
        <v>0</v>
      </c>
      <c r="R6440" s="2" t="inlineStr"/>
    </row>
    <row r="6441" ht="15" customHeight="1">
      <c r="A6441" t="inlineStr">
        <is>
          <t>A 23619-2022</t>
        </is>
      </c>
      <c r="B6441" s="1" t="n">
        <v>44721.62302083334</v>
      </c>
      <c r="C6441" s="1" t="n">
        <v>45883</v>
      </c>
      <c r="D6441" t="inlineStr">
        <is>
          <t>GÄVLEBORGS LÄN</t>
        </is>
      </c>
      <c r="E6441" t="inlineStr">
        <is>
          <t>LJUSDAL</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16628-2025</t>
        </is>
      </c>
      <c r="B6442" s="1" t="n">
        <v>45754.35976851852</v>
      </c>
      <c r="C6442" s="1" t="n">
        <v>45883</v>
      </c>
      <c r="D6442" t="inlineStr">
        <is>
          <t>GÄVLEBORGS LÄN</t>
        </is>
      </c>
      <c r="E6442" t="inlineStr">
        <is>
          <t>BOLLNÄS</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57784-2024</t>
        </is>
      </c>
      <c r="B6443" s="1" t="n">
        <v>45631</v>
      </c>
      <c r="C6443" s="1" t="n">
        <v>45883</v>
      </c>
      <c r="D6443" t="inlineStr">
        <is>
          <t>GÄVLEBORGS LÄN</t>
        </is>
      </c>
      <c r="E6443" t="inlineStr">
        <is>
          <t>LJUSDAL</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27839-2025</t>
        </is>
      </c>
      <c r="B6444" s="1" t="n">
        <v>45817.37427083333</v>
      </c>
      <c r="C6444" s="1" t="n">
        <v>45883</v>
      </c>
      <c r="D6444" t="inlineStr">
        <is>
          <t>GÄVLEBORGS LÄN</t>
        </is>
      </c>
      <c r="E6444" t="inlineStr">
        <is>
          <t>LJUSDAL</t>
        </is>
      </c>
      <c r="F6444" t="inlineStr">
        <is>
          <t>Holmen skog AB</t>
        </is>
      </c>
      <c r="G6444" t="n">
        <v>20.9</v>
      </c>
      <c r="H6444" t="n">
        <v>0</v>
      </c>
      <c r="I6444" t="n">
        <v>0</v>
      </c>
      <c r="J6444" t="n">
        <v>0</v>
      </c>
      <c r="K6444" t="n">
        <v>0</v>
      </c>
      <c r="L6444" t="n">
        <v>0</v>
      </c>
      <c r="M6444" t="n">
        <v>0</v>
      </c>
      <c r="N6444" t="n">
        <v>0</v>
      </c>
      <c r="O6444" t="n">
        <v>0</v>
      </c>
      <c r="P6444" t="n">
        <v>0</v>
      </c>
      <c r="Q6444" t="n">
        <v>0</v>
      </c>
      <c r="R6444" s="2" t="inlineStr"/>
    </row>
    <row r="6445" ht="15" customHeight="1">
      <c r="A6445" t="inlineStr">
        <is>
          <t>A 49401-2023</t>
        </is>
      </c>
      <c r="B6445" s="1" t="n">
        <v>45211.42238425926</v>
      </c>
      <c r="C6445" s="1" t="n">
        <v>45883</v>
      </c>
      <c r="D6445" t="inlineStr">
        <is>
          <t>GÄVLEBORGS LÄN</t>
        </is>
      </c>
      <c r="E6445" t="inlineStr">
        <is>
          <t>BOLLNÄS</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27841-2025</t>
        </is>
      </c>
      <c r="B6446" s="1" t="n">
        <v>45817.37618055556</v>
      </c>
      <c r="C6446" s="1" t="n">
        <v>45883</v>
      </c>
      <c r="D6446" t="inlineStr">
        <is>
          <t>GÄVLEBORGS LÄN</t>
        </is>
      </c>
      <c r="E6446" t="inlineStr">
        <is>
          <t>NORDANSTIG</t>
        </is>
      </c>
      <c r="F6446" t="inlineStr">
        <is>
          <t>Holmen skog AB</t>
        </is>
      </c>
      <c r="G6446" t="n">
        <v>14.2</v>
      </c>
      <c r="H6446" t="n">
        <v>0</v>
      </c>
      <c r="I6446" t="n">
        <v>0</v>
      </c>
      <c r="J6446" t="n">
        <v>0</v>
      </c>
      <c r="K6446" t="n">
        <v>0</v>
      </c>
      <c r="L6446" t="n">
        <v>0</v>
      </c>
      <c r="M6446" t="n">
        <v>0</v>
      </c>
      <c r="N6446" t="n">
        <v>0</v>
      </c>
      <c r="O6446" t="n">
        <v>0</v>
      </c>
      <c r="P6446" t="n">
        <v>0</v>
      </c>
      <c r="Q6446" t="n">
        <v>0</v>
      </c>
      <c r="R6446" s="2" t="inlineStr"/>
    </row>
    <row r="6447" ht="15" customHeight="1">
      <c r="A6447" t="inlineStr">
        <is>
          <t>A 27905-2025</t>
        </is>
      </c>
      <c r="B6447" s="1" t="n">
        <v>45817.46819444445</v>
      </c>
      <c r="C6447" s="1" t="n">
        <v>45883</v>
      </c>
      <c r="D6447" t="inlineStr">
        <is>
          <t>GÄVLEBORGS LÄN</t>
        </is>
      </c>
      <c r="E6447" t="inlineStr">
        <is>
          <t>LJUSDAL</t>
        </is>
      </c>
      <c r="F6447" t="inlineStr">
        <is>
          <t>Holmen skog AB</t>
        </is>
      </c>
      <c r="G6447" t="n">
        <v>9.699999999999999</v>
      </c>
      <c r="H6447" t="n">
        <v>0</v>
      </c>
      <c r="I6447" t="n">
        <v>0</v>
      </c>
      <c r="J6447" t="n">
        <v>0</v>
      </c>
      <c r="K6447" t="n">
        <v>0</v>
      </c>
      <c r="L6447" t="n">
        <v>0</v>
      </c>
      <c r="M6447" t="n">
        <v>0</v>
      </c>
      <c r="N6447" t="n">
        <v>0</v>
      </c>
      <c r="O6447" t="n">
        <v>0</v>
      </c>
      <c r="P6447" t="n">
        <v>0</v>
      </c>
      <c r="Q6447" t="n">
        <v>0</v>
      </c>
      <c r="R6447" s="2" t="inlineStr"/>
    </row>
    <row r="6448" ht="15" customHeight="1">
      <c r="A6448" t="inlineStr">
        <is>
          <t>A 40280-2023</t>
        </is>
      </c>
      <c r="B6448" s="1" t="n">
        <v>45169.5669212963</v>
      </c>
      <c r="C6448" s="1" t="n">
        <v>45883</v>
      </c>
      <c r="D6448" t="inlineStr">
        <is>
          <t>GÄVLEBORGS LÄN</t>
        </is>
      </c>
      <c r="E6448" t="inlineStr">
        <is>
          <t>LJUSDAL</t>
        </is>
      </c>
      <c r="F6448" t="inlineStr">
        <is>
          <t>Sveaskog</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48848-2024</t>
        </is>
      </c>
      <c r="B6449" s="1" t="n">
        <v>45593.8021875</v>
      </c>
      <c r="C6449" s="1" t="n">
        <v>45883</v>
      </c>
      <c r="D6449" t="inlineStr">
        <is>
          <t>GÄVLEBORGS LÄN</t>
        </is>
      </c>
      <c r="E6449" t="inlineStr">
        <is>
          <t>LJUSDAL</t>
        </is>
      </c>
      <c r="F6449" t="inlineStr">
        <is>
          <t>Bergvik skog väst AB</t>
        </is>
      </c>
      <c r="G6449" t="n">
        <v>5.4</v>
      </c>
      <c r="H6449" t="n">
        <v>0</v>
      </c>
      <c r="I6449" t="n">
        <v>0</v>
      </c>
      <c r="J6449" t="n">
        <v>0</v>
      </c>
      <c r="K6449" t="n">
        <v>0</v>
      </c>
      <c r="L6449" t="n">
        <v>0</v>
      </c>
      <c r="M6449" t="n">
        <v>0</v>
      </c>
      <c r="N6449" t="n">
        <v>0</v>
      </c>
      <c r="O6449" t="n">
        <v>0</v>
      </c>
      <c r="P6449" t="n">
        <v>0</v>
      </c>
      <c r="Q6449" t="n">
        <v>0</v>
      </c>
      <c r="R6449" s="2" t="inlineStr"/>
    </row>
    <row r="6450" ht="15" customHeight="1">
      <c r="A6450" t="inlineStr">
        <is>
          <t>A 23369-2022</t>
        </is>
      </c>
      <c r="B6450" s="1" t="n">
        <v>44720.60880787037</v>
      </c>
      <c r="C6450" s="1" t="n">
        <v>45883</v>
      </c>
      <c r="D6450" t="inlineStr">
        <is>
          <t>GÄVLEBORGS LÄN</t>
        </is>
      </c>
      <c r="E6450" t="inlineStr">
        <is>
          <t>NORDANSTIG</t>
        </is>
      </c>
      <c r="G6450" t="n">
        <v>5.3</v>
      </c>
      <c r="H6450" t="n">
        <v>0</v>
      </c>
      <c r="I6450" t="n">
        <v>0</v>
      </c>
      <c r="J6450" t="n">
        <v>0</v>
      </c>
      <c r="K6450" t="n">
        <v>0</v>
      </c>
      <c r="L6450" t="n">
        <v>0</v>
      </c>
      <c r="M6450" t="n">
        <v>0</v>
      </c>
      <c r="N6450" t="n">
        <v>0</v>
      </c>
      <c r="O6450" t="n">
        <v>0</v>
      </c>
      <c r="P6450" t="n">
        <v>0</v>
      </c>
      <c r="Q6450" t="n">
        <v>0</v>
      </c>
      <c r="R6450" s="2" t="inlineStr"/>
    </row>
    <row r="6451" ht="15" customHeight="1">
      <c r="A6451" t="inlineStr">
        <is>
          <t>A 27817-2025</t>
        </is>
      </c>
      <c r="B6451" s="1" t="n">
        <v>45817.33469907408</v>
      </c>
      <c r="C6451" s="1" t="n">
        <v>45883</v>
      </c>
      <c r="D6451" t="inlineStr">
        <is>
          <t>GÄVLEBORGS LÄN</t>
        </is>
      </c>
      <c r="E6451" t="inlineStr">
        <is>
          <t>LJUSDAL</t>
        </is>
      </c>
      <c r="G6451" t="n">
        <v>8.9</v>
      </c>
      <c r="H6451" t="n">
        <v>0</v>
      </c>
      <c r="I6451" t="n">
        <v>0</v>
      </c>
      <c r="J6451" t="n">
        <v>0</v>
      </c>
      <c r="K6451" t="n">
        <v>0</v>
      </c>
      <c r="L6451" t="n">
        <v>0</v>
      </c>
      <c r="M6451" t="n">
        <v>0</v>
      </c>
      <c r="N6451" t="n">
        <v>0</v>
      </c>
      <c r="O6451" t="n">
        <v>0</v>
      </c>
      <c r="P6451" t="n">
        <v>0</v>
      </c>
      <c r="Q6451" t="n">
        <v>0</v>
      </c>
      <c r="R6451" s="2" t="inlineStr"/>
    </row>
    <row r="6452" ht="15" customHeight="1">
      <c r="A6452" t="inlineStr">
        <is>
          <t>A 40269-2023</t>
        </is>
      </c>
      <c r="B6452" s="1" t="n">
        <v>45169.54965277778</v>
      </c>
      <c r="C6452" s="1" t="n">
        <v>45883</v>
      </c>
      <c r="D6452" t="inlineStr">
        <is>
          <t>GÄVLEBORGS LÄN</t>
        </is>
      </c>
      <c r="E6452" t="inlineStr">
        <is>
          <t>NORDANSTIG</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40276-2023</t>
        </is>
      </c>
      <c r="B6453" s="1" t="n">
        <v>45169.56296296296</v>
      </c>
      <c r="C6453" s="1" t="n">
        <v>45883</v>
      </c>
      <c r="D6453" t="inlineStr">
        <is>
          <t>GÄVLEBORGS LÄN</t>
        </is>
      </c>
      <c r="E6453" t="inlineStr">
        <is>
          <t>LJUSDAL</t>
        </is>
      </c>
      <c r="F6453" t="inlineStr">
        <is>
          <t>Sveaskog</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35714-2025</t>
        </is>
      </c>
      <c r="B6454" s="1" t="n">
        <v>45860.41956018518</v>
      </c>
      <c r="C6454" s="1" t="n">
        <v>45883</v>
      </c>
      <c r="D6454" t="inlineStr">
        <is>
          <t>GÄVLEBORGS LÄN</t>
        </is>
      </c>
      <c r="E6454" t="inlineStr">
        <is>
          <t>NORDANSTIG</t>
        </is>
      </c>
      <c r="F6454" t="inlineStr">
        <is>
          <t>Holmen skog AB</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45557-2023</t>
        </is>
      </c>
      <c r="B6455" s="1" t="n">
        <v>45194.58666666667</v>
      </c>
      <c r="C6455" s="1" t="n">
        <v>45883</v>
      </c>
      <c r="D6455" t="inlineStr">
        <is>
          <t>GÄVLEBORGS LÄN</t>
        </is>
      </c>
      <c r="E6455" t="inlineStr">
        <is>
          <t>BOLLNÄS</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28983-2022</t>
        </is>
      </c>
      <c r="B6456" s="1" t="n">
        <v>44749.65376157407</v>
      </c>
      <c r="C6456" s="1" t="n">
        <v>45883</v>
      </c>
      <c r="D6456" t="inlineStr">
        <is>
          <t>GÄVLEBORGS LÄN</t>
        </is>
      </c>
      <c r="E6456" t="inlineStr">
        <is>
          <t>BOLLNÄS</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35735-2025</t>
        </is>
      </c>
      <c r="B6457" s="1" t="n">
        <v>45860.48112268518</v>
      </c>
      <c r="C6457" s="1" t="n">
        <v>45883</v>
      </c>
      <c r="D6457" t="inlineStr">
        <is>
          <t>GÄVLEBORGS LÄN</t>
        </is>
      </c>
      <c r="E6457" t="inlineStr">
        <is>
          <t>HUDIKSVALL</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28333-2025</t>
        </is>
      </c>
      <c r="B6458" s="1" t="n">
        <v>45818.66342592592</v>
      </c>
      <c r="C6458" s="1" t="n">
        <v>45883</v>
      </c>
      <c r="D6458" t="inlineStr">
        <is>
          <t>GÄVLEBORGS LÄN</t>
        </is>
      </c>
      <c r="E6458" t="inlineStr">
        <is>
          <t>BOLLNÄS</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12216-2025</t>
        </is>
      </c>
      <c r="B6459" s="1" t="n">
        <v>45729.53565972222</v>
      </c>
      <c r="C6459" s="1" t="n">
        <v>45883</v>
      </c>
      <c r="D6459" t="inlineStr">
        <is>
          <t>GÄVLEBORGS LÄN</t>
        </is>
      </c>
      <c r="E6459" t="inlineStr">
        <is>
          <t>NORDANSTIG</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51261-2023</t>
        </is>
      </c>
      <c r="B6460" s="1" t="n">
        <v>45219</v>
      </c>
      <c r="C6460" s="1" t="n">
        <v>45883</v>
      </c>
      <c r="D6460" t="inlineStr">
        <is>
          <t>GÄVLEBORGS LÄN</t>
        </is>
      </c>
      <c r="E6460" t="inlineStr">
        <is>
          <t>BOLLNÄS</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12224-2025</t>
        </is>
      </c>
      <c r="B6461" s="1" t="n">
        <v>45729.55165509259</v>
      </c>
      <c r="C6461" s="1" t="n">
        <v>45883</v>
      </c>
      <c r="D6461" t="inlineStr">
        <is>
          <t>GÄVLEBORGS LÄN</t>
        </is>
      </c>
      <c r="E6461" t="inlineStr">
        <is>
          <t>LJUSDAL</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28048-2025</t>
        </is>
      </c>
      <c r="B6462" s="1" t="n">
        <v>45817.65453703704</v>
      </c>
      <c r="C6462" s="1" t="n">
        <v>45883</v>
      </c>
      <c r="D6462" t="inlineStr">
        <is>
          <t>GÄVLEBORGS LÄN</t>
        </is>
      </c>
      <c r="E6462" t="inlineStr">
        <is>
          <t>OVANÅKER</t>
        </is>
      </c>
      <c r="F6462" t="inlineStr">
        <is>
          <t>Bergvik skog väst AB</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8035-2025</t>
        </is>
      </c>
      <c r="B6463" s="1" t="n">
        <v>45707.59410879629</v>
      </c>
      <c r="C6463" s="1" t="n">
        <v>45883</v>
      </c>
      <c r="D6463" t="inlineStr">
        <is>
          <t>GÄVLEBORGS LÄN</t>
        </is>
      </c>
      <c r="E6463" t="inlineStr">
        <is>
          <t>BOLLNÄS</t>
        </is>
      </c>
      <c r="F6463" t="inlineStr">
        <is>
          <t>Bergvik skog väst AB</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63862-2023</t>
        </is>
      </c>
      <c r="B6464" s="1" t="n">
        <v>45278.49693287037</v>
      </c>
      <c r="C6464" s="1" t="n">
        <v>45883</v>
      </c>
      <c r="D6464" t="inlineStr">
        <is>
          <t>GÄVLEBORGS LÄN</t>
        </is>
      </c>
      <c r="E6464" t="inlineStr">
        <is>
          <t>BOLLNÄS</t>
        </is>
      </c>
      <c r="G6464" t="n">
        <v>2.7</v>
      </c>
      <c r="H6464" t="n">
        <v>0</v>
      </c>
      <c r="I6464" t="n">
        <v>0</v>
      </c>
      <c r="J6464" t="n">
        <v>0</v>
      </c>
      <c r="K6464" t="n">
        <v>0</v>
      </c>
      <c r="L6464" t="n">
        <v>0</v>
      </c>
      <c r="M6464" t="n">
        <v>0</v>
      </c>
      <c r="N6464" t="n">
        <v>0</v>
      </c>
      <c r="O6464" t="n">
        <v>0</v>
      </c>
      <c r="P6464" t="n">
        <v>0</v>
      </c>
      <c r="Q6464" t="n">
        <v>0</v>
      </c>
      <c r="R6464" s="2" t="inlineStr"/>
    </row>
    <row r="6465" ht="15" customHeight="1">
      <c r="A6465" t="inlineStr">
        <is>
          <t>A 28172-2025</t>
        </is>
      </c>
      <c r="B6465" s="1" t="n">
        <v>45818.38121527778</v>
      </c>
      <c r="C6465" s="1" t="n">
        <v>45883</v>
      </c>
      <c r="D6465" t="inlineStr">
        <is>
          <t>GÄVLEBORGS LÄN</t>
        </is>
      </c>
      <c r="E6465" t="inlineStr">
        <is>
          <t>GÄVLE</t>
        </is>
      </c>
      <c r="G6465" t="n">
        <v>9.5</v>
      </c>
      <c r="H6465" t="n">
        <v>0</v>
      </c>
      <c r="I6465" t="n">
        <v>0</v>
      </c>
      <c r="J6465" t="n">
        <v>0</v>
      </c>
      <c r="K6465" t="n">
        <v>0</v>
      </c>
      <c r="L6465" t="n">
        <v>0</v>
      </c>
      <c r="M6465" t="n">
        <v>0</v>
      </c>
      <c r="N6465" t="n">
        <v>0</v>
      </c>
      <c r="O6465" t="n">
        <v>0</v>
      </c>
      <c r="P6465" t="n">
        <v>0</v>
      </c>
      <c r="Q6465" t="n">
        <v>0</v>
      </c>
      <c r="R6465" s="2" t="inlineStr"/>
    </row>
    <row r="6466" ht="15" customHeight="1">
      <c r="A6466" t="inlineStr">
        <is>
          <t>A 54396-2023</t>
        </is>
      </c>
      <c r="B6466" s="1" t="n">
        <v>45233.3717824074</v>
      </c>
      <c r="C6466" s="1" t="n">
        <v>45883</v>
      </c>
      <c r="D6466" t="inlineStr">
        <is>
          <t>GÄVLEBORGS LÄN</t>
        </is>
      </c>
      <c r="E6466" t="inlineStr">
        <is>
          <t>NORDANSTIG</t>
        </is>
      </c>
      <c r="F6466" t="inlineStr">
        <is>
          <t>Holmen skog AB</t>
        </is>
      </c>
      <c r="G6466" t="n">
        <v>9.1</v>
      </c>
      <c r="H6466" t="n">
        <v>0</v>
      </c>
      <c r="I6466" t="n">
        <v>0</v>
      </c>
      <c r="J6466" t="n">
        <v>0</v>
      </c>
      <c r="K6466" t="n">
        <v>0</v>
      </c>
      <c r="L6466" t="n">
        <v>0</v>
      </c>
      <c r="M6466" t="n">
        <v>0</v>
      </c>
      <c r="N6466" t="n">
        <v>0</v>
      </c>
      <c r="O6466" t="n">
        <v>0</v>
      </c>
      <c r="P6466" t="n">
        <v>0</v>
      </c>
      <c r="Q6466" t="n">
        <v>0</v>
      </c>
      <c r="R6466" s="2" t="inlineStr"/>
    </row>
    <row r="6467" ht="15" customHeight="1">
      <c r="A6467" t="inlineStr">
        <is>
          <t>A 35523-2022</t>
        </is>
      </c>
      <c r="B6467" s="1" t="n">
        <v>44799</v>
      </c>
      <c r="C6467" s="1" t="n">
        <v>45883</v>
      </c>
      <c r="D6467" t="inlineStr">
        <is>
          <t>GÄVLEBORGS LÄN</t>
        </is>
      </c>
      <c r="E6467" t="inlineStr">
        <is>
          <t>SANDVIKEN</t>
        </is>
      </c>
      <c r="G6467" t="n">
        <v>2.1</v>
      </c>
      <c r="H6467" t="n">
        <v>0</v>
      </c>
      <c r="I6467" t="n">
        <v>0</v>
      </c>
      <c r="J6467" t="n">
        <v>0</v>
      </c>
      <c r="K6467" t="n">
        <v>0</v>
      </c>
      <c r="L6467" t="n">
        <v>0</v>
      </c>
      <c r="M6467" t="n">
        <v>0</v>
      </c>
      <c r="N6467" t="n">
        <v>0</v>
      </c>
      <c r="O6467" t="n">
        <v>0</v>
      </c>
      <c r="P6467" t="n">
        <v>0</v>
      </c>
      <c r="Q6467" t="n">
        <v>0</v>
      </c>
      <c r="R6467" s="2" t="inlineStr"/>
      <c r="U6467">
        <f>HYPERLINK("https://klasma.github.io/Logging_2181/knärot/A 35523-2022 karta knärot.png", "A 35523-2022")</f>
        <v/>
      </c>
      <c r="V6467">
        <f>HYPERLINK("https://klasma.github.io/Logging_2181/klagomål/A 35523-2022 FSC-klagomål.docx", "A 35523-2022")</f>
        <v/>
      </c>
      <c r="W6467">
        <f>HYPERLINK("https://klasma.github.io/Logging_2181/klagomålsmail/A 35523-2022 FSC-klagomål mail.docx", "A 35523-2022")</f>
        <v/>
      </c>
      <c r="X6467">
        <f>HYPERLINK("https://klasma.github.io/Logging_2181/tillsyn/A 35523-2022 tillsynsbegäran.docx", "A 35523-2022")</f>
        <v/>
      </c>
      <c r="Y6467">
        <f>HYPERLINK("https://klasma.github.io/Logging_2181/tillsynsmail/A 35523-2022 tillsynsbegäran mail.docx", "A 35523-2022")</f>
        <v/>
      </c>
    </row>
    <row r="6468" ht="15" customHeight="1">
      <c r="A6468" t="inlineStr">
        <is>
          <t>A 27804-2025</t>
        </is>
      </c>
      <c r="B6468" s="1" t="n">
        <v>45817.29372685185</v>
      </c>
      <c r="C6468" s="1" t="n">
        <v>45883</v>
      </c>
      <c r="D6468" t="inlineStr">
        <is>
          <t>GÄVLEBORGS LÄN</t>
        </is>
      </c>
      <c r="E6468" t="inlineStr">
        <is>
          <t>NORDANSTIG</t>
        </is>
      </c>
      <c r="F6468" t="inlineStr">
        <is>
          <t>Holmen skog AB</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17345-2024</t>
        </is>
      </c>
      <c r="B6469" s="1" t="n">
        <v>45414</v>
      </c>
      <c r="C6469" s="1" t="n">
        <v>45883</v>
      </c>
      <c r="D6469" t="inlineStr">
        <is>
          <t>GÄVLEBORGS LÄN</t>
        </is>
      </c>
      <c r="E6469" t="inlineStr">
        <is>
          <t>HUDIKSVALL</t>
        </is>
      </c>
      <c r="G6469" t="n">
        <v>3.2</v>
      </c>
      <c r="H6469" t="n">
        <v>0</v>
      </c>
      <c r="I6469" t="n">
        <v>0</v>
      </c>
      <c r="J6469" t="n">
        <v>0</v>
      </c>
      <c r="K6469" t="n">
        <v>0</v>
      </c>
      <c r="L6469" t="n">
        <v>0</v>
      </c>
      <c r="M6469" t="n">
        <v>0</v>
      </c>
      <c r="N6469" t="n">
        <v>0</v>
      </c>
      <c r="O6469" t="n">
        <v>0</v>
      </c>
      <c r="P6469" t="n">
        <v>0</v>
      </c>
      <c r="Q6469" t="n">
        <v>0</v>
      </c>
      <c r="R6469" s="2" t="inlineStr"/>
    </row>
    <row r="6470" ht="15" customHeight="1">
      <c r="A6470" t="inlineStr">
        <is>
          <t>A 36646-2022</t>
        </is>
      </c>
      <c r="B6470" s="1" t="n">
        <v>44804.74767361111</v>
      </c>
      <c r="C6470" s="1" t="n">
        <v>45883</v>
      </c>
      <c r="D6470" t="inlineStr">
        <is>
          <t>GÄVLEBORGS LÄN</t>
        </is>
      </c>
      <c r="E6470" t="inlineStr">
        <is>
          <t>SANDVIKEN</t>
        </is>
      </c>
      <c r="G6470" t="n">
        <v>9.199999999999999</v>
      </c>
      <c r="H6470" t="n">
        <v>0</v>
      </c>
      <c r="I6470" t="n">
        <v>0</v>
      </c>
      <c r="J6470" t="n">
        <v>0</v>
      </c>
      <c r="K6470" t="n">
        <v>0</v>
      </c>
      <c r="L6470" t="n">
        <v>0</v>
      </c>
      <c r="M6470" t="n">
        <v>0</v>
      </c>
      <c r="N6470" t="n">
        <v>0</v>
      </c>
      <c r="O6470" t="n">
        <v>0</v>
      </c>
      <c r="P6470" t="n">
        <v>0</v>
      </c>
      <c r="Q6470" t="n">
        <v>0</v>
      </c>
      <c r="R6470" s="2" t="inlineStr"/>
    </row>
    <row r="6471" ht="15" customHeight="1">
      <c r="A6471" t="inlineStr">
        <is>
          <t>A 35614-2025</t>
        </is>
      </c>
      <c r="B6471" s="1" t="n">
        <v>45859.376875</v>
      </c>
      <c r="C6471" s="1" t="n">
        <v>45883</v>
      </c>
      <c r="D6471" t="inlineStr">
        <is>
          <t>GÄVLEBORGS LÄN</t>
        </is>
      </c>
      <c r="E6471" t="inlineStr">
        <is>
          <t>OCKELBO</t>
        </is>
      </c>
      <c r="F6471" t="inlineStr">
        <is>
          <t>Bergvik skog väst AB</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47841-2023</t>
        </is>
      </c>
      <c r="B6472" s="1" t="n">
        <v>45204</v>
      </c>
      <c r="C6472" s="1" t="n">
        <v>45883</v>
      </c>
      <c r="D6472" t="inlineStr">
        <is>
          <t>GÄVLEBORGS LÄN</t>
        </is>
      </c>
      <c r="E6472" t="inlineStr">
        <is>
          <t>OCKELBO</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47852-2023</t>
        </is>
      </c>
      <c r="B6473" s="1" t="n">
        <v>45204</v>
      </c>
      <c r="C6473" s="1" t="n">
        <v>45883</v>
      </c>
      <c r="D6473" t="inlineStr">
        <is>
          <t>GÄVLEBORGS LÄN</t>
        </is>
      </c>
      <c r="E6473" t="inlineStr">
        <is>
          <t>BOLLNÄS</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18216-2024</t>
        </is>
      </c>
      <c r="B6474" s="1" t="n">
        <v>45420</v>
      </c>
      <c r="C6474" s="1" t="n">
        <v>45883</v>
      </c>
      <c r="D6474" t="inlineStr">
        <is>
          <t>GÄVLEBORGS LÄN</t>
        </is>
      </c>
      <c r="E6474" t="inlineStr">
        <is>
          <t>GÄVLE</t>
        </is>
      </c>
      <c r="F6474" t="inlineStr">
        <is>
          <t>Bergvik skog väst AB</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32151-2023</t>
        </is>
      </c>
      <c r="B6475" s="1" t="n">
        <v>45119.70157407408</v>
      </c>
      <c r="C6475" s="1" t="n">
        <v>45883</v>
      </c>
      <c r="D6475" t="inlineStr">
        <is>
          <t>GÄVLEBORGS LÄN</t>
        </is>
      </c>
      <c r="E6475" t="inlineStr">
        <is>
          <t>LJUSDAL</t>
        </is>
      </c>
      <c r="F6475" t="inlineStr">
        <is>
          <t>Bergvik skog väst AB</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55423-2023</t>
        </is>
      </c>
      <c r="B6476" s="1" t="n">
        <v>45238.4189699074</v>
      </c>
      <c r="C6476" s="1" t="n">
        <v>45883</v>
      </c>
      <c r="D6476" t="inlineStr">
        <is>
          <t>GÄVLEBORGS LÄN</t>
        </is>
      </c>
      <c r="E6476" t="inlineStr">
        <is>
          <t>OVANÅKER</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28236-2025</t>
        </is>
      </c>
      <c r="B6477" s="1" t="n">
        <v>45818.49982638889</v>
      </c>
      <c r="C6477" s="1" t="n">
        <v>45883</v>
      </c>
      <c r="D6477" t="inlineStr">
        <is>
          <t>GÄVLEBORGS LÄN</t>
        </is>
      </c>
      <c r="E6477" t="inlineStr">
        <is>
          <t>NORDANSTIG</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28244-2025</t>
        </is>
      </c>
      <c r="B6478" s="1" t="n">
        <v>45818.51094907407</v>
      </c>
      <c r="C6478" s="1" t="n">
        <v>45883</v>
      </c>
      <c r="D6478" t="inlineStr">
        <is>
          <t>GÄVLEBORGS LÄN</t>
        </is>
      </c>
      <c r="E6478" t="inlineStr">
        <is>
          <t>NORDANSTIG</t>
        </is>
      </c>
      <c r="G6478" t="n">
        <v>5.8</v>
      </c>
      <c r="H6478" t="n">
        <v>0</v>
      </c>
      <c r="I6478" t="n">
        <v>0</v>
      </c>
      <c r="J6478" t="n">
        <v>0</v>
      </c>
      <c r="K6478" t="n">
        <v>0</v>
      </c>
      <c r="L6478" t="n">
        <v>0</v>
      </c>
      <c r="M6478" t="n">
        <v>0</v>
      </c>
      <c r="N6478" t="n">
        <v>0</v>
      </c>
      <c r="O6478" t="n">
        <v>0</v>
      </c>
      <c r="P6478" t="n">
        <v>0</v>
      </c>
      <c r="Q6478" t="n">
        <v>0</v>
      </c>
      <c r="R6478" s="2" t="inlineStr"/>
    </row>
    <row r="6479" ht="15" customHeight="1">
      <c r="A6479" t="inlineStr">
        <is>
          <t>A 28057-2025</t>
        </is>
      </c>
      <c r="B6479" s="1" t="n">
        <v>45817.66207175926</v>
      </c>
      <c r="C6479" s="1" t="n">
        <v>45883</v>
      </c>
      <c r="D6479" t="inlineStr">
        <is>
          <t>GÄVLEBORGS LÄN</t>
        </is>
      </c>
      <c r="E6479" t="inlineStr">
        <is>
          <t>OVANÅKER</t>
        </is>
      </c>
      <c r="F6479" t="inlineStr">
        <is>
          <t>Bergvik skog väst AB</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35722-2025</t>
        </is>
      </c>
      <c r="B6480" s="1" t="n">
        <v>45860.44288194444</v>
      </c>
      <c r="C6480" s="1" t="n">
        <v>45883</v>
      </c>
      <c r="D6480" t="inlineStr">
        <is>
          <t>GÄVLEBORGS LÄN</t>
        </is>
      </c>
      <c r="E6480" t="inlineStr">
        <is>
          <t>SÖDERHAMN</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27992-2025</t>
        </is>
      </c>
      <c r="B6481" s="1" t="n">
        <v>45817.58949074074</v>
      </c>
      <c r="C6481" s="1" t="n">
        <v>45883</v>
      </c>
      <c r="D6481" t="inlineStr">
        <is>
          <t>GÄVLEBORGS LÄN</t>
        </is>
      </c>
      <c r="E6481" t="inlineStr">
        <is>
          <t>LJUSDAL</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28003-2025</t>
        </is>
      </c>
      <c r="B6482" s="1" t="n">
        <v>45817.59530092592</v>
      </c>
      <c r="C6482" s="1" t="n">
        <v>45883</v>
      </c>
      <c r="D6482" t="inlineStr">
        <is>
          <t>GÄVLEBORGS LÄN</t>
        </is>
      </c>
      <c r="E6482" t="inlineStr">
        <is>
          <t>SÖDERHAMN</t>
        </is>
      </c>
      <c r="G6482" t="n">
        <v>3.9</v>
      </c>
      <c r="H6482" t="n">
        <v>0</v>
      </c>
      <c r="I6482" t="n">
        <v>0</v>
      </c>
      <c r="J6482" t="n">
        <v>0</v>
      </c>
      <c r="K6482" t="n">
        <v>0</v>
      </c>
      <c r="L6482" t="n">
        <v>0</v>
      </c>
      <c r="M6482" t="n">
        <v>0</v>
      </c>
      <c r="N6482" t="n">
        <v>0</v>
      </c>
      <c r="O6482" t="n">
        <v>0</v>
      </c>
      <c r="P6482" t="n">
        <v>0</v>
      </c>
      <c r="Q6482" t="n">
        <v>0</v>
      </c>
      <c r="R6482" s="2" t="inlineStr"/>
    </row>
    <row r="6483" ht="15" customHeight="1">
      <c r="A6483" t="inlineStr">
        <is>
          <t>A 28009-2025</t>
        </is>
      </c>
      <c r="B6483" s="1" t="n">
        <v>45817.60252314815</v>
      </c>
      <c r="C6483" s="1" t="n">
        <v>45883</v>
      </c>
      <c r="D6483" t="inlineStr">
        <is>
          <t>GÄVLEBORGS LÄN</t>
        </is>
      </c>
      <c r="E6483" t="inlineStr">
        <is>
          <t>GÄVLE</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35615-2025</t>
        </is>
      </c>
      <c r="B6484" s="1" t="n">
        <v>45859.38130787037</v>
      </c>
      <c r="C6484" s="1" t="n">
        <v>45883</v>
      </c>
      <c r="D6484" t="inlineStr">
        <is>
          <t>GÄVLEBORGS LÄN</t>
        </is>
      </c>
      <c r="E6484" t="inlineStr">
        <is>
          <t>LJUSDAL</t>
        </is>
      </c>
      <c r="F6484" t="inlineStr">
        <is>
          <t>Bergvik skog väst AB</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35625-2025</t>
        </is>
      </c>
      <c r="B6485" s="1" t="n">
        <v>45859.4297337963</v>
      </c>
      <c r="C6485" s="1" t="n">
        <v>45883</v>
      </c>
      <c r="D6485" t="inlineStr">
        <is>
          <t>GÄVLEBORGS LÄN</t>
        </is>
      </c>
      <c r="E6485" t="inlineStr">
        <is>
          <t>OCKELBO</t>
        </is>
      </c>
      <c r="F6485" t="inlineStr">
        <is>
          <t>Bergvik skog väst AB</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28047-2025</t>
        </is>
      </c>
      <c r="B6486" s="1" t="n">
        <v>45817</v>
      </c>
      <c r="C6486" s="1" t="n">
        <v>45883</v>
      </c>
      <c r="D6486" t="inlineStr">
        <is>
          <t>GÄVLEBORGS LÄN</t>
        </is>
      </c>
      <c r="E6486" t="inlineStr">
        <is>
          <t>OVANÅKER</t>
        </is>
      </c>
      <c r="F6486" t="inlineStr">
        <is>
          <t>Holmen skog AB</t>
        </is>
      </c>
      <c r="G6486" t="n">
        <v>13.5</v>
      </c>
      <c r="H6486" t="n">
        <v>0</v>
      </c>
      <c r="I6486" t="n">
        <v>0</v>
      </c>
      <c r="J6486" t="n">
        <v>0</v>
      </c>
      <c r="K6486" t="n">
        <v>0</v>
      </c>
      <c r="L6486" t="n">
        <v>0</v>
      </c>
      <c r="M6486" t="n">
        <v>0</v>
      </c>
      <c r="N6486" t="n">
        <v>0</v>
      </c>
      <c r="O6486" t="n">
        <v>0</v>
      </c>
      <c r="P6486" t="n">
        <v>0</v>
      </c>
      <c r="Q6486" t="n">
        <v>0</v>
      </c>
      <c r="R6486" s="2" t="inlineStr"/>
    </row>
    <row r="6487" ht="15" customHeight="1">
      <c r="A6487" t="inlineStr">
        <is>
          <t>A 35846-2025</t>
        </is>
      </c>
      <c r="B6487" s="1" t="n">
        <v>45861.57856481482</v>
      </c>
      <c r="C6487" s="1" t="n">
        <v>45883</v>
      </c>
      <c r="D6487" t="inlineStr">
        <is>
          <t>GÄVLEBORGS LÄN</t>
        </is>
      </c>
      <c r="E6487" t="inlineStr">
        <is>
          <t>OVANÅKER</t>
        </is>
      </c>
      <c r="F6487" t="inlineStr">
        <is>
          <t>Bergvik skog väst AB</t>
        </is>
      </c>
      <c r="G6487" t="n">
        <v>3.2</v>
      </c>
      <c r="H6487" t="n">
        <v>0</v>
      </c>
      <c r="I6487" t="n">
        <v>0</v>
      </c>
      <c r="J6487" t="n">
        <v>0</v>
      </c>
      <c r="K6487" t="n">
        <v>0</v>
      </c>
      <c r="L6487" t="n">
        <v>0</v>
      </c>
      <c r="M6487" t="n">
        <v>0</v>
      </c>
      <c r="N6487" t="n">
        <v>0</v>
      </c>
      <c r="O6487" t="n">
        <v>0</v>
      </c>
      <c r="P6487" t="n">
        <v>0</v>
      </c>
      <c r="Q6487" t="n">
        <v>0</v>
      </c>
      <c r="R6487" s="2" t="inlineStr"/>
    </row>
    <row r="6488" ht="15" customHeight="1">
      <c r="A6488" t="inlineStr">
        <is>
          <t>A 28626-2025</t>
        </is>
      </c>
      <c r="B6488" s="1" t="n">
        <v>45819.62038194444</v>
      </c>
      <c r="C6488" s="1" t="n">
        <v>45883</v>
      </c>
      <c r="D6488" t="inlineStr">
        <is>
          <t>GÄVLEBORGS LÄN</t>
        </is>
      </c>
      <c r="E6488" t="inlineStr">
        <is>
          <t>OVANÅKER</t>
        </is>
      </c>
      <c r="F6488" t="inlineStr">
        <is>
          <t>Bergvik skog väst AB</t>
        </is>
      </c>
      <c r="G6488" t="n">
        <v>4.5</v>
      </c>
      <c r="H6488" t="n">
        <v>0</v>
      </c>
      <c r="I6488" t="n">
        <v>0</v>
      </c>
      <c r="J6488" t="n">
        <v>0</v>
      </c>
      <c r="K6488" t="n">
        <v>0</v>
      </c>
      <c r="L6488" t="n">
        <v>0</v>
      </c>
      <c r="M6488" t="n">
        <v>0</v>
      </c>
      <c r="N6488" t="n">
        <v>0</v>
      </c>
      <c r="O6488" t="n">
        <v>0</v>
      </c>
      <c r="P6488" t="n">
        <v>0</v>
      </c>
      <c r="Q6488" t="n">
        <v>0</v>
      </c>
      <c r="R6488" s="2" t="inlineStr"/>
    </row>
    <row r="6489" ht="15" customHeight="1">
      <c r="A6489" t="inlineStr">
        <is>
          <t>A 28633-2025</t>
        </is>
      </c>
      <c r="B6489" s="1" t="n">
        <v>45819.62692129629</v>
      </c>
      <c r="C6489" s="1" t="n">
        <v>45883</v>
      </c>
      <c r="D6489" t="inlineStr">
        <is>
          <t>GÄVLEBORGS LÄN</t>
        </is>
      </c>
      <c r="E6489" t="inlineStr">
        <is>
          <t>HUDIKSVALL</t>
        </is>
      </c>
      <c r="G6489" t="n">
        <v>4.1</v>
      </c>
      <c r="H6489" t="n">
        <v>0</v>
      </c>
      <c r="I6489" t="n">
        <v>0</v>
      </c>
      <c r="J6489" t="n">
        <v>0</v>
      </c>
      <c r="K6489" t="n">
        <v>0</v>
      </c>
      <c r="L6489" t="n">
        <v>0</v>
      </c>
      <c r="M6489" t="n">
        <v>0</v>
      </c>
      <c r="N6489" t="n">
        <v>0</v>
      </c>
      <c r="O6489" t="n">
        <v>0</v>
      </c>
      <c r="P6489" t="n">
        <v>0</v>
      </c>
      <c r="Q6489" t="n">
        <v>0</v>
      </c>
      <c r="R6489" s="2" t="inlineStr"/>
    </row>
    <row r="6490" ht="15" customHeight="1">
      <c r="A6490" t="inlineStr">
        <is>
          <t>A 35823-2025</t>
        </is>
      </c>
      <c r="B6490" s="1" t="n">
        <v>45861.47555555555</v>
      </c>
      <c r="C6490" s="1" t="n">
        <v>45883</v>
      </c>
      <c r="D6490" t="inlineStr">
        <is>
          <t>GÄVLEBORGS LÄN</t>
        </is>
      </c>
      <c r="E6490" t="inlineStr">
        <is>
          <t>OVANÅKER</t>
        </is>
      </c>
      <c r="F6490" t="inlineStr">
        <is>
          <t>Bergvik skog väst AB</t>
        </is>
      </c>
      <c r="G6490" t="n">
        <v>6.9</v>
      </c>
      <c r="H6490" t="n">
        <v>0</v>
      </c>
      <c r="I6490" t="n">
        <v>0</v>
      </c>
      <c r="J6490" t="n">
        <v>0</v>
      </c>
      <c r="K6490" t="n">
        <v>0</v>
      </c>
      <c r="L6490" t="n">
        <v>0</v>
      </c>
      <c r="M6490" t="n">
        <v>0</v>
      </c>
      <c r="N6490" t="n">
        <v>0</v>
      </c>
      <c r="O6490" t="n">
        <v>0</v>
      </c>
      <c r="P6490" t="n">
        <v>0</v>
      </c>
      <c r="Q6490" t="n">
        <v>0</v>
      </c>
      <c r="R6490" s="2" t="inlineStr"/>
    </row>
    <row r="6491" ht="15" customHeight="1">
      <c r="A6491" t="inlineStr">
        <is>
          <t>A 35825-2025</t>
        </is>
      </c>
      <c r="B6491" s="1" t="n">
        <v>45861.48847222222</v>
      </c>
      <c r="C6491" s="1" t="n">
        <v>45883</v>
      </c>
      <c r="D6491" t="inlineStr">
        <is>
          <t>GÄVLEBORGS LÄN</t>
        </is>
      </c>
      <c r="E6491" t="inlineStr">
        <is>
          <t>HUDIKSVALL</t>
        </is>
      </c>
      <c r="G6491" t="n">
        <v>5.9</v>
      </c>
      <c r="H6491" t="n">
        <v>0</v>
      </c>
      <c r="I6491" t="n">
        <v>0</v>
      </c>
      <c r="J6491" t="n">
        <v>0</v>
      </c>
      <c r="K6491" t="n">
        <v>0</v>
      </c>
      <c r="L6491" t="n">
        <v>0</v>
      </c>
      <c r="M6491" t="n">
        <v>0</v>
      </c>
      <c r="N6491" t="n">
        <v>0</v>
      </c>
      <c r="O6491" t="n">
        <v>0</v>
      </c>
      <c r="P6491" t="n">
        <v>0</v>
      </c>
      <c r="Q6491" t="n">
        <v>0</v>
      </c>
      <c r="R6491" s="2" t="inlineStr"/>
    </row>
    <row r="6492" ht="15" customHeight="1">
      <c r="A6492" t="inlineStr">
        <is>
          <t>A 35849-2025</t>
        </is>
      </c>
      <c r="B6492" s="1" t="n">
        <v>45861.590625</v>
      </c>
      <c r="C6492" s="1" t="n">
        <v>45883</v>
      </c>
      <c r="D6492" t="inlineStr">
        <is>
          <t>GÄVLEBORGS LÄN</t>
        </is>
      </c>
      <c r="E6492" t="inlineStr">
        <is>
          <t>OVANÅKER</t>
        </is>
      </c>
      <c r="F6492" t="inlineStr">
        <is>
          <t>Bergvik skog väst AB</t>
        </is>
      </c>
      <c r="G6492" t="n">
        <v>9.9</v>
      </c>
      <c r="H6492" t="n">
        <v>0</v>
      </c>
      <c r="I6492" t="n">
        <v>0</v>
      </c>
      <c r="J6492" t="n">
        <v>0</v>
      </c>
      <c r="K6492" t="n">
        <v>0</v>
      </c>
      <c r="L6492" t="n">
        <v>0</v>
      </c>
      <c r="M6492" t="n">
        <v>0</v>
      </c>
      <c r="N6492" t="n">
        <v>0</v>
      </c>
      <c r="O6492" t="n">
        <v>0</v>
      </c>
      <c r="P6492" t="n">
        <v>0</v>
      </c>
      <c r="Q6492" t="n">
        <v>0</v>
      </c>
      <c r="R6492" s="2" t="inlineStr"/>
    </row>
    <row r="6493" ht="15" customHeight="1">
      <c r="A6493" t="inlineStr">
        <is>
          <t>A 28576-2025</t>
        </is>
      </c>
      <c r="B6493" s="1" t="n">
        <v>45819.5671412037</v>
      </c>
      <c r="C6493" s="1" t="n">
        <v>45883</v>
      </c>
      <c r="D6493" t="inlineStr">
        <is>
          <t>GÄVLEBORGS LÄN</t>
        </is>
      </c>
      <c r="E6493" t="inlineStr">
        <is>
          <t>OCKELBO</t>
        </is>
      </c>
      <c r="F6493" t="inlineStr">
        <is>
          <t>Bergvik skog väst AB</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28593-2025</t>
        </is>
      </c>
      <c r="B6494" s="1" t="n">
        <v>45819.59232638889</v>
      </c>
      <c r="C6494" s="1" t="n">
        <v>45883</v>
      </c>
      <c r="D6494" t="inlineStr">
        <is>
          <t>GÄVLEBORGS LÄN</t>
        </is>
      </c>
      <c r="E6494" t="inlineStr">
        <is>
          <t>OVANÅKER</t>
        </is>
      </c>
      <c r="F6494" t="inlineStr">
        <is>
          <t>Bergvik skog väst AB</t>
        </is>
      </c>
      <c r="G6494" t="n">
        <v>3.2</v>
      </c>
      <c r="H6494" t="n">
        <v>0</v>
      </c>
      <c r="I6494" t="n">
        <v>0</v>
      </c>
      <c r="J6494" t="n">
        <v>0</v>
      </c>
      <c r="K6494" t="n">
        <v>0</v>
      </c>
      <c r="L6494" t="n">
        <v>0</v>
      </c>
      <c r="M6494" t="n">
        <v>0</v>
      </c>
      <c r="N6494" t="n">
        <v>0</v>
      </c>
      <c r="O6494" t="n">
        <v>0</v>
      </c>
      <c r="P6494" t="n">
        <v>0</v>
      </c>
      <c r="Q6494" t="n">
        <v>0</v>
      </c>
      <c r="R6494" s="2" t="inlineStr"/>
    </row>
    <row r="6495" ht="15" customHeight="1">
      <c r="A6495" t="inlineStr">
        <is>
          <t>A 28596-2025</t>
        </is>
      </c>
      <c r="B6495" s="1" t="n">
        <v>45819.59603009259</v>
      </c>
      <c r="C6495" s="1" t="n">
        <v>45883</v>
      </c>
      <c r="D6495" t="inlineStr">
        <is>
          <t>GÄVLEBORGS LÄN</t>
        </is>
      </c>
      <c r="E6495" t="inlineStr">
        <is>
          <t>GÄVLE</t>
        </is>
      </c>
      <c r="F6495" t="inlineStr">
        <is>
          <t>Bergvik skog väst AB</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28410-2025</t>
        </is>
      </c>
      <c r="B6496" s="1" t="n">
        <v>45819.34619212963</v>
      </c>
      <c r="C6496" s="1" t="n">
        <v>45883</v>
      </c>
      <c r="D6496" t="inlineStr">
        <is>
          <t>GÄVLEBORGS LÄN</t>
        </is>
      </c>
      <c r="E6496" t="inlineStr">
        <is>
          <t>HUDIKSVALL</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33985-2023</t>
        </is>
      </c>
      <c r="B6497" s="1" t="n">
        <v>45134.82828703704</v>
      </c>
      <c r="C6497" s="1" t="n">
        <v>45883</v>
      </c>
      <c r="D6497" t="inlineStr">
        <is>
          <t>GÄVLEBORGS LÄN</t>
        </is>
      </c>
      <c r="E6497" t="inlineStr">
        <is>
          <t>OCKELBO</t>
        </is>
      </c>
      <c r="F6497" t="inlineStr">
        <is>
          <t>Bergvik skog väst AB</t>
        </is>
      </c>
      <c r="G6497" t="n">
        <v>4</v>
      </c>
      <c r="H6497" t="n">
        <v>0</v>
      </c>
      <c r="I6497" t="n">
        <v>0</v>
      </c>
      <c r="J6497" t="n">
        <v>0</v>
      </c>
      <c r="K6497" t="n">
        <v>0</v>
      </c>
      <c r="L6497" t="n">
        <v>0</v>
      </c>
      <c r="M6497" t="n">
        <v>0</v>
      </c>
      <c r="N6497" t="n">
        <v>0</v>
      </c>
      <c r="O6497" t="n">
        <v>0</v>
      </c>
      <c r="P6497" t="n">
        <v>0</v>
      </c>
      <c r="Q6497" t="n">
        <v>0</v>
      </c>
      <c r="R6497" s="2" t="inlineStr"/>
    </row>
    <row r="6498" ht="15" customHeight="1">
      <c r="A6498" t="inlineStr">
        <is>
          <t>A 28381-2025</t>
        </is>
      </c>
      <c r="B6498" s="1" t="n">
        <v>45819.30736111111</v>
      </c>
      <c r="C6498" s="1" t="n">
        <v>45883</v>
      </c>
      <c r="D6498" t="inlineStr">
        <is>
          <t>GÄVLEBORGS LÄN</t>
        </is>
      </c>
      <c r="E6498" t="inlineStr">
        <is>
          <t>HUDIKSVALL</t>
        </is>
      </c>
      <c r="F6498" t="inlineStr">
        <is>
          <t>Holmen skog AB</t>
        </is>
      </c>
      <c r="G6498" t="n">
        <v>8.699999999999999</v>
      </c>
      <c r="H6498" t="n">
        <v>0</v>
      </c>
      <c r="I6498" t="n">
        <v>0</v>
      </c>
      <c r="J6498" t="n">
        <v>0</v>
      </c>
      <c r="K6498" t="n">
        <v>0</v>
      </c>
      <c r="L6498" t="n">
        <v>0</v>
      </c>
      <c r="M6498" t="n">
        <v>0</v>
      </c>
      <c r="N6498" t="n">
        <v>0</v>
      </c>
      <c r="O6498" t="n">
        <v>0</v>
      </c>
      <c r="P6498" t="n">
        <v>0</v>
      </c>
      <c r="Q6498" t="n">
        <v>0</v>
      </c>
      <c r="R6498" s="2" t="inlineStr"/>
    </row>
    <row r="6499" ht="15" customHeight="1">
      <c r="A6499" t="inlineStr">
        <is>
          <t>A 43665-2023</t>
        </is>
      </c>
      <c r="B6499" s="1" t="n">
        <v>45187.36105324074</v>
      </c>
      <c r="C6499" s="1" t="n">
        <v>45883</v>
      </c>
      <c r="D6499" t="inlineStr">
        <is>
          <t>GÄVLEBORGS LÄN</t>
        </is>
      </c>
      <c r="E6499" t="inlineStr">
        <is>
          <t>HUDIKSVALL</t>
        </is>
      </c>
      <c r="F6499" t="inlineStr">
        <is>
          <t>Holmen skog AB</t>
        </is>
      </c>
      <c r="G6499" t="n">
        <v>8</v>
      </c>
      <c r="H6499" t="n">
        <v>0</v>
      </c>
      <c r="I6499" t="n">
        <v>0</v>
      </c>
      <c r="J6499" t="n">
        <v>0</v>
      </c>
      <c r="K6499" t="n">
        <v>0</v>
      </c>
      <c r="L6499" t="n">
        <v>0</v>
      </c>
      <c r="M6499" t="n">
        <v>0</v>
      </c>
      <c r="N6499" t="n">
        <v>0</v>
      </c>
      <c r="O6499" t="n">
        <v>0</v>
      </c>
      <c r="P6499" t="n">
        <v>0</v>
      </c>
      <c r="Q6499" t="n">
        <v>0</v>
      </c>
      <c r="R6499" s="2" t="inlineStr"/>
    </row>
    <row r="6500" ht="15" customHeight="1">
      <c r="A6500" t="inlineStr">
        <is>
          <t>A 28429-2025</t>
        </is>
      </c>
      <c r="B6500" s="1" t="n">
        <v>45819.37796296296</v>
      </c>
      <c r="C6500" s="1" t="n">
        <v>45883</v>
      </c>
      <c r="D6500" t="inlineStr">
        <is>
          <t>GÄVLEBORGS LÄN</t>
        </is>
      </c>
      <c r="E6500" t="inlineStr">
        <is>
          <t>BOLLNÄS</t>
        </is>
      </c>
      <c r="F6500" t="inlineStr">
        <is>
          <t>Bergvik skog väst AB</t>
        </is>
      </c>
      <c r="G6500" t="n">
        <v>3.8</v>
      </c>
      <c r="H6500" t="n">
        <v>0</v>
      </c>
      <c r="I6500" t="n">
        <v>0</v>
      </c>
      <c r="J6500" t="n">
        <v>0</v>
      </c>
      <c r="K6500" t="n">
        <v>0</v>
      </c>
      <c r="L6500" t="n">
        <v>0</v>
      </c>
      <c r="M6500" t="n">
        <v>0</v>
      </c>
      <c r="N6500" t="n">
        <v>0</v>
      </c>
      <c r="O6500" t="n">
        <v>0</v>
      </c>
      <c r="P6500" t="n">
        <v>0</v>
      </c>
      <c r="Q6500" t="n">
        <v>0</v>
      </c>
      <c r="R6500" s="2" t="inlineStr"/>
    </row>
    <row r="6501" ht="15" customHeight="1">
      <c r="A6501" t="inlineStr">
        <is>
          <t>A 16627-2025</t>
        </is>
      </c>
      <c r="B6501" s="1" t="n">
        <v>45754.35082175926</v>
      </c>
      <c r="C6501" s="1" t="n">
        <v>45883</v>
      </c>
      <c r="D6501" t="inlineStr">
        <is>
          <t>GÄVLEBORGS LÄN</t>
        </is>
      </c>
      <c r="E6501" t="inlineStr">
        <is>
          <t>BOLLNÄS</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28931-2025</t>
        </is>
      </c>
      <c r="B6502" s="1" t="n">
        <v>45820.67806712963</v>
      </c>
      <c r="C6502" s="1" t="n">
        <v>45883</v>
      </c>
      <c r="D6502" t="inlineStr">
        <is>
          <t>GÄVLEBORGS LÄN</t>
        </is>
      </c>
      <c r="E6502" t="inlineStr">
        <is>
          <t>GÄVLE</t>
        </is>
      </c>
      <c r="G6502" t="n">
        <v>5.9</v>
      </c>
      <c r="H6502" t="n">
        <v>0</v>
      </c>
      <c r="I6502" t="n">
        <v>0</v>
      </c>
      <c r="J6502" t="n">
        <v>0</v>
      </c>
      <c r="K6502" t="n">
        <v>0</v>
      </c>
      <c r="L6502" t="n">
        <v>0</v>
      </c>
      <c r="M6502" t="n">
        <v>0</v>
      </c>
      <c r="N6502" t="n">
        <v>0</v>
      </c>
      <c r="O6502" t="n">
        <v>0</v>
      </c>
      <c r="P6502" t="n">
        <v>0</v>
      </c>
      <c r="Q6502" t="n">
        <v>0</v>
      </c>
      <c r="R6502" s="2" t="inlineStr"/>
    </row>
    <row r="6503" ht="15" customHeight="1">
      <c r="A6503" t="inlineStr">
        <is>
          <t>A 28669-2025</t>
        </is>
      </c>
      <c r="B6503" s="1" t="n">
        <v>45819.66730324074</v>
      </c>
      <c r="C6503" s="1" t="n">
        <v>45883</v>
      </c>
      <c r="D6503" t="inlineStr">
        <is>
          <t>GÄVLEBORGS LÄN</t>
        </is>
      </c>
      <c r="E6503" t="inlineStr">
        <is>
          <t>OCKELBO</t>
        </is>
      </c>
      <c r="F6503" t="inlineStr">
        <is>
          <t>Bergvik skog väst AB</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42685-2022</t>
        </is>
      </c>
      <c r="B6504" s="1" t="n">
        <v>44832.34842592593</v>
      </c>
      <c r="C6504" s="1" t="n">
        <v>45883</v>
      </c>
      <c r="D6504" t="inlineStr">
        <is>
          <t>GÄVLEBORGS LÄN</t>
        </is>
      </c>
      <c r="E6504" t="inlineStr">
        <is>
          <t>OVANÅKER</t>
        </is>
      </c>
      <c r="G6504" t="n">
        <v>7.2</v>
      </c>
      <c r="H6504" t="n">
        <v>0</v>
      </c>
      <c r="I6504" t="n">
        <v>0</v>
      </c>
      <c r="J6504" t="n">
        <v>0</v>
      </c>
      <c r="K6504" t="n">
        <v>0</v>
      </c>
      <c r="L6504" t="n">
        <v>0</v>
      </c>
      <c r="M6504" t="n">
        <v>0</v>
      </c>
      <c r="N6504" t="n">
        <v>0</v>
      </c>
      <c r="O6504" t="n">
        <v>0</v>
      </c>
      <c r="P6504" t="n">
        <v>0</v>
      </c>
      <c r="Q6504" t="n">
        <v>0</v>
      </c>
      <c r="R6504" s="2" t="inlineStr"/>
    </row>
    <row r="6505" ht="15" customHeight="1">
      <c r="A6505" t="inlineStr">
        <is>
          <t>A 39916-2021</t>
        </is>
      </c>
      <c r="B6505" s="1" t="n">
        <v>44417.84194444444</v>
      </c>
      <c r="C6505" s="1" t="n">
        <v>45883</v>
      </c>
      <c r="D6505" t="inlineStr">
        <is>
          <t>GÄVLEBORGS LÄN</t>
        </is>
      </c>
      <c r="E6505" t="inlineStr">
        <is>
          <t>SÖDERHAMN</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14030-2025</t>
        </is>
      </c>
      <c r="B6506" s="1" t="n">
        <v>45740</v>
      </c>
      <c r="C6506" s="1" t="n">
        <v>45883</v>
      </c>
      <c r="D6506" t="inlineStr">
        <is>
          <t>GÄVLEBORGS LÄN</t>
        </is>
      </c>
      <c r="E6506" t="inlineStr">
        <is>
          <t>BOLLNÄS</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59783-2023</t>
        </is>
      </c>
      <c r="B6507" s="1" t="n">
        <v>45257.44179398148</v>
      </c>
      <c r="C6507" s="1" t="n">
        <v>45883</v>
      </c>
      <c r="D6507" t="inlineStr">
        <is>
          <t>GÄVLEBORGS LÄN</t>
        </is>
      </c>
      <c r="E6507" t="inlineStr">
        <is>
          <t>SÖDERHAMN</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35840-2025</t>
        </is>
      </c>
      <c r="B6508" s="1" t="n">
        <v>45861.5499537037</v>
      </c>
      <c r="C6508" s="1" t="n">
        <v>45883</v>
      </c>
      <c r="D6508" t="inlineStr">
        <is>
          <t>GÄVLEBORGS LÄN</t>
        </is>
      </c>
      <c r="E6508" t="inlineStr">
        <is>
          <t>OVANÅKER</t>
        </is>
      </c>
      <c r="F6508" t="inlineStr">
        <is>
          <t>Bergvik skog väst AB</t>
        </is>
      </c>
      <c r="G6508" t="n">
        <v>3.4</v>
      </c>
      <c r="H6508" t="n">
        <v>0</v>
      </c>
      <c r="I6508" t="n">
        <v>0</v>
      </c>
      <c r="J6508" t="n">
        <v>0</v>
      </c>
      <c r="K6508" t="n">
        <v>0</v>
      </c>
      <c r="L6508" t="n">
        <v>0</v>
      </c>
      <c r="M6508" t="n">
        <v>0</v>
      </c>
      <c r="N6508" t="n">
        <v>0</v>
      </c>
      <c r="O6508" t="n">
        <v>0</v>
      </c>
      <c r="P6508" t="n">
        <v>0</v>
      </c>
      <c r="Q6508" t="n">
        <v>0</v>
      </c>
      <c r="R6508" s="2" t="inlineStr"/>
    </row>
    <row r="6509" ht="15" customHeight="1">
      <c r="A6509" t="inlineStr">
        <is>
          <t>A 59796-2023</t>
        </is>
      </c>
      <c r="B6509" s="1" t="n">
        <v>45257.46166666667</v>
      </c>
      <c r="C6509" s="1" t="n">
        <v>45883</v>
      </c>
      <c r="D6509" t="inlineStr">
        <is>
          <t>GÄVLEBORGS LÄN</t>
        </is>
      </c>
      <c r="E6509" t="inlineStr">
        <is>
          <t>SÖDERHAMN</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43718-2023</t>
        </is>
      </c>
      <c r="B6510" s="1" t="n">
        <v>45187.44440972222</v>
      </c>
      <c r="C6510" s="1" t="n">
        <v>45883</v>
      </c>
      <c r="D6510" t="inlineStr">
        <is>
          <t>GÄVLEBORGS LÄN</t>
        </is>
      </c>
      <c r="E6510" t="inlineStr">
        <is>
          <t>LJUSDAL</t>
        </is>
      </c>
      <c r="F6510" t="inlineStr">
        <is>
          <t>Sveaskog</t>
        </is>
      </c>
      <c r="G6510" t="n">
        <v>4.4</v>
      </c>
      <c r="H6510" t="n">
        <v>0</v>
      </c>
      <c r="I6510" t="n">
        <v>0</v>
      </c>
      <c r="J6510" t="n">
        <v>0</v>
      </c>
      <c r="K6510" t="n">
        <v>0</v>
      </c>
      <c r="L6510" t="n">
        <v>0</v>
      </c>
      <c r="M6510" t="n">
        <v>0</v>
      </c>
      <c r="N6510" t="n">
        <v>0</v>
      </c>
      <c r="O6510" t="n">
        <v>0</v>
      </c>
      <c r="P6510" t="n">
        <v>0</v>
      </c>
      <c r="Q6510" t="n">
        <v>0</v>
      </c>
      <c r="R6510" s="2" t="inlineStr"/>
    </row>
    <row r="6511" ht="15" customHeight="1">
      <c r="A6511" t="inlineStr">
        <is>
          <t>A 10796-2025</t>
        </is>
      </c>
      <c r="B6511" s="1" t="n">
        <v>45722.50196759259</v>
      </c>
      <c r="C6511" s="1" t="n">
        <v>45883</v>
      </c>
      <c r="D6511" t="inlineStr">
        <is>
          <t>GÄVLEBORGS LÄN</t>
        </is>
      </c>
      <c r="E6511" t="inlineStr">
        <is>
          <t>NORDANSTIG</t>
        </is>
      </c>
      <c r="F6511" t="inlineStr">
        <is>
          <t>Holmen skog AB</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6013-2025</t>
        </is>
      </c>
      <c r="B6512" s="1" t="n">
        <v>45695</v>
      </c>
      <c r="C6512" s="1" t="n">
        <v>45883</v>
      </c>
      <c r="D6512" t="inlineStr">
        <is>
          <t>GÄVLEBORGS LÄN</t>
        </is>
      </c>
      <c r="E6512" t="inlineStr">
        <is>
          <t>LJUSDAL</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6019-2025</t>
        </is>
      </c>
      <c r="B6513" s="1" t="n">
        <v>45695</v>
      </c>
      <c r="C6513" s="1" t="n">
        <v>45883</v>
      </c>
      <c r="D6513" t="inlineStr">
        <is>
          <t>GÄVLEBORGS LÄN</t>
        </is>
      </c>
      <c r="E6513" t="inlineStr">
        <is>
          <t>HUDIKSVALL</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28473-2025</t>
        </is>
      </c>
      <c r="B6514" s="1" t="n">
        <v>45819.43885416666</v>
      </c>
      <c r="C6514" s="1" t="n">
        <v>45883</v>
      </c>
      <c r="D6514" t="inlineStr">
        <is>
          <t>GÄVLEBORGS LÄN</t>
        </is>
      </c>
      <c r="E6514" t="inlineStr">
        <is>
          <t>LJUSDAL</t>
        </is>
      </c>
      <c r="F6514" t="inlineStr">
        <is>
          <t>Bergvik skog väst AB</t>
        </is>
      </c>
      <c r="G6514" t="n">
        <v>34.9</v>
      </c>
      <c r="H6514" t="n">
        <v>0</v>
      </c>
      <c r="I6514" t="n">
        <v>0</v>
      </c>
      <c r="J6514" t="n">
        <v>0</v>
      </c>
      <c r="K6514" t="n">
        <v>0</v>
      </c>
      <c r="L6514" t="n">
        <v>0</v>
      </c>
      <c r="M6514" t="n">
        <v>0</v>
      </c>
      <c r="N6514" t="n">
        <v>0</v>
      </c>
      <c r="O6514" t="n">
        <v>0</v>
      </c>
      <c r="P6514" t="n">
        <v>0</v>
      </c>
      <c r="Q6514" t="n">
        <v>0</v>
      </c>
      <c r="R6514" s="2" t="inlineStr"/>
    </row>
    <row r="6515" ht="15" customHeight="1">
      <c r="A6515" t="inlineStr">
        <is>
          <t>A 28475-2025</t>
        </is>
      </c>
      <c r="B6515" s="1" t="n">
        <v>45819.44251157407</v>
      </c>
      <c r="C6515" s="1" t="n">
        <v>45883</v>
      </c>
      <c r="D6515" t="inlineStr">
        <is>
          <t>GÄVLEBORGS LÄN</t>
        </is>
      </c>
      <c r="E6515" t="inlineStr">
        <is>
          <t>HUDIKSVALL</t>
        </is>
      </c>
      <c r="F6515" t="inlineStr">
        <is>
          <t>Holmen skog AB</t>
        </is>
      </c>
      <c r="G6515" t="n">
        <v>4.8</v>
      </c>
      <c r="H6515" t="n">
        <v>0</v>
      </c>
      <c r="I6515" t="n">
        <v>0</v>
      </c>
      <c r="J6515" t="n">
        <v>0</v>
      </c>
      <c r="K6515" t="n">
        <v>0</v>
      </c>
      <c r="L6515" t="n">
        <v>0</v>
      </c>
      <c r="M6515" t="n">
        <v>0</v>
      </c>
      <c r="N6515" t="n">
        <v>0</v>
      </c>
      <c r="O6515" t="n">
        <v>0</v>
      </c>
      <c r="P6515" t="n">
        <v>0</v>
      </c>
      <c r="Q6515" t="n">
        <v>0</v>
      </c>
      <c r="R6515" s="2" t="inlineStr"/>
    </row>
    <row r="6516" ht="15" customHeight="1">
      <c r="A6516" t="inlineStr">
        <is>
          <t>A 28477-2025</t>
        </is>
      </c>
      <c r="B6516" s="1" t="n">
        <v>45819.44628472222</v>
      </c>
      <c r="C6516" s="1" t="n">
        <v>45883</v>
      </c>
      <c r="D6516" t="inlineStr">
        <is>
          <t>GÄVLEBORGS LÄN</t>
        </is>
      </c>
      <c r="E6516" t="inlineStr">
        <is>
          <t>BOLLNÄS</t>
        </is>
      </c>
      <c r="F6516" t="inlineStr">
        <is>
          <t>Bergvik skog väst AB</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60938-2023</t>
        </is>
      </c>
      <c r="B6517" s="1" t="n">
        <v>45261.43436342593</v>
      </c>
      <c r="C6517" s="1" t="n">
        <v>45883</v>
      </c>
      <c r="D6517" t="inlineStr">
        <is>
          <t>GÄVLEBORGS LÄN</t>
        </is>
      </c>
      <c r="E6517" t="inlineStr">
        <is>
          <t>HUDIKSVALL</t>
        </is>
      </c>
      <c r="F6517" t="inlineStr">
        <is>
          <t>Holmen skog AB</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28476-2025</t>
        </is>
      </c>
      <c r="B6518" s="1" t="n">
        <v>45819.44342592593</v>
      </c>
      <c r="C6518" s="1" t="n">
        <v>45883</v>
      </c>
      <c r="D6518" t="inlineStr">
        <is>
          <t>GÄVLEBORGS LÄN</t>
        </is>
      </c>
      <c r="E6518" t="inlineStr">
        <is>
          <t>SANDVIKEN</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47762-2021</t>
        </is>
      </c>
      <c r="B6519" s="1" t="n">
        <v>44448</v>
      </c>
      <c r="C6519" s="1" t="n">
        <v>45883</v>
      </c>
      <c r="D6519" t="inlineStr">
        <is>
          <t>GÄVLEBORGS LÄN</t>
        </is>
      </c>
      <c r="E6519" t="inlineStr">
        <is>
          <t>NORDANSTIG</t>
        </is>
      </c>
      <c r="F6519" t="inlineStr">
        <is>
          <t>Holmen skog AB</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53434-2023</t>
        </is>
      </c>
      <c r="B6520" s="1" t="n">
        <v>45229</v>
      </c>
      <c r="C6520" s="1" t="n">
        <v>45883</v>
      </c>
      <c r="D6520" t="inlineStr">
        <is>
          <t>GÄVLEBORGS LÄN</t>
        </is>
      </c>
      <c r="E6520" t="inlineStr">
        <is>
          <t>HUDIKSVALL</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28504-2025</t>
        </is>
      </c>
      <c r="B6521" s="1" t="n">
        <v>45819.47546296296</v>
      </c>
      <c r="C6521" s="1" t="n">
        <v>45883</v>
      </c>
      <c r="D6521" t="inlineStr">
        <is>
          <t>GÄVLEBORGS LÄN</t>
        </is>
      </c>
      <c r="E6521" t="inlineStr">
        <is>
          <t>HUDIKSVALL</t>
        </is>
      </c>
      <c r="F6521" t="inlineStr">
        <is>
          <t>Holmen skog AB</t>
        </is>
      </c>
      <c r="G6521" t="n">
        <v>3.9</v>
      </c>
      <c r="H6521" t="n">
        <v>0</v>
      </c>
      <c r="I6521" t="n">
        <v>0</v>
      </c>
      <c r="J6521" t="n">
        <v>0</v>
      </c>
      <c r="K6521" t="n">
        <v>0</v>
      </c>
      <c r="L6521" t="n">
        <v>0</v>
      </c>
      <c r="M6521" t="n">
        <v>0</v>
      </c>
      <c r="N6521" t="n">
        <v>0</v>
      </c>
      <c r="O6521" t="n">
        <v>0</v>
      </c>
      <c r="P6521" t="n">
        <v>0</v>
      </c>
      <c r="Q6521" t="n">
        <v>0</v>
      </c>
      <c r="R6521" s="2" t="inlineStr"/>
    </row>
    <row r="6522" ht="15" customHeight="1">
      <c r="A6522" t="inlineStr">
        <is>
          <t>A 28622-2025</t>
        </is>
      </c>
      <c r="B6522" s="1" t="n">
        <v>45819.61425925926</v>
      </c>
      <c r="C6522" s="1" t="n">
        <v>45883</v>
      </c>
      <c r="D6522" t="inlineStr">
        <is>
          <t>GÄVLEBORGS LÄN</t>
        </is>
      </c>
      <c r="E6522" t="inlineStr">
        <is>
          <t>OVANÅKER</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32969-2024</t>
        </is>
      </c>
      <c r="B6523" s="1" t="n">
        <v>45517.40537037037</v>
      </c>
      <c r="C6523" s="1" t="n">
        <v>45883</v>
      </c>
      <c r="D6523" t="inlineStr">
        <is>
          <t>GÄVLEBORGS LÄN</t>
        </is>
      </c>
      <c r="E6523" t="inlineStr">
        <is>
          <t>OVANÅKER</t>
        </is>
      </c>
      <c r="F6523" t="inlineStr">
        <is>
          <t>Bergvik skog väst AB</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28481-2025</t>
        </is>
      </c>
      <c r="B6524" s="1" t="n">
        <v>45819.4528125</v>
      </c>
      <c r="C6524" s="1" t="n">
        <v>45883</v>
      </c>
      <c r="D6524" t="inlineStr">
        <is>
          <t>GÄVLEBORGS LÄN</t>
        </is>
      </c>
      <c r="E6524" t="inlineStr">
        <is>
          <t>GÄVLE</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28520-2025</t>
        </is>
      </c>
      <c r="B6525" s="1" t="n">
        <v>45819.48962962963</v>
      </c>
      <c r="C6525" s="1" t="n">
        <v>45883</v>
      </c>
      <c r="D6525" t="inlineStr">
        <is>
          <t>GÄVLEBORGS LÄN</t>
        </is>
      </c>
      <c r="E6525" t="inlineStr">
        <is>
          <t>BOLLNÄS</t>
        </is>
      </c>
      <c r="F6525" t="inlineStr">
        <is>
          <t>Bergvik skog väst AB</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28570-2025</t>
        </is>
      </c>
      <c r="B6526" s="1" t="n">
        <v>45819.55990740741</v>
      </c>
      <c r="C6526" s="1" t="n">
        <v>45883</v>
      </c>
      <c r="D6526" t="inlineStr">
        <is>
          <t>GÄVLEBORGS LÄN</t>
        </is>
      </c>
      <c r="E6526" t="inlineStr">
        <is>
          <t>BOLLNÄS</t>
        </is>
      </c>
      <c r="G6526" t="n">
        <v>3.9</v>
      </c>
      <c r="H6526" t="n">
        <v>0</v>
      </c>
      <c r="I6526" t="n">
        <v>0</v>
      </c>
      <c r="J6526" t="n">
        <v>0</v>
      </c>
      <c r="K6526" t="n">
        <v>0</v>
      </c>
      <c r="L6526" t="n">
        <v>0</v>
      </c>
      <c r="M6526" t="n">
        <v>0</v>
      </c>
      <c r="N6526" t="n">
        <v>0</v>
      </c>
      <c r="O6526" t="n">
        <v>0</v>
      </c>
      <c r="P6526" t="n">
        <v>0</v>
      </c>
      <c r="Q6526" t="n">
        <v>0</v>
      </c>
      <c r="R6526" s="2" t="inlineStr"/>
    </row>
    <row r="6527" ht="15" customHeight="1">
      <c r="A6527" t="inlineStr">
        <is>
          <t>A 28585-2025</t>
        </is>
      </c>
      <c r="B6527" s="1" t="n">
        <v>45819.5790625</v>
      </c>
      <c r="C6527" s="1" t="n">
        <v>45883</v>
      </c>
      <c r="D6527" t="inlineStr">
        <is>
          <t>GÄVLEBORGS LÄN</t>
        </is>
      </c>
      <c r="E6527" t="inlineStr">
        <is>
          <t>OVANÅKER</t>
        </is>
      </c>
      <c r="F6527" t="inlineStr">
        <is>
          <t>Bergvik skog väst AB</t>
        </is>
      </c>
      <c r="G6527" t="n">
        <v>4.9</v>
      </c>
      <c r="H6527" t="n">
        <v>0</v>
      </c>
      <c r="I6527" t="n">
        <v>0</v>
      </c>
      <c r="J6527" t="n">
        <v>0</v>
      </c>
      <c r="K6527" t="n">
        <v>0</v>
      </c>
      <c r="L6527" t="n">
        <v>0</v>
      </c>
      <c r="M6527" t="n">
        <v>0</v>
      </c>
      <c r="N6527" t="n">
        <v>0</v>
      </c>
      <c r="O6527" t="n">
        <v>0</v>
      </c>
      <c r="P6527" t="n">
        <v>0</v>
      </c>
      <c r="Q6527" t="n">
        <v>0</v>
      </c>
      <c r="R6527" s="2" t="inlineStr"/>
    </row>
    <row r="6528" ht="15" customHeight="1">
      <c r="A6528" t="inlineStr">
        <is>
          <t>A 16683-2024</t>
        </is>
      </c>
      <c r="B6528" s="1" t="n">
        <v>45408</v>
      </c>
      <c r="C6528" s="1" t="n">
        <v>45883</v>
      </c>
      <c r="D6528" t="inlineStr">
        <is>
          <t>GÄVLEBORGS LÄN</t>
        </is>
      </c>
      <c r="E6528" t="inlineStr">
        <is>
          <t>SANDVIKEN</t>
        </is>
      </c>
      <c r="F6528" t="inlineStr">
        <is>
          <t>Bergvik skog väst AB</t>
        </is>
      </c>
      <c r="G6528" t="n">
        <v>14.2</v>
      </c>
      <c r="H6528" t="n">
        <v>0</v>
      </c>
      <c r="I6528" t="n">
        <v>0</v>
      </c>
      <c r="J6528" t="n">
        <v>0</v>
      </c>
      <c r="K6528" t="n">
        <v>0</v>
      </c>
      <c r="L6528" t="n">
        <v>0</v>
      </c>
      <c r="M6528" t="n">
        <v>0</v>
      </c>
      <c r="N6528" t="n">
        <v>0</v>
      </c>
      <c r="O6528" t="n">
        <v>0</v>
      </c>
      <c r="P6528" t="n">
        <v>0</v>
      </c>
      <c r="Q6528" t="n">
        <v>0</v>
      </c>
      <c r="R6528" s="2" t="inlineStr"/>
    </row>
    <row r="6529" ht="15" customHeight="1">
      <c r="A6529" t="inlineStr">
        <is>
          <t>A 10416-2025</t>
        </is>
      </c>
      <c r="B6529" s="1" t="n">
        <v>45720.63462962963</v>
      </c>
      <c r="C6529" s="1" t="n">
        <v>45883</v>
      </c>
      <c r="D6529" t="inlineStr">
        <is>
          <t>GÄVLEBORGS LÄN</t>
        </is>
      </c>
      <c r="E6529" t="inlineStr">
        <is>
          <t>LJUSDAL</t>
        </is>
      </c>
      <c r="G6529" t="n">
        <v>3.4</v>
      </c>
      <c r="H6529" t="n">
        <v>0</v>
      </c>
      <c r="I6529" t="n">
        <v>0</v>
      </c>
      <c r="J6529" t="n">
        <v>0</v>
      </c>
      <c r="K6529" t="n">
        <v>0</v>
      </c>
      <c r="L6529" t="n">
        <v>0</v>
      </c>
      <c r="M6529" t="n">
        <v>0</v>
      </c>
      <c r="N6529" t="n">
        <v>0</v>
      </c>
      <c r="O6529" t="n">
        <v>0</v>
      </c>
      <c r="P6529" t="n">
        <v>0</v>
      </c>
      <c r="Q6529" t="n">
        <v>0</v>
      </c>
      <c r="R6529" s="2" t="inlineStr"/>
    </row>
    <row r="6530" ht="15" customHeight="1">
      <c r="A6530" t="inlineStr">
        <is>
          <t>A 16633-2024</t>
        </is>
      </c>
      <c r="B6530" s="1" t="n">
        <v>45408.59158564815</v>
      </c>
      <c r="C6530" s="1" t="n">
        <v>45883</v>
      </c>
      <c r="D6530" t="inlineStr">
        <is>
          <t>GÄVLEBORGS LÄN</t>
        </is>
      </c>
      <c r="E6530" t="inlineStr">
        <is>
          <t>HUDIKSVALL</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1820-2024</t>
        </is>
      </c>
      <c r="B6531" s="1" t="n">
        <v>45307</v>
      </c>
      <c r="C6531" s="1" t="n">
        <v>45883</v>
      </c>
      <c r="D6531" t="inlineStr">
        <is>
          <t>GÄVLEBORGS LÄN</t>
        </is>
      </c>
      <c r="E6531" t="inlineStr">
        <is>
          <t>LJUSDAL</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16666-2024</t>
        </is>
      </c>
      <c r="B6532" s="1" t="n">
        <v>45408</v>
      </c>
      <c r="C6532" s="1" t="n">
        <v>45883</v>
      </c>
      <c r="D6532" t="inlineStr">
        <is>
          <t>GÄVLEBORGS LÄN</t>
        </is>
      </c>
      <c r="E6532" t="inlineStr">
        <is>
          <t>LJUSDAL</t>
        </is>
      </c>
      <c r="G6532" t="n">
        <v>22.8</v>
      </c>
      <c r="H6532" t="n">
        <v>0</v>
      </c>
      <c r="I6532" t="n">
        <v>0</v>
      </c>
      <c r="J6532" t="n">
        <v>0</v>
      </c>
      <c r="K6532" t="n">
        <v>0</v>
      </c>
      <c r="L6532" t="n">
        <v>0</v>
      </c>
      <c r="M6532" t="n">
        <v>0</v>
      </c>
      <c r="N6532" t="n">
        <v>0</v>
      </c>
      <c r="O6532" t="n">
        <v>0</v>
      </c>
      <c r="P6532" t="n">
        <v>0</v>
      </c>
      <c r="Q6532" t="n">
        <v>0</v>
      </c>
      <c r="R6532" s="2" t="inlineStr"/>
    </row>
    <row r="6533" ht="15" customHeight="1">
      <c r="A6533" t="inlineStr">
        <is>
          <t>A 27182-2022</t>
        </is>
      </c>
      <c r="B6533" s="1" t="n">
        <v>44741.57295138889</v>
      </c>
      <c r="C6533" s="1" t="n">
        <v>45883</v>
      </c>
      <c r="D6533" t="inlineStr">
        <is>
          <t>GÄVLEBORGS LÄN</t>
        </is>
      </c>
      <c r="E6533" t="inlineStr">
        <is>
          <t>GÄVLE</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28776-2025</t>
        </is>
      </c>
      <c r="B6534" s="1" t="n">
        <v>45820.44554398148</v>
      </c>
      <c r="C6534" s="1" t="n">
        <v>45883</v>
      </c>
      <c r="D6534" t="inlineStr">
        <is>
          <t>GÄVLEBORGS LÄN</t>
        </is>
      </c>
      <c r="E6534" t="inlineStr">
        <is>
          <t>OVANÅKER</t>
        </is>
      </c>
      <c r="G6534" t="n">
        <v>4.8</v>
      </c>
      <c r="H6534" t="n">
        <v>0</v>
      </c>
      <c r="I6534" t="n">
        <v>0</v>
      </c>
      <c r="J6534" t="n">
        <v>0</v>
      </c>
      <c r="K6534" t="n">
        <v>0</v>
      </c>
      <c r="L6534" t="n">
        <v>0</v>
      </c>
      <c r="M6534" t="n">
        <v>0</v>
      </c>
      <c r="N6534" t="n">
        <v>0</v>
      </c>
      <c r="O6534" t="n">
        <v>0</v>
      </c>
      <c r="P6534" t="n">
        <v>0</v>
      </c>
      <c r="Q6534" t="n">
        <v>0</v>
      </c>
      <c r="R6534" s="2" t="inlineStr"/>
    </row>
    <row r="6535" ht="15" customHeight="1">
      <c r="A6535" t="inlineStr">
        <is>
          <t>A 10127-2025</t>
        </is>
      </c>
      <c r="B6535" s="1" t="n">
        <v>45719</v>
      </c>
      <c r="C6535" s="1" t="n">
        <v>45883</v>
      </c>
      <c r="D6535" t="inlineStr">
        <is>
          <t>GÄVLEBORGS LÄN</t>
        </is>
      </c>
      <c r="E6535" t="inlineStr">
        <is>
          <t>SANDVIKEN</t>
        </is>
      </c>
      <c r="G6535" t="n">
        <v>4.9</v>
      </c>
      <c r="H6535" t="n">
        <v>0</v>
      </c>
      <c r="I6535" t="n">
        <v>0</v>
      </c>
      <c r="J6535" t="n">
        <v>0</v>
      </c>
      <c r="K6535" t="n">
        <v>0</v>
      </c>
      <c r="L6535" t="n">
        <v>0</v>
      </c>
      <c r="M6535" t="n">
        <v>0</v>
      </c>
      <c r="N6535" t="n">
        <v>0</v>
      </c>
      <c r="O6535" t="n">
        <v>0</v>
      </c>
      <c r="P6535" t="n">
        <v>0</v>
      </c>
      <c r="Q6535" t="n">
        <v>0</v>
      </c>
      <c r="R6535" s="2" t="inlineStr"/>
    </row>
    <row r="6536" ht="15" customHeight="1">
      <c r="A6536" t="inlineStr">
        <is>
          <t>A 10130-2025</t>
        </is>
      </c>
      <c r="B6536" s="1" t="n">
        <v>45719.60837962963</v>
      </c>
      <c r="C6536" s="1" t="n">
        <v>45883</v>
      </c>
      <c r="D6536" t="inlineStr">
        <is>
          <t>GÄVLEBORGS LÄN</t>
        </is>
      </c>
      <c r="E6536" t="inlineStr">
        <is>
          <t>HUDIKSVALL</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35868-2025</t>
        </is>
      </c>
      <c r="B6537" s="1" t="n">
        <v>45862.01456018518</v>
      </c>
      <c r="C6537" s="1" t="n">
        <v>45883</v>
      </c>
      <c r="D6537" t="inlineStr">
        <is>
          <t>GÄVLEBORGS LÄN</t>
        </is>
      </c>
      <c r="E6537" t="inlineStr">
        <is>
          <t>NORDANSTIG</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23545-2025</t>
        </is>
      </c>
      <c r="B6538" s="1" t="n">
        <v>45792</v>
      </c>
      <c r="C6538" s="1" t="n">
        <v>45883</v>
      </c>
      <c r="D6538" t="inlineStr">
        <is>
          <t>GÄVLEBORGS LÄN</t>
        </is>
      </c>
      <c r="E6538" t="inlineStr">
        <is>
          <t>HOFORS</t>
        </is>
      </c>
      <c r="G6538" t="n">
        <v>3.5</v>
      </c>
      <c r="H6538" t="n">
        <v>0</v>
      </c>
      <c r="I6538" t="n">
        <v>0</v>
      </c>
      <c r="J6538" t="n">
        <v>0</v>
      </c>
      <c r="K6538" t="n">
        <v>0</v>
      </c>
      <c r="L6538" t="n">
        <v>0</v>
      </c>
      <c r="M6538" t="n">
        <v>0</v>
      </c>
      <c r="N6538" t="n">
        <v>0</v>
      </c>
      <c r="O6538" t="n">
        <v>0</v>
      </c>
      <c r="P6538" t="n">
        <v>0</v>
      </c>
      <c r="Q6538" t="n">
        <v>0</v>
      </c>
      <c r="R6538" s="2" t="inlineStr"/>
    </row>
    <row r="6539" ht="15" customHeight="1">
      <c r="A6539" t="inlineStr">
        <is>
          <t>A 35882-2025</t>
        </is>
      </c>
      <c r="B6539" s="1" t="n">
        <v>45862.39773148148</v>
      </c>
      <c r="C6539" s="1" t="n">
        <v>45883</v>
      </c>
      <c r="D6539" t="inlineStr">
        <is>
          <t>GÄVLEBORGS LÄN</t>
        </is>
      </c>
      <c r="E6539" t="inlineStr">
        <is>
          <t>HUDIKSVALL</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28424-2025</t>
        </is>
      </c>
      <c r="B6540" s="1" t="n">
        <v>45819.36444444444</v>
      </c>
      <c r="C6540" s="1" t="n">
        <v>45883</v>
      </c>
      <c r="D6540" t="inlineStr">
        <is>
          <t>GÄVLEBORGS LÄN</t>
        </is>
      </c>
      <c r="E6540" t="inlineStr">
        <is>
          <t>SANDVIKEN</t>
        </is>
      </c>
      <c r="G6540" t="n">
        <v>6.8</v>
      </c>
      <c r="H6540" t="n">
        <v>0</v>
      </c>
      <c r="I6540" t="n">
        <v>0</v>
      </c>
      <c r="J6540" t="n">
        <v>0</v>
      </c>
      <c r="K6540" t="n">
        <v>0</v>
      </c>
      <c r="L6540" t="n">
        <v>0</v>
      </c>
      <c r="M6540" t="n">
        <v>0</v>
      </c>
      <c r="N6540" t="n">
        <v>0</v>
      </c>
      <c r="O6540" t="n">
        <v>0</v>
      </c>
      <c r="P6540" t="n">
        <v>0</v>
      </c>
      <c r="Q6540" t="n">
        <v>0</v>
      </c>
      <c r="R6540" s="2" t="inlineStr"/>
    </row>
    <row r="6541" ht="15" customHeight="1">
      <c r="A6541" t="inlineStr">
        <is>
          <t>A 28434-2025</t>
        </is>
      </c>
      <c r="B6541" s="1" t="n">
        <v>45819.38166666667</v>
      </c>
      <c r="C6541" s="1" t="n">
        <v>45883</v>
      </c>
      <c r="D6541" t="inlineStr">
        <is>
          <t>GÄVLEBORGS LÄN</t>
        </is>
      </c>
      <c r="E6541" t="inlineStr">
        <is>
          <t>OVANÅKER</t>
        </is>
      </c>
      <c r="F6541" t="inlineStr">
        <is>
          <t>Bergvik skog väst AB</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28455-2025</t>
        </is>
      </c>
      <c r="B6542" s="1" t="n">
        <v>45819.4068287037</v>
      </c>
      <c r="C6542" s="1" t="n">
        <v>45883</v>
      </c>
      <c r="D6542" t="inlineStr">
        <is>
          <t>GÄVLEBORGS LÄN</t>
        </is>
      </c>
      <c r="E6542" t="inlineStr">
        <is>
          <t>BOLLNÄS</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28456-2025</t>
        </is>
      </c>
      <c r="B6543" s="1" t="n">
        <v>45819.40685185185</v>
      </c>
      <c r="C6543" s="1" t="n">
        <v>45883</v>
      </c>
      <c r="D6543" t="inlineStr">
        <is>
          <t>GÄVLEBORGS LÄN</t>
        </is>
      </c>
      <c r="E6543" t="inlineStr">
        <is>
          <t>HUDIKSVALL</t>
        </is>
      </c>
      <c r="G6543" t="n">
        <v>2.8</v>
      </c>
      <c r="H6543" t="n">
        <v>0</v>
      </c>
      <c r="I6543" t="n">
        <v>0</v>
      </c>
      <c r="J6543" t="n">
        <v>0</v>
      </c>
      <c r="K6543" t="n">
        <v>0</v>
      </c>
      <c r="L6543" t="n">
        <v>0</v>
      </c>
      <c r="M6543" t="n">
        <v>0</v>
      </c>
      <c r="N6543" t="n">
        <v>0</v>
      </c>
      <c r="O6543" t="n">
        <v>0</v>
      </c>
      <c r="P6543" t="n">
        <v>0</v>
      </c>
      <c r="Q6543" t="n">
        <v>0</v>
      </c>
      <c r="R6543" s="2" t="inlineStr"/>
    </row>
    <row r="6544" ht="15" customHeight="1">
      <c r="A6544" t="inlineStr">
        <is>
          <t>A 35812-2025</t>
        </is>
      </c>
      <c r="B6544" s="1" t="n">
        <v>45861.43253472223</v>
      </c>
      <c r="C6544" s="1" t="n">
        <v>45883</v>
      </c>
      <c r="D6544" t="inlineStr">
        <is>
          <t>GÄVLEBORGS LÄN</t>
        </is>
      </c>
      <c r="E6544" t="inlineStr">
        <is>
          <t>OVANÅKER</t>
        </is>
      </c>
      <c r="F6544" t="inlineStr">
        <is>
          <t>Bergvik skog väst AB</t>
        </is>
      </c>
      <c r="G6544" t="n">
        <v>7</v>
      </c>
      <c r="H6544" t="n">
        <v>0</v>
      </c>
      <c r="I6544" t="n">
        <v>0</v>
      </c>
      <c r="J6544" t="n">
        <v>0</v>
      </c>
      <c r="K6544" t="n">
        <v>0</v>
      </c>
      <c r="L6544" t="n">
        <v>0</v>
      </c>
      <c r="M6544" t="n">
        <v>0</v>
      </c>
      <c r="N6544" t="n">
        <v>0</v>
      </c>
      <c r="O6544" t="n">
        <v>0</v>
      </c>
      <c r="P6544" t="n">
        <v>0</v>
      </c>
      <c r="Q6544" t="n">
        <v>0</v>
      </c>
      <c r="R6544" s="2" t="inlineStr"/>
    </row>
    <row r="6545" ht="15" customHeight="1">
      <c r="A6545" t="inlineStr">
        <is>
          <t>A 35831-2025</t>
        </is>
      </c>
      <c r="B6545" s="1" t="n">
        <v>45861.50184027778</v>
      </c>
      <c r="C6545" s="1" t="n">
        <v>45883</v>
      </c>
      <c r="D6545" t="inlineStr">
        <is>
          <t>GÄVLEBORGS LÄN</t>
        </is>
      </c>
      <c r="E6545" t="inlineStr">
        <is>
          <t>HUDIKSVALL</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35835-2025</t>
        </is>
      </c>
      <c r="B6546" s="1" t="n">
        <v>45861.53181712963</v>
      </c>
      <c r="C6546" s="1" t="n">
        <v>45883</v>
      </c>
      <c r="D6546" t="inlineStr">
        <is>
          <t>GÄVLEBORGS LÄN</t>
        </is>
      </c>
      <c r="E6546" t="inlineStr">
        <is>
          <t>LJUSDAL</t>
        </is>
      </c>
      <c r="F6546" t="inlineStr">
        <is>
          <t>SCA</t>
        </is>
      </c>
      <c r="G6546" t="n">
        <v>5.2</v>
      </c>
      <c r="H6546" t="n">
        <v>0</v>
      </c>
      <c r="I6546" t="n">
        <v>0</v>
      </c>
      <c r="J6546" t="n">
        <v>0</v>
      </c>
      <c r="K6546" t="n">
        <v>0</v>
      </c>
      <c r="L6546" t="n">
        <v>0</v>
      </c>
      <c r="M6546" t="n">
        <v>0</v>
      </c>
      <c r="N6546" t="n">
        <v>0</v>
      </c>
      <c r="O6546" t="n">
        <v>0</v>
      </c>
      <c r="P6546" t="n">
        <v>0</v>
      </c>
      <c r="Q6546" t="n">
        <v>0</v>
      </c>
      <c r="R6546" s="2" t="inlineStr"/>
    </row>
    <row r="6547" ht="15" customHeight="1">
      <c r="A6547" t="inlineStr">
        <is>
          <t>A 35870-2025</t>
        </is>
      </c>
      <c r="B6547" s="1" t="n">
        <v>45862.30469907408</v>
      </c>
      <c r="C6547" s="1" t="n">
        <v>45883</v>
      </c>
      <c r="D6547" t="inlineStr">
        <is>
          <t>GÄVLEBORGS LÄN</t>
        </is>
      </c>
      <c r="E6547" t="inlineStr">
        <is>
          <t>OCKELBO</t>
        </is>
      </c>
      <c r="G6547" t="n">
        <v>4.4</v>
      </c>
      <c r="H6547" t="n">
        <v>0</v>
      </c>
      <c r="I6547" t="n">
        <v>0</v>
      </c>
      <c r="J6547" t="n">
        <v>0</v>
      </c>
      <c r="K6547" t="n">
        <v>0</v>
      </c>
      <c r="L6547" t="n">
        <v>0</v>
      </c>
      <c r="M6547" t="n">
        <v>0</v>
      </c>
      <c r="N6547" t="n">
        <v>0</v>
      </c>
      <c r="O6547" t="n">
        <v>0</v>
      </c>
      <c r="P6547" t="n">
        <v>0</v>
      </c>
      <c r="Q6547" t="n">
        <v>0</v>
      </c>
      <c r="R6547" s="2" t="inlineStr"/>
    </row>
    <row r="6548" ht="15" customHeight="1">
      <c r="A6548" t="inlineStr">
        <is>
          <t>A 35916-2025</t>
        </is>
      </c>
      <c r="B6548" s="1" t="n">
        <v>45862.5516087963</v>
      </c>
      <c r="C6548" s="1" t="n">
        <v>45883</v>
      </c>
      <c r="D6548" t="inlineStr">
        <is>
          <t>GÄVLEBORGS LÄN</t>
        </is>
      </c>
      <c r="E6548" t="inlineStr">
        <is>
          <t>GÄVLE</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35919-2025</t>
        </is>
      </c>
      <c r="B6549" s="1" t="n">
        <v>45862.56378472222</v>
      </c>
      <c r="C6549" s="1" t="n">
        <v>45883</v>
      </c>
      <c r="D6549" t="inlineStr">
        <is>
          <t>GÄVLEBORGS LÄN</t>
        </is>
      </c>
      <c r="E6549" t="inlineStr">
        <is>
          <t>GÄVLE</t>
        </is>
      </c>
      <c r="G6549" t="n">
        <v>0.4</v>
      </c>
      <c r="H6549" t="n">
        <v>0</v>
      </c>
      <c r="I6549" t="n">
        <v>0</v>
      </c>
      <c r="J6549" t="n">
        <v>0</v>
      </c>
      <c r="K6549" t="n">
        <v>0</v>
      </c>
      <c r="L6549" t="n">
        <v>0</v>
      </c>
      <c r="M6549" t="n">
        <v>0</v>
      </c>
      <c r="N6549" t="n">
        <v>0</v>
      </c>
      <c r="O6549" t="n">
        <v>0</v>
      </c>
      <c r="P6549" t="n">
        <v>0</v>
      </c>
      <c r="Q6549" t="n">
        <v>0</v>
      </c>
      <c r="R6549" s="2" t="inlineStr"/>
    </row>
    <row r="6550" ht="15" customHeight="1">
      <c r="A6550" t="inlineStr">
        <is>
          <t>A 28532-2025</t>
        </is>
      </c>
      <c r="B6550" s="1" t="n">
        <v>45819.50333333333</v>
      </c>
      <c r="C6550" s="1" t="n">
        <v>45883</v>
      </c>
      <c r="D6550" t="inlineStr">
        <is>
          <t>GÄVLEBORGS LÄN</t>
        </is>
      </c>
      <c r="E6550" t="inlineStr">
        <is>
          <t>OVANÅKER</t>
        </is>
      </c>
      <c r="F6550" t="inlineStr">
        <is>
          <t>Bergvik skog väst AB</t>
        </is>
      </c>
      <c r="G6550" t="n">
        <v>6.3</v>
      </c>
      <c r="H6550" t="n">
        <v>0</v>
      </c>
      <c r="I6550" t="n">
        <v>0</v>
      </c>
      <c r="J6550" t="n">
        <v>0</v>
      </c>
      <c r="K6550" t="n">
        <v>0</v>
      </c>
      <c r="L6550" t="n">
        <v>0</v>
      </c>
      <c r="M6550" t="n">
        <v>0</v>
      </c>
      <c r="N6550" t="n">
        <v>0</v>
      </c>
      <c r="O6550" t="n">
        <v>0</v>
      </c>
      <c r="P6550" t="n">
        <v>0</v>
      </c>
      <c r="Q6550" t="n">
        <v>0</v>
      </c>
      <c r="R6550" s="2" t="inlineStr"/>
    </row>
    <row r="6551" ht="15" customHeight="1">
      <c r="A6551" t="inlineStr">
        <is>
          <t>A 28740-2025</t>
        </is>
      </c>
      <c r="B6551" s="1" t="n">
        <v>45820.38311342592</v>
      </c>
      <c r="C6551" s="1" t="n">
        <v>45883</v>
      </c>
      <c r="D6551" t="inlineStr">
        <is>
          <t>GÄVLEBORGS LÄN</t>
        </is>
      </c>
      <c r="E6551" t="inlineStr">
        <is>
          <t>OCKELBO</t>
        </is>
      </c>
      <c r="G6551" t="n">
        <v>3.2</v>
      </c>
      <c r="H6551" t="n">
        <v>0</v>
      </c>
      <c r="I6551" t="n">
        <v>0</v>
      </c>
      <c r="J6551" t="n">
        <v>0</v>
      </c>
      <c r="K6551" t="n">
        <v>0</v>
      </c>
      <c r="L6551" t="n">
        <v>0</v>
      </c>
      <c r="M6551" t="n">
        <v>0</v>
      </c>
      <c r="N6551" t="n">
        <v>0</v>
      </c>
      <c r="O6551" t="n">
        <v>0</v>
      </c>
      <c r="P6551" t="n">
        <v>0</v>
      </c>
      <c r="Q6551" t="n">
        <v>0</v>
      </c>
      <c r="R6551" s="2" t="inlineStr"/>
    </row>
    <row r="6552" ht="15" customHeight="1">
      <c r="A6552" t="inlineStr">
        <is>
          <t>A 28753-2025</t>
        </is>
      </c>
      <c r="B6552" s="1" t="n">
        <v>45820.40336805556</v>
      </c>
      <c r="C6552" s="1" t="n">
        <v>45883</v>
      </c>
      <c r="D6552" t="inlineStr">
        <is>
          <t>GÄVLEBORGS LÄN</t>
        </is>
      </c>
      <c r="E6552" t="inlineStr">
        <is>
          <t>BOLLNÄS</t>
        </is>
      </c>
      <c r="G6552" t="n">
        <v>4.2</v>
      </c>
      <c r="H6552" t="n">
        <v>0</v>
      </c>
      <c r="I6552" t="n">
        <v>0</v>
      </c>
      <c r="J6552" t="n">
        <v>0</v>
      </c>
      <c r="K6552" t="n">
        <v>0</v>
      </c>
      <c r="L6552" t="n">
        <v>0</v>
      </c>
      <c r="M6552" t="n">
        <v>0</v>
      </c>
      <c r="N6552" t="n">
        <v>0</v>
      </c>
      <c r="O6552" t="n">
        <v>0</v>
      </c>
      <c r="P6552" t="n">
        <v>0</v>
      </c>
      <c r="Q6552" t="n">
        <v>0</v>
      </c>
      <c r="R6552" s="2" t="inlineStr"/>
    </row>
    <row r="6553" ht="15" customHeight="1">
      <c r="A6553" t="inlineStr">
        <is>
          <t>A 28853-2025</t>
        </is>
      </c>
      <c r="B6553" s="1" t="n">
        <v>45820.57949074074</v>
      </c>
      <c r="C6553" s="1" t="n">
        <v>45883</v>
      </c>
      <c r="D6553" t="inlineStr">
        <is>
          <t>GÄVLEBORGS LÄN</t>
        </is>
      </c>
      <c r="E6553" t="inlineStr">
        <is>
          <t>OCKELBO</t>
        </is>
      </c>
      <c r="G6553" t="n">
        <v>7.1</v>
      </c>
      <c r="H6553" t="n">
        <v>0</v>
      </c>
      <c r="I6553" t="n">
        <v>0</v>
      </c>
      <c r="J6553" t="n">
        <v>0</v>
      </c>
      <c r="K6553" t="n">
        <v>0</v>
      </c>
      <c r="L6553" t="n">
        <v>0</v>
      </c>
      <c r="M6553" t="n">
        <v>0</v>
      </c>
      <c r="N6553" t="n">
        <v>0</v>
      </c>
      <c r="O6553" t="n">
        <v>0</v>
      </c>
      <c r="P6553" t="n">
        <v>0</v>
      </c>
      <c r="Q6553" t="n">
        <v>0</v>
      </c>
      <c r="R6553" s="2" t="inlineStr"/>
    </row>
    <row r="6554" ht="15" customHeight="1">
      <c r="A6554" t="inlineStr">
        <is>
          <t>A 28485-2025</t>
        </is>
      </c>
      <c r="B6554" s="1" t="n">
        <v>45819.4637037037</v>
      </c>
      <c r="C6554" s="1" t="n">
        <v>45883</v>
      </c>
      <c r="D6554" t="inlineStr">
        <is>
          <t>GÄVLEBORGS LÄN</t>
        </is>
      </c>
      <c r="E6554" t="inlineStr">
        <is>
          <t>HUDIKSVALL</t>
        </is>
      </c>
      <c r="F6554" t="inlineStr">
        <is>
          <t>Holmen skog AB</t>
        </is>
      </c>
      <c r="G6554" t="n">
        <v>5.8</v>
      </c>
      <c r="H6554" t="n">
        <v>0</v>
      </c>
      <c r="I6554" t="n">
        <v>0</v>
      </c>
      <c r="J6554" t="n">
        <v>0</v>
      </c>
      <c r="K6554" t="n">
        <v>0</v>
      </c>
      <c r="L6554" t="n">
        <v>0</v>
      </c>
      <c r="M6554" t="n">
        <v>0</v>
      </c>
      <c r="N6554" t="n">
        <v>0</v>
      </c>
      <c r="O6554" t="n">
        <v>0</v>
      </c>
      <c r="P6554" t="n">
        <v>0</v>
      </c>
      <c r="Q6554" t="n">
        <v>0</v>
      </c>
      <c r="R6554" s="2" t="inlineStr"/>
    </row>
    <row r="6555" ht="15" customHeight="1">
      <c r="A6555" t="inlineStr">
        <is>
          <t>A 28496-2025</t>
        </is>
      </c>
      <c r="B6555" s="1" t="n">
        <v>45819.46984953704</v>
      </c>
      <c r="C6555" s="1" t="n">
        <v>45883</v>
      </c>
      <c r="D6555" t="inlineStr">
        <is>
          <t>GÄVLEBORGS LÄN</t>
        </is>
      </c>
      <c r="E6555" t="inlineStr">
        <is>
          <t>OVANÅKER</t>
        </is>
      </c>
      <c r="F6555" t="inlineStr">
        <is>
          <t>Bergvik skog väst AB</t>
        </is>
      </c>
      <c r="G6555" t="n">
        <v>4.7</v>
      </c>
      <c r="H6555" t="n">
        <v>0</v>
      </c>
      <c r="I6555" t="n">
        <v>0</v>
      </c>
      <c r="J6555" t="n">
        <v>0</v>
      </c>
      <c r="K6555" t="n">
        <v>0</v>
      </c>
      <c r="L6555" t="n">
        <v>0</v>
      </c>
      <c r="M6555" t="n">
        <v>0</v>
      </c>
      <c r="N6555" t="n">
        <v>0</v>
      </c>
      <c r="O6555" t="n">
        <v>0</v>
      </c>
      <c r="P6555" t="n">
        <v>0</v>
      </c>
      <c r="Q6555" t="n">
        <v>0</v>
      </c>
      <c r="R6555" s="2" t="inlineStr"/>
    </row>
    <row r="6556" ht="15" customHeight="1">
      <c r="A6556" t="inlineStr">
        <is>
          <t>A 25349-2022</t>
        </is>
      </c>
      <c r="B6556" s="1" t="n">
        <v>44732.32744212963</v>
      </c>
      <c r="C6556" s="1" t="n">
        <v>45883</v>
      </c>
      <c r="D6556" t="inlineStr">
        <is>
          <t>GÄVLEBORGS LÄN</t>
        </is>
      </c>
      <c r="E6556" t="inlineStr">
        <is>
          <t>HUDIKSVALL</t>
        </is>
      </c>
      <c r="G6556" t="n">
        <v>5.4</v>
      </c>
      <c r="H6556" t="n">
        <v>0</v>
      </c>
      <c r="I6556" t="n">
        <v>0</v>
      </c>
      <c r="J6556" t="n">
        <v>0</v>
      </c>
      <c r="K6556" t="n">
        <v>0</v>
      </c>
      <c r="L6556" t="n">
        <v>0</v>
      </c>
      <c r="M6556" t="n">
        <v>0</v>
      </c>
      <c r="N6556" t="n">
        <v>0</v>
      </c>
      <c r="O6556" t="n">
        <v>0</v>
      </c>
      <c r="P6556" t="n">
        <v>0</v>
      </c>
      <c r="Q6556" t="n">
        <v>0</v>
      </c>
      <c r="R6556" s="2" t="inlineStr"/>
    </row>
    <row r="6557" ht="15" customHeight="1">
      <c r="A6557" t="inlineStr">
        <is>
          <t>A 28548-2025</t>
        </is>
      </c>
      <c r="B6557" s="1" t="n">
        <v>45819.53034722222</v>
      </c>
      <c r="C6557" s="1" t="n">
        <v>45883</v>
      </c>
      <c r="D6557" t="inlineStr">
        <is>
          <t>GÄVLEBORGS LÄN</t>
        </is>
      </c>
      <c r="E6557" t="inlineStr">
        <is>
          <t>SANDVIKEN</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28549-2025</t>
        </is>
      </c>
      <c r="B6558" s="1" t="n">
        <v>45819.53112268518</v>
      </c>
      <c r="C6558" s="1" t="n">
        <v>45883</v>
      </c>
      <c r="D6558" t="inlineStr">
        <is>
          <t>GÄVLEBORGS LÄN</t>
        </is>
      </c>
      <c r="E6558" t="inlineStr">
        <is>
          <t>HUDIKSVALL</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28562-2025</t>
        </is>
      </c>
      <c r="B6559" s="1" t="n">
        <v>45819.5525</v>
      </c>
      <c r="C6559" s="1" t="n">
        <v>45883</v>
      </c>
      <c r="D6559" t="inlineStr">
        <is>
          <t>GÄVLEBORGS LÄN</t>
        </is>
      </c>
      <c r="E6559" t="inlineStr">
        <is>
          <t>OVANÅKER</t>
        </is>
      </c>
      <c r="F6559" t="inlineStr">
        <is>
          <t>Bergvik skog väst AB</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28584-2025</t>
        </is>
      </c>
      <c r="B6560" s="1" t="n">
        <v>45819.57846064815</v>
      </c>
      <c r="C6560" s="1" t="n">
        <v>45883</v>
      </c>
      <c r="D6560" t="inlineStr">
        <is>
          <t>GÄVLEBORGS LÄN</t>
        </is>
      </c>
      <c r="E6560" t="inlineStr">
        <is>
          <t>LJUSDAL</t>
        </is>
      </c>
      <c r="F6560" t="inlineStr">
        <is>
          <t>Sveaskog</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28594-2025</t>
        </is>
      </c>
      <c r="B6561" s="1" t="n">
        <v>45819.59415509259</v>
      </c>
      <c r="C6561" s="1" t="n">
        <v>45883</v>
      </c>
      <c r="D6561" t="inlineStr">
        <is>
          <t>GÄVLEBORGS LÄN</t>
        </is>
      </c>
      <c r="E6561" t="inlineStr">
        <is>
          <t>LJUSDAL</t>
        </is>
      </c>
      <c r="F6561" t="inlineStr">
        <is>
          <t>SCA</t>
        </is>
      </c>
      <c r="G6561" t="n">
        <v>9.199999999999999</v>
      </c>
      <c r="H6561" t="n">
        <v>0</v>
      </c>
      <c r="I6561" t="n">
        <v>0</v>
      </c>
      <c r="J6561" t="n">
        <v>0</v>
      </c>
      <c r="K6561" t="n">
        <v>0</v>
      </c>
      <c r="L6561" t="n">
        <v>0</v>
      </c>
      <c r="M6561" t="n">
        <v>0</v>
      </c>
      <c r="N6561" t="n">
        <v>0</v>
      </c>
      <c r="O6561" t="n">
        <v>0</v>
      </c>
      <c r="P6561" t="n">
        <v>0</v>
      </c>
      <c r="Q6561" t="n">
        <v>0</v>
      </c>
      <c r="R6561" s="2" t="inlineStr"/>
    </row>
    <row r="6562" ht="15" customHeight="1">
      <c r="A6562" t="inlineStr">
        <is>
          <t>A 28599-2025</t>
        </is>
      </c>
      <c r="B6562" s="1" t="n">
        <v>45819.5966550926</v>
      </c>
      <c r="C6562" s="1" t="n">
        <v>45883</v>
      </c>
      <c r="D6562" t="inlineStr">
        <is>
          <t>GÄVLEBORGS LÄN</t>
        </is>
      </c>
      <c r="E6562" t="inlineStr">
        <is>
          <t>HUDIKSVALL</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17990-2025</t>
        </is>
      </c>
      <c r="B6563" s="1" t="n">
        <v>45761.40454861111</v>
      </c>
      <c r="C6563" s="1" t="n">
        <v>45883</v>
      </c>
      <c r="D6563" t="inlineStr">
        <is>
          <t>GÄVLEBORGS LÄN</t>
        </is>
      </c>
      <c r="E6563" t="inlineStr">
        <is>
          <t>OVANÅKER</t>
        </is>
      </c>
      <c r="G6563" t="n">
        <v>2.9</v>
      </c>
      <c r="H6563" t="n">
        <v>0</v>
      </c>
      <c r="I6563" t="n">
        <v>0</v>
      </c>
      <c r="J6563" t="n">
        <v>0</v>
      </c>
      <c r="K6563" t="n">
        <v>0</v>
      </c>
      <c r="L6563" t="n">
        <v>0</v>
      </c>
      <c r="M6563" t="n">
        <v>0</v>
      </c>
      <c r="N6563" t="n">
        <v>0</v>
      </c>
      <c r="O6563" t="n">
        <v>0</v>
      </c>
      <c r="P6563" t="n">
        <v>0</v>
      </c>
      <c r="Q6563" t="n">
        <v>0</v>
      </c>
      <c r="R6563" s="2" t="inlineStr"/>
    </row>
    <row r="6564" ht="15" customHeight="1">
      <c r="A6564" t="inlineStr">
        <is>
          <t>A 28450-2025</t>
        </is>
      </c>
      <c r="B6564" s="1" t="n">
        <v>45819.40609953704</v>
      </c>
      <c r="C6564" s="1" t="n">
        <v>45883</v>
      </c>
      <c r="D6564" t="inlineStr">
        <is>
          <t>GÄVLEBORGS LÄN</t>
        </is>
      </c>
      <c r="E6564" t="inlineStr">
        <is>
          <t>GÄVLE</t>
        </is>
      </c>
      <c r="F6564" t="inlineStr">
        <is>
          <t>Bergvik skog väst AB</t>
        </is>
      </c>
      <c r="G6564" t="n">
        <v>9.300000000000001</v>
      </c>
      <c r="H6564" t="n">
        <v>0</v>
      </c>
      <c r="I6564" t="n">
        <v>0</v>
      </c>
      <c r="J6564" t="n">
        <v>0</v>
      </c>
      <c r="K6564" t="n">
        <v>0</v>
      </c>
      <c r="L6564" t="n">
        <v>0</v>
      </c>
      <c r="M6564" t="n">
        <v>0</v>
      </c>
      <c r="N6564" t="n">
        <v>0</v>
      </c>
      <c r="O6564" t="n">
        <v>0</v>
      </c>
      <c r="P6564" t="n">
        <v>0</v>
      </c>
      <c r="Q6564" t="n">
        <v>0</v>
      </c>
      <c r="R6564" s="2" t="inlineStr"/>
    </row>
    <row r="6565" ht="15" customHeight="1">
      <c r="A6565" t="inlineStr">
        <is>
          <t>A 28457-2025</t>
        </is>
      </c>
      <c r="B6565" s="1" t="n">
        <v>45819.40884259259</v>
      </c>
      <c r="C6565" s="1" t="n">
        <v>45883</v>
      </c>
      <c r="D6565" t="inlineStr">
        <is>
          <t>GÄVLEBORGS LÄN</t>
        </is>
      </c>
      <c r="E6565" t="inlineStr">
        <is>
          <t>HUDIKSVALL</t>
        </is>
      </c>
      <c r="F6565" t="inlineStr">
        <is>
          <t>Holmen skog AB</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24741-2024</t>
        </is>
      </c>
      <c r="B6566" s="1" t="n">
        <v>45460.66142361111</v>
      </c>
      <c r="C6566" s="1" t="n">
        <v>45883</v>
      </c>
      <c r="D6566" t="inlineStr">
        <is>
          <t>GÄVLEBORGS LÄN</t>
        </is>
      </c>
      <c r="E6566" t="inlineStr">
        <is>
          <t>BOLLNÄS</t>
        </is>
      </c>
      <c r="G6566" t="n">
        <v>3.3</v>
      </c>
      <c r="H6566" t="n">
        <v>0</v>
      </c>
      <c r="I6566" t="n">
        <v>0</v>
      </c>
      <c r="J6566" t="n">
        <v>0</v>
      </c>
      <c r="K6566" t="n">
        <v>0</v>
      </c>
      <c r="L6566" t="n">
        <v>0</v>
      </c>
      <c r="M6566" t="n">
        <v>0</v>
      </c>
      <c r="N6566" t="n">
        <v>0</v>
      </c>
      <c r="O6566" t="n">
        <v>0</v>
      </c>
      <c r="P6566" t="n">
        <v>0</v>
      </c>
      <c r="Q6566" t="n">
        <v>0</v>
      </c>
      <c r="R6566" s="2" t="inlineStr"/>
    </row>
    <row r="6567" ht="15" customHeight="1">
      <c r="A6567" t="inlineStr">
        <is>
          <t>A 18008-2025</t>
        </is>
      </c>
      <c r="B6567" s="1" t="n">
        <v>45761.42759259259</v>
      </c>
      <c r="C6567" s="1" t="n">
        <v>45883</v>
      </c>
      <c r="D6567" t="inlineStr">
        <is>
          <t>GÄVLEBORGS LÄN</t>
        </is>
      </c>
      <c r="E6567" t="inlineStr">
        <is>
          <t>LJUSDAL</t>
        </is>
      </c>
      <c r="G6567" t="n">
        <v>4.5</v>
      </c>
      <c r="H6567" t="n">
        <v>0</v>
      </c>
      <c r="I6567" t="n">
        <v>0</v>
      </c>
      <c r="J6567" t="n">
        <v>0</v>
      </c>
      <c r="K6567" t="n">
        <v>0</v>
      </c>
      <c r="L6567" t="n">
        <v>0</v>
      </c>
      <c r="M6567" t="n">
        <v>0</v>
      </c>
      <c r="N6567" t="n">
        <v>0</v>
      </c>
      <c r="O6567" t="n">
        <v>0</v>
      </c>
      <c r="P6567" t="n">
        <v>0</v>
      </c>
      <c r="Q6567" t="n">
        <v>0</v>
      </c>
      <c r="R6567" s="2" t="inlineStr"/>
    </row>
    <row r="6568" ht="15" customHeight="1">
      <c r="A6568" t="inlineStr">
        <is>
          <t>A 18025-2025</t>
        </is>
      </c>
      <c r="B6568" s="1" t="n">
        <v>45761.44814814815</v>
      </c>
      <c r="C6568" s="1" t="n">
        <v>45883</v>
      </c>
      <c r="D6568" t="inlineStr">
        <is>
          <t>GÄVLEBORGS LÄN</t>
        </is>
      </c>
      <c r="E6568" t="inlineStr">
        <is>
          <t>LJUSDAL</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28547-2025</t>
        </is>
      </c>
      <c r="B6569" s="1" t="n">
        <v>45819.52945601852</v>
      </c>
      <c r="C6569" s="1" t="n">
        <v>45883</v>
      </c>
      <c r="D6569" t="inlineStr">
        <is>
          <t>GÄVLEBORGS LÄN</t>
        </is>
      </c>
      <c r="E6569" t="inlineStr">
        <is>
          <t>SANDVIKEN</t>
        </is>
      </c>
      <c r="G6569" t="n">
        <v>6.2</v>
      </c>
      <c r="H6569" t="n">
        <v>0</v>
      </c>
      <c r="I6569" t="n">
        <v>0</v>
      </c>
      <c r="J6569" t="n">
        <v>0</v>
      </c>
      <c r="K6569" t="n">
        <v>0</v>
      </c>
      <c r="L6569" t="n">
        <v>0</v>
      </c>
      <c r="M6569" t="n">
        <v>0</v>
      </c>
      <c r="N6569" t="n">
        <v>0</v>
      </c>
      <c r="O6569" t="n">
        <v>0</v>
      </c>
      <c r="P6569" t="n">
        <v>0</v>
      </c>
      <c r="Q6569" t="n">
        <v>0</v>
      </c>
      <c r="R6569" s="2" t="inlineStr"/>
    </row>
    <row r="6570" ht="15" customHeight="1">
      <c r="A6570" t="inlineStr">
        <is>
          <t>A 28411-2025</t>
        </is>
      </c>
      <c r="B6570" s="1" t="n">
        <v>45819.3462037037</v>
      </c>
      <c r="C6570" s="1" t="n">
        <v>45883</v>
      </c>
      <c r="D6570" t="inlineStr">
        <is>
          <t>GÄVLEBORGS LÄN</t>
        </is>
      </c>
      <c r="E6570" t="inlineStr">
        <is>
          <t>HUDIKSVALL</t>
        </is>
      </c>
      <c r="G6570" t="n">
        <v>0.1</v>
      </c>
      <c r="H6570" t="n">
        <v>0</v>
      </c>
      <c r="I6570" t="n">
        <v>0</v>
      </c>
      <c r="J6570" t="n">
        <v>0</v>
      </c>
      <c r="K6570" t="n">
        <v>0</v>
      </c>
      <c r="L6570" t="n">
        <v>0</v>
      </c>
      <c r="M6570" t="n">
        <v>0</v>
      </c>
      <c r="N6570" t="n">
        <v>0</v>
      </c>
      <c r="O6570" t="n">
        <v>0</v>
      </c>
      <c r="P6570" t="n">
        <v>0</v>
      </c>
      <c r="Q6570" t="n">
        <v>0</v>
      </c>
      <c r="R6570" s="2" t="inlineStr"/>
    </row>
    <row r="6571" ht="15" customHeight="1">
      <c r="A6571" t="inlineStr">
        <is>
          <t>A 28815-2025</t>
        </is>
      </c>
      <c r="B6571" s="1" t="n">
        <v>45820</v>
      </c>
      <c r="C6571" s="1" t="n">
        <v>45883</v>
      </c>
      <c r="D6571" t="inlineStr">
        <is>
          <t>GÄVLEBORGS LÄN</t>
        </is>
      </c>
      <c r="E6571" t="inlineStr">
        <is>
          <t>HUDIKSVALL</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28835-2025</t>
        </is>
      </c>
      <c r="B6572" s="1" t="n">
        <v>45820.55809027778</v>
      </c>
      <c r="C6572" s="1" t="n">
        <v>45883</v>
      </c>
      <c r="D6572" t="inlineStr">
        <is>
          <t>GÄVLEBORGS LÄN</t>
        </is>
      </c>
      <c r="E6572" t="inlineStr">
        <is>
          <t>OVANÅKER</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28903-2025</t>
        </is>
      </c>
      <c r="B6573" s="1" t="n">
        <v>45820.64299768519</v>
      </c>
      <c r="C6573" s="1" t="n">
        <v>45883</v>
      </c>
      <c r="D6573" t="inlineStr">
        <is>
          <t>GÄVLEBORGS LÄN</t>
        </is>
      </c>
      <c r="E6573" t="inlineStr">
        <is>
          <t>LJUSDAL</t>
        </is>
      </c>
      <c r="F6573" t="inlineStr">
        <is>
          <t>Bergvik skog väst AB</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28387-2025</t>
        </is>
      </c>
      <c r="B6574" s="1" t="n">
        <v>45819.32304398148</v>
      </c>
      <c r="C6574" s="1" t="n">
        <v>45883</v>
      </c>
      <c r="D6574" t="inlineStr">
        <is>
          <t>GÄVLEBORGS LÄN</t>
        </is>
      </c>
      <c r="E6574" t="inlineStr">
        <is>
          <t>OVANÅKER</t>
        </is>
      </c>
      <c r="F6574" t="inlineStr">
        <is>
          <t>Holmen skog AB</t>
        </is>
      </c>
      <c r="G6574" t="n">
        <v>10.6</v>
      </c>
      <c r="H6574" t="n">
        <v>0</v>
      </c>
      <c r="I6574" t="n">
        <v>0</v>
      </c>
      <c r="J6574" t="n">
        <v>0</v>
      </c>
      <c r="K6574" t="n">
        <v>0</v>
      </c>
      <c r="L6574" t="n">
        <v>0</v>
      </c>
      <c r="M6574" t="n">
        <v>0</v>
      </c>
      <c r="N6574" t="n">
        <v>0</v>
      </c>
      <c r="O6574" t="n">
        <v>0</v>
      </c>
      <c r="P6574" t="n">
        <v>0</v>
      </c>
      <c r="Q6574" t="n">
        <v>0</v>
      </c>
      <c r="R6574" s="2" t="inlineStr"/>
    </row>
    <row r="6575" ht="15" customHeight="1">
      <c r="A6575" t="inlineStr">
        <is>
          <t>A 28446-2025</t>
        </is>
      </c>
      <c r="B6575" s="1" t="n">
        <v>45819.39910879629</v>
      </c>
      <c r="C6575" s="1" t="n">
        <v>45883</v>
      </c>
      <c r="D6575" t="inlineStr">
        <is>
          <t>GÄVLEBORGS LÄN</t>
        </is>
      </c>
      <c r="E6575" t="inlineStr">
        <is>
          <t>BOLLNÄS</t>
        </is>
      </c>
      <c r="G6575" t="n">
        <v>5</v>
      </c>
      <c r="H6575" t="n">
        <v>0</v>
      </c>
      <c r="I6575" t="n">
        <v>0</v>
      </c>
      <c r="J6575" t="n">
        <v>0</v>
      </c>
      <c r="K6575" t="n">
        <v>0</v>
      </c>
      <c r="L6575" t="n">
        <v>0</v>
      </c>
      <c r="M6575" t="n">
        <v>0</v>
      </c>
      <c r="N6575" t="n">
        <v>0</v>
      </c>
      <c r="O6575" t="n">
        <v>0</v>
      </c>
      <c r="P6575" t="n">
        <v>0</v>
      </c>
      <c r="Q6575" t="n">
        <v>0</v>
      </c>
      <c r="R6575" s="2" t="inlineStr"/>
    </row>
    <row r="6576" ht="15" customHeight="1">
      <c r="A6576" t="inlineStr">
        <is>
          <t>A 28468-2025</t>
        </is>
      </c>
      <c r="B6576" s="1" t="n">
        <v>45819.42824074074</v>
      </c>
      <c r="C6576" s="1" t="n">
        <v>45883</v>
      </c>
      <c r="D6576" t="inlineStr">
        <is>
          <t>GÄVLEBORGS LÄN</t>
        </is>
      </c>
      <c r="E6576" t="inlineStr">
        <is>
          <t>SANDVIKEN</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2760-2024</t>
        </is>
      </c>
      <c r="B6577" s="1" t="n">
        <v>45314.59423611111</v>
      </c>
      <c r="C6577" s="1" t="n">
        <v>45883</v>
      </c>
      <c r="D6577" t="inlineStr">
        <is>
          <t>GÄVLEBORGS LÄN</t>
        </is>
      </c>
      <c r="E6577" t="inlineStr">
        <is>
          <t>HUDIKSVALL</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26384-2024</t>
        </is>
      </c>
      <c r="B6578" s="1" t="n">
        <v>45469.42591435185</v>
      </c>
      <c r="C6578" s="1" t="n">
        <v>45883</v>
      </c>
      <c r="D6578" t="inlineStr">
        <is>
          <t>GÄVLEBORGS LÄN</t>
        </is>
      </c>
      <c r="E6578" t="inlineStr">
        <is>
          <t>LJUSDAL</t>
        </is>
      </c>
      <c r="F6578" t="inlineStr">
        <is>
          <t>Sveaskog</t>
        </is>
      </c>
      <c r="G6578" t="n">
        <v>6</v>
      </c>
      <c r="H6578" t="n">
        <v>0</v>
      </c>
      <c r="I6578" t="n">
        <v>0</v>
      </c>
      <c r="J6578" t="n">
        <v>0</v>
      </c>
      <c r="K6578" t="n">
        <v>0</v>
      </c>
      <c r="L6578" t="n">
        <v>0</v>
      </c>
      <c r="M6578" t="n">
        <v>0</v>
      </c>
      <c r="N6578" t="n">
        <v>0</v>
      </c>
      <c r="O6578" t="n">
        <v>0</v>
      </c>
      <c r="P6578" t="n">
        <v>0</v>
      </c>
      <c r="Q6578" t="n">
        <v>0</v>
      </c>
      <c r="R6578" s="2" t="inlineStr"/>
    </row>
    <row r="6579" ht="15" customHeight="1">
      <c r="A6579" t="inlineStr">
        <is>
          <t>A 28461-2025</t>
        </is>
      </c>
      <c r="B6579" s="1" t="n">
        <v>45819.41497685185</v>
      </c>
      <c r="C6579" s="1" t="n">
        <v>45883</v>
      </c>
      <c r="D6579" t="inlineStr">
        <is>
          <t>GÄVLEBORGS LÄN</t>
        </is>
      </c>
      <c r="E6579" t="inlineStr">
        <is>
          <t>GÄVLE</t>
        </is>
      </c>
      <c r="F6579" t="inlineStr">
        <is>
          <t>Bergvik skog väst AB</t>
        </is>
      </c>
      <c r="G6579" t="n">
        <v>5.5</v>
      </c>
      <c r="H6579" t="n">
        <v>0</v>
      </c>
      <c r="I6579" t="n">
        <v>0</v>
      </c>
      <c r="J6579" t="n">
        <v>0</v>
      </c>
      <c r="K6579" t="n">
        <v>0</v>
      </c>
      <c r="L6579" t="n">
        <v>0</v>
      </c>
      <c r="M6579" t="n">
        <v>0</v>
      </c>
      <c r="N6579" t="n">
        <v>0</v>
      </c>
      <c r="O6579" t="n">
        <v>0</v>
      </c>
      <c r="P6579" t="n">
        <v>0</v>
      </c>
      <c r="Q6579" t="n">
        <v>0</v>
      </c>
      <c r="R6579" s="2" t="inlineStr"/>
    </row>
    <row r="6580" ht="15" customHeight="1">
      <c r="A6580" t="inlineStr">
        <is>
          <t>A 28472-2025</t>
        </is>
      </c>
      <c r="B6580" s="1" t="n">
        <v>45819.43876157407</v>
      </c>
      <c r="C6580" s="1" t="n">
        <v>45883</v>
      </c>
      <c r="D6580" t="inlineStr">
        <is>
          <t>GÄVLEBORGS LÄN</t>
        </is>
      </c>
      <c r="E6580" t="inlineStr">
        <is>
          <t>HUDIKSVALL</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35761-2022</t>
        </is>
      </c>
      <c r="B6581" s="1" t="n">
        <v>44800</v>
      </c>
      <c r="C6581" s="1" t="n">
        <v>45883</v>
      </c>
      <c r="D6581" t="inlineStr">
        <is>
          <t>GÄVLEBORGS LÄN</t>
        </is>
      </c>
      <c r="E6581" t="inlineStr">
        <is>
          <t>GÄVLE</t>
        </is>
      </c>
      <c r="G6581" t="n">
        <v>8.199999999999999</v>
      </c>
      <c r="H6581" t="n">
        <v>0</v>
      </c>
      <c r="I6581" t="n">
        <v>0</v>
      </c>
      <c r="J6581" t="n">
        <v>0</v>
      </c>
      <c r="K6581" t="n">
        <v>0</v>
      </c>
      <c r="L6581" t="n">
        <v>0</v>
      </c>
      <c r="M6581" t="n">
        <v>0</v>
      </c>
      <c r="N6581" t="n">
        <v>0</v>
      </c>
      <c r="O6581" t="n">
        <v>0</v>
      </c>
      <c r="P6581" t="n">
        <v>0</v>
      </c>
      <c r="Q6581" t="n">
        <v>0</v>
      </c>
      <c r="R6581" s="2" t="inlineStr"/>
    </row>
    <row r="6582" ht="15" customHeight="1">
      <c r="A6582" t="inlineStr">
        <is>
          <t>A 28460-2025</t>
        </is>
      </c>
      <c r="B6582" s="1" t="n">
        <v>45819</v>
      </c>
      <c r="C6582" s="1" t="n">
        <v>45883</v>
      </c>
      <c r="D6582" t="inlineStr">
        <is>
          <t>GÄVLEBORGS LÄN</t>
        </is>
      </c>
      <c r="E6582" t="inlineStr">
        <is>
          <t>OVANÅKER</t>
        </is>
      </c>
      <c r="G6582" t="n">
        <v>3.4</v>
      </c>
      <c r="H6582" t="n">
        <v>0</v>
      </c>
      <c r="I6582" t="n">
        <v>0</v>
      </c>
      <c r="J6582" t="n">
        <v>0</v>
      </c>
      <c r="K6582" t="n">
        <v>0</v>
      </c>
      <c r="L6582" t="n">
        <v>0</v>
      </c>
      <c r="M6582" t="n">
        <v>0</v>
      </c>
      <c r="N6582" t="n">
        <v>0</v>
      </c>
      <c r="O6582" t="n">
        <v>0</v>
      </c>
      <c r="P6582" t="n">
        <v>0</v>
      </c>
      <c r="Q6582" t="n">
        <v>0</v>
      </c>
      <c r="R6582" s="2" t="inlineStr"/>
    </row>
    <row r="6583" ht="15" customHeight="1">
      <c r="A6583" t="inlineStr">
        <is>
          <t>A 28462-2025</t>
        </is>
      </c>
      <c r="B6583" s="1" t="n">
        <v>45819.41706018519</v>
      </c>
      <c r="C6583" s="1" t="n">
        <v>45883</v>
      </c>
      <c r="D6583" t="inlineStr">
        <is>
          <t>GÄVLEBORGS LÄN</t>
        </is>
      </c>
      <c r="E6583" t="inlineStr">
        <is>
          <t>BOLLNÄS</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13124-2025</t>
        </is>
      </c>
      <c r="B6584" s="1" t="n">
        <v>45734.82690972222</v>
      </c>
      <c r="C6584" s="1" t="n">
        <v>45883</v>
      </c>
      <c r="D6584" t="inlineStr">
        <is>
          <t>GÄVLEBORGS LÄN</t>
        </is>
      </c>
      <c r="E6584" t="inlineStr">
        <is>
          <t>SANDVIKEN</t>
        </is>
      </c>
      <c r="F6584" t="inlineStr">
        <is>
          <t>Bergvik skog öst AB</t>
        </is>
      </c>
      <c r="G6584" t="n">
        <v>6.7</v>
      </c>
      <c r="H6584" t="n">
        <v>0</v>
      </c>
      <c r="I6584" t="n">
        <v>0</v>
      </c>
      <c r="J6584" t="n">
        <v>0</v>
      </c>
      <c r="K6584" t="n">
        <v>0</v>
      </c>
      <c r="L6584" t="n">
        <v>0</v>
      </c>
      <c r="M6584" t="n">
        <v>0</v>
      </c>
      <c r="N6584" t="n">
        <v>0</v>
      </c>
      <c r="O6584" t="n">
        <v>0</v>
      </c>
      <c r="P6584" t="n">
        <v>0</v>
      </c>
      <c r="Q6584" t="n">
        <v>0</v>
      </c>
      <c r="R6584" s="2" t="inlineStr"/>
    </row>
    <row r="6585" ht="15" customHeight="1">
      <c r="A6585" t="inlineStr">
        <is>
          <t>A 28474-2025</t>
        </is>
      </c>
      <c r="B6585" s="1" t="n">
        <v>45819.44173611111</v>
      </c>
      <c r="C6585" s="1" t="n">
        <v>45883</v>
      </c>
      <c r="D6585" t="inlineStr">
        <is>
          <t>GÄVLEBORGS LÄN</t>
        </is>
      </c>
      <c r="E6585" t="inlineStr">
        <is>
          <t>OVANÅKER</t>
        </is>
      </c>
      <c r="F6585" t="inlineStr">
        <is>
          <t>Bergvik skog väst AB</t>
        </is>
      </c>
      <c r="G6585" t="n">
        <v>3.3</v>
      </c>
      <c r="H6585" t="n">
        <v>0</v>
      </c>
      <c r="I6585" t="n">
        <v>0</v>
      </c>
      <c r="J6585" t="n">
        <v>0</v>
      </c>
      <c r="K6585" t="n">
        <v>0</v>
      </c>
      <c r="L6585" t="n">
        <v>0</v>
      </c>
      <c r="M6585" t="n">
        <v>0</v>
      </c>
      <c r="N6585" t="n">
        <v>0</v>
      </c>
      <c r="O6585" t="n">
        <v>0</v>
      </c>
      <c r="P6585" t="n">
        <v>0</v>
      </c>
      <c r="Q6585" t="n">
        <v>0</v>
      </c>
      <c r="R6585" s="2" t="inlineStr"/>
    </row>
    <row r="6586" ht="15" customHeight="1">
      <c r="A6586" t="inlineStr">
        <is>
          <t>A 35804-2025</t>
        </is>
      </c>
      <c r="B6586" s="1" t="n">
        <v>45861.39952546296</v>
      </c>
      <c r="C6586" s="1" t="n">
        <v>45883</v>
      </c>
      <c r="D6586" t="inlineStr">
        <is>
          <t>GÄVLEBORGS LÄN</t>
        </is>
      </c>
      <c r="E6586" t="inlineStr">
        <is>
          <t>LJUSDAL</t>
        </is>
      </c>
      <c r="G6586" t="n">
        <v>15.3</v>
      </c>
      <c r="H6586" t="n">
        <v>0</v>
      </c>
      <c r="I6586" t="n">
        <v>0</v>
      </c>
      <c r="J6586" t="n">
        <v>0</v>
      </c>
      <c r="K6586" t="n">
        <v>0</v>
      </c>
      <c r="L6586" t="n">
        <v>0</v>
      </c>
      <c r="M6586" t="n">
        <v>0</v>
      </c>
      <c r="N6586" t="n">
        <v>0</v>
      </c>
      <c r="O6586" t="n">
        <v>0</v>
      </c>
      <c r="P6586" t="n">
        <v>0</v>
      </c>
      <c r="Q6586" t="n">
        <v>0</v>
      </c>
      <c r="R6586" s="2" t="inlineStr"/>
    </row>
    <row r="6587" ht="15" customHeight="1">
      <c r="A6587" t="inlineStr">
        <is>
          <t>A 35821-2025</t>
        </is>
      </c>
      <c r="B6587" s="1" t="n">
        <v>45861.46443287037</v>
      </c>
      <c r="C6587" s="1" t="n">
        <v>45883</v>
      </c>
      <c r="D6587" t="inlineStr">
        <is>
          <t>GÄVLEBORGS LÄN</t>
        </is>
      </c>
      <c r="E6587" t="inlineStr">
        <is>
          <t>NORDANSTIG</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35822-2025</t>
        </is>
      </c>
      <c r="B6588" s="1" t="n">
        <v>45861.47325231481</v>
      </c>
      <c r="C6588" s="1" t="n">
        <v>45883</v>
      </c>
      <c r="D6588" t="inlineStr">
        <is>
          <t>GÄVLEBORGS LÄN</t>
        </is>
      </c>
      <c r="E6588" t="inlineStr">
        <is>
          <t>NORDANSTIG</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28809-2025</t>
        </is>
      </c>
      <c r="B6589" s="1" t="n">
        <v>45820.5178125</v>
      </c>
      <c r="C6589" s="1" t="n">
        <v>45883</v>
      </c>
      <c r="D6589" t="inlineStr">
        <is>
          <t>GÄVLEBORGS LÄN</t>
        </is>
      </c>
      <c r="E6589" t="inlineStr">
        <is>
          <t>HUDIKSVALL</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35878-2025</t>
        </is>
      </c>
      <c r="B6590" s="1" t="n">
        <v>45862.37017361111</v>
      </c>
      <c r="C6590" s="1" t="n">
        <v>45883</v>
      </c>
      <c r="D6590" t="inlineStr">
        <is>
          <t>GÄVLEBORGS LÄN</t>
        </is>
      </c>
      <c r="E6590" t="inlineStr">
        <is>
          <t>GÄVLE</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28600-2025</t>
        </is>
      </c>
      <c r="B6591" s="1" t="n">
        <v>45819.59787037037</v>
      </c>
      <c r="C6591" s="1" t="n">
        <v>45883</v>
      </c>
      <c r="D6591" t="inlineStr">
        <is>
          <t>GÄVLEBORGS LÄN</t>
        </is>
      </c>
      <c r="E6591" t="inlineStr">
        <is>
          <t>OVANÅKER</t>
        </is>
      </c>
      <c r="F6591" t="inlineStr">
        <is>
          <t>Bergvik skog väst AB</t>
        </is>
      </c>
      <c r="G6591" t="n">
        <v>4.2</v>
      </c>
      <c r="H6591" t="n">
        <v>0</v>
      </c>
      <c r="I6591" t="n">
        <v>0</v>
      </c>
      <c r="J6591" t="n">
        <v>0</v>
      </c>
      <c r="K6591" t="n">
        <v>0</v>
      </c>
      <c r="L6591" t="n">
        <v>0</v>
      </c>
      <c r="M6591" t="n">
        <v>0</v>
      </c>
      <c r="N6591" t="n">
        <v>0</v>
      </c>
      <c r="O6591" t="n">
        <v>0</v>
      </c>
      <c r="P6591" t="n">
        <v>0</v>
      </c>
      <c r="Q6591" t="n">
        <v>0</v>
      </c>
      <c r="R6591" s="2" t="inlineStr"/>
    </row>
    <row r="6592" ht="15" customHeight="1">
      <c r="A6592" t="inlineStr">
        <is>
          <t>A 28618-2025</t>
        </is>
      </c>
      <c r="B6592" s="1" t="n">
        <v>45819.61023148148</v>
      </c>
      <c r="C6592" s="1" t="n">
        <v>45883</v>
      </c>
      <c r="D6592" t="inlineStr">
        <is>
          <t>GÄVLEBORGS LÄN</t>
        </is>
      </c>
      <c r="E6592" t="inlineStr">
        <is>
          <t>BOLLNÄS</t>
        </is>
      </c>
      <c r="F6592" t="inlineStr">
        <is>
          <t>Bergvik skog väst AB</t>
        </is>
      </c>
      <c r="G6592" t="n">
        <v>11.7</v>
      </c>
      <c r="H6592" t="n">
        <v>0</v>
      </c>
      <c r="I6592" t="n">
        <v>0</v>
      </c>
      <c r="J6592" t="n">
        <v>0</v>
      </c>
      <c r="K6592" t="n">
        <v>0</v>
      </c>
      <c r="L6592" t="n">
        <v>0</v>
      </c>
      <c r="M6592" t="n">
        <v>0</v>
      </c>
      <c r="N6592" t="n">
        <v>0</v>
      </c>
      <c r="O6592" t="n">
        <v>0</v>
      </c>
      <c r="P6592" t="n">
        <v>0</v>
      </c>
      <c r="Q6592" t="n">
        <v>0</v>
      </c>
      <c r="R6592" s="2" t="inlineStr"/>
    </row>
    <row r="6593" ht="15" customHeight="1">
      <c r="A6593" t="inlineStr">
        <is>
          <t>A 28624-2025</t>
        </is>
      </c>
      <c r="B6593" s="1" t="n">
        <v>45819.61737268518</v>
      </c>
      <c r="C6593" s="1" t="n">
        <v>45883</v>
      </c>
      <c r="D6593" t="inlineStr">
        <is>
          <t>GÄVLEBORGS LÄN</t>
        </is>
      </c>
      <c r="E6593" t="inlineStr">
        <is>
          <t>GÄVLE</t>
        </is>
      </c>
      <c r="F6593" t="inlineStr">
        <is>
          <t>Bergvik skog väst AB</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28638-2025</t>
        </is>
      </c>
      <c r="B6594" s="1" t="n">
        <v>45819.63609953703</v>
      </c>
      <c r="C6594" s="1" t="n">
        <v>45883</v>
      </c>
      <c r="D6594" t="inlineStr">
        <is>
          <t>GÄVLEBORGS LÄN</t>
        </is>
      </c>
      <c r="E6594" t="inlineStr">
        <is>
          <t>LJUSDAL</t>
        </is>
      </c>
      <c r="F6594" t="inlineStr">
        <is>
          <t>SCA</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41620-2023</t>
        </is>
      </c>
      <c r="B6595" s="1" t="n">
        <v>45175.67440972223</v>
      </c>
      <c r="C6595" s="1" t="n">
        <v>45883</v>
      </c>
      <c r="D6595" t="inlineStr">
        <is>
          <t>GÄVLEBORGS LÄN</t>
        </is>
      </c>
      <c r="E6595" t="inlineStr">
        <is>
          <t>NORDANSTIG</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20577-2025</t>
        </is>
      </c>
      <c r="B6596" s="1" t="n">
        <v>45775.67856481481</v>
      </c>
      <c r="C6596" s="1" t="n">
        <v>45883</v>
      </c>
      <c r="D6596" t="inlineStr">
        <is>
          <t>GÄVLEBORGS LÄN</t>
        </is>
      </c>
      <c r="E6596" t="inlineStr">
        <is>
          <t>NORDANSTIG</t>
        </is>
      </c>
      <c r="F6596" t="inlineStr">
        <is>
          <t>Holmen skog AB</t>
        </is>
      </c>
      <c r="G6596" t="n">
        <v>3.3</v>
      </c>
      <c r="H6596" t="n">
        <v>0</v>
      </c>
      <c r="I6596" t="n">
        <v>0</v>
      </c>
      <c r="J6596" t="n">
        <v>0</v>
      </c>
      <c r="K6596" t="n">
        <v>0</v>
      </c>
      <c r="L6596" t="n">
        <v>0</v>
      </c>
      <c r="M6596" t="n">
        <v>0</v>
      </c>
      <c r="N6596" t="n">
        <v>0</v>
      </c>
      <c r="O6596" t="n">
        <v>0</v>
      </c>
      <c r="P6596" t="n">
        <v>0</v>
      </c>
      <c r="Q6596" t="n">
        <v>0</v>
      </c>
      <c r="R6596" s="2" t="inlineStr"/>
    </row>
    <row r="6597" ht="15" customHeight="1">
      <c r="A6597" t="inlineStr">
        <is>
          <t>A 20660-2022</t>
        </is>
      </c>
      <c r="B6597" s="1" t="n">
        <v>44700.6490162037</v>
      </c>
      <c r="C6597" s="1" t="n">
        <v>45883</v>
      </c>
      <c r="D6597" t="inlineStr">
        <is>
          <t>GÄVLEBORGS LÄN</t>
        </is>
      </c>
      <c r="E6597" t="inlineStr">
        <is>
          <t>OCKELBO</t>
        </is>
      </c>
      <c r="F6597" t="inlineStr">
        <is>
          <t>Bergvik skog väst AB</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28648-2025</t>
        </is>
      </c>
      <c r="B6598" s="1" t="n">
        <v>45819.64917824074</v>
      </c>
      <c r="C6598" s="1" t="n">
        <v>45883</v>
      </c>
      <c r="D6598" t="inlineStr">
        <is>
          <t>GÄVLEBORGS LÄN</t>
        </is>
      </c>
      <c r="E6598" t="inlineStr">
        <is>
          <t>LJUSDAL</t>
        </is>
      </c>
      <c r="F6598" t="inlineStr">
        <is>
          <t>Sveaskog</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35938-2025</t>
        </is>
      </c>
      <c r="B6599" s="1" t="n">
        <v>45862.64209490741</v>
      </c>
      <c r="C6599" s="1" t="n">
        <v>45883</v>
      </c>
      <c r="D6599" t="inlineStr">
        <is>
          <t>GÄVLEBORGS LÄN</t>
        </is>
      </c>
      <c r="E6599" t="inlineStr">
        <is>
          <t>GÄVLE</t>
        </is>
      </c>
      <c r="F6599" t="inlineStr">
        <is>
          <t>Bergvik skog väst AB</t>
        </is>
      </c>
      <c r="G6599" t="n">
        <v>3.9</v>
      </c>
      <c r="H6599" t="n">
        <v>0</v>
      </c>
      <c r="I6599" t="n">
        <v>0</v>
      </c>
      <c r="J6599" t="n">
        <v>0</v>
      </c>
      <c r="K6599" t="n">
        <v>0</v>
      </c>
      <c r="L6599" t="n">
        <v>0</v>
      </c>
      <c r="M6599" t="n">
        <v>0</v>
      </c>
      <c r="N6599" t="n">
        <v>0</v>
      </c>
      <c r="O6599" t="n">
        <v>0</v>
      </c>
      <c r="P6599" t="n">
        <v>0</v>
      </c>
      <c r="Q6599" t="n">
        <v>0</v>
      </c>
      <c r="R6599" s="2" t="inlineStr"/>
    </row>
    <row r="6600" ht="15" customHeight="1">
      <c r="A6600" t="inlineStr">
        <is>
          <t>A 34094-2023</t>
        </is>
      </c>
      <c r="B6600" s="1" t="n">
        <v>45135.5841087963</v>
      </c>
      <c r="C6600" s="1" t="n">
        <v>45883</v>
      </c>
      <c r="D6600" t="inlineStr">
        <is>
          <t>GÄVLEBORGS LÄN</t>
        </is>
      </c>
      <c r="E6600" t="inlineStr">
        <is>
          <t>LJUSDAL</t>
        </is>
      </c>
      <c r="F6600" t="inlineStr">
        <is>
          <t>Holmen skog AB</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29261-2025</t>
        </is>
      </c>
      <c r="B6601" s="1" t="n">
        <v>45824</v>
      </c>
      <c r="C6601" s="1" t="n">
        <v>45883</v>
      </c>
      <c r="D6601" t="inlineStr">
        <is>
          <t>GÄVLEBORGS LÄN</t>
        </is>
      </c>
      <c r="E6601" t="inlineStr">
        <is>
          <t>NORDANSTIG</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29013-2025</t>
        </is>
      </c>
      <c r="B6602" s="1" t="n">
        <v>45821.40672453704</v>
      </c>
      <c r="C6602" s="1" t="n">
        <v>45883</v>
      </c>
      <c r="D6602" t="inlineStr">
        <is>
          <t>GÄVLEBORGS LÄN</t>
        </is>
      </c>
      <c r="E6602" t="inlineStr">
        <is>
          <t>LJUSDAL</t>
        </is>
      </c>
      <c r="F6602" t="inlineStr">
        <is>
          <t>SCA</t>
        </is>
      </c>
      <c r="G6602" t="n">
        <v>13.5</v>
      </c>
      <c r="H6602" t="n">
        <v>0</v>
      </c>
      <c r="I6602" t="n">
        <v>0</v>
      </c>
      <c r="J6602" t="n">
        <v>0</v>
      </c>
      <c r="K6602" t="n">
        <v>0</v>
      </c>
      <c r="L6602" t="n">
        <v>0</v>
      </c>
      <c r="M6602" t="n">
        <v>0</v>
      </c>
      <c r="N6602" t="n">
        <v>0</v>
      </c>
      <c r="O6602" t="n">
        <v>0</v>
      </c>
      <c r="P6602" t="n">
        <v>0</v>
      </c>
      <c r="Q6602" t="n">
        <v>0</v>
      </c>
      <c r="R6602" s="2" t="inlineStr"/>
    </row>
    <row r="6603" ht="15" customHeight="1">
      <c r="A6603" t="inlineStr">
        <is>
          <t>A 36091-2025</t>
        </is>
      </c>
      <c r="B6603" s="1" t="n">
        <v>45866.47849537037</v>
      </c>
      <c r="C6603" s="1" t="n">
        <v>45883</v>
      </c>
      <c r="D6603" t="inlineStr">
        <is>
          <t>GÄVLEBORGS LÄN</t>
        </is>
      </c>
      <c r="E6603" t="inlineStr">
        <is>
          <t>SANDVIKEN</t>
        </is>
      </c>
      <c r="F6603" t="inlineStr">
        <is>
          <t>Sveaskog</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61750-2023</t>
        </is>
      </c>
      <c r="B6604" s="1" t="n">
        <v>45265.79518518518</v>
      </c>
      <c r="C6604" s="1" t="n">
        <v>45883</v>
      </c>
      <c r="D6604" t="inlineStr">
        <is>
          <t>GÄVLEBORGS LÄN</t>
        </is>
      </c>
      <c r="E6604" t="inlineStr">
        <is>
          <t>OCKELBO</t>
        </is>
      </c>
      <c r="G6604" t="n">
        <v>11.2</v>
      </c>
      <c r="H6604" t="n">
        <v>0</v>
      </c>
      <c r="I6604" t="n">
        <v>0</v>
      </c>
      <c r="J6604" t="n">
        <v>0</v>
      </c>
      <c r="K6604" t="n">
        <v>0</v>
      </c>
      <c r="L6604" t="n">
        <v>0</v>
      </c>
      <c r="M6604" t="n">
        <v>0</v>
      </c>
      <c r="N6604" t="n">
        <v>0</v>
      </c>
      <c r="O6604" t="n">
        <v>0</v>
      </c>
      <c r="P6604" t="n">
        <v>0</v>
      </c>
      <c r="Q6604" t="n">
        <v>0</v>
      </c>
      <c r="R6604" s="2" t="inlineStr"/>
    </row>
    <row r="6605" ht="15" customHeight="1">
      <c r="A6605" t="inlineStr">
        <is>
          <t>A 21009-2022</t>
        </is>
      </c>
      <c r="B6605" s="1" t="n">
        <v>44704.34877314815</v>
      </c>
      <c r="C6605" s="1" t="n">
        <v>45883</v>
      </c>
      <c r="D6605" t="inlineStr">
        <is>
          <t>GÄVLEBORGS LÄN</t>
        </is>
      </c>
      <c r="E6605" t="inlineStr">
        <is>
          <t>BOLLNÄS</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18445-2025</t>
        </is>
      </c>
      <c r="B6606" s="1" t="n">
        <v>45762.6605787037</v>
      </c>
      <c r="C6606" s="1" t="n">
        <v>45883</v>
      </c>
      <c r="D6606" t="inlineStr">
        <is>
          <t>GÄVLEBORGS LÄN</t>
        </is>
      </c>
      <c r="E6606" t="inlineStr">
        <is>
          <t>NORDANSTIG</t>
        </is>
      </c>
      <c r="F6606" t="inlineStr">
        <is>
          <t>Holmen skog AB</t>
        </is>
      </c>
      <c r="G6606" t="n">
        <v>5.2</v>
      </c>
      <c r="H6606" t="n">
        <v>0</v>
      </c>
      <c r="I6606" t="n">
        <v>0</v>
      </c>
      <c r="J6606" t="n">
        <v>0</v>
      </c>
      <c r="K6606" t="n">
        <v>0</v>
      </c>
      <c r="L6606" t="n">
        <v>0</v>
      </c>
      <c r="M6606" t="n">
        <v>0</v>
      </c>
      <c r="N6606" t="n">
        <v>0</v>
      </c>
      <c r="O6606" t="n">
        <v>0</v>
      </c>
      <c r="P6606" t="n">
        <v>0</v>
      </c>
      <c r="Q6606" t="n">
        <v>0</v>
      </c>
      <c r="R6606" s="2" t="inlineStr"/>
    </row>
    <row r="6607" ht="15" customHeight="1">
      <c r="A6607" t="inlineStr">
        <is>
          <t>A 5388-2024</t>
        </is>
      </c>
      <c r="B6607" s="1" t="n">
        <v>45331</v>
      </c>
      <c r="C6607" s="1" t="n">
        <v>45883</v>
      </c>
      <c r="D6607" t="inlineStr">
        <is>
          <t>GÄVLEBORGS LÄN</t>
        </is>
      </c>
      <c r="E6607" t="inlineStr">
        <is>
          <t>BOLLNÄS</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29227-2025</t>
        </is>
      </c>
      <c r="B6608" s="1" t="n">
        <v>45824.33912037037</v>
      </c>
      <c r="C6608" s="1" t="n">
        <v>45883</v>
      </c>
      <c r="D6608" t="inlineStr">
        <is>
          <t>GÄVLEBORGS LÄN</t>
        </is>
      </c>
      <c r="E6608" t="inlineStr">
        <is>
          <t>HUDIKSVALL</t>
        </is>
      </c>
      <c r="G6608" t="n">
        <v>5.7</v>
      </c>
      <c r="H6608" t="n">
        <v>0</v>
      </c>
      <c r="I6608" t="n">
        <v>0</v>
      </c>
      <c r="J6608" t="n">
        <v>0</v>
      </c>
      <c r="K6608" t="n">
        <v>0</v>
      </c>
      <c r="L6608" t="n">
        <v>0</v>
      </c>
      <c r="M6608" t="n">
        <v>0</v>
      </c>
      <c r="N6608" t="n">
        <v>0</v>
      </c>
      <c r="O6608" t="n">
        <v>0</v>
      </c>
      <c r="P6608" t="n">
        <v>0</v>
      </c>
      <c r="Q6608" t="n">
        <v>0</v>
      </c>
      <c r="R6608" s="2" t="inlineStr"/>
    </row>
    <row r="6609" ht="15" customHeight="1">
      <c r="A6609" t="inlineStr">
        <is>
          <t>A 29240-2025</t>
        </is>
      </c>
      <c r="B6609" s="1" t="n">
        <v>45824.35913194445</v>
      </c>
      <c r="C6609" s="1" t="n">
        <v>45883</v>
      </c>
      <c r="D6609" t="inlineStr">
        <is>
          <t>GÄVLEBORGS LÄN</t>
        </is>
      </c>
      <c r="E6609" t="inlineStr">
        <is>
          <t>LJUSDAL</t>
        </is>
      </c>
      <c r="F6609" t="inlineStr">
        <is>
          <t>Holmen skog AB</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29423-2025</t>
        </is>
      </c>
      <c r="B6610" s="1" t="n">
        <v>45824.64304398148</v>
      </c>
      <c r="C6610" s="1" t="n">
        <v>45883</v>
      </c>
      <c r="D6610" t="inlineStr">
        <is>
          <t>GÄVLEBORGS LÄN</t>
        </is>
      </c>
      <c r="E6610" t="inlineStr">
        <is>
          <t>OVANÅKER</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2707-2024</t>
        </is>
      </c>
      <c r="B6611" s="1" t="n">
        <v>45314</v>
      </c>
      <c r="C6611" s="1" t="n">
        <v>45883</v>
      </c>
      <c r="D6611" t="inlineStr">
        <is>
          <t>GÄVLEBORGS LÄN</t>
        </is>
      </c>
      <c r="E6611" t="inlineStr">
        <is>
          <t>HUDIKSVALL</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1297-2024</t>
        </is>
      </c>
      <c r="B6612" s="1" t="n">
        <v>45303</v>
      </c>
      <c r="C6612" s="1" t="n">
        <v>45883</v>
      </c>
      <c r="D6612" t="inlineStr">
        <is>
          <t>GÄVLEBORGS LÄN</t>
        </is>
      </c>
      <c r="E6612" t="inlineStr">
        <is>
          <t>HUDIKSVALL</t>
        </is>
      </c>
      <c r="F6612" t="inlineStr">
        <is>
          <t>Holmen skog AB</t>
        </is>
      </c>
      <c r="G6612" t="n">
        <v>0.3</v>
      </c>
      <c r="H6612" t="n">
        <v>0</v>
      </c>
      <c r="I6612" t="n">
        <v>0</v>
      </c>
      <c r="J6612" t="n">
        <v>0</v>
      </c>
      <c r="K6612" t="n">
        <v>0</v>
      </c>
      <c r="L6612" t="n">
        <v>0</v>
      </c>
      <c r="M6612" t="n">
        <v>0</v>
      </c>
      <c r="N6612" t="n">
        <v>0</v>
      </c>
      <c r="O6612" t="n">
        <v>0</v>
      </c>
      <c r="P6612" t="n">
        <v>0</v>
      </c>
      <c r="Q6612" t="n">
        <v>0</v>
      </c>
      <c r="R6612" s="2" t="inlineStr"/>
    </row>
    <row r="6613" ht="15" customHeight="1">
      <c r="A6613" t="inlineStr">
        <is>
          <t>A 38596-2022</t>
        </is>
      </c>
      <c r="B6613" s="1" t="n">
        <v>44813.58180555556</v>
      </c>
      <c r="C6613" s="1" t="n">
        <v>45883</v>
      </c>
      <c r="D6613" t="inlineStr">
        <is>
          <t>GÄVLEBORGS LÄN</t>
        </is>
      </c>
      <c r="E6613" t="inlineStr">
        <is>
          <t>LJUSDAL</t>
        </is>
      </c>
      <c r="G6613" t="n">
        <v>3.1</v>
      </c>
      <c r="H6613" t="n">
        <v>0</v>
      </c>
      <c r="I6613" t="n">
        <v>0</v>
      </c>
      <c r="J6613" t="n">
        <v>0</v>
      </c>
      <c r="K6613" t="n">
        <v>0</v>
      </c>
      <c r="L6613" t="n">
        <v>0</v>
      </c>
      <c r="M6613" t="n">
        <v>0</v>
      </c>
      <c r="N6613" t="n">
        <v>0</v>
      </c>
      <c r="O6613" t="n">
        <v>0</v>
      </c>
      <c r="P6613" t="n">
        <v>0</v>
      </c>
      <c r="Q6613" t="n">
        <v>0</v>
      </c>
      <c r="R6613" s="2" t="inlineStr"/>
    </row>
    <row r="6614" ht="15" customHeight="1">
      <c r="A6614" t="inlineStr">
        <is>
          <t>A 11080-2025</t>
        </is>
      </c>
      <c r="B6614" s="1" t="n">
        <v>45723.56122685185</v>
      </c>
      <c r="C6614" s="1" t="n">
        <v>45883</v>
      </c>
      <c r="D6614" t="inlineStr">
        <is>
          <t>GÄVLEBORGS LÄN</t>
        </is>
      </c>
      <c r="E6614" t="inlineStr">
        <is>
          <t>GÄVLE</t>
        </is>
      </c>
      <c r="G6614" t="n">
        <v>18.3</v>
      </c>
      <c r="H6614" t="n">
        <v>0</v>
      </c>
      <c r="I6614" t="n">
        <v>0</v>
      </c>
      <c r="J6614" t="n">
        <v>0</v>
      </c>
      <c r="K6614" t="n">
        <v>0</v>
      </c>
      <c r="L6614" t="n">
        <v>0</v>
      </c>
      <c r="M6614" t="n">
        <v>0</v>
      </c>
      <c r="N6614" t="n">
        <v>0</v>
      </c>
      <c r="O6614" t="n">
        <v>0</v>
      </c>
      <c r="P6614" t="n">
        <v>0</v>
      </c>
      <c r="Q6614" t="n">
        <v>0</v>
      </c>
      <c r="R6614" s="2" t="inlineStr"/>
    </row>
    <row r="6615" ht="15" customHeight="1">
      <c r="A6615" t="inlineStr">
        <is>
          <t>A 11082-2025</t>
        </is>
      </c>
      <c r="B6615" s="1" t="n">
        <v>45723.56569444444</v>
      </c>
      <c r="C6615" s="1" t="n">
        <v>45883</v>
      </c>
      <c r="D6615" t="inlineStr">
        <is>
          <t>GÄVLEBORGS LÄN</t>
        </is>
      </c>
      <c r="E6615" t="inlineStr">
        <is>
          <t>GÄVLE</t>
        </is>
      </c>
      <c r="G6615" t="n">
        <v>3.3</v>
      </c>
      <c r="H6615" t="n">
        <v>0</v>
      </c>
      <c r="I6615" t="n">
        <v>0</v>
      </c>
      <c r="J6615" t="n">
        <v>0</v>
      </c>
      <c r="K6615" t="n">
        <v>0</v>
      </c>
      <c r="L6615" t="n">
        <v>0</v>
      </c>
      <c r="M6615" t="n">
        <v>0</v>
      </c>
      <c r="N6615" t="n">
        <v>0</v>
      </c>
      <c r="O6615" t="n">
        <v>0</v>
      </c>
      <c r="P6615" t="n">
        <v>0</v>
      </c>
      <c r="Q6615" t="n">
        <v>0</v>
      </c>
      <c r="R6615" s="2" t="inlineStr"/>
    </row>
    <row r="6616" ht="15" customHeight="1">
      <c r="A6616" t="inlineStr">
        <is>
          <t>A 62339-2023</t>
        </is>
      </c>
      <c r="B6616" s="1" t="n">
        <v>45267.92671296297</v>
      </c>
      <c r="C6616" s="1" t="n">
        <v>45883</v>
      </c>
      <c r="D6616" t="inlineStr">
        <is>
          <t>GÄVLEBORGS LÄN</t>
        </is>
      </c>
      <c r="E6616" t="inlineStr">
        <is>
          <t>SÖDERHAMN</t>
        </is>
      </c>
      <c r="G6616" t="n">
        <v>2.9</v>
      </c>
      <c r="H6616" t="n">
        <v>0</v>
      </c>
      <c r="I6616" t="n">
        <v>0</v>
      </c>
      <c r="J6616" t="n">
        <v>0</v>
      </c>
      <c r="K6616" t="n">
        <v>0</v>
      </c>
      <c r="L6616" t="n">
        <v>0</v>
      </c>
      <c r="M6616" t="n">
        <v>0</v>
      </c>
      <c r="N6616" t="n">
        <v>0</v>
      </c>
      <c r="O6616" t="n">
        <v>0</v>
      </c>
      <c r="P6616" t="n">
        <v>0</v>
      </c>
      <c r="Q6616" t="n">
        <v>0</v>
      </c>
      <c r="R6616" s="2" t="inlineStr"/>
    </row>
    <row r="6617" ht="15" customHeight="1">
      <c r="A6617" t="inlineStr">
        <is>
          <t>A 11093-2025</t>
        </is>
      </c>
      <c r="B6617" s="1" t="n">
        <v>45723.57983796296</v>
      </c>
      <c r="C6617" s="1" t="n">
        <v>45883</v>
      </c>
      <c r="D6617" t="inlineStr">
        <is>
          <t>GÄVLEBORGS LÄN</t>
        </is>
      </c>
      <c r="E6617" t="inlineStr">
        <is>
          <t>HUDIKSVALL</t>
        </is>
      </c>
      <c r="F6617" t="inlineStr">
        <is>
          <t>Holmen skog AB</t>
        </is>
      </c>
      <c r="G6617" t="n">
        <v>6.1</v>
      </c>
      <c r="H6617" t="n">
        <v>0</v>
      </c>
      <c r="I6617" t="n">
        <v>0</v>
      </c>
      <c r="J6617" t="n">
        <v>0</v>
      </c>
      <c r="K6617" t="n">
        <v>0</v>
      </c>
      <c r="L6617" t="n">
        <v>0</v>
      </c>
      <c r="M6617" t="n">
        <v>0</v>
      </c>
      <c r="N6617" t="n">
        <v>0</v>
      </c>
      <c r="O6617" t="n">
        <v>0</v>
      </c>
      <c r="P6617" t="n">
        <v>0</v>
      </c>
      <c r="Q6617" t="n">
        <v>0</v>
      </c>
      <c r="R6617" s="2" t="inlineStr"/>
    </row>
    <row r="6618" ht="15" customHeight="1">
      <c r="A6618" t="inlineStr">
        <is>
          <t>A 29402-2025</t>
        </is>
      </c>
      <c r="B6618" s="1" t="n">
        <v>45824.61443287037</v>
      </c>
      <c r="C6618" s="1" t="n">
        <v>45883</v>
      </c>
      <c r="D6618" t="inlineStr">
        <is>
          <t>GÄVLEBORGS LÄN</t>
        </is>
      </c>
      <c r="E6618" t="inlineStr">
        <is>
          <t>OVANÅKER</t>
        </is>
      </c>
      <c r="F6618" t="inlineStr">
        <is>
          <t>Holmen skog AB</t>
        </is>
      </c>
      <c r="G6618" t="n">
        <v>3.9</v>
      </c>
      <c r="H6618" t="n">
        <v>0</v>
      </c>
      <c r="I6618" t="n">
        <v>0</v>
      </c>
      <c r="J6618" t="n">
        <v>0</v>
      </c>
      <c r="K6618" t="n">
        <v>0</v>
      </c>
      <c r="L6618" t="n">
        <v>0</v>
      </c>
      <c r="M6618" t="n">
        <v>0</v>
      </c>
      <c r="N6618" t="n">
        <v>0</v>
      </c>
      <c r="O6618" t="n">
        <v>0</v>
      </c>
      <c r="P6618" t="n">
        <v>0</v>
      </c>
      <c r="Q6618" t="n">
        <v>0</v>
      </c>
      <c r="R6618" s="2" t="inlineStr"/>
    </row>
    <row r="6619" ht="15" customHeight="1">
      <c r="A6619" t="inlineStr">
        <is>
          <t>A 38598-2022</t>
        </is>
      </c>
      <c r="B6619" s="1" t="n">
        <v>44813</v>
      </c>
      <c r="C6619" s="1" t="n">
        <v>45883</v>
      </c>
      <c r="D6619" t="inlineStr">
        <is>
          <t>GÄVLEBORGS LÄN</t>
        </is>
      </c>
      <c r="E6619" t="inlineStr">
        <is>
          <t>LJUSDAL</t>
        </is>
      </c>
      <c r="G6619" t="n">
        <v>3.5</v>
      </c>
      <c r="H6619" t="n">
        <v>0</v>
      </c>
      <c r="I6619" t="n">
        <v>0</v>
      </c>
      <c r="J6619" t="n">
        <v>0</v>
      </c>
      <c r="K6619" t="n">
        <v>0</v>
      </c>
      <c r="L6619" t="n">
        <v>0</v>
      </c>
      <c r="M6619" t="n">
        <v>0</v>
      </c>
      <c r="N6619" t="n">
        <v>0</v>
      </c>
      <c r="O6619" t="n">
        <v>0</v>
      </c>
      <c r="P6619" t="n">
        <v>0</v>
      </c>
      <c r="Q6619" t="n">
        <v>0</v>
      </c>
      <c r="R6619" s="2" t="inlineStr"/>
    </row>
    <row r="6620" ht="15" customHeight="1">
      <c r="A6620" t="inlineStr">
        <is>
          <t>A 29249-2025</t>
        </is>
      </c>
      <c r="B6620" s="1" t="n">
        <v>45824.37268518518</v>
      </c>
      <c r="C6620" s="1" t="n">
        <v>45883</v>
      </c>
      <c r="D6620" t="inlineStr">
        <is>
          <t>GÄVLEBORGS LÄN</t>
        </is>
      </c>
      <c r="E6620" t="inlineStr">
        <is>
          <t>OVANÅKER</t>
        </is>
      </c>
      <c r="F6620" t="inlineStr">
        <is>
          <t>Holmen skog AB</t>
        </is>
      </c>
      <c r="G6620" t="n">
        <v>20.7</v>
      </c>
      <c r="H6620" t="n">
        <v>0</v>
      </c>
      <c r="I6620" t="n">
        <v>0</v>
      </c>
      <c r="J6620" t="n">
        <v>0</v>
      </c>
      <c r="K6620" t="n">
        <v>0</v>
      </c>
      <c r="L6620" t="n">
        <v>0</v>
      </c>
      <c r="M6620" t="n">
        <v>0</v>
      </c>
      <c r="N6620" t="n">
        <v>0</v>
      </c>
      <c r="O6620" t="n">
        <v>0</v>
      </c>
      <c r="P6620" t="n">
        <v>0</v>
      </c>
      <c r="Q6620" t="n">
        <v>0</v>
      </c>
      <c r="R6620" s="2" t="inlineStr"/>
    </row>
    <row r="6621" ht="15" customHeight="1">
      <c r="A6621" t="inlineStr">
        <is>
          <t>A 29018-2025</t>
        </is>
      </c>
      <c r="B6621" s="1" t="n">
        <v>45821.4209837963</v>
      </c>
      <c r="C6621" s="1" t="n">
        <v>45883</v>
      </c>
      <c r="D6621" t="inlineStr">
        <is>
          <t>GÄVLEBORGS LÄN</t>
        </is>
      </c>
      <c r="E6621" t="inlineStr">
        <is>
          <t>OVANÅKER</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59869-2023</t>
        </is>
      </c>
      <c r="B6622" s="1" t="n">
        <v>45257.58369212963</v>
      </c>
      <c r="C6622" s="1" t="n">
        <v>45883</v>
      </c>
      <c r="D6622" t="inlineStr">
        <is>
          <t>GÄVLEBORGS LÄN</t>
        </is>
      </c>
      <c r="E6622" t="inlineStr">
        <is>
          <t>SÖDERHAMN</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59894-2023</t>
        </is>
      </c>
      <c r="B6623" s="1" t="n">
        <v>45257.61207175926</v>
      </c>
      <c r="C6623" s="1" t="n">
        <v>45883</v>
      </c>
      <c r="D6623" t="inlineStr">
        <is>
          <t>GÄVLEBORGS LÄN</t>
        </is>
      </c>
      <c r="E6623" t="inlineStr">
        <is>
          <t>SANDVIKEN</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21561-2022</t>
        </is>
      </c>
      <c r="B6624" s="1" t="n">
        <v>44706</v>
      </c>
      <c r="C6624" s="1" t="n">
        <v>45883</v>
      </c>
      <c r="D6624" t="inlineStr">
        <is>
          <t>GÄVLEBORGS LÄN</t>
        </is>
      </c>
      <c r="E6624" t="inlineStr">
        <is>
          <t>HUDIKSVALL</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44446-2023</t>
        </is>
      </c>
      <c r="B6625" s="1" t="n">
        <v>45189.378125</v>
      </c>
      <c r="C6625" s="1" t="n">
        <v>45883</v>
      </c>
      <c r="D6625" t="inlineStr">
        <is>
          <t>GÄVLEBORGS LÄN</t>
        </is>
      </c>
      <c r="E6625" t="inlineStr">
        <is>
          <t>NORDANSTIG</t>
        </is>
      </c>
      <c r="F6625" t="inlineStr">
        <is>
          <t>Holmen skog AB</t>
        </is>
      </c>
      <c r="G6625" t="n">
        <v>4.9</v>
      </c>
      <c r="H6625" t="n">
        <v>0</v>
      </c>
      <c r="I6625" t="n">
        <v>0</v>
      </c>
      <c r="J6625" t="n">
        <v>0</v>
      </c>
      <c r="K6625" t="n">
        <v>0</v>
      </c>
      <c r="L6625" t="n">
        <v>0</v>
      </c>
      <c r="M6625" t="n">
        <v>0</v>
      </c>
      <c r="N6625" t="n">
        <v>0</v>
      </c>
      <c r="O6625" t="n">
        <v>0</v>
      </c>
      <c r="P6625" t="n">
        <v>0</v>
      </c>
      <c r="Q6625" t="n">
        <v>0</v>
      </c>
      <c r="R6625" s="2" t="inlineStr"/>
    </row>
    <row r="6626" ht="15" customHeight="1">
      <c r="A6626" t="inlineStr">
        <is>
          <t>A 15247-2025</t>
        </is>
      </c>
      <c r="B6626" s="1" t="n">
        <v>45744.62528935185</v>
      </c>
      <c r="C6626" s="1" t="n">
        <v>45883</v>
      </c>
      <c r="D6626" t="inlineStr">
        <is>
          <t>GÄVLEBORGS LÄN</t>
        </is>
      </c>
      <c r="E6626" t="inlineStr">
        <is>
          <t>OCKELBO</t>
        </is>
      </c>
      <c r="F6626" t="inlineStr">
        <is>
          <t>Bergvik skog väst AB</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264-2024</t>
        </is>
      </c>
      <c r="B6627" s="1" t="n">
        <v>45295</v>
      </c>
      <c r="C6627" s="1" t="n">
        <v>45883</v>
      </c>
      <c r="D6627" t="inlineStr">
        <is>
          <t>GÄVLEBORGS LÄN</t>
        </is>
      </c>
      <c r="E6627" t="inlineStr">
        <is>
          <t>LJUSDAL</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29254-2025</t>
        </is>
      </c>
      <c r="B6628" s="1" t="n">
        <v>45824.38350694445</v>
      </c>
      <c r="C6628" s="1" t="n">
        <v>45883</v>
      </c>
      <c r="D6628" t="inlineStr">
        <is>
          <t>GÄVLEBORGS LÄN</t>
        </is>
      </c>
      <c r="E6628" t="inlineStr">
        <is>
          <t>LJUSDAL</t>
        </is>
      </c>
      <c r="F6628" t="inlineStr">
        <is>
          <t>Holmen skog AB</t>
        </is>
      </c>
      <c r="G6628" t="n">
        <v>3.4</v>
      </c>
      <c r="H6628" t="n">
        <v>0</v>
      </c>
      <c r="I6628" t="n">
        <v>0</v>
      </c>
      <c r="J6628" t="n">
        <v>0</v>
      </c>
      <c r="K6628" t="n">
        <v>0</v>
      </c>
      <c r="L6628" t="n">
        <v>0</v>
      </c>
      <c r="M6628" t="n">
        <v>0</v>
      </c>
      <c r="N6628" t="n">
        <v>0</v>
      </c>
      <c r="O6628" t="n">
        <v>0</v>
      </c>
      <c r="P6628" t="n">
        <v>0</v>
      </c>
      <c r="Q6628" t="n">
        <v>0</v>
      </c>
      <c r="R6628" s="2" t="inlineStr"/>
    </row>
    <row r="6629" ht="15" customHeight="1">
      <c r="A6629" t="inlineStr">
        <is>
          <t>A 29113-2025</t>
        </is>
      </c>
      <c r="B6629" s="1" t="n">
        <v>45821.58765046296</v>
      </c>
      <c r="C6629" s="1" t="n">
        <v>45883</v>
      </c>
      <c r="D6629" t="inlineStr">
        <is>
          <t>GÄVLEBORGS LÄN</t>
        </is>
      </c>
      <c r="E6629" t="inlineStr">
        <is>
          <t>OCKELBO</t>
        </is>
      </c>
      <c r="G6629" t="n">
        <v>8.4</v>
      </c>
      <c r="H6629" t="n">
        <v>0</v>
      </c>
      <c r="I6629" t="n">
        <v>0</v>
      </c>
      <c r="J6629" t="n">
        <v>0</v>
      </c>
      <c r="K6629" t="n">
        <v>0</v>
      </c>
      <c r="L6629" t="n">
        <v>0</v>
      </c>
      <c r="M6629" t="n">
        <v>0</v>
      </c>
      <c r="N6629" t="n">
        <v>0</v>
      </c>
      <c r="O6629" t="n">
        <v>0</v>
      </c>
      <c r="P6629" t="n">
        <v>0</v>
      </c>
      <c r="Q6629" t="n">
        <v>0</v>
      </c>
      <c r="R6629" s="2" t="inlineStr"/>
    </row>
    <row r="6630" ht="15" customHeight="1">
      <c r="A6630" t="inlineStr">
        <is>
          <t>A 64015-2023</t>
        </is>
      </c>
      <c r="B6630" s="1" t="n">
        <v>45278</v>
      </c>
      <c r="C6630" s="1" t="n">
        <v>45883</v>
      </c>
      <c r="D6630" t="inlineStr">
        <is>
          <t>GÄVLEBORGS LÄN</t>
        </is>
      </c>
      <c r="E6630" t="inlineStr">
        <is>
          <t>HUDIKSVALL</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31356-2022</t>
        </is>
      </c>
      <c r="B6631" s="1" t="n">
        <v>44774.57127314815</v>
      </c>
      <c r="C6631" s="1" t="n">
        <v>45883</v>
      </c>
      <c r="D6631" t="inlineStr">
        <is>
          <t>GÄVLEBORGS LÄN</t>
        </is>
      </c>
      <c r="E6631" t="inlineStr">
        <is>
          <t>OVANÅKER</t>
        </is>
      </c>
      <c r="F6631" t="inlineStr">
        <is>
          <t>Bergvik skog väst AB</t>
        </is>
      </c>
      <c r="G6631" t="n">
        <v>5.8</v>
      </c>
      <c r="H6631" t="n">
        <v>0</v>
      </c>
      <c r="I6631" t="n">
        <v>0</v>
      </c>
      <c r="J6631" t="n">
        <v>0</v>
      </c>
      <c r="K6631" t="n">
        <v>0</v>
      </c>
      <c r="L6631" t="n">
        <v>0</v>
      </c>
      <c r="M6631" t="n">
        <v>0</v>
      </c>
      <c r="N6631" t="n">
        <v>0</v>
      </c>
      <c r="O6631" t="n">
        <v>0</v>
      </c>
      <c r="P6631" t="n">
        <v>0</v>
      </c>
      <c r="Q6631" t="n">
        <v>0</v>
      </c>
      <c r="R6631" s="2" t="inlineStr"/>
    </row>
    <row r="6632" ht="15" customHeight="1">
      <c r="A6632" t="inlineStr">
        <is>
          <t>A 31434-2022</t>
        </is>
      </c>
      <c r="B6632" s="1" t="n">
        <v>44774.92517361111</v>
      </c>
      <c r="C6632" s="1" t="n">
        <v>45883</v>
      </c>
      <c r="D6632" t="inlineStr">
        <is>
          <t>GÄVLEBORGS LÄN</t>
        </is>
      </c>
      <c r="E6632" t="inlineStr">
        <is>
          <t>BOLLNÄS</t>
        </is>
      </c>
      <c r="G6632" t="n">
        <v>3</v>
      </c>
      <c r="H6632" t="n">
        <v>0</v>
      </c>
      <c r="I6632" t="n">
        <v>0</v>
      </c>
      <c r="J6632" t="n">
        <v>0</v>
      </c>
      <c r="K6632" t="n">
        <v>0</v>
      </c>
      <c r="L6632" t="n">
        <v>0</v>
      </c>
      <c r="M6632" t="n">
        <v>0</v>
      </c>
      <c r="N6632" t="n">
        <v>0</v>
      </c>
      <c r="O6632" t="n">
        <v>0</v>
      </c>
      <c r="P6632" t="n">
        <v>0</v>
      </c>
      <c r="Q6632" t="n">
        <v>0</v>
      </c>
      <c r="R6632" s="2" t="inlineStr"/>
    </row>
    <row r="6633" ht="15" customHeight="1">
      <c r="A6633" t="inlineStr">
        <is>
          <t>A 57546-2023</t>
        </is>
      </c>
      <c r="B6633" s="1" t="n">
        <v>45246</v>
      </c>
      <c r="C6633" s="1" t="n">
        <v>45883</v>
      </c>
      <c r="D6633" t="inlineStr">
        <is>
          <t>GÄVLEBORGS LÄN</t>
        </is>
      </c>
      <c r="E6633" t="inlineStr">
        <is>
          <t>BOLLNÄS</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40388-2022</t>
        </is>
      </c>
      <c r="B6634" s="1" t="n">
        <v>44823</v>
      </c>
      <c r="C6634" s="1" t="n">
        <v>45883</v>
      </c>
      <c r="D6634" t="inlineStr">
        <is>
          <t>GÄVLEBORGS LÄN</t>
        </is>
      </c>
      <c r="E6634" t="inlineStr">
        <is>
          <t>NORDANSTIG</t>
        </is>
      </c>
      <c r="F6634" t="inlineStr">
        <is>
          <t>Holmen skog AB</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29378-2025</t>
        </is>
      </c>
      <c r="B6635" s="1" t="n">
        <v>45824.5883912037</v>
      </c>
      <c r="C6635" s="1" t="n">
        <v>45883</v>
      </c>
      <c r="D6635" t="inlineStr">
        <is>
          <t>GÄVLEBORGS LÄN</t>
        </is>
      </c>
      <c r="E6635" t="inlineStr">
        <is>
          <t>BOLLNÄS</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28955-2025</t>
        </is>
      </c>
      <c r="B6636" s="1" t="n">
        <v>45821.28813657408</v>
      </c>
      <c r="C6636" s="1" t="n">
        <v>45883</v>
      </c>
      <c r="D6636" t="inlineStr">
        <is>
          <t>GÄVLEBORGS LÄN</t>
        </is>
      </c>
      <c r="E6636" t="inlineStr">
        <is>
          <t>LJUSDAL</t>
        </is>
      </c>
      <c r="F6636" t="inlineStr">
        <is>
          <t>Bergvik skog väst AB</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59322-2022</t>
        </is>
      </c>
      <c r="B6637" s="1" t="n">
        <v>44904.63638888889</v>
      </c>
      <c r="C6637" s="1" t="n">
        <v>45883</v>
      </c>
      <c r="D6637" t="inlineStr">
        <is>
          <t>GÄVLEBORGS LÄN</t>
        </is>
      </c>
      <c r="E6637" t="inlineStr">
        <is>
          <t>GÄVLE</t>
        </is>
      </c>
      <c r="F6637" t="inlineStr">
        <is>
          <t>Bergvik skog öst AB</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17871-2025</t>
        </is>
      </c>
      <c r="B6638" s="1" t="n">
        <v>45758.63956018518</v>
      </c>
      <c r="C6638" s="1" t="n">
        <v>45883</v>
      </c>
      <c r="D6638" t="inlineStr">
        <is>
          <t>GÄVLEBORGS LÄN</t>
        </is>
      </c>
      <c r="E6638" t="inlineStr">
        <is>
          <t>SÖDERHAMN</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18433-2025</t>
        </is>
      </c>
      <c r="B6639" s="1" t="n">
        <v>45762.63892361111</v>
      </c>
      <c r="C6639" s="1" t="n">
        <v>45883</v>
      </c>
      <c r="D6639" t="inlineStr">
        <is>
          <t>GÄVLEBORGS LÄN</t>
        </is>
      </c>
      <c r="E6639" t="inlineStr">
        <is>
          <t>NORDANSTIG</t>
        </is>
      </c>
      <c r="F6639" t="inlineStr">
        <is>
          <t>Holmen skog AB</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29036-2025</t>
        </is>
      </c>
      <c r="B6640" s="1" t="n">
        <v>45821.44332175926</v>
      </c>
      <c r="C6640" s="1" t="n">
        <v>45883</v>
      </c>
      <c r="D6640" t="inlineStr">
        <is>
          <t>GÄVLEBORGS LÄN</t>
        </is>
      </c>
      <c r="E6640" t="inlineStr">
        <is>
          <t>SÖDERHAMN</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35961-2025</t>
        </is>
      </c>
      <c r="B6641" s="1" t="n">
        <v>45863.35944444445</v>
      </c>
      <c r="C6641" s="1" t="n">
        <v>45883</v>
      </c>
      <c r="D6641" t="inlineStr">
        <is>
          <t>GÄVLEBORGS LÄN</t>
        </is>
      </c>
      <c r="E6641" t="inlineStr">
        <is>
          <t>SÖDERHAMN</t>
        </is>
      </c>
      <c r="F6641" t="inlineStr">
        <is>
          <t>Bergvik skog väst AB</t>
        </is>
      </c>
      <c r="G6641" t="n">
        <v>0.4</v>
      </c>
      <c r="H6641" t="n">
        <v>0</v>
      </c>
      <c r="I6641" t="n">
        <v>0</v>
      </c>
      <c r="J6641" t="n">
        <v>0</v>
      </c>
      <c r="K6641" t="n">
        <v>0</v>
      </c>
      <c r="L6641" t="n">
        <v>0</v>
      </c>
      <c r="M6641" t="n">
        <v>0</v>
      </c>
      <c r="N6641" t="n">
        <v>0</v>
      </c>
      <c r="O6641" t="n">
        <v>0</v>
      </c>
      <c r="P6641" t="n">
        <v>0</v>
      </c>
      <c r="Q6641" t="n">
        <v>0</v>
      </c>
      <c r="R6641" s="2" t="inlineStr"/>
    </row>
    <row r="6642" ht="15" customHeight="1">
      <c r="A6642" t="inlineStr">
        <is>
          <t>A 36069-2025</t>
        </is>
      </c>
      <c r="B6642" s="1" t="n">
        <v>45866.42765046296</v>
      </c>
      <c r="C6642" s="1" t="n">
        <v>45883</v>
      </c>
      <c r="D6642" t="inlineStr">
        <is>
          <t>GÄVLEBORGS LÄN</t>
        </is>
      </c>
      <c r="E6642" t="inlineStr">
        <is>
          <t>LJUSDAL</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29033-2025</t>
        </is>
      </c>
      <c r="B6643" s="1" t="n">
        <v>45821.44239583334</v>
      </c>
      <c r="C6643" s="1" t="n">
        <v>45883</v>
      </c>
      <c r="D6643" t="inlineStr">
        <is>
          <t>GÄVLEBORGS LÄN</t>
        </is>
      </c>
      <c r="E6643" t="inlineStr">
        <is>
          <t>OVANÅKER</t>
        </is>
      </c>
      <c r="G6643" t="n">
        <v>21.1</v>
      </c>
      <c r="H6643" t="n">
        <v>0</v>
      </c>
      <c r="I6643" t="n">
        <v>0</v>
      </c>
      <c r="J6643" t="n">
        <v>0</v>
      </c>
      <c r="K6643" t="n">
        <v>0</v>
      </c>
      <c r="L6643" t="n">
        <v>0</v>
      </c>
      <c r="M6643" t="n">
        <v>0</v>
      </c>
      <c r="N6643" t="n">
        <v>0</v>
      </c>
      <c r="O6643" t="n">
        <v>0</v>
      </c>
      <c r="P6643" t="n">
        <v>0</v>
      </c>
      <c r="Q6643" t="n">
        <v>0</v>
      </c>
      <c r="R6643" s="2" t="inlineStr"/>
    </row>
    <row r="6644" ht="15" customHeight="1">
      <c r="A6644" t="inlineStr">
        <is>
          <t>A 29252-2025</t>
        </is>
      </c>
      <c r="B6644" s="1" t="n">
        <v>45824.37804398148</v>
      </c>
      <c r="C6644" s="1" t="n">
        <v>45883</v>
      </c>
      <c r="D6644" t="inlineStr">
        <is>
          <t>GÄVLEBORGS LÄN</t>
        </is>
      </c>
      <c r="E6644" t="inlineStr">
        <is>
          <t>LJUSDAL</t>
        </is>
      </c>
      <c r="F6644" t="inlineStr">
        <is>
          <t>Holmen skog AB</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29275-2025</t>
        </is>
      </c>
      <c r="B6645" s="1" t="n">
        <v>45824.41685185185</v>
      </c>
      <c r="C6645" s="1" t="n">
        <v>45883</v>
      </c>
      <c r="D6645" t="inlineStr">
        <is>
          <t>GÄVLEBORGS LÄN</t>
        </is>
      </c>
      <c r="E6645" t="inlineStr">
        <is>
          <t>NORDANSTIG</t>
        </is>
      </c>
      <c r="F6645" t="inlineStr">
        <is>
          <t>Holmen skog AB</t>
        </is>
      </c>
      <c r="G6645" t="n">
        <v>5.3</v>
      </c>
      <c r="H6645" t="n">
        <v>0</v>
      </c>
      <c r="I6645" t="n">
        <v>0</v>
      </c>
      <c r="J6645" t="n">
        <v>0</v>
      </c>
      <c r="K6645" t="n">
        <v>0</v>
      </c>
      <c r="L6645" t="n">
        <v>0</v>
      </c>
      <c r="M6645" t="n">
        <v>0</v>
      </c>
      <c r="N6645" t="n">
        <v>0</v>
      </c>
      <c r="O6645" t="n">
        <v>0</v>
      </c>
      <c r="P6645" t="n">
        <v>0</v>
      </c>
      <c r="Q6645" t="n">
        <v>0</v>
      </c>
      <c r="R6645" s="2" t="inlineStr"/>
    </row>
    <row r="6646" ht="15" customHeight="1">
      <c r="A6646" t="inlineStr">
        <is>
          <t>A 29276-2025</t>
        </is>
      </c>
      <c r="B6646" s="1" t="n">
        <v>45824.41805555556</v>
      </c>
      <c r="C6646" s="1" t="n">
        <v>45883</v>
      </c>
      <c r="D6646" t="inlineStr">
        <is>
          <t>GÄVLEBORGS LÄN</t>
        </is>
      </c>
      <c r="E6646" t="inlineStr">
        <is>
          <t>HUDIKSVALL</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16047-2025</t>
        </is>
      </c>
      <c r="B6647" s="1" t="n">
        <v>45749.63763888889</v>
      </c>
      <c r="C6647" s="1" t="n">
        <v>45883</v>
      </c>
      <c r="D6647" t="inlineStr">
        <is>
          <t>GÄVLEBORGS LÄN</t>
        </is>
      </c>
      <c r="E6647" t="inlineStr">
        <is>
          <t>OCKELBO</t>
        </is>
      </c>
      <c r="G6647" t="n">
        <v>13.5</v>
      </c>
      <c r="H6647" t="n">
        <v>0</v>
      </c>
      <c r="I6647" t="n">
        <v>0</v>
      </c>
      <c r="J6647" t="n">
        <v>0</v>
      </c>
      <c r="K6647" t="n">
        <v>0</v>
      </c>
      <c r="L6647" t="n">
        <v>0</v>
      </c>
      <c r="M6647" t="n">
        <v>0</v>
      </c>
      <c r="N6647" t="n">
        <v>0</v>
      </c>
      <c r="O6647" t="n">
        <v>0</v>
      </c>
      <c r="P6647" t="n">
        <v>0</v>
      </c>
      <c r="Q6647" t="n">
        <v>0</v>
      </c>
      <c r="R6647" s="2" t="inlineStr"/>
    </row>
    <row r="6648" ht="15" customHeight="1">
      <c r="A6648" t="inlineStr">
        <is>
          <t>A 53179-2024</t>
        </is>
      </c>
      <c r="B6648" s="1" t="n">
        <v>45611.66996527778</v>
      </c>
      <c r="C6648" s="1" t="n">
        <v>45883</v>
      </c>
      <c r="D6648" t="inlineStr">
        <is>
          <t>GÄVLEBORGS LÄN</t>
        </is>
      </c>
      <c r="E6648" t="inlineStr">
        <is>
          <t>NORDANSTIG</t>
        </is>
      </c>
      <c r="F6648" t="inlineStr">
        <is>
          <t>Holmen skog AB</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29401-2025</t>
        </is>
      </c>
      <c r="B6649" s="1" t="n">
        <v>45824.61436342593</v>
      </c>
      <c r="C6649" s="1" t="n">
        <v>45883</v>
      </c>
      <c r="D6649" t="inlineStr">
        <is>
          <t>GÄVLEBORGS LÄN</t>
        </is>
      </c>
      <c r="E6649" t="inlineStr">
        <is>
          <t>NORDANSTIG</t>
        </is>
      </c>
      <c r="F6649" t="inlineStr">
        <is>
          <t>Holmen skog AB</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29338-2025</t>
        </is>
      </c>
      <c r="B6650" s="1" t="n">
        <v>45824.49907407408</v>
      </c>
      <c r="C6650" s="1" t="n">
        <v>45883</v>
      </c>
      <c r="D6650" t="inlineStr">
        <is>
          <t>GÄVLEBORGS LÄN</t>
        </is>
      </c>
      <c r="E6650" t="inlineStr">
        <is>
          <t>HUDIKSVALL</t>
        </is>
      </c>
      <c r="F6650" t="inlineStr">
        <is>
          <t>Holmen skog AB</t>
        </is>
      </c>
      <c r="G6650" t="n">
        <v>5.2</v>
      </c>
      <c r="H6650" t="n">
        <v>0</v>
      </c>
      <c r="I6650" t="n">
        <v>0</v>
      </c>
      <c r="J6650" t="n">
        <v>0</v>
      </c>
      <c r="K6650" t="n">
        <v>0</v>
      </c>
      <c r="L6650" t="n">
        <v>0</v>
      </c>
      <c r="M6650" t="n">
        <v>0</v>
      </c>
      <c r="N6650" t="n">
        <v>0</v>
      </c>
      <c r="O6650" t="n">
        <v>0</v>
      </c>
      <c r="P6650" t="n">
        <v>0</v>
      </c>
      <c r="Q6650" t="n">
        <v>0</v>
      </c>
      <c r="R6650" s="2" t="inlineStr"/>
    </row>
    <row r="6651" ht="15" customHeight="1">
      <c r="A6651" t="inlineStr">
        <is>
          <t>A 56028-2024</t>
        </is>
      </c>
      <c r="B6651" s="1" t="n">
        <v>45624.30975694444</v>
      </c>
      <c r="C6651" s="1" t="n">
        <v>45883</v>
      </c>
      <c r="D6651" t="inlineStr">
        <is>
          <t>GÄVLEBORGS LÄN</t>
        </is>
      </c>
      <c r="E6651" t="inlineStr">
        <is>
          <t>NORDANSTIG</t>
        </is>
      </c>
      <c r="F6651" t="inlineStr">
        <is>
          <t>Holmen skog AB</t>
        </is>
      </c>
      <c r="G6651" t="n">
        <v>18.8</v>
      </c>
      <c r="H6651" t="n">
        <v>0</v>
      </c>
      <c r="I6651" t="n">
        <v>0</v>
      </c>
      <c r="J6651" t="n">
        <v>0</v>
      </c>
      <c r="K6651" t="n">
        <v>0</v>
      </c>
      <c r="L6651" t="n">
        <v>0</v>
      </c>
      <c r="M6651" t="n">
        <v>0</v>
      </c>
      <c r="N6651" t="n">
        <v>0</v>
      </c>
      <c r="O6651" t="n">
        <v>0</v>
      </c>
      <c r="P6651" t="n">
        <v>0</v>
      </c>
      <c r="Q6651" t="n">
        <v>0</v>
      </c>
      <c r="R6651" s="2" t="inlineStr"/>
    </row>
    <row r="6652" ht="15" customHeight="1">
      <c r="A6652" t="inlineStr">
        <is>
          <t>A 62439-2023</t>
        </is>
      </c>
      <c r="B6652" s="1" t="n">
        <v>45268.4574074074</v>
      </c>
      <c r="C6652" s="1" t="n">
        <v>45883</v>
      </c>
      <c r="D6652" t="inlineStr">
        <is>
          <t>GÄVLEBORGS LÄN</t>
        </is>
      </c>
      <c r="E6652" t="inlineStr">
        <is>
          <t>HUDIKSVALL</t>
        </is>
      </c>
      <c r="G6652" t="n">
        <v>13.3</v>
      </c>
      <c r="H6652" t="n">
        <v>0</v>
      </c>
      <c r="I6652" t="n">
        <v>0</v>
      </c>
      <c r="J6652" t="n">
        <v>0</v>
      </c>
      <c r="K6652" t="n">
        <v>0</v>
      </c>
      <c r="L6652" t="n">
        <v>0</v>
      </c>
      <c r="M6652" t="n">
        <v>0</v>
      </c>
      <c r="N6652" t="n">
        <v>0</v>
      </c>
      <c r="O6652" t="n">
        <v>0</v>
      </c>
      <c r="P6652" t="n">
        <v>0</v>
      </c>
      <c r="Q6652" t="n">
        <v>0</v>
      </c>
      <c r="R6652" s="2" t="inlineStr"/>
    </row>
    <row r="6653" ht="15" customHeight="1">
      <c r="A6653" t="inlineStr">
        <is>
          <t>A 62458-2023</t>
        </is>
      </c>
      <c r="B6653" s="1" t="n">
        <v>45268.51303240741</v>
      </c>
      <c r="C6653" s="1" t="n">
        <v>45883</v>
      </c>
      <c r="D6653" t="inlineStr">
        <is>
          <t>GÄVLEBORGS LÄN</t>
        </is>
      </c>
      <c r="E6653" t="inlineStr">
        <is>
          <t>NORDANSTIG</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29014-2025</t>
        </is>
      </c>
      <c r="B6654" s="1" t="n">
        <v>45821.40796296296</v>
      </c>
      <c r="C6654" s="1" t="n">
        <v>45883</v>
      </c>
      <c r="D6654" t="inlineStr">
        <is>
          <t>GÄVLEBORGS LÄN</t>
        </is>
      </c>
      <c r="E6654" t="inlineStr">
        <is>
          <t>LJUSDAL</t>
        </is>
      </c>
      <c r="F6654" t="inlineStr">
        <is>
          <t>Bergvik skog väst AB</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29415-2025</t>
        </is>
      </c>
      <c r="B6655" s="1" t="n">
        <v>45824.62717592593</v>
      </c>
      <c r="C6655" s="1" t="n">
        <v>45883</v>
      </c>
      <c r="D6655" t="inlineStr">
        <is>
          <t>GÄVLEBORGS LÄN</t>
        </is>
      </c>
      <c r="E6655" t="inlineStr">
        <is>
          <t>LJUSDAL</t>
        </is>
      </c>
      <c r="G6655" t="n">
        <v>15.1</v>
      </c>
      <c r="H6655" t="n">
        <v>0</v>
      </c>
      <c r="I6655" t="n">
        <v>0</v>
      </c>
      <c r="J6655" t="n">
        <v>0</v>
      </c>
      <c r="K6655" t="n">
        <v>0</v>
      </c>
      <c r="L6655" t="n">
        <v>0</v>
      </c>
      <c r="M6655" t="n">
        <v>0</v>
      </c>
      <c r="N6655" t="n">
        <v>0</v>
      </c>
      <c r="O6655" t="n">
        <v>0</v>
      </c>
      <c r="P6655" t="n">
        <v>0</v>
      </c>
      <c r="Q6655" t="n">
        <v>0</v>
      </c>
      <c r="R6655" s="2" t="inlineStr"/>
    </row>
    <row r="6656" ht="15" customHeight="1">
      <c r="A6656" t="inlineStr">
        <is>
          <t>A 28966-2025</t>
        </is>
      </c>
      <c r="B6656" s="1" t="n">
        <v>45821.34212962963</v>
      </c>
      <c r="C6656" s="1" t="n">
        <v>45883</v>
      </c>
      <c r="D6656" t="inlineStr">
        <is>
          <t>GÄVLEBORGS LÄN</t>
        </is>
      </c>
      <c r="E6656" t="inlineStr">
        <is>
          <t>OCKELBO</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16773-2025</t>
        </is>
      </c>
      <c r="B6657" s="1" t="n">
        <v>45754.58219907407</v>
      </c>
      <c r="C6657" s="1" t="n">
        <v>45883</v>
      </c>
      <c r="D6657" t="inlineStr">
        <is>
          <t>GÄVLEBORGS LÄN</t>
        </is>
      </c>
      <c r="E6657" t="inlineStr">
        <is>
          <t>OCKELBO</t>
        </is>
      </c>
      <c r="G6657" t="n">
        <v>3.8</v>
      </c>
      <c r="H6657" t="n">
        <v>0</v>
      </c>
      <c r="I6657" t="n">
        <v>0</v>
      </c>
      <c r="J6657" t="n">
        <v>0</v>
      </c>
      <c r="K6657" t="n">
        <v>0</v>
      </c>
      <c r="L6657" t="n">
        <v>0</v>
      </c>
      <c r="M6657" t="n">
        <v>0</v>
      </c>
      <c r="N6657" t="n">
        <v>0</v>
      </c>
      <c r="O6657" t="n">
        <v>0</v>
      </c>
      <c r="P6657" t="n">
        <v>0</v>
      </c>
      <c r="Q6657" t="n">
        <v>0</v>
      </c>
      <c r="R6657" s="2" t="inlineStr"/>
    </row>
    <row r="6658" ht="15" customHeight="1">
      <c r="A6658" t="inlineStr">
        <is>
          <t>A 36106-2025</t>
        </is>
      </c>
      <c r="B6658" s="1" t="n">
        <v>45866.55763888889</v>
      </c>
      <c r="C6658" s="1" t="n">
        <v>45883</v>
      </c>
      <c r="D6658" t="inlineStr">
        <is>
          <t>GÄVLEBORGS LÄN</t>
        </is>
      </c>
      <c r="E6658" t="inlineStr">
        <is>
          <t>GÄVLE</t>
        </is>
      </c>
      <c r="F6658" t="inlineStr">
        <is>
          <t>Bergvik skog väst AB</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36107-2025</t>
        </is>
      </c>
      <c r="B6659" s="1" t="n">
        <v>45866.56145833333</v>
      </c>
      <c r="C6659" s="1" t="n">
        <v>45883</v>
      </c>
      <c r="D6659" t="inlineStr">
        <is>
          <t>GÄVLEBORGS LÄN</t>
        </is>
      </c>
      <c r="E6659" t="inlineStr">
        <is>
          <t>SANDVIKEN</t>
        </is>
      </c>
      <c r="F6659" t="inlineStr">
        <is>
          <t>Sveaskog</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16819-2025</t>
        </is>
      </c>
      <c r="B6660" s="1" t="n">
        <v>45754.64091435185</v>
      </c>
      <c r="C6660" s="1" t="n">
        <v>45883</v>
      </c>
      <c r="D6660" t="inlineStr">
        <is>
          <t>GÄVLEBORGS LÄN</t>
        </is>
      </c>
      <c r="E6660" t="inlineStr">
        <is>
          <t>SANDVIKEN</t>
        </is>
      </c>
      <c r="G6660" t="n">
        <v>3.5</v>
      </c>
      <c r="H6660" t="n">
        <v>0</v>
      </c>
      <c r="I6660" t="n">
        <v>0</v>
      </c>
      <c r="J6660" t="n">
        <v>0</v>
      </c>
      <c r="K6660" t="n">
        <v>0</v>
      </c>
      <c r="L6660" t="n">
        <v>0</v>
      </c>
      <c r="M6660" t="n">
        <v>0</v>
      </c>
      <c r="N6660" t="n">
        <v>0</v>
      </c>
      <c r="O6660" t="n">
        <v>0</v>
      </c>
      <c r="P6660" t="n">
        <v>0</v>
      </c>
      <c r="Q6660" t="n">
        <v>0</v>
      </c>
      <c r="R6660" s="2" t="inlineStr"/>
    </row>
    <row r="6661" ht="15" customHeight="1">
      <c r="A6661" t="inlineStr">
        <is>
          <t>A 36108-2025</t>
        </is>
      </c>
      <c r="B6661" s="1" t="n">
        <v>45866.56274305555</v>
      </c>
      <c r="C6661" s="1" t="n">
        <v>45883</v>
      </c>
      <c r="D6661" t="inlineStr">
        <is>
          <t>GÄVLEBORGS LÄN</t>
        </is>
      </c>
      <c r="E6661" t="inlineStr">
        <is>
          <t>GÄVLE</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29253-2025</t>
        </is>
      </c>
      <c r="B6662" s="1" t="n">
        <v>45824.37842592593</v>
      </c>
      <c r="C6662" s="1" t="n">
        <v>45883</v>
      </c>
      <c r="D6662" t="inlineStr">
        <is>
          <t>GÄVLEBORGS LÄN</t>
        </is>
      </c>
      <c r="E6662" t="inlineStr">
        <is>
          <t>HUDIKSVALL</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36061-2025</t>
        </is>
      </c>
      <c r="B6663" s="1" t="n">
        <v>45866.3949074074</v>
      </c>
      <c r="C6663" s="1" t="n">
        <v>45883</v>
      </c>
      <c r="D6663" t="inlineStr">
        <is>
          <t>GÄVLEBORGS LÄN</t>
        </is>
      </c>
      <c r="E6663" t="inlineStr">
        <is>
          <t>LJUSDAL</t>
        </is>
      </c>
      <c r="G6663" t="n">
        <v>3.6</v>
      </c>
      <c r="H6663" t="n">
        <v>0</v>
      </c>
      <c r="I6663" t="n">
        <v>0</v>
      </c>
      <c r="J6663" t="n">
        <v>0</v>
      </c>
      <c r="K6663" t="n">
        <v>0</v>
      </c>
      <c r="L6663" t="n">
        <v>0</v>
      </c>
      <c r="M6663" t="n">
        <v>0</v>
      </c>
      <c r="N6663" t="n">
        <v>0</v>
      </c>
      <c r="O6663" t="n">
        <v>0</v>
      </c>
      <c r="P6663" t="n">
        <v>0</v>
      </c>
      <c r="Q6663" t="n">
        <v>0</v>
      </c>
      <c r="R6663" s="2" t="inlineStr"/>
    </row>
    <row r="6664" ht="15" customHeight="1">
      <c r="A6664" t="inlineStr">
        <is>
          <t>A 17177-2025</t>
        </is>
      </c>
      <c r="B6664" s="1" t="n">
        <v>45756.37861111111</v>
      </c>
      <c r="C6664" s="1" t="n">
        <v>45883</v>
      </c>
      <c r="D6664" t="inlineStr">
        <is>
          <t>GÄVLEBORGS LÄN</t>
        </is>
      </c>
      <c r="E6664" t="inlineStr">
        <is>
          <t>SANDVIKEN</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17179-2025</t>
        </is>
      </c>
      <c r="B6665" s="1" t="n">
        <v>45755</v>
      </c>
      <c r="C6665" s="1" t="n">
        <v>45883</v>
      </c>
      <c r="D6665" t="inlineStr">
        <is>
          <t>GÄVLEBORGS LÄN</t>
        </is>
      </c>
      <c r="E6665" t="inlineStr">
        <is>
          <t>HOFORS</t>
        </is>
      </c>
      <c r="F6665" t="inlineStr">
        <is>
          <t>Bergvik skog väst AB</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17184-2025</t>
        </is>
      </c>
      <c r="B6666" s="1" t="n">
        <v>45756.38564814815</v>
      </c>
      <c r="C6666" s="1" t="n">
        <v>45883</v>
      </c>
      <c r="D6666" t="inlineStr">
        <is>
          <t>GÄVLEBORGS LÄN</t>
        </is>
      </c>
      <c r="E6666" t="inlineStr">
        <is>
          <t>OCKELBO</t>
        </is>
      </c>
      <c r="G6666" t="n">
        <v>2.8</v>
      </c>
      <c r="H6666" t="n">
        <v>0</v>
      </c>
      <c r="I6666" t="n">
        <v>0</v>
      </c>
      <c r="J6666" t="n">
        <v>0</v>
      </c>
      <c r="K6666" t="n">
        <v>0</v>
      </c>
      <c r="L6666" t="n">
        <v>0</v>
      </c>
      <c r="M6666" t="n">
        <v>0</v>
      </c>
      <c r="N6666" t="n">
        <v>0</v>
      </c>
      <c r="O6666" t="n">
        <v>0</v>
      </c>
      <c r="P6666" t="n">
        <v>0</v>
      </c>
      <c r="Q6666" t="n">
        <v>0</v>
      </c>
      <c r="R6666" s="2" t="inlineStr"/>
    </row>
    <row r="6667" ht="15" customHeight="1">
      <c r="A6667" t="inlineStr">
        <is>
          <t>A 29046-2025</t>
        </is>
      </c>
      <c r="B6667" s="1" t="n">
        <v>45821.45869212963</v>
      </c>
      <c r="C6667" s="1" t="n">
        <v>45883</v>
      </c>
      <c r="D6667" t="inlineStr">
        <is>
          <t>GÄVLEBORGS LÄN</t>
        </is>
      </c>
      <c r="E6667" t="inlineStr">
        <is>
          <t>OVANÅKER</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29054-2025</t>
        </is>
      </c>
      <c r="B6668" s="1" t="n">
        <v>45821.47021990741</v>
      </c>
      <c r="C6668" s="1" t="n">
        <v>45883</v>
      </c>
      <c r="D6668" t="inlineStr">
        <is>
          <t>GÄVLEBORGS LÄN</t>
        </is>
      </c>
      <c r="E6668" t="inlineStr">
        <is>
          <t>OVANÅKER</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17189-2025</t>
        </is>
      </c>
      <c r="B6669" s="1" t="n">
        <v>45756.39142361111</v>
      </c>
      <c r="C6669" s="1" t="n">
        <v>45883</v>
      </c>
      <c r="D6669" t="inlineStr">
        <is>
          <t>GÄVLEBORGS LÄN</t>
        </is>
      </c>
      <c r="E6669" t="inlineStr">
        <is>
          <t>SÖDERHAMN</t>
        </is>
      </c>
      <c r="G6669" t="n">
        <v>2.8</v>
      </c>
      <c r="H6669" t="n">
        <v>0</v>
      </c>
      <c r="I6669" t="n">
        <v>0</v>
      </c>
      <c r="J6669" t="n">
        <v>0</v>
      </c>
      <c r="K6669" t="n">
        <v>0</v>
      </c>
      <c r="L6669" t="n">
        <v>0</v>
      </c>
      <c r="M6669" t="n">
        <v>0</v>
      </c>
      <c r="N6669" t="n">
        <v>0</v>
      </c>
      <c r="O6669" t="n">
        <v>0</v>
      </c>
      <c r="P6669" t="n">
        <v>0</v>
      </c>
      <c r="Q6669" t="n">
        <v>0</v>
      </c>
      <c r="R6669" s="2" t="inlineStr"/>
    </row>
    <row r="6670" ht="15" customHeight="1">
      <c r="A6670" t="inlineStr">
        <is>
          <t>A 17202-2025</t>
        </is>
      </c>
      <c r="B6670" s="1" t="n">
        <v>45756.42116898148</v>
      </c>
      <c r="C6670" s="1" t="n">
        <v>45883</v>
      </c>
      <c r="D6670" t="inlineStr">
        <is>
          <t>GÄVLEBORGS LÄN</t>
        </is>
      </c>
      <c r="E6670" t="inlineStr">
        <is>
          <t>OCKELBO</t>
        </is>
      </c>
      <c r="G6670" t="n">
        <v>3.1</v>
      </c>
      <c r="H6670" t="n">
        <v>0</v>
      </c>
      <c r="I6670" t="n">
        <v>0</v>
      </c>
      <c r="J6670" t="n">
        <v>0</v>
      </c>
      <c r="K6670" t="n">
        <v>0</v>
      </c>
      <c r="L6670" t="n">
        <v>0</v>
      </c>
      <c r="M6670" t="n">
        <v>0</v>
      </c>
      <c r="N6670" t="n">
        <v>0</v>
      </c>
      <c r="O6670" t="n">
        <v>0</v>
      </c>
      <c r="P6670" t="n">
        <v>0</v>
      </c>
      <c r="Q6670" t="n">
        <v>0</v>
      </c>
      <c r="R6670" s="2" t="inlineStr"/>
    </row>
    <row r="6671" ht="15" customHeight="1">
      <c r="A6671" t="inlineStr">
        <is>
          <t>A 36076-2025</t>
        </is>
      </c>
      <c r="B6671" s="1" t="n">
        <v>45866.44275462963</v>
      </c>
      <c r="C6671" s="1" t="n">
        <v>45883</v>
      </c>
      <c r="D6671" t="inlineStr">
        <is>
          <t>GÄVLEBORGS LÄN</t>
        </is>
      </c>
      <c r="E6671" t="inlineStr">
        <is>
          <t>OVANÅKER</t>
        </is>
      </c>
      <c r="F6671" t="inlineStr">
        <is>
          <t>Bergvik skog väst AB</t>
        </is>
      </c>
      <c r="G6671" t="n">
        <v>23.7</v>
      </c>
      <c r="H6671" t="n">
        <v>0</v>
      </c>
      <c r="I6671" t="n">
        <v>0</v>
      </c>
      <c r="J6671" t="n">
        <v>0</v>
      </c>
      <c r="K6671" t="n">
        <v>0</v>
      </c>
      <c r="L6671" t="n">
        <v>0</v>
      </c>
      <c r="M6671" t="n">
        <v>0</v>
      </c>
      <c r="N6671" t="n">
        <v>0</v>
      </c>
      <c r="O6671" t="n">
        <v>0</v>
      </c>
      <c r="P6671" t="n">
        <v>0</v>
      </c>
      <c r="Q6671" t="n">
        <v>0</v>
      </c>
      <c r="R6671" s="2" t="inlineStr"/>
    </row>
    <row r="6672" ht="15" customHeight="1">
      <c r="A6672" t="inlineStr">
        <is>
          <t>A 36102-2025</t>
        </is>
      </c>
      <c r="B6672" s="1" t="n">
        <v>45866.54546296296</v>
      </c>
      <c r="C6672" s="1" t="n">
        <v>45883</v>
      </c>
      <c r="D6672" t="inlineStr">
        <is>
          <t>GÄVLEBORGS LÄN</t>
        </is>
      </c>
      <c r="E6672" t="inlineStr">
        <is>
          <t>HUDIKSVALL</t>
        </is>
      </c>
      <c r="G6672" t="n">
        <v>3.2</v>
      </c>
      <c r="H6672" t="n">
        <v>0</v>
      </c>
      <c r="I6672" t="n">
        <v>0</v>
      </c>
      <c r="J6672" t="n">
        <v>0</v>
      </c>
      <c r="K6672" t="n">
        <v>0</v>
      </c>
      <c r="L6672" t="n">
        <v>0</v>
      </c>
      <c r="M6672" t="n">
        <v>0</v>
      </c>
      <c r="N6672" t="n">
        <v>0</v>
      </c>
      <c r="O6672" t="n">
        <v>0</v>
      </c>
      <c r="P6672" t="n">
        <v>0</v>
      </c>
      <c r="Q6672" t="n">
        <v>0</v>
      </c>
      <c r="R6672" s="2" t="inlineStr"/>
    </row>
    <row r="6673" ht="15" customHeight="1">
      <c r="A6673" t="inlineStr">
        <is>
          <t>A 29357-2025</t>
        </is>
      </c>
      <c r="B6673" s="1" t="n">
        <v>45824.55668981482</v>
      </c>
      <c r="C6673" s="1" t="n">
        <v>45883</v>
      </c>
      <c r="D6673" t="inlineStr">
        <is>
          <t>GÄVLEBORGS LÄN</t>
        </is>
      </c>
      <c r="E6673" t="inlineStr">
        <is>
          <t>HUDIKSVALL</t>
        </is>
      </c>
      <c r="F6673" t="inlineStr">
        <is>
          <t>Holmen skog AB</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29367-2025</t>
        </is>
      </c>
      <c r="B6674" s="1" t="n">
        <v>45824.57157407407</v>
      </c>
      <c r="C6674" s="1" t="n">
        <v>45883</v>
      </c>
      <c r="D6674" t="inlineStr">
        <is>
          <t>GÄVLEBORGS LÄN</t>
        </is>
      </c>
      <c r="E6674" t="inlineStr">
        <is>
          <t>LJUSDAL</t>
        </is>
      </c>
      <c r="G6674" t="n">
        <v>7.2</v>
      </c>
      <c r="H6674" t="n">
        <v>0</v>
      </c>
      <c r="I6674" t="n">
        <v>0</v>
      </c>
      <c r="J6674" t="n">
        <v>0</v>
      </c>
      <c r="K6674" t="n">
        <v>0</v>
      </c>
      <c r="L6674" t="n">
        <v>0</v>
      </c>
      <c r="M6674" t="n">
        <v>0</v>
      </c>
      <c r="N6674" t="n">
        <v>0</v>
      </c>
      <c r="O6674" t="n">
        <v>0</v>
      </c>
      <c r="P6674" t="n">
        <v>0</v>
      </c>
      <c r="Q6674" t="n">
        <v>0</v>
      </c>
      <c r="R6674" s="2" t="inlineStr"/>
    </row>
    <row r="6675" ht="15" customHeight="1">
      <c r="A6675" t="inlineStr">
        <is>
          <t>A 36118-2025</t>
        </is>
      </c>
      <c r="B6675" s="1" t="n">
        <v>45866.5916087963</v>
      </c>
      <c r="C6675" s="1" t="n">
        <v>45883</v>
      </c>
      <c r="D6675" t="inlineStr">
        <is>
          <t>GÄVLEBORGS LÄN</t>
        </is>
      </c>
      <c r="E6675" t="inlineStr">
        <is>
          <t>OVANÅKER</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35960-2025</t>
        </is>
      </c>
      <c r="B6676" s="1" t="n">
        <v>45863.35443287037</v>
      </c>
      <c r="C6676" s="1" t="n">
        <v>45883</v>
      </c>
      <c r="D6676" t="inlineStr">
        <is>
          <t>GÄVLEBORGS LÄN</t>
        </is>
      </c>
      <c r="E6676" t="inlineStr">
        <is>
          <t>SÖDERHAMN</t>
        </is>
      </c>
      <c r="F6676" t="inlineStr">
        <is>
          <t>Bergvik skog väst AB</t>
        </is>
      </c>
      <c r="G6676" t="n">
        <v>4.8</v>
      </c>
      <c r="H6676" t="n">
        <v>0</v>
      </c>
      <c r="I6676" t="n">
        <v>0</v>
      </c>
      <c r="J6676" t="n">
        <v>0</v>
      </c>
      <c r="K6676" t="n">
        <v>0</v>
      </c>
      <c r="L6676" t="n">
        <v>0</v>
      </c>
      <c r="M6676" t="n">
        <v>0</v>
      </c>
      <c r="N6676" t="n">
        <v>0</v>
      </c>
      <c r="O6676" t="n">
        <v>0</v>
      </c>
      <c r="P6676" t="n">
        <v>0</v>
      </c>
      <c r="Q6676" t="n">
        <v>0</v>
      </c>
      <c r="R6676" s="2" t="inlineStr"/>
    </row>
    <row r="6677" ht="15" customHeight="1">
      <c r="A6677" t="inlineStr">
        <is>
          <t>A 36136-2025</t>
        </is>
      </c>
      <c r="B6677" s="1" t="n">
        <v>45866.63949074074</v>
      </c>
      <c r="C6677" s="1" t="n">
        <v>45883</v>
      </c>
      <c r="D6677" t="inlineStr">
        <is>
          <t>GÄVLEBORGS LÄN</t>
        </is>
      </c>
      <c r="E6677" t="inlineStr">
        <is>
          <t>OVANÅKER</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26849-2024</t>
        </is>
      </c>
      <c r="B6678" s="1" t="n">
        <v>45470</v>
      </c>
      <c r="C6678" s="1" t="n">
        <v>45883</v>
      </c>
      <c r="D6678" t="inlineStr">
        <is>
          <t>GÄVLEBORGS LÄN</t>
        </is>
      </c>
      <c r="E6678" t="inlineStr">
        <is>
          <t>LJUSDAL</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36140-2025</t>
        </is>
      </c>
      <c r="B6679" s="1" t="n">
        <v>45866.65291666667</v>
      </c>
      <c r="C6679" s="1" t="n">
        <v>45883</v>
      </c>
      <c r="D6679" t="inlineStr">
        <is>
          <t>GÄVLEBORGS LÄN</t>
        </is>
      </c>
      <c r="E6679" t="inlineStr">
        <is>
          <t>OVANÅKER</t>
        </is>
      </c>
      <c r="G6679" t="n">
        <v>4</v>
      </c>
      <c r="H6679" t="n">
        <v>0</v>
      </c>
      <c r="I6679" t="n">
        <v>0</v>
      </c>
      <c r="J6679" t="n">
        <v>0</v>
      </c>
      <c r="K6679" t="n">
        <v>0</v>
      </c>
      <c r="L6679" t="n">
        <v>0</v>
      </c>
      <c r="M6679" t="n">
        <v>0</v>
      </c>
      <c r="N6679" t="n">
        <v>0</v>
      </c>
      <c r="O6679" t="n">
        <v>0</v>
      </c>
      <c r="P6679" t="n">
        <v>0</v>
      </c>
      <c r="Q6679" t="n">
        <v>0</v>
      </c>
      <c r="R6679" s="2" t="inlineStr"/>
    </row>
    <row r="6680" ht="15" customHeight="1">
      <c r="A6680" t="inlineStr">
        <is>
          <t>A 29334-2025</t>
        </is>
      </c>
      <c r="B6680" s="1" t="n">
        <v>45824.49040509259</v>
      </c>
      <c r="C6680" s="1" t="n">
        <v>45883</v>
      </c>
      <c r="D6680" t="inlineStr">
        <is>
          <t>GÄVLEBORGS LÄN</t>
        </is>
      </c>
      <c r="E6680" t="inlineStr">
        <is>
          <t>HUDIKSVALL</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17287-2025</t>
        </is>
      </c>
      <c r="B6681" s="1" t="n">
        <v>45756</v>
      </c>
      <c r="C6681" s="1" t="n">
        <v>45883</v>
      </c>
      <c r="D6681" t="inlineStr">
        <is>
          <t>GÄVLEBORGS LÄN</t>
        </is>
      </c>
      <c r="E6681" t="inlineStr">
        <is>
          <t>SÖDERHAMN</t>
        </is>
      </c>
      <c r="F6681" t="inlineStr">
        <is>
          <t>Bergvik skog väst AB</t>
        </is>
      </c>
      <c r="G6681" t="n">
        <v>7.2</v>
      </c>
      <c r="H6681" t="n">
        <v>0</v>
      </c>
      <c r="I6681" t="n">
        <v>0</v>
      </c>
      <c r="J6681" t="n">
        <v>0</v>
      </c>
      <c r="K6681" t="n">
        <v>0</v>
      </c>
      <c r="L6681" t="n">
        <v>0</v>
      </c>
      <c r="M6681" t="n">
        <v>0</v>
      </c>
      <c r="N6681" t="n">
        <v>0</v>
      </c>
      <c r="O6681" t="n">
        <v>0</v>
      </c>
      <c r="P6681" t="n">
        <v>0</v>
      </c>
      <c r="Q6681" t="n">
        <v>0</v>
      </c>
      <c r="R6681" s="2" t="inlineStr"/>
    </row>
    <row r="6682" ht="15" customHeight="1">
      <c r="A6682" t="inlineStr">
        <is>
          <t>A 12886-2025</t>
        </is>
      </c>
      <c r="B6682" s="1" t="n">
        <v>45733.69862268519</v>
      </c>
      <c r="C6682" s="1" t="n">
        <v>45883</v>
      </c>
      <c r="D6682" t="inlineStr">
        <is>
          <t>GÄVLEBORGS LÄN</t>
        </is>
      </c>
      <c r="E6682" t="inlineStr">
        <is>
          <t>LJUSDAL</t>
        </is>
      </c>
      <c r="F6682" t="inlineStr">
        <is>
          <t>SCA</t>
        </is>
      </c>
      <c r="G6682" t="n">
        <v>9.199999999999999</v>
      </c>
      <c r="H6682" t="n">
        <v>0</v>
      </c>
      <c r="I6682" t="n">
        <v>0</v>
      </c>
      <c r="J6682" t="n">
        <v>0</v>
      </c>
      <c r="K6682" t="n">
        <v>0</v>
      </c>
      <c r="L6682" t="n">
        <v>0</v>
      </c>
      <c r="M6682" t="n">
        <v>0</v>
      </c>
      <c r="N6682" t="n">
        <v>0</v>
      </c>
      <c r="O6682" t="n">
        <v>0</v>
      </c>
      <c r="P6682" t="n">
        <v>0</v>
      </c>
      <c r="Q6682" t="n">
        <v>0</v>
      </c>
      <c r="R6682" s="2" t="inlineStr"/>
    </row>
    <row r="6683" ht="15" customHeight="1">
      <c r="A6683" t="inlineStr">
        <is>
          <t>A 36079-2025</t>
        </is>
      </c>
      <c r="B6683" s="1" t="n">
        <v>45866.4482175926</v>
      </c>
      <c r="C6683" s="1" t="n">
        <v>45883</v>
      </c>
      <c r="D6683" t="inlineStr">
        <is>
          <t>GÄVLEBORGS LÄN</t>
        </is>
      </c>
      <c r="E6683" t="inlineStr">
        <is>
          <t>LJUSDAL</t>
        </is>
      </c>
      <c r="G6683" t="n">
        <v>4.3</v>
      </c>
      <c r="H6683" t="n">
        <v>0</v>
      </c>
      <c r="I6683" t="n">
        <v>0</v>
      </c>
      <c r="J6683" t="n">
        <v>0</v>
      </c>
      <c r="K6683" t="n">
        <v>0</v>
      </c>
      <c r="L6683" t="n">
        <v>0</v>
      </c>
      <c r="M6683" t="n">
        <v>0</v>
      </c>
      <c r="N6683" t="n">
        <v>0</v>
      </c>
      <c r="O6683" t="n">
        <v>0</v>
      </c>
      <c r="P6683" t="n">
        <v>0</v>
      </c>
      <c r="Q6683" t="n">
        <v>0</v>
      </c>
      <c r="R6683" s="2" t="inlineStr"/>
    </row>
    <row r="6684" ht="15" customHeight="1">
      <c r="A6684" t="inlineStr">
        <is>
          <t>A 36083-2025</t>
        </is>
      </c>
      <c r="B6684" s="1" t="n">
        <v>45866.45572916666</v>
      </c>
      <c r="C6684" s="1" t="n">
        <v>45883</v>
      </c>
      <c r="D6684" t="inlineStr">
        <is>
          <t>GÄVLEBORGS LÄN</t>
        </is>
      </c>
      <c r="E6684" t="inlineStr">
        <is>
          <t>HUDIKSVALL</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27804-2024</t>
        </is>
      </c>
      <c r="B6685" s="1" t="n">
        <v>45475.5766087963</v>
      </c>
      <c r="C6685" s="1" t="n">
        <v>45883</v>
      </c>
      <c r="D6685" t="inlineStr">
        <is>
          <t>GÄVLEBORGS LÄN</t>
        </is>
      </c>
      <c r="E6685" t="inlineStr">
        <is>
          <t>BOLLNÄS</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29274-2025</t>
        </is>
      </c>
      <c r="B6686" s="1" t="n">
        <v>45824.41335648148</v>
      </c>
      <c r="C6686" s="1" t="n">
        <v>45883</v>
      </c>
      <c r="D6686" t="inlineStr">
        <is>
          <t>GÄVLEBORGS LÄN</t>
        </is>
      </c>
      <c r="E6686" t="inlineStr">
        <is>
          <t>OCKELBO</t>
        </is>
      </c>
      <c r="F6686" t="inlineStr">
        <is>
          <t>Bergvik skog väst AB</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29459-2025</t>
        </is>
      </c>
      <c r="B6687" s="1" t="n">
        <v>45824.69475694445</v>
      </c>
      <c r="C6687" s="1" t="n">
        <v>45883</v>
      </c>
      <c r="D6687" t="inlineStr">
        <is>
          <t>GÄVLEBORGS LÄN</t>
        </is>
      </c>
      <c r="E6687" t="inlineStr">
        <is>
          <t>SÖDERHAMN</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29473-2025</t>
        </is>
      </c>
      <c r="B6688" s="1" t="n">
        <v>45824.705</v>
      </c>
      <c r="C6688" s="1" t="n">
        <v>45883</v>
      </c>
      <c r="D6688" t="inlineStr">
        <is>
          <t>GÄVLEBORGS LÄN</t>
        </is>
      </c>
      <c r="E6688" t="inlineStr">
        <is>
          <t>SÖDERHAMN</t>
        </is>
      </c>
      <c r="G6688" t="n">
        <v>4.6</v>
      </c>
      <c r="H6688" t="n">
        <v>0</v>
      </c>
      <c r="I6688" t="n">
        <v>0</v>
      </c>
      <c r="J6688" t="n">
        <v>0</v>
      </c>
      <c r="K6688" t="n">
        <v>0</v>
      </c>
      <c r="L6688" t="n">
        <v>0</v>
      </c>
      <c r="M6688" t="n">
        <v>0</v>
      </c>
      <c r="N6688" t="n">
        <v>0</v>
      </c>
      <c r="O6688" t="n">
        <v>0</v>
      </c>
      <c r="P6688" t="n">
        <v>0</v>
      </c>
      <c r="Q6688" t="n">
        <v>0</v>
      </c>
      <c r="R6688" s="2" t="inlineStr"/>
    </row>
    <row r="6689" ht="15" customHeight="1">
      <c r="A6689" t="inlineStr">
        <is>
          <t>A 29329-2025</t>
        </is>
      </c>
      <c r="B6689" s="1" t="n">
        <v>45824.48667824074</v>
      </c>
      <c r="C6689" s="1" t="n">
        <v>45883</v>
      </c>
      <c r="D6689" t="inlineStr">
        <is>
          <t>GÄVLEBORGS LÄN</t>
        </is>
      </c>
      <c r="E6689" t="inlineStr">
        <is>
          <t>HUDIKSVALL</t>
        </is>
      </c>
      <c r="F6689" t="inlineStr">
        <is>
          <t>Holmen skog AB</t>
        </is>
      </c>
      <c r="G6689" t="n">
        <v>15.3</v>
      </c>
      <c r="H6689" t="n">
        <v>0</v>
      </c>
      <c r="I6689" t="n">
        <v>0</v>
      </c>
      <c r="J6689" t="n">
        <v>0</v>
      </c>
      <c r="K6689" t="n">
        <v>0</v>
      </c>
      <c r="L6689" t="n">
        <v>0</v>
      </c>
      <c r="M6689" t="n">
        <v>0</v>
      </c>
      <c r="N6689" t="n">
        <v>0</v>
      </c>
      <c r="O6689" t="n">
        <v>0</v>
      </c>
      <c r="P6689" t="n">
        <v>0</v>
      </c>
      <c r="Q6689" t="n">
        <v>0</v>
      </c>
      <c r="R6689" s="2" t="inlineStr"/>
    </row>
    <row r="6690" ht="15" customHeight="1">
      <c r="A6690" t="inlineStr">
        <is>
          <t>A 35995-2025</t>
        </is>
      </c>
      <c r="B6690" s="1" t="n">
        <v>45863.493125</v>
      </c>
      <c r="C6690" s="1" t="n">
        <v>45883</v>
      </c>
      <c r="D6690" t="inlineStr">
        <is>
          <t>GÄVLEBORGS LÄN</t>
        </is>
      </c>
      <c r="E6690" t="inlineStr">
        <is>
          <t>SANDVIKEN</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29358-2025</t>
        </is>
      </c>
      <c r="B6691" s="1" t="n">
        <v>45824.55981481481</v>
      </c>
      <c r="C6691" s="1" t="n">
        <v>45883</v>
      </c>
      <c r="D6691" t="inlineStr">
        <is>
          <t>GÄVLEBORGS LÄN</t>
        </is>
      </c>
      <c r="E6691" t="inlineStr">
        <is>
          <t>LJUSDAL</t>
        </is>
      </c>
      <c r="F6691" t="inlineStr">
        <is>
          <t>Bergvik skog väst AB</t>
        </is>
      </c>
      <c r="G6691" t="n">
        <v>0.4</v>
      </c>
      <c r="H6691" t="n">
        <v>0</v>
      </c>
      <c r="I6691" t="n">
        <v>0</v>
      </c>
      <c r="J6691" t="n">
        <v>0</v>
      </c>
      <c r="K6691" t="n">
        <v>0</v>
      </c>
      <c r="L6691" t="n">
        <v>0</v>
      </c>
      <c r="M6691" t="n">
        <v>0</v>
      </c>
      <c r="N6691" t="n">
        <v>0</v>
      </c>
      <c r="O6691" t="n">
        <v>0</v>
      </c>
      <c r="P6691" t="n">
        <v>0</v>
      </c>
      <c r="Q6691" t="n">
        <v>0</v>
      </c>
      <c r="R6691" s="2" t="inlineStr"/>
    </row>
    <row r="6692" ht="15" customHeight="1">
      <c r="A6692" t="inlineStr">
        <is>
          <t>A 18099-2025</t>
        </is>
      </c>
      <c r="B6692" s="1" t="n">
        <v>45761.55233796296</v>
      </c>
      <c r="C6692" s="1" t="n">
        <v>45883</v>
      </c>
      <c r="D6692" t="inlineStr">
        <is>
          <t>GÄVLEBORGS LÄN</t>
        </is>
      </c>
      <c r="E6692" t="inlineStr">
        <is>
          <t>HUDIKSVALL</t>
        </is>
      </c>
      <c r="G6692" t="n">
        <v>3.7</v>
      </c>
      <c r="H6692" t="n">
        <v>0</v>
      </c>
      <c r="I6692" t="n">
        <v>0</v>
      </c>
      <c r="J6692" t="n">
        <v>0</v>
      </c>
      <c r="K6692" t="n">
        <v>0</v>
      </c>
      <c r="L6692" t="n">
        <v>0</v>
      </c>
      <c r="M6692" t="n">
        <v>0</v>
      </c>
      <c r="N6692" t="n">
        <v>0</v>
      </c>
      <c r="O6692" t="n">
        <v>0</v>
      </c>
      <c r="P6692" t="n">
        <v>0</v>
      </c>
      <c r="Q6692" t="n">
        <v>0</v>
      </c>
      <c r="R6692" s="2" t="inlineStr"/>
    </row>
    <row r="6693" ht="15" customHeight="1">
      <c r="A6693" t="inlineStr">
        <is>
          <t>A 2912-2024</t>
        </is>
      </c>
      <c r="B6693" s="1" t="n">
        <v>45315.56210648148</v>
      </c>
      <c r="C6693" s="1" t="n">
        <v>45883</v>
      </c>
      <c r="D6693" t="inlineStr">
        <is>
          <t>GÄVLEBORGS LÄN</t>
        </is>
      </c>
      <c r="E6693" t="inlineStr">
        <is>
          <t>OVANÅKER</t>
        </is>
      </c>
      <c r="G6693" t="n">
        <v>3.2</v>
      </c>
      <c r="H6693" t="n">
        <v>0</v>
      </c>
      <c r="I6693" t="n">
        <v>0</v>
      </c>
      <c r="J6693" t="n">
        <v>0</v>
      </c>
      <c r="K6693" t="n">
        <v>0</v>
      </c>
      <c r="L6693" t="n">
        <v>0</v>
      </c>
      <c r="M6693" t="n">
        <v>0</v>
      </c>
      <c r="N6693" t="n">
        <v>0</v>
      </c>
      <c r="O6693" t="n">
        <v>0</v>
      </c>
      <c r="P6693" t="n">
        <v>0</v>
      </c>
      <c r="Q6693" t="n">
        <v>0</v>
      </c>
      <c r="R6693" s="2" t="inlineStr"/>
    </row>
    <row r="6694" ht="15" customHeight="1">
      <c r="A6694" t="inlineStr">
        <is>
          <t>A 29388-2025</t>
        </is>
      </c>
      <c r="B6694" s="1" t="n">
        <v>45824.60252314815</v>
      </c>
      <c r="C6694" s="1" t="n">
        <v>45883</v>
      </c>
      <c r="D6694" t="inlineStr">
        <is>
          <t>GÄVLEBORGS LÄN</t>
        </is>
      </c>
      <c r="E6694" t="inlineStr">
        <is>
          <t>SANDVIKEN</t>
        </is>
      </c>
      <c r="G6694" t="n">
        <v>13.9</v>
      </c>
      <c r="H6694" t="n">
        <v>0</v>
      </c>
      <c r="I6694" t="n">
        <v>0</v>
      </c>
      <c r="J6694" t="n">
        <v>0</v>
      </c>
      <c r="K6694" t="n">
        <v>0</v>
      </c>
      <c r="L6694" t="n">
        <v>0</v>
      </c>
      <c r="M6694" t="n">
        <v>0</v>
      </c>
      <c r="N6694" t="n">
        <v>0</v>
      </c>
      <c r="O6694" t="n">
        <v>0</v>
      </c>
      <c r="P6694" t="n">
        <v>0</v>
      </c>
      <c r="Q6694" t="n">
        <v>0</v>
      </c>
      <c r="R6694" s="2" t="inlineStr"/>
    </row>
    <row r="6695" ht="15" customHeight="1">
      <c r="A6695" t="inlineStr">
        <is>
          <t>A 29472-2025</t>
        </is>
      </c>
      <c r="B6695" s="1" t="n">
        <v>45824.70373842592</v>
      </c>
      <c r="C6695" s="1" t="n">
        <v>45883</v>
      </c>
      <c r="D6695" t="inlineStr">
        <is>
          <t>GÄVLEBORGS LÄN</t>
        </is>
      </c>
      <c r="E6695" t="inlineStr">
        <is>
          <t>SÖDERHAMN</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19471-2025</t>
        </is>
      </c>
      <c r="B6696" s="1" t="n">
        <v>45770.38461805556</v>
      </c>
      <c r="C6696" s="1" t="n">
        <v>45883</v>
      </c>
      <c r="D6696" t="inlineStr">
        <is>
          <t>GÄVLEBORGS LÄN</t>
        </is>
      </c>
      <c r="E6696" t="inlineStr">
        <is>
          <t>LJUSDAL</t>
        </is>
      </c>
      <c r="G6696" t="n">
        <v>8</v>
      </c>
      <c r="H6696" t="n">
        <v>0</v>
      </c>
      <c r="I6696" t="n">
        <v>0</v>
      </c>
      <c r="J6696" t="n">
        <v>0</v>
      </c>
      <c r="K6696" t="n">
        <v>0</v>
      </c>
      <c r="L6696" t="n">
        <v>0</v>
      </c>
      <c r="M6696" t="n">
        <v>0</v>
      </c>
      <c r="N6696" t="n">
        <v>0</v>
      </c>
      <c r="O6696" t="n">
        <v>0</v>
      </c>
      <c r="P6696" t="n">
        <v>0</v>
      </c>
      <c r="Q6696" t="n">
        <v>0</v>
      </c>
      <c r="R6696" s="2" t="inlineStr"/>
    </row>
    <row r="6697" ht="15" customHeight="1">
      <c r="A6697" t="inlineStr">
        <is>
          <t>A 29076-2025</t>
        </is>
      </c>
      <c r="B6697" s="1" t="n">
        <v>45821.52070601852</v>
      </c>
      <c r="C6697" s="1" t="n">
        <v>45883</v>
      </c>
      <c r="D6697" t="inlineStr">
        <is>
          <t>GÄVLEBORGS LÄN</t>
        </is>
      </c>
      <c r="E6697" t="inlineStr">
        <is>
          <t>GÄVLE</t>
        </is>
      </c>
      <c r="G6697" t="n">
        <v>3.8</v>
      </c>
      <c r="H6697" t="n">
        <v>0</v>
      </c>
      <c r="I6697" t="n">
        <v>0</v>
      </c>
      <c r="J6697" t="n">
        <v>0</v>
      </c>
      <c r="K6697" t="n">
        <v>0</v>
      </c>
      <c r="L6697" t="n">
        <v>0</v>
      </c>
      <c r="M6697" t="n">
        <v>0</v>
      </c>
      <c r="N6697" t="n">
        <v>0</v>
      </c>
      <c r="O6697" t="n">
        <v>0</v>
      </c>
      <c r="P6697" t="n">
        <v>0</v>
      </c>
      <c r="Q6697" t="n">
        <v>0</v>
      </c>
      <c r="R6697" s="2" t="inlineStr"/>
    </row>
    <row r="6698" ht="15" customHeight="1">
      <c r="A6698" t="inlineStr">
        <is>
          <t>A 29083-2025</t>
        </is>
      </c>
      <c r="B6698" s="1" t="n">
        <v>45821.53861111111</v>
      </c>
      <c r="C6698" s="1" t="n">
        <v>45883</v>
      </c>
      <c r="D6698" t="inlineStr">
        <is>
          <t>GÄVLEBORGS LÄN</t>
        </is>
      </c>
      <c r="E6698" t="inlineStr">
        <is>
          <t>SÖDERHAMN</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19490-2025</t>
        </is>
      </c>
      <c r="B6699" s="1" t="n">
        <v>45770.38850694444</v>
      </c>
      <c r="C6699" s="1" t="n">
        <v>45883</v>
      </c>
      <c r="D6699" t="inlineStr">
        <is>
          <t>GÄVLEBORGS LÄN</t>
        </is>
      </c>
      <c r="E6699" t="inlineStr">
        <is>
          <t>LJUSDAL</t>
        </is>
      </c>
      <c r="G6699" t="n">
        <v>4.3</v>
      </c>
      <c r="H6699" t="n">
        <v>0</v>
      </c>
      <c r="I6699" t="n">
        <v>0</v>
      </c>
      <c r="J6699" t="n">
        <v>0</v>
      </c>
      <c r="K6699" t="n">
        <v>0</v>
      </c>
      <c r="L6699" t="n">
        <v>0</v>
      </c>
      <c r="M6699" t="n">
        <v>0</v>
      </c>
      <c r="N6699" t="n">
        <v>0</v>
      </c>
      <c r="O6699" t="n">
        <v>0</v>
      </c>
      <c r="P6699" t="n">
        <v>0</v>
      </c>
      <c r="Q6699" t="n">
        <v>0</v>
      </c>
      <c r="R6699" s="2" t="inlineStr"/>
    </row>
    <row r="6700" ht="15" customHeight="1">
      <c r="A6700" t="inlineStr">
        <is>
          <t>A 29084-2025</t>
        </is>
      </c>
      <c r="B6700" s="1" t="n">
        <v>45821.54072916666</v>
      </c>
      <c r="C6700" s="1" t="n">
        <v>45883</v>
      </c>
      <c r="D6700" t="inlineStr">
        <is>
          <t>GÄVLEBORGS LÄN</t>
        </is>
      </c>
      <c r="E6700" t="inlineStr">
        <is>
          <t>SÖDERHAMN</t>
        </is>
      </c>
      <c r="G6700" t="n">
        <v>7</v>
      </c>
      <c r="H6700" t="n">
        <v>0</v>
      </c>
      <c r="I6700" t="n">
        <v>0</v>
      </c>
      <c r="J6700" t="n">
        <v>0</v>
      </c>
      <c r="K6700" t="n">
        <v>0</v>
      </c>
      <c r="L6700" t="n">
        <v>0</v>
      </c>
      <c r="M6700" t="n">
        <v>0</v>
      </c>
      <c r="N6700" t="n">
        <v>0</v>
      </c>
      <c r="O6700" t="n">
        <v>0</v>
      </c>
      <c r="P6700" t="n">
        <v>0</v>
      </c>
      <c r="Q6700" t="n">
        <v>0</v>
      </c>
      <c r="R6700" s="2" t="inlineStr"/>
    </row>
    <row r="6701" ht="15" customHeight="1">
      <c r="A6701" t="inlineStr">
        <is>
          <t>A 28963-2025</t>
        </is>
      </c>
      <c r="B6701" s="1" t="n">
        <v>45821.32741898148</v>
      </c>
      <c r="C6701" s="1" t="n">
        <v>45883</v>
      </c>
      <c r="D6701" t="inlineStr">
        <is>
          <t>GÄVLEBORGS LÄN</t>
        </is>
      </c>
      <c r="E6701" t="inlineStr">
        <is>
          <t>OCKELBO</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19509-2025</t>
        </is>
      </c>
      <c r="B6702" s="1" t="n">
        <v>45770.41881944444</v>
      </c>
      <c r="C6702" s="1" t="n">
        <v>45883</v>
      </c>
      <c r="D6702" t="inlineStr">
        <is>
          <t>GÄVLEBORGS LÄN</t>
        </is>
      </c>
      <c r="E6702" t="inlineStr">
        <is>
          <t>HUDIKSVALL</t>
        </is>
      </c>
      <c r="G6702" t="n">
        <v>13.7</v>
      </c>
      <c r="H6702" t="n">
        <v>0</v>
      </c>
      <c r="I6702" t="n">
        <v>0</v>
      </c>
      <c r="J6702" t="n">
        <v>0</v>
      </c>
      <c r="K6702" t="n">
        <v>0</v>
      </c>
      <c r="L6702" t="n">
        <v>0</v>
      </c>
      <c r="M6702" t="n">
        <v>0</v>
      </c>
      <c r="N6702" t="n">
        <v>0</v>
      </c>
      <c r="O6702" t="n">
        <v>0</v>
      </c>
      <c r="P6702" t="n">
        <v>0</v>
      </c>
      <c r="Q6702" t="n">
        <v>0</v>
      </c>
      <c r="R6702" s="2" t="inlineStr"/>
    </row>
    <row r="6703" ht="15" customHeight="1">
      <c r="A6703" t="inlineStr">
        <is>
          <t>A 29105-2025</t>
        </is>
      </c>
      <c r="B6703" s="1" t="n">
        <v>45821.57449074074</v>
      </c>
      <c r="C6703" s="1" t="n">
        <v>45883</v>
      </c>
      <c r="D6703" t="inlineStr">
        <is>
          <t>GÄVLEBORGS LÄN</t>
        </is>
      </c>
      <c r="E6703" t="inlineStr">
        <is>
          <t>BOLLNÄS</t>
        </is>
      </c>
      <c r="G6703" t="n">
        <v>5.6</v>
      </c>
      <c r="H6703" t="n">
        <v>0</v>
      </c>
      <c r="I6703" t="n">
        <v>0</v>
      </c>
      <c r="J6703" t="n">
        <v>0</v>
      </c>
      <c r="K6703" t="n">
        <v>0</v>
      </c>
      <c r="L6703" t="n">
        <v>0</v>
      </c>
      <c r="M6703" t="n">
        <v>0</v>
      </c>
      <c r="N6703" t="n">
        <v>0</v>
      </c>
      <c r="O6703" t="n">
        <v>0</v>
      </c>
      <c r="P6703" t="n">
        <v>0</v>
      </c>
      <c r="Q6703" t="n">
        <v>0</v>
      </c>
      <c r="R6703" s="2" t="inlineStr"/>
    </row>
    <row r="6704" ht="15" customHeight="1">
      <c r="A6704" t="inlineStr">
        <is>
          <t>A 29474-2025</t>
        </is>
      </c>
      <c r="B6704" s="1" t="n">
        <v>45824.70642361111</v>
      </c>
      <c r="C6704" s="1" t="n">
        <v>45883</v>
      </c>
      <c r="D6704" t="inlineStr">
        <is>
          <t>GÄVLEBORGS LÄN</t>
        </is>
      </c>
      <c r="E6704" t="inlineStr">
        <is>
          <t>SÖDERHAMN</t>
        </is>
      </c>
      <c r="G6704" t="n">
        <v>10.4</v>
      </c>
      <c r="H6704" t="n">
        <v>0</v>
      </c>
      <c r="I6704" t="n">
        <v>0</v>
      </c>
      <c r="J6704" t="n">
        <v>0</v>
      </c>
      <c r="K6704" t="n">
        <v>0</v>
      </c>
      <c r="L6704" t="n">
        <v>0</v>
      </c>
      <c r="M6704" t="n">
        <v>0</v>
      </c>
      <c r="N6704" t="n">
        <v>0</v>
      </c>
      <c r="O6704" t="n">
        <v>0</v>
      </c>
      <c r="P6704" t="n">
        <v>0</v>
      </c>
      <c r="Q6704" t="n">
        <v>0</v>
      </c>
      <c r="R6704" s="2" t="inlineStr"/>
    </row>
    <row r="6705" ht="15" customHeight="1">
      <c r="A6705" t="inlineStr">
        <is>
          <t>A 29110-2025</t>
        </is>
      </c>
      <c r="B6705" s="1" t="n">
        <v>45821.58282407407</v>
      </c>
      <c r="C6705" s="1" t="n">
        <v>45883</v>
      </c>
      <c r="D6705" t="inlineStr">
        <is>
          <t>GÄVLEBORGS LÄN</t>
        </is>
      </c>
      <c r="E6705" t="inlineStr">
        <is>
          <t>GÄVLE</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31163-2022</t>
        </is>
      </c>
      <c r="B6706" s="1" t="n">
        <v>44770.4959837963</v>
      </c>
      <c r="C6706" s="1" t="n">
        <v>45883</v>
      </c>
      <c r="D6706" t="inlineStr">
        <is>
          <t>GÄVLEBORGS LÄN</t>
        </is>
      </c>
      <c r="E6706" t="inlineStr">
        <is>
          <t>OVANÅKER</t>
        </is>
      </c>
      <c r="F6706" t="inlineStr">
        <is>
          <t>Bergvik skog öst AB</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29158-2025</t>
        </is>
      </c>
      <c r="B6707" s="1" t="n">
        <v>45821.65914351852</v>
      </c>
      <c r="C6707" s="1" t="n">
        <v>45883</v>
      </c>
      <c r="D6707" t="inlineStr">
        <is>
          <t>GÄVLEBORGS LÄN</t>
        </is>
      </c>
      <c r="E6707" t="inlineStr">
        <is>
          <t>OCKELBO</t>
        </is>
      </c>
      <c r="F6707" t="inlineStr">
        <is>
          <t>Bergvik skog väst AB</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58955-2023</t>
        </is>
      </c>
      <c r="B6708" s="1" t="n">
        <v>45252</v>
      </c>
      <c r="C6708" s="1" t="n">
        <v>45883</v>
      </c>
      <c r="D6708" t="inlineStr">
        <is>
          <t>GÄVLEBORGS LÄN</t>
        </is>
      </c>
      <c r="E6708" t="inlineStr">
        <is>
          <t>HOFORS</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51310-2023</t>
        </is>
      </c>
      <c r="B6709" s="1" t="n">
        <v>45219.56564814815</v>
      </c>
      <c r="C6709" s="1" t="n">
        <v>45883</v>
      </c>
      <c r="D6709" t="inlineStr">
        <is>
          <t>GÄVLEBORGS LÄN</t>
        </is>
      </c>
      <c r="E6709" t="inlineStr">
        <is>
          <t>BOLLNÄS</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36058-2025</t>
        </is>
      </c>
      <c r="B6710" s="1" t="n">
        <v>45866.39219907407</v>
      </c>
      <c r="C6710" s="1" t="n">
        <v>45883</v>
      </c>
      <c r="D6710" t="inlineStr">
        <is>
          <t>GÄVLEBORGS LÄN</t>
        </is>
      </c>
      <c r="E6710" t="inlineStr">
        <is>
          <t>LJUSDAL</t>
        </is>
      </c>
      <c r="F6710" t="inlineStr">
        <is>
          <t>Bergvik skog väst AB</t>
        </is>
      </c>
      <c r="G6710" t="n">
        <v>6.2</v>
      </c>
      <c r="H6710" t="n">
        <v>0</v>
      </c>
      <c r="I6710" t="n">
        <v>0</v>
      </c>
      <c r="J6710" t="n">
        <v>0</v>
      </c>
      <c r="K6710" t="n">
        <v>0</v>
      </c>
      <c r="L6710" t="n">
        <v>0</v>
      </c>
      <c r="M6710" t="n">
        <v>0</v>
      </c>
      <c r="N6710" t="n">
        <v>0</v>
      </c>
      <c r="O6710" t="n">
        <v>0</v>
      </c>
      <c r="P6710" t="n">
        <v>0</v>
      </c>
      <c r="Q6710" t="n">
        <v>0</v>
      </c>
      <c r="R6710" s="2" t="inlineStr"/>
    </row>
    <row r="6711" ht="15" customHeight="1">
      <c r="A6711" t="inlineStr">
        <is>
          <t>A 29456-2025</t>
        </is>
      </c>
      <c r="B6711" s="1" t="n">
        <v>45824.6874537037</v>
      </c>
      <c r="C6711" s="1" t="n">
        <v>45883</v>
      </c>
      <c r="D6711" t="inlineStr">
        <is>
          <t>GÄVLEBORGS LÄN</t>
        </is>
      </c>
      <c r="E6711" t="inlineStr">
        <is>
          <t>SÖDERHAMN</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27967-2022</t>
        </is>
      </c>
      <c r="B6712" s="1" t="n">
        <v>44744</v>
      </c>
      <c r="C6712" s="1" t="n">
        <v>45883</v>
      </c>
      <c r="D6712" t="inlineStr">
        <is>
          <t>GÄVLEBORGS LÄN</t>
        </is>
      </c>
      <c r="E6712" t="inlineStr">
        <is>
          <t>SANDVIKEN</t>
        </is>
      </c>
      <c r="G6712" t="n">
        <v>6.9</v>
      </c>
      <c r="H6712" t="n">
        <v>0</v>
      </c>
      <c r="I6712" t="n">
        <v>0</v>
      </c>
      <c r="J6712" t="n">
        <v>0</v>
      </c>
      <c r="K6712" t="n">
        <v>0</v>
      </c>
      <c r="L6712" t="n">
        <v>0</v>
      </c>
      <c r="M6712" t="n">
        <v>0</v>
      </c>
      <c r="N6712" t="n">
        <v>0</v>
      </c>
      <c r="O6712" t="n">
        <v>0</v>
      </c>
      <c r="P6712" t="n">
        <v>0</v>
      </c>
      <c r="Q6712" t="n">
        <v>0</v>
      </c>
      <c r="R6712" s="2" t="inlineStr"/>
    </row>
    <row r="6713" ht="15" customHeight="1">
      <c r="A6713" t="inlineStr">
        <is>
          <t>A 2645-2024</t>
        </is>
      </c>
      <c r="B6713" s="1" t="n">
        <v>45314.36574074074</v>
      </c>
      <c r="C6713" s="1" t="n">
        <v>45883</v>
      </c>
      <c r="D6713" t="inlineStr">
        <is>
          <t>GÄVLEBORGS LÄN</t>
        </is>
      </c>
      <c r="E6713" t="inlineStr">
        <is>
          <t>HUDIKSVALL</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2654-2024</t>
        </is>
      </c>
      <c r="B6714" s="1" t="n">
        <v>45314.37202546297</v>
      </c>
      <c r="C6714" s="1" t="n">
        <v>45883</v>
      </c>
      <c r="D6714" t="inlineStr">
        <is>
          <t>GÄVLEBORGS LÄN</t>
        </is>
      </c>
      <c r="E6714" t="inlineStr">
        <is>
          <t>HUDIKSVALL</t>
        </is>
      </c>
      <c r="F6714" t="inlineStr">
        <is>
          <t>Holmen skog AB</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36116-2025</t>
        </is>
      </c>
      <c r="B6715" s="1" t="n">
        <v>45866.58483796296</v>
      </c>
      <c r="C6715" s="1" t="n">
        <v>45883</v>
      </c>
      <c r="D6715" t="inlineStr">
        <is>
          <t>GÄVLEBORGS LÄN</t>
        </is>
      </c>
      <c r="E6715" t="inlineStr">
        <is>
          <t>GÄVLE</t>
        </is>
      </c>
      <c r="F6715" t="inlineStr">
        <is>
          <t>Bergvik skog väst AB</t>
        </is>
      </c>
      <c r="G6715" t="n">
        <v>0.4</v>
      </c>
      <c r="H6715" t="n">
        <v>0</v>
      </c>
      <c r="I6715" t="n">
        <v>0</v>
      </c>
      <c r="J6715" t="n">
        <v>0</v>
      </c>
      <c r="K6715" t="n">
        <v>0</v>
      </c>
      <c r="L6715" t="n">
        <v>0</v>
      </c>
      <c r="M6715" t="n">
        <v>0</v>
      </c>
      <c r="N6715" t="n">
        <v>0</v>
      </c>
      <c r="O6715" t="n">
        <v>0</v>
      </c>
      <c r="P6715" t="n">
        <v>0</v>
      </c>
      <c r="Q6715" t="n">
        <v>0</v>
      </c>
      <c r="R6715" s="2" t="inlineStr"/>
    </row>
    <row r="6716" ht="15" customHeight="1">
      <c r="A6716" t="inlineStr">
        <is>
          <t>A 29116-2025</t>
        </is>
      </c>
      <c r="B6716" s="1" t="n">
        <v>45821.59091435185</v>
      </c>
      <c r="C6716" s="1" t="n">
        <v>45883</v>
      </c>
      <c r="D6716" t="inlineStr">
        <is>
          <t>GÄVLEBORGS LÄN</t>
        </is>
      </c>
      <c r="E6716" t="inlineStr">
        <is>
          <t>OCKELBO</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29315-2025</t>
        </is>
      </c>
      <c r="B6717" s="1" t="n">
        <v>45824.46946759259</v>
      </c>
      <c r="C6717" s="1" t="n">
        <v>45883</v>
      </c>
      <c r="D6717" t="inlineStr">
        <is>
          <t>GÄVLEBORGS LÄN</t>
        </is>
      </c>
      <c r="E6717" t="inlineStr">
        <is>
          <t>HUDIKSVALL</t>
        </is>
      </c>
      <c r="F6717" t="inlineStr">
        <is>
          <t>Holmen skog AB</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29351-2025</t>
        </is>
      </c>
      <c r="B6718" s="1" t="n">
        <v>45824.53961805555</v>
      </c>
      <c r="C6718" s="1" t="n">
        <v>45883</v>
      </c>
      <c r="D6718" t="inlineStr">
        <is>
          <t>GÄVLEBORGS LÄN</t>
        </is>
      </c>
      <c r="E6718" t="inlineStr">
        <is>
          <t>BOLLNÄS</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29353-2025</t>
        </is>
      </c>
      <c r="B6719" s="1" t="n">
        <v>45824.54452546296</v>
      </c>
      <c r="C6719" s="1" t="n">
        <v>45883</v>
      </c>
      <c r="D6719" t="inlineStr">
        <is>
          <t>GÄVLEBORGS LÄN</t>
        </is>
      </c>
      <c r="E6719" t="inlineStr">
        <is>
          <t>HUDIKSVALL</t>
        </is>
      </c>
      <c r="F6719" t="inlineStr">
        <is>
          <t>Holmen skog AB</t>
        </is>
      </c>
      <c r="G6719" t="n">
        <v>3.1</v>
      </c>
      <c r="H6719" t="n">
        <v>0</v>
      </c>
      <c r="I6719" t="n">
        <v>0</v>
      </c>
      <c r="J6719" t="n">
        <v>0</v>
      </c>
      <c r="K6719" t="n">
        <v>0</v>
      </c>
      <c r="L6719" t="n">
        <v>0</v>
      </c>
      <c r="M6719" t="n">
        <v>0</v>
      </c>
      <c r="N6719" t="n">
        <v>0</v>
      </c>
      <c r="O6719" t="n">
        <v>0</v>
      </c>
      <c r="P6719" t="n">
        <v>0</v>
      </c>
      <c r="Q6719" t="n">
        <v>0</v>
      </c>
      <c r="R6719" s="2" t="inlineStr"/>
    </row>
    <row r="6720" ht="15" customHeight="1">
      <c r="A6720" t="inlineStr">
        <is>
          <t>A 29369-2025</t>
        </is>
      </c>
      <c r="B6720" s="1" t="n">
        <v>45824.57314814815</v>
      </c>
      <c r="C6720" s="1" t="n">
        <v>45883</v>
      </c>
      <c r="D6720" t="inlineStr">
        <is>
          <t>GÄVLEBORGS LÄN</t>
        </is>
      </c>
      <c r="E6720" t="inlineStr">
        <is>
          <t>LJUSDAL</t>
        </is>
      </c>
      <c r="G6720" t="n">
        <v>8</v>
      </c>
      <c r="H6720" t="n">
        <v>0</v>
      </c>
      <c r="I6720" t="n">
        <v>0</v>
      </c>
      <c r="J6720" t="n">
        <v>0</v>
      </c>
      <c r="K6720" t="n">
        <v>0</v>
      </c>
      <c r="L6720" t="n">
        <v>0</v>
      </c>
      <c r="M6720" t="n">
        <v>0</v>
      </c>
      <c r="N6720" t="n">
        <v>0</v>
      </c>
      <c r="O6720" t="n">
        <v>0</v>
      </c>
      <c r="P6720" t="n">
        <v>0</v>
      </c>
      <c r="Q6720" t="n">
        <v>0</v>
      </c>
      <c r="R6720" s="2" t="inlineStr"/>
    </row>
    <row r="6721" ht="15" customHeight="1">
      <c r="A6721" t="inlineStr">
        <is>
          <t>A 36047-2025</t>
        </is>
      </c>
      <c r="B6721" s="1" t="n">
        <v>45866.36804398148</v>
      </c>
      <c r="C6721" s="1" t="n">
        <v>45883</v>
      </c>
      <c r="D6721" t="inlineStr">
        <is>
          <t>GÄVLEBORGS LÄN</t>
        </is>
      </c>
      <c r="E6721" t="inlineStr">
        <is>
          <t>LJUSDAL</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36090-2025</t>
        </is>
      </c>
      <c r="B6722" s="1" t="n">
        <v>45866.47789351852</v>
      </c>
      <c r="C6722" s="1" t="n">
        <v>45883</v>
      </c>
      <c r="D6722" t="inlineStr">
        <is>
          <t>GÄVLEBORGS LÄN</t>
        </is>
      </c>
      <c r="E6722" t="inlineStr">
        <is>
          <t>OVANÅKER</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14356-2025</t>
        </is>
      </c>
      <c r="B6723" s="1" t="n">
        <v>45741.36755787037</v>
      </c>
      <c r="C6723" s="1" t="n">
        <v>45883</v>
      </c>
      <c r="D6723" t="inlineStr">
        <is>
          <t>GÄVLEBORGS LÄN</t>
        </is>
      </c>
      <c r="E6723" t="inlineStr">
        <is>
          <t>SANDVIKEN</t>
        </is>
      </c>
      <c r="F6723" t="inlineStr">
        <is>
          <t>Bergvik skog öst AB</t>
        </is>
      </c>
      <c r="G6723" t="n">
        <v>7.1</v>
      </c>
      <c r="H6723" t="n">
        <v>0</v>
      </c>
      <c r="I6723" t="n">
        <v>0</v>
      </c>
      <c r="J6723" t="n">
        <v>0</v>
      </c>
      <c r="K6723" t="n">
        <v>0</v>
      </c>
      <c r="L6723" t="n">
        <v>0</v>
      </c>
      <c r="M6723" t="n">
        <v>0</v>
      </c>
      <c r="N6723" t="n">
        <v>0</v>
      </c>
      <c r="O6723" t="n">
        <v>0</v>
      </c>
      <c r="P6723" t="n">
        <v>0</v>
      </c>
      <c r="Q6723" t="n">
        <v>0</v>
      </c>
      <c r="R6723" s="2" t="inlineStr"/>
    </row>
    <row r="6724" ht="15" customHeight="1">
      <c r="A6724" t="inlineStr">
        <is>
          <t>A 29831-2025</t>
        </is>
      </c>
      <c r="B6724" s="1" t="n">
        <v>45825.92075231481</v>
      </c>
      <c r="C6724" s="1" t="n">
        <v>45883</v>
      </c>
      <c r="D6724" t="inlineStr">
        <is>
          <t>GÄVLEBORGS LÄN</t>
        </is>
      </c>
      <c r="E6724" t="inlineStr">
        <is>
          <t>SANDVIKEN</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29832-2025</t>
        </is>
      </c>
      <c r="B6725" s="1" t="n">
        <v>45825.92290509259</v>
      </c>
      <c r="C6725" s="1" t="n">
        <v>45883</v>
      </c>
      <c r="D6725" t="inlineStr">
        <is>
          <t>GÄVLEBORGS LÄN</t>
        </is>
      </c>
      <c r="E6725" t="inlineStr">
        <is>
          <t>SANDVIKEN</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29878-2025</t>
        </is>
      </c>
      <c r="B6726" s="1" t="n">
        <v>45826.3631712963</v>
      </c>
      <c r="C6726" s="1" t="n">
        <v>45883</v>
      </c>
      <c r="D6726" t="inlineStr">
        <is>
          <t>GÄVLEBORGS LÄN</t>
        </is>
      </c>
      <c r="E6726" t="inlineStr">
        <is>
          <t>NORDANSTIG</t>
        </is>
      </c>
      <c r="F6726" t="inlineStr">
        <is>
          <t>Holmen skog AB</t>
        </is>
      </c>
      <c r="G6726" t="n">
        <v>4.2</v>
      </c>
      <c r="H6726" t="n">
        <v>0</v>
      </c>
      <c r="I6726" t="n">
        <v>0</v>
      </c>
      <c r="J6726" t="n">
        <v>0</v>
      </c>
      <c r="K6726" t="n">
        <v>0</v>
      </c>
      <c r="L6726" t="n">
        <v>0</v>
      </c>
      <c r="M6726" t="n">
        <v>0</v>
      </c>
      <c r="N6726" t="n">
        <v>0</v>
      </c>
      <c r="O6726" t="n">
        <v>0</v>
      </c>
      <c r="P6726" t="n">
        <v>0</v>
      </c>
      <c r="Q6726" t="n">
        <v>0</v>
      </c>
      <c r="R6726" s="2" t="inlineStr"/>
    </row>
    <row r="6727" ht="15" customHeight="1">
      <c r="A6727" t="inlineStr">
        <is>
          <t>A 29900-2025</t>
        </is>
      </c>
      <c r="B6727" s="1" t="n">
        <v>45826.3866087963</v>
      </c>
      <c r="C6727" s="1" t="n">
        <v>45883</v>
      </c>
      <c r="D6727" t="inlineStr">
        <is>
          <t>GÄVLEBORGS LÄN</t>
        </is>
      </c>
      <c r="E6727" t="inlineStr">
        <is>
          <t>HUDIKSVALL</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29735-2025</t>
        </is>
      </c>
      <c r="B6728" s="1" t="n">
        <v>45825.58403935185</v>
      </c>
      <c r="C6728" s="1" t="n">
        <v>45883</v>
      </c>
      <c r="D6728" t="inlineStr">
        <is>
          <t>GÄVLEBORGS LÄN</t>
        </is>
      </c>
      <c r="E6728" t="inlineStr">
        <is>
          <t>SANDVIKEN</t>
        </is>
      </c>
      <c r="G6728" t="n">
        <v>6.2</v>
      </c>
      <c r="H6728" t="n">
        <v>0</v>
      </c>
      <c r="I6728" t="n">
        <v>0</v>
      </c>
      <c r="J6728" t="n">
        <v>0</v>
      </c>
      <c r="K6728" t="n">
        <v>0</v>
      </c>
      <c r="L6728" t="n">
        <v>0</v>
      </c>
      <c r="M6728" t="n">
        <v>0</v>
      </c>
      <c r="N6728" t="n">
        <v>0</v>
      </c>
      <c r="O6728" t="n">
        <v>0</v>
      </c>
      <c r="P6728" t="n">
        <v>0</v>
      </c>
      <c r="Q6728" t="n">
        <v>0</v>
      </c>
      <c r="R6728" s="2" t="inlineStr"/>
    </row>
    <row r="6729" ht="15" customHeight="1">
      <c r="A6729" t="inlineStr">
        <is>
          <t>A 31899-2022</t>
        </is>
      </c>
      <c r="B6729" s="1" t="n">
        <v>44777</v>
      </c>
      <c r="C6729" s="1" t="n">
        <v>45883</v>
      </c>
      <c r="D6729" t="inlineStr">
        <is>
          <t>GÄVLEBORGS LÄN</t>
        </is>
      </c>
      <c r="E6729" t="inlineStr">
        <is>
          <t>NORDANSTIG</t>
        </is>
      </c>
      <c r="F6729" t="inlineStr">
        <is>
          <t>Holmen skog AB</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24655-2024</t>
        </is>
      </c>
      <c r="B6730" s="1" t="n">
        <v>45460.57638888889</v>
      </c>
      <c r="C6730" s="1" t="n">
        <v>45883</v>
      </c>
      <c r="D6730" t="inlineStr">
        <is>
          <t>GÄVLEBORGS LÄN</t>
        </is>
      </c>
      <c r="E6730" t="inlineStr">
        <is>
          <t>LJUSDAL</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37295-2022</t>
        </is>
      </c>
      <c r="B6731" s="1" t="n">
        <v>44808</v>
      </c>
      <c r="C6731" s="1" t="n">
        <v>45883</v>
      </c>
      <c r="D6731" t="inlineStr">
        <is>
          <t>GÄVLEBORGS LÄN</t>
        </is>
      </c>
      <c r="E6731" t="inlineStr">
        <is>
          <t>NORDANSTIG</t>
        </is>
      </c>
      <c r="G6731" t="n">
        <v>0</v>
      </c>
      <c r="H6731" t="n">
        <v>0</v>
      </c>
      <c r="I6731" t="n">
        <v>0</v>
      </c>
      <c r="J6731" t="n">
        <v>0</v>
      </c>
      <c r="K6731" t="n">
        <v>0</v>
      </c>
      <c r="L6731" t="n">
        <v>0</v>
      </c>
      <c r="M6731" t="n">
        <v>0</v>
      </c>
      <c r="N6731" t="n">
        <v>0</v>
      </c>
      <c r="O6731" t="n">
        <v>0</v>
      </c>
      <c r="P6731" t="n">
        <v>0</v>
      </c>
      <c r="Q6731" t="n">
        <v>0</v>
      </c>
      <c r="R6731" s="2" t="inlineStr"/>
    </row>
    <row r="6732" ht="15" customHeight="1">
      <c r="A6732" t="inlineStr">
        <is>
          <t>A 8823-2025</t>
        </is>
      </c>
      <c r="B6732" s="1" t="n">
        <v>45712.83532407408</v>
      </c>
      <c r="C6732" s="1" t="n">
        <v>45883</v>
      </c>
      <c r="D6732" t="inlineStr">
        <is>
          <t>GÄVLEBORGS LÄN</t>
        </is>
      </c>
      <c r="E6732" t="inlineStr">
        <is>
          <t>GÄVLE</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29922-2025</t>
        </is>
      </c>
      <c r="B6733" s="1" t="n">
        <v>45826.4253125</v>
      </c>
      <c r="C6733" s="1" t="n">
        <v>45883</v>
      </c>
      <c r="D6733" t="inlineStr">
        <is>
          <t>GÄVLEBORGS LÄN</t>
        </is>
      </c>
      <c r="E6733" t="inlineStr">
        <is>
          <t>OVANÅKER</t>
        </is>
      </c>
      <c r="F6733" t="inlineStr">
        <is>
          <t>Holmen skog AB</t>
        </is>
      </c>
      <c r="G6733" t="n">
        <v>30</v>
      </c>
      <c r="H6733" t="n">
        <v>0</v>
      </c>
      <c r="I6733" t="n">
        <v>0</v>
      </c>
      <c r="J6733" t="n">
        <v>0</v>
      </c>
      <c r="K6733" t="n">
        <v>0</v>
      </c>
      <c r="L6733" t="n">
        <v>0</v>
      </c>
      <c r="M6733" t="n">
        <v>0</v>
      </c>
      <c r="N6733" t="n">
        <v>0</v>
      </c>
      <c r="O6733" t="n">
        <v>0</v>
      </c>
      <c r="P6733" t="n">
        <v>0</v>
      </c>
      <c r="Q6733" t="n">
        <v>0</v>
      </c>
      <c r="R6733" s="2" t="inlineStr"/>
    </row>
    <row r="6734" ht="15" customHeight="1">
      <c r="A6734" t="inlineStr">
        <is>
          <t>A 29738-2025</t>
        </is>
      </c>
      <c r="B6734" s="1" t="n">
        <v>45825.58762731482</v>
      </c>
      <c r="C6734" s="1" t="n">
        <v>45883</v>
      </c>
      <c r="D6734" t="inlineStr">
        <is>
          <t>GÄVLEBORGS LÄN</t>
        </is>
      </c>
      <c r="E6734" t="inlineStr">
        <is>
          <t>SANDVIKEN</t>
        </is>
      </c>
      <c r="G6734" t="n">
        <v>4.8</v>
      </c>
      <c r="H6734" t="n">
        <v>0</v>
      </c>
      <c r="I6734" t="n">
        <v>0</v>
      </c>
      <c r="J6734" t="n">
        <v>0</v>
      </c>
      <c r="K6734" t="n">
        <v>0</v>
      </c>
      <c r="L6734" t="n">
        <v>0</v>
      </c>
      <c r="M6734" t="n">
        <v>0</v>
      </c>
      <c r="N6734" t="n">
        <v>0</v>
      </c>
      <c r="O6734" t="n">
        <v>0</v>
      </c>
      <c r="P6734" t="n">
        <v>0</v>
      </c>
      <c r="Q6734" t="n">
        <v>0</v>
      </c>
      <c r="R6734" s="2" t="inlineStr"/>
    </row>
    <row r="6735" ht="15" customHeight="1">
      <c r="A6735" t="inlineStr">
        <is>
          <t>A 25297-2024</t>
        </is>
      </c>
      <c r="B6735" s="1" t="n">
        <v>45462.67136574074</v>
      </c>
      <c r="C6735" s="1" t="n">
        <v>45883</v>
      </c>
      <c r="D6735" t="inlineStr">
        <is>
          <t>GÄVLEBORGS LÄN</t>
        </is>
      </c>
      <c r="E6735" t="inlineStr">
        <is>
          <t>OVANÅKER</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25299-2024</t>
        </is>
      </c>
      <c r="B6736" s="1" t="n">
        <v>45462</v>
      </c>
      <c r="C6736" s="1" t="n">
        <v>45883</v>
      </c>
      <c r="D6736" t="inlineStr">
        <is>
          <t>GÄVLEBORGS LÄN</t>
        </is>
      </c>
      <c r="E6736" t="inlineStr">
        <is>
          <t>OVANÅKER</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64359-2023</t>
        </is>
      </c>
      <c r="B6737" s="1" t="n">
        <v>45280</v>
      </c>
      <c r="C6737" s="1" t="n">
        <v>45883</v>
      </c>
      <c r="D6737" t="inlineStr">
        <is>
          <t>GÄVLEBORGS LÄN</t>
        </is>
      </c>
      <c r="E6737" t="inlineStr">
        <is>
          <t>HOFORS</t>
        </is>
      </c>
      <c r="G6737" t="n">
        <v>4.7</v>
      </c>
      <c r="H6737" t="n">
        <v>0</v>
      </c>
      <c r="I6737" t="n">
        <v>0</v>
      </c>
      <c r="J6737" t="n">
        <v>0</v>
      </c>
      <c r="K6737" t="n">
        <v>0</v>
      </c>
      <c r="L6737" t="n">
        <v>0</v>
      </c>
      <c r="M6737" t="n">
        <v>0</v>
      </c>
      <c r="N6737" t="n">
        <v>0</v>
      </c>
      <c r="O6737" t="n">
        <v>0</v>
      </c>
      <c r="P6737" t="n">
        <v>0</v>
      </c>
      <c r="Q6737" t="n">
        <v>0</v>
      </c>
      <c r="R6737" s="2" t="inlineStr"/>
    </row>
    <row r="6738" ht="15" customHeight="1">
      <c r="A6738" t="inlineStr">
        <is>
          <t>A 29776-2025</t>
        </is>
      </c>
      <c r="B6738" s="1" t="n">
        <v>45825.64038194445</v>
      </c>
      <c r="C6738" s="1" t="n">
        <v>45883</v>
      </c>
      <c r="D6738" t="inlineStr">
        <is>
          <t>GÄVLEBORGS LÄN</t>
        </is>
      </c>
      <c r="E6738" t="inlineStr">
        <is>
          <t>BOLLNÄS</t>
        </is>
      </c>
      <c r="F6738" t="inlineStr">
        <is>
          <t>Sveaskog</t>
        </is>
      </c>
      <c r="G6738" t="n">
        <v>10.7</v>
      </c>
      <c r="H6738" t="n">
        <v>0</v>
      </c>
      <c r="I6738" t="n">
        <v>0</v>
      </c>
      <c r="J6738" t="n">
        <v>0</v>
      </c>
      <c r="K6738" t="n">
        <v>0</v>
      </c>
      <c r="L6738" t="n">
        <v>0</v>
      </c>
      <c r="M6738" t="n">
        <v>0</v>
      </c>
      <c r="N6738" t="n">
        <v>0</v>
      </c>
      <c r="O6738" t="n">
        <v>0</v>
      </c>
      <c r="P6738" t="n">
        <v>0</v>
      </c>
      <c r="Q6738" t="n">
        <v>0</v>
      </c>
      <c r="R6738" s="2" t="inlineStr"/>
    </row>
    <row r="6739" ht="15" customHeight="1">
      <c r="A6739" t="inlineStr">
        <is>
          <t>A 36180-2025</t>
        </is>
      </c>
      <c r="B6739" s="1" t="n">
        <v>45867.41327546296</v>
      </c>
      <c r="C6739" s="1" t="n">
        <v>45883</v>
      </c>
      <c r="D6739" t="inlineStr">
        <is>
          <t>GÄVLEBORGS LÄN</t>
        </is>
      </c>
      <c r="E6739" t="inlineStr">
        <is>
          <t>HOFORS</t>
        </is>
      </c>
      <c r="G6739" t="n">
        <v>11.7</v>
      </c>
      <c r="H6739" t="n">
        <v>0</v>
      </c>
      <c r="I6739" t="n">
        <v>0</v>
      </c>
      <c r="J6739" t="n">
        <v>0</v>
      </c>
      <c r="K6739" t="n">
        <v>0</v>
      </c>
      <c r="L6739" t="n">
        <v>0</v>
      </c>
      <c r="M6739" t="n">
        <v>0</v>
      </c>
      <c r="N6739" t="n">
        <v>0</v>
      </c>
      <c r="O6739" t="n">
        <v>0</v>
      </c>
      <c r="P6739" t="n">
        <v>0</v>
      </c>
      <c r="Q6739" t="n">
        <v>0</v>
      </c>
      <c r="R6739" s="2" t="inlineStr"/>
    </row>
    <row r="6740" ht="15" customHeight="1">
      <c r="A6740" t="inlineStr">
        <is>
          <t>A 35054-2022</t>
        </is>
      </c>
      <c r="B6740" s="1" t="n">
        <v>44797.3377662037</v>
      </c>
      <c r="C6740" s="1" t="n">
        <v>45883</v>
      </c>
      <c r="D6740" t="inlineStr">
        <is>
          <t>GÄVLEBORGS LÄN</t>
        </is>
      </c>
      <c r="E6740" t="inlineStr">
        <is>
          <t>OCKELBO</t>
        </is>
      </c>
      <c r="G6740" t="n">
        <v>3.6</v>
      </c>
      <c r="H6740" t="n">
        <v>0</v>
      </c>
      <c r="I6740" t="n">
        <v>0</v>
      </c>
      <c r="J6740" t="n">
        <v>0</v>
      </c>
      <c r="K6740" t="n">
        <v>0</v>
      </c>
      <c r="L6740" t="n">
        <v>0</v>
      </c>
      <c r="M6740" t="n">
        <v>0</v>
      </c>
      <c r="N6740" t="n">
        <v>0</v>
      </c>
      <c r="O6740" t="n">
        <v>0</v>
      </c>
      <c r="P6740" t="n">
        <v>0</v>
      </c>
      <c r="Q6740" t="n">
        <v>0</v>
      </c>
      <c r="R6740" s="2" t="inlineStr"/>
    </row>
    <row r="6741" ht="15" customHeight="1">
      <c r="A6741" t="inlineStr">
        <is>
          <t>A 36227-2025</t>
        </is>
      </c>
      <c r="B6741" s="1" t="n">
        <v>45867.53137731482</v>
      </c>
      <c r="C6741" s="1" t="n">
        <v>45883</v>
      </c>
      <c r="D6741" t="inlineStr">
        <is>
          <t>GÄVLEBORGS LÄN</t>
        </is>
      </c>
      <c r="E6741" t="inlineStr">
        <is>
          <t>LJUSDAL</t>
        </is>
      </c>
      <c r="G6741" t="n">
        <v>13.5</v>
      </c>
      <c r="H6741" t="n">
        <v>0</v>
      </c>
      <c r="I6741" t="n">
        <v>0</v>
      </c>
      <c r="J6741" t="n">
        <v>0</v>
      </c>
      <c r="K6741" t="n">
        <v>0</v>
      </c>
      <c r="L6741" t="n">
        <v>0</v>
      </c>
      <c r="M6741" t="n">
        <v>0</v>
      </c>
      <c r="N6741" t="n">
        <v>0</v>
      </c>
      <c r="O6741" t="n">
        <v>0</v>
      </c>
      <c r="P6741" t="n">
        <v>0</v>
      </c>
      <c r="Q6741" t="n">
        <v>0</v>
      </c>
      <c r="R6741" s="2" t="inlineStr"/>
    </row>
    <row r="6742" ht="15" customHeight="1">
      <c r="A6742" t="inlineStr">
        <is>
          <t>A 11315-2025</t>
        </is>
      </c>
      <c r="B6742" s="1" t="n">
        <v>45726.45640046296</v>
      </c>
      <c r="C6742" s="1" t="n">
        <v>45883</v>
      </c>
      <c r="D6742" t="inlineStr">
        <is>
          <t>GÄVLEBORGS LÄN</t>
        </is>
      </c>
      <c r="E6742" t="inlineStr">
        <is>
          <t>HUDIKSVALL</t>
        </is>
      </c>
      <c r="F6742" t="inlineStr">
        <is>
          <t>Holmen skog AB</t>
        </is>
      </c>
      <c r="G6742" t="n">
        <v>9.6</v>
      </c>
      <c r="H6742" t="n">
        <v>0</v>
      </c>
      <c r="I6742" t="n">
        <v>0</v>
      </c>
      <c r="J6742" t="n">
        <v>0</v>
      </c>
      <c r="K6742" t="n">
        <v>0</v>
      </c>
      <c r="L6742" t="n">
        <v>0</v>
      </c>
      <c r="M6742" t="n">
        <v>0</v>
      </c>
      <c r="N6742" t="n">
        <v>0</v>
      </c>
      <c r="O6742" t="n">
        <v>0</v>
      </c>
      <c r="P6742" t="n">
        <v>0</v>
      </c>
      <c r="Q6742" t="n">
        <v>0</v>
      </c>
      <c r="R6742" s="2" t="inlineStr"/>
    </row>
    <row r="6743" ht="15" customHeight="1">
      <c r="A6743" t="inlineStr">
        <is>
          <t>A 10021-2025</t>
        </is>
      </c>
      <c r="B6743" s="1" t="n">
        <v>45719</v>
      </c>
      <c r="C6743" s="1" t="n">
        <v>45883</v>
      </c>
      <c r="D6743" t="inlineStr">
        <is>
          <t>GÄVLEBORGS LÄN</t>
        </is>
      </c>
      <c r="E6743" t="inlineStr">
        <is>
          <t>BOLLNÄS</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36251-2025</t>
        </is>
      </c>
      <c r="B6744" s="1" t="n">
        <v>45867.57475694444</v>
      </c>
      <c r="C6744" s="1" t="n">
        <v>45883</v>
      </c>
      <c r="D6744" t="inlineStr">
        <is>
          <t>GÄVLEBORGS LÄN</t>
        </is>
      </c>
      <c r="E6744" t="inlineStr">
        <is>
          <t>LJUSDAL</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62206-2023</t>
        </is>
      </c>
      <c r="B6745" s="1" t="n">
        <v>45267.48489583333</v>
      </c>
      <c r="C6745" s="1" t="n">
        <v>45883</v>
      </c>
      <c r="D6745" t="inlineStr">
        <is>
          <t>GÄVLEBORGS LÄN</t>
        </is>
      </c>
      <c r="E6745" t="inlineStr">
        <is>
          <t>SÖDERHAMN</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62216-2023</t>
        </is>
      </c>
      <c r="B6746" s="1" t="n">
        <v>45267</v>
      </c>
      <c r="C6746" s="1" t="n">
        <v>45883</v>
      </c>
      <c r="D6746" t="inlineStr">
        <is>
          <t>GÄVLEBORGS LÄN</t>
        </is>
      </c>
      <c r="E6746" t="inlineStr">
        <is>
          <t>GÄVLE</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4504-2024</t>
        </is>
      </c>
      <c r="B6747" s="1" t="n">
        <v>45327</v>
      </c>
      <c r="C6747" s="1" t="n">
        <v>45883</v>
      </c>
      <c r="D6747" t="inlineStr">
        <is>
          <t>GÄVLEBORGS LÄN</t>
        </is>
      </c>
      <c r="E6747" t="inlineStr">
        <is>
          <t>HUDIKSVALL</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4582-2024</t>
        </is>
      </c>
      <c r="B6748" s="1" t="n">
        <v>45327</v>
      </c>
      <c r="C6748" s="1" t="n">
        <v>45883</v>
      </c>
      <c r="D6748" t="inlineStr">
        <is>
          <t>GÄVLEBORGS LÄN</t>
        </is>
      </c>
      <c r="E6748" t="inlineStr">
        <is>
          <t>LJUSDAL</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36228-2025</t>
        </is>
      </c>
      <c r="B6749" s="1" t="n">
        <v>45867.53563657407</v>
      </c>
      <c r="C6749" s="1" t="n">
        <v>45883</v>
      </c>
      <c r="D6749" t="inlineStr">
        <is>
          <t>GÄVLEBORGS LÄN</t>
        </is>
      </c>
      <c r="E6749" t="inlineStr">
        <is>
          <t>BOLLNÄS</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9700-2025</t>
        </is>
      </c>
      <c r="B6750" s="1" t="n">
        <v>45716.37511574074</v>
      </c>
      <c r="C6750" s="1" t="n">
        <v>45883</v>
      </c>
      <c r="D6750" t="inlineStr">
        <is>
          <t>GÄVLEBORGS LÄN</t>
        </is>
      </c>
      <c r="E6750" t="inlineStr">
        <is>
          <t>BOLLNÄS</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3324-2024</t>
        </is>
      </c>
      <c r="B6751" s="1" t="n">
        <v>45317.53914351852</v>
      </c>
      <c r="C6751" s="1" t="n">
        <v>45883</v>
      </c>
      <c r="D6751" t="inlineStr">
        <is>
          <t>GÄVLEBORGS LÄN</t>
        </is>
      </c>
      <c r="E6751" t="inlineStr">
        <is>
          <t>OVANÅKER</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57609-2023</t>
        </is>
      </c>
      <c r="B6752" s="1" t="n">
        <v>45246.5606712963</v>
      </c>
      <c r="C6752" s="1" t="n">
        <v>45883</v>
      </c>
      <c r="D6752" t="inlineStr">
        <is>
          <t>GÄVLEBORGS LÄN</t>
        </is>
      </c>
      <c r="E6752" t="inlineStr">
        <is>
          <t>SANDVIKEN</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14564-2025</t>
        </is>
      </c>
      <c r="B6753" s="1" t="n">
        <v>45741</v>
      </c>
      <c r="C6753" s="1" t="n">
        <v>45883</v>
      </c>
      <c r="D6753" t="inlineStr">
        <is>
          <t>GÄVLEBORGS LÄN</t>
        </is>
      </c>
      <c r="E6753" t="inlineStr">
        <is>
          <t>GÄVLE</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29780-2025</t>
        </is>
      </c>
      <c r="B6754" s="1" t="n">
        <v>45825.64649305555</v>
      </c>
      <c r="C6754" s="1" t="n">
        <v>45883</v>
      </c>
      <c r="D6754" t="inlineStr">
        <is>
          <t>GÄVLEBORGS LÄN</t>
        </is>
      </c>
      <c r="E6754" t="inlineStr">
        <is>
          <t>BOLLNÄS</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36394-2025</t>
        </is>
      </c>
      <c r="B6755" s="1" t="n">
        <v>45868.61902777778</v>
      </c>
      <c r="C6755" s="1" t="n">
        <v>45883</v>
      </c>
      <c r="D6755" t="inlineStr">
        <is>
          <t>GÄVLEBORGS LÄN</t>
        </is>
      </c>
      <c r="E6755" t="inlineStr">
        <is>
          <t>HUDIKSVALL</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33350-2025</t>
        </is>
      </c>
      <c r="B6756" s="1" t="n">
        <v>45841</v>
      </c>
      <c r="C6756" s="1" t="n">
        <v>45883</v>
      </c>
      <c r="D6756" t="inlineStr">
        <is>
          <t>GÄVLEBORGS LÄN</t>
        </is>
      </c>
      <c r="E6756" t="inlineStr">
        <is>
          <t>SANDVIKEN</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30013-2025</t>
        </is>
      </c>
      <c r="B6757" s="1" t="n">
        <v>45826.54642361111</v>
      </c>
      <c r="C6757" s="1" t="n">
        <v>45883</v>
      </c>
      <c r="D6757" t="inlineStr">
        <is>
          <t>GÄVLEBORGS LÄN</t>
        </is>
      </c>
      <c r="E6757" t="inlineStr">
        <is>
          <t>OVANÅKER</t>
        </is>
      </c>
      <c r="F6757" t="inlineStr">
        <is>
          <t>Holmen skog AB</t>
        </is>
      </c>
      <c r="G6757" t="n">
        <v>4.6</v>
      </c>
      <c r="H6757" t="n">
        <v>0</v>
      </c>
      <c r="I6757" t="n">
        <v>0</v>
      </c>
      <c r="J6757" t="n">
        <v>0</v>
      </c>
      <c r="K6757" t="n">
        <v>0</v>
      </c>
      <c r="L6757" t="n">
        <v>0</v>
      </c>
      <c r="M6757" t="n">
        <v>0</v>
      </c>
      <c r="N6757" t="n">
        <v>0</v>
      </c>
      <c r="O6757" t="n">
        <v>0</v>
      </c>
      <c r="P6757" t="n">
        <v>0</v>
      </c>
      <c r="Q6757" t="n">
        <v>0</v>
      </c>
      <c r="R6757" s="2" t="inlineStr"/>
    </row>
    <row r="6758" ht="15" customHeight="1">
      <c r="A6758" t="inlineStr">
        <is>
          <t>A 30044-2025</t>
        </is>
      </c>
      <c r="B6758" s="1" t="n">
        <v>45826.57925925926</v>
      </c>
      <c r="C6758" s="1" t="n">
        <v>45883</v>
      </c>
      <c r="D6758" t="inlineStr">
        <is>
          <t>GÄVLEBORGS LÄN</t>
        </is>
      </c>
      <c r="E6758" t="inlineStr">
        <is>
          <t>OVANÅKER</t>
        </is>
      </c>
      <c r="F6758" t="inlineStr">
        <is>
          <t>Bergvik skog öst AB</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29748-2025</t>
        </is>
      </c>
      <c r="B6759" s="1" t="n">
        <v>45825.60623842593</v>
      </c>
      <c r="C6759" s="1" t="n">
        <v>45883</v>
      </c>
      <c r="D6759" t="inlineStr">
        <is>
          <t>GÄVLEBORGS LÄN</t>
        </is>
      </c>
      <c r="E6759" t="inlineStr">
        <is>
          <t>SANDVIKEN</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29766-2025</t>
        </is>
      </c>
      <c r="B6760" s="1" t="n">
        <v>45825.61914351852</v>
      </c>
      <c r="C6760" s="1" t="n">
        <v>45883</v>
      </c>
      <c r="D6760" t="inlineStr">
        <is>
          <t>GÄVLEBORGS LÄN</t>
        </is>
      </c>
      <c r="E6760" t="inlineStr">
        <is>
          <t>BOLLNÄS</t>
        </is>
      </c>
      <c r="F6760" t="inlineStr">
        <is>
          <t>Sveaskog</t>
        </is>
      </c>
      <c r="G6760" t="n">
        <v>4.3</v>
      </c>
      <c r="H6760" t="n">
        <v>0</v>
      </c>
      <c r="I6760" t="n">
        <v>0</v>
      </c>
      <c r="J6760" t="n">
        <v>0</v>
      </c>
      <c r="K6760" t="n">
        <v>0</v>
      </c>
      <c r="L6760" t="n">
        <v>0</v>
      </c>
      <c r="M6760" t="n">
        <v>0</v>
      </c>
      <c r="N6760" t="n">
        <v>0</v>
      </c>
      <c r="O6760" t="n">
        <v>0</v>
      </c>
      <c r="P6760" t="n">
        <v>0</v>
      </c>
      <c r="Q6760" t="n">
        <v>0</v>
      </c>
      <c r="R6760" s="2" t="inlineStr"/>
    </row>
    <row r="6761" ht="15" customHeight="1">
      <c r="A6761" t="inlineStr">
        <is>
          <t>A 22821-2024</t>
        </is>
      </c>
      <c r="B6761" s="1" t="n">
        <v>45448</v>
      </c>
      <c r="C6761" s="1" t="n">
        <v>45883</v>
      </c>
      <c r="D6761" t="inlineStr">
        <is>
          <t>GÄVLEBORGS LÄN</t>
        </is>
      </c>
      <c r="E6761" t="inlineStr">
        <is>
          <t>OCKELBO</t>
        </is>
      </c>
      <c r="F6761" t="inlineStr">
        <is>
          <t>Bergvik skog väst AB</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14944-2024</t>
        </is>
      </c>
      <c r="B6762" s="1" t="n">
        <v>45398.69128472222</v>
      </c>
      <c r="C6762" s="1" t="n">
        <v>45883</v>
      </c>
      <c r="D6762" t="inlineStr">
        <is>
          <t>GÄVLEBORGS LÄN</t>
        </is>
      </c>
      <c r="E6762" t="inlineStr">
        <is>
          <t>LJUSDAL</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61672-2023</t>
        </is>
      </c>
      <c r="B6763" s="1" t="n">
        <v>45265.62027777778</v>
      </c>
      <c r="C6763" s="1" t="n">
        <v>45883</v>
      </c>
      <c r="D6763" t="inlineStr">
        <is>
          <t>GÄVLEBORGS LÄN</t>
        </is>
      </c>
      <c r="E6763" t="inlineStr">
        <is>
          <t>GÄVLE</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17538-2025</t>
        </is>
      </c>
      <c r="B6764" s="1" t="n">
        <v>45757.60380787037</v>
      </c>
      <c r="C6764" s="1" t="n">
        <v>45883</v>
      </c>
      <c r="D6764" t="inlineStr">
        <is>
          <t>GÄVLEBORGS LÄN</t>
        </is>
      </c>
      <c r="E6764" t="inlineStr">
        <is>
          <t>OCKELBO</t>
        </is>
      </c>
      <c r="F6764" t="inlineStr">
        <is>
          <t>Bergvik skog väst AB</t>
        </is>
      </c>
      <c r="G6764" t="n">
        <v>11.5</v>
      </c>
      <c r="H6764" t="n">
        <v>0</v>
      </c>
      <c r="I6764" t="n">
        <v>0</v>
      </c>
      <c r="J6764" t="n">
        <v>0</v>
      </c>
      <c r="K6764" t="n">
        <v>0</v>
      </c>
      <c r="L6764" t="n">
        <v>0</v>
      </c>
      <c r="M6764" t="n">
        <v>0</v>
      </c>
      <c r="N6764" t="n">
        <v>0</v>
      </c>
      <c r="O6764" t="n">
        <v>0</v>
      </c>
      <c r="P6764" t="n">
        <v>0</v>
      </c>
      <c r="Q6764" t="n">
        <v>0</v>
      </c>
      <c r="R6764" s="2" t="inlineStr"/>
    </row>
    <row r="6765" ht="15" customHeight="1">
      <c r="A6765" t="inlineStr">
        <is>
          <t>A 59851-2023</t>
        </is>
      </c>
      <c r="B6765" s="1" t="n">
        <v>45257.57197916666</v>
      </c>
      <c r="C6765" s="1" t="n">
        <v>45883</v>
      </c>
      <c r="D6765" t="inlineStr">
        <is>
          <t>GÄVLEBORGS LÄN</t>
        </is>
      </c>
      <c r="E6765" t="inlineStr">
        <is>
          <t>HUDIKSVALL</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17539-2025</t>
        </is>
      </c>
      <c r="B6766" s="1" t="n">
        <v>45757</v>
      </c>
      <c r="C6766" s="1" t="n">
        <v>45883</v>
      </c>
      <c r="D6766" t="inlineStr">
        <is>
          <t>GÄVLEBORGS LÄN</t>
        </is>
      </c>
      <c r="E6766" t="inlineStr">
        <is>
          <t>LJUSDAL</t>
        </is>
      </c>
      <c r="F6766" t="inlineStr">
        <is>
          <t>Sveaskog</t>
        </is>
      </c>
      <c r="G6766" t="n">
        <v>4.3</v>
      </c>
      <c r="H6766" t="n">
        <v>0</v>
      </c>
      <c r="I6766" t="n">
        <v>0</v>
      </c>
      <c r="J6766" t="n">
        <v>0</v>
      </c>
      <c r="K6766" t="n">
        <v>0</v>
      </c>
      <c r="L6766" t="n">
        <v>0</v>
      </c>
      <c r="M6766" t="n">
        <v>0</v>
      </c>
      <c r="N6766" t="n">
        <v>0</v>
      </c>
      <c r="O6766" t="n">
        <v>0</v>
      </c>
      <c r="P6766" t="n">
        <v>0</v>
      </c>
      <c r="Q6766" t="n">
        <v>0</v>
      </c>
      <c r="R6766" s="2" t="inlineStr"/>
    </row>
    <row r="6767" ht="15" customHeight="1">
      <c r="A6767" t="inlineStr">
        <is>
          <t>A 18241-2025</t>
        </is>
      </c>
      <c r="B6767" s="1" t="n">
        <v>45762.31237268518</v>
      </c>
      <c r="C6767" s="1" t="n">
        <v>45883</v>
      </c>
      <c r="D6767" t="inlineStr">
        <is>
          <t>GÄVLEBORGS LÄN</t>
        </is>
      </c>
      <c r="E6767" t="inlineStr">
        <is>
          <t>OCKELBO</t>
        </is>
      </c>
      <c r="F6767" t="inlineStr">
        <is>
          <t>Bergvik skog väst AB</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42350-2022</t>
        </is>
      </c>
      <c r="B6768" s="1" t="n">
        <v>44831.36085648148</v>
      </c>
      <c r="C6768" s="1" t="n">
        <v>45883</v>
      </c>
      <c r="D6768" t="inlineStr">
        <is>
          <t>GÄVLEBORGS LÄN</t>
        </is>
      </c>
      <c r="E6768" t="inlineStr">
        <is>
          <t>BOLLNÄS</t>
        </is>
      </c>
      <c r="G6768" t="n">
        <v>2.6</v>
      </c>
      <c r="H6768" t="n">
        <v>0</v>
      </c>
      <c r="I6768" t="n">
        <v>0</v>
      </c>
      <c r="J6768" t="n">
        <v>0</v>
      </c>
      <c r="K6768" t="n">
        <v>0</v>
      </c>
      <c r="L6768" t="n">
        <v>0</v>
      </c>
      <c r="M6768" t="n">
        <v>0</v>
      </c>
      <c r="N6768" t="n">
        <v>0</v>
      </c>
      <c r="O6768" t="n">
        <v>0</v>
      </c>
      <c r="P6768" t="n">
        <v>0</v>
      </c>
      <c r="Q6768" t="n">
        <v>0</v>
      </c>
      <c r="R6768" s="2" t="inlineStr"/>
    </row>
    <row r="6769" ht="15" customHeight="1">
      <c r="A6769" t="inlineStr">
        <is>
          <t>A 36212-2025</t>
        </is>
      </c>
      <c r="B6769" s="1" t="n">
        <v>45867.47538194444</v>
      </c>
      <c r="C6769" s="1" t="n">
        <v>45883</v>
      </c>
      <c r="D6769" t="inlineStr">
        <is>
          <t>GÄVLEBORGS LÄN</t>
        </is>
      </c>
      <c r="E6769" t="inlineStr">
        <is>
          <t>SANDVIKEN</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36255-2025</t>
        </is>
      </c>
      <c r="B6770" s="1" t="n">
        <v>45867.58324074074</v>
      </c>
      <c r="C6770" s="1" t="n">
        <v>45883</v>
      </c>
      <c r="D6770" t="inlineStr">
        <is>
          <t>GÄVLEBORGS LÄN</t>
        </is>
      </c>
      <c r="E6770" t="inlineStr">
        <is>
          <t>GÄVLE</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29855-2025</t>
        </is>
      </c>
      <c r="B6771" s="1" t="n">
        <v>45826.34469907408</v>
      </c>
      <c r="C6771" s="1" t="n">
        <v>45883</v>
      </c>
      <c r="D6771" t="inlineStr">
        <is>
          <t>GÄVLEBORGS LÄN</t>
        </is>
      </c>
      <c r="E6771" t="inlineStr">
        <is>
          <t>OVANÅKER</t>
        </is>
      </c>
      <c r="F6771" t="inlineStr">
        <is>
          <t>Bergvik skog väst AB</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29887-2025</t>
        </is>
      </c>
      <c r="B6772" s="1" t="n">
        <v>45826.3696412037</v>
      </c>
      <c r="C6772" s="1" t="n">
        <v>45883</v>
      </c>
      <c r="D6772" t="inlineStr">
        <is>
          <t>GÄVLEBORGS LÄN</t>
        </is>
      </c>
      <c r="E6772" t="inlineStr">
        <is>
          <t>OVANÅKER</t>
        </is>
      </c>
      <c r="F6772" t="inlineStr">
        <is>
          <t>Holmen skog AB</t>
        </is>
      </c>
      <c r="G6772" t="n">
        <v>13.7</v>
      </c>
      <c r="H6772" t="n">
        <v>0</v>
      </c>
      <c r="I6772" t="n">
        <v>0</v>
      </c>
      <c r="J6772" t="n">
        <v>0</v>
      </c>
      <c r="K6772" t="n">
        <v>0</v>
      </c>
      <c r="L6772" t="n">
        <v>0</v>
      </c>
      <c r="M6772" t="n">
        <v>0</v>
      </c>
      <c r="N6772" t="n">
        <v>0</v>
      </c>
      <c r="O6772" t="n">
        <v>0</v>
      </c>
      <c r="P6772" t="n">
        <v>0</v>
      </c>
      <c r="Q6772" t="n">
        <v>0</v>
      </c>
      <c r="R6772" s="2" t="inlineStr"/>
    </row>
    <row r="6773" ht="15" customHeight="1">
      <c r="A6773" t="inlineStr">
        <is>
          <t>A 30022-2025</t>
        </is>
      </c>
      <c r="B6773" s="1" t="n">
        <v>45826.5583449074</v>
      </c>
      <c r="C6773" s="1" t="n">
        <v>45883</v>
      </c>
      <c r="D6773" t="inlineStr">
        <is>
          <t>GÄVLEBORGS LÄN</t>
        </is>
      </c>
      <c r="E6773" t="inlineStr">
        <is>
          <t>NORDANSTIG</t>
        </is>
      </c>
      <c r="F6773" t="inlineStr">
        <is>
          <t>Holmen skog AB</t>
        </is>
      </c>
      <c r="G6773" t="n">
        <v>4.2</v>
      </c>
      <c r="H6773" t="n">
        <v>0</v>
      </c>
      <c r="I6773" t="n">
        <v>0</v>
      </c>
      <c r="J6773" t="n">
        <v>0</v>
      </c>
      <c r="K6773" t="n">
        <v>0</v>
      </c>
      <c r="L6773" t="n">
        <v>0</v>
      </c>
      <c r="M6773" t="n">
        <v>0</v>
      </c>
      <c r="N6773" t="n">
        <v>0</v>
      </c>
      <c r="O6773" t="n">
        <v>0</v>
      </c>
      <c r="P6773" t="n">
        <v>0</v>
      </c>
      <c r="Q6773" t="n">
        <v>0</v>
      </c>
      <c r="R6773" s="2" t="inlineStr"/>
    </row>
    <row r="6774" ht="15" customHeight="1">
      <c r="A6774" t="inlineStr">
        <is>
          <t>A 30033-2025</t>
        </is>
      </c>
      <c r="B6774" s="1" t="n">
        <v>45826.56905092593</v>
      </c>
      <c r="C6774" s="1" t="n">
        <v>45883</v>
      </c>
      <c r="D6774" t="inlineStr">
        <is>
          <t>GÄVLEBORGS LÄN</t>
        </is>
      </c>
      <c r="E6774" t="inlineStr">
        <is>
          <t>OVANÅKER</t>
        </is>
      </c>
      <c r="F6774" t="inlineStr">
        <is>
          <t>Holmen skog AB</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36158-2025</t>
        </is>
      </c>
      <c r="B6775" s="1" t="n">
        <v>45867.35741898148</v>
      </c>
      <c r="C6775" s="1" t="n">
        <v>45883</v>
      </c>
      <c r="D6775" t="inlineStr">
        <is>
          <t>GÄVLEBORGS LÄN</t>
        </is>
      </c>
      <c r="E6775" t="inlineStr">
        <is>
          <t>OVANÅKER</t>
        </is>
      </c>
      <c r="F6775" t="inlineStr">
        <is>
          <t>Bergvik skog väst AB</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36170-2025</t>
        </is>
      </c>
      <c r="B6776" s="1" t="n">
        <v>45867.38659722222</v>
      </c>
      <c r="C6776" s="1" t="n">
        <v>45883</v>
      </c>
      <c r="D6776" t="inlineStr">
        <is>
          <t>GÄVLEBORGS LÄN</t>
        </is>
      </c>
      <c r="E6776" t="inlineStr">
        <is>
          <t>LJUSDAL</t>
        </is>
      </c>
      <c r="G6776" t="n">
        <v>6.3</v>
      </c>
      <c r="H6776" t="n">
        <v>0</v>
      </c>
      <c r="I6776" t="n">
        <v>0</v>
      </c>
      <c r="J6776" t="n">
        <v>0</v>
      </c>
      <c r="K6776" t="n">
        <v>0</v>
      </c>
      <c r="L6776" t="n">
        <v>0</v>
      </c>
      <c r="M6776" t="n">
        <v>0</v>
      </c>
      <c r="N6776" t="n">
        <v>0</v>
      </c>
      <c r="O6776" t="n">
        <v>0</v>
      </c>
      <c r="P6776" t="n">
        <v>0</v>
      </c>
      <c r="Q6776" t="n">
        <v>0</v>
      </c>
      <c r="R6776" s="2" t="inlineStr"/>
    </row>
    <row r="6777" ht="15" customHeight="1">
      <c r="A6777" t="inlineStr">
        <is>
          <t>A 36354-2025</t>
        </is>
      </c>
      <c r="B6777" s="1" t="n">
        <v>45868.48991898148</v>
      </c>
      <c r="C6777" s="1" t="n">
        <v>45883</v>
      </c>
      <c r="D6777" t="inlineStr">
        <is>
          <t>GÄVLEBORGS LÄN</t>
        </is>
      </c>
      <c r="E6777" t="inlineStr">
        <is>
          <t>LJUSDAL</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30029-2025</t>
        </is>
      </c>
      <c r="B6778" s="1" t="n">
        <v>45826.56724537037</v>
      </c>
      <c r="C6778" s="1" t="n">
        <v>45883</v>
      </c>
      <c r="D6778" t="inlineStr">
        <is>
          <t>GÄVLEBORGS LÄN</t>
        </is>
      </c>
      <c r="E6778" t="inlineStr">
        <is>
          <t>OVANÅKER</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29523-2025</t>
        </is>
      </c>
      <c r="B6779" s="1" t="n">
        <v>45825.33288194444</v>
      </c>
      <c r="C6779" s="1" t="n">
        <v>45883</v>
      </c>
      <c r="D6779" t="inlineStr">
        <is>
          <t>GÄVLEBORGS LÄN</t>
        </is>
      </c>
      <c r="E6779" t="inlineStr">
        <is>
          <t>LJUSDAL</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36352-2025</t>
        </is>
      </c>
      <c r="B6780" s="1" t="n">
        <v>45868.48983796296</v>
      </c>
      <c r="C6780" s="1" t="n">
        <v>45883</v>
      </c>
      <c r="D6780" t="inlineStr">
        <is>
          <t>GÄVLEBORGS LÄN</t>
        </is>
      </c>
      <c r="E6780" t="inlineStr">
        <is>
          <t>LJUSDAL</t>
        </is>
      </c>
      <c r="G6780" t="n">
        <v>5.7</v>
      </c>
      <c r="H6780" t="n">
        <v>0</v>
      </c>
      <c r="I6780" t="n">
        <v>0</v>
      </c>
      <c r="J6780" t="n">
        <v>0</v>
      </c>
      <c r="K6780" t="n">
        <v>0</v>
      </c>
      <c r="L6780" t="n">
        <v>0</v>
      </c>
      <c r="M6780" t="n">
        <v>0</v>
      </c>
      <c r="N6780" t="n">
        <v>0</v>
      </c>
      <c r="O6780" t="n">
        <v>0</v>
      </c>
      <c r="P6780" t="n">
        <v>0</v>
      </c>
      <c r="Q6780" t="n">
        <v>0</v>
      </c>
      <c r="R6780" s="2" t="inlineStr"/>
    </row>
    <row r="6781" ht="15" customHeight="1">
      <c r="A6781" t="inlineStr">
        <is>
          <t>A 36353-2025</t>
        </is>
      </c>
      <c r="B6781" s="1" t="n">
        <v>45868.48988425926</v>
      </c>
      <c r="C6781" s="1" t="n">
        <v>45883</v>
      </c>
      <c r="D6781" t="inlineStr">
        <is>
          <t>GÄVLEBORGS LÄN</t>
        </is>
      </c>
      <c r="E6781" t="inlineStr">
        <is>
          <t>LJUSDAL</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6498-2025</t>
        </is>
      </c>
      <c r="B6782" s="1" t="n">
        <v>45699.63789351852</v>
      </c>
      <c r="C6782" s="1" t="n">
        <v>45883</v>
      </c>
      <c r="D6782" t="inlineStr">
        <is>
          <t>GÄVLEBORGS LÄN</t>
        </is>
      </c>
      <c r="E6782" t="inlineStr">
        <is>
          <t>LJUSDAL</t>
        </is>
      </c>
      <c r="F6782" t="inlineStr">
        <is>
          <t>Holmen skog AB</t>
        </is>
      </c>
      <c r="G6782" t="n">
        <v>9.199999999999999</v>
      </c>
      <c r="H6782" t="n">
        <v>0</v>
      </c>
      <c r="I6782" t="n">
        <v>0</v>
      </c>
      <c r="J6782" t="n">
        <v>0</v>
      </c>
      <c r="K6782" t="n">
        <v>0</v>
      </c>
      <c r="L6782" t="n">
        <v>0</v>
      </c>
      <c r="M6782" t="n">
        <v>0</v>
      </c>
      <c r="N6782" t="n">
        <v>0</v>
      </c>
      <c r="O6782" t="n">
        <v>0</v>
      </c>
      <c r="P6782" t="n">
        <v>0</v>
      </c>
      <c r="Q6782" t="n">
        <v>0</v>
      </c>
      <c r="R6782" s="2" t="inlineStr"/>
    </row>
    <row r="6783" ht="15" customHeight="1">
      <c r="A6783" t="inlineStr">
        <is>
          <t>A 29614-2025</t>
        </is>
      </c>
      <c r="B6783" s="1" t="n">
        <v>45825.42587962963</v>
      </c>
      <c r="C6783" s="1" t="n">
        <v>45883</v>
      </c>
      <c r="D6783" t="inlineStr">
        <is>
          <t>GÄVLEBORGS LÄN</t>
        </is>
      </c>
      <c r="E6783" t="inlineStr">
        <is>
          <t>OVANÅKER</t>
        </is>
      </c>
      <c r="F6783" t="inlineStr">
        <is>
          <t>Bergvik skog väst AB</t>
        </is>
      </c>
      <c r="G6783" t="n">
        <v>8.6</v>
      </c>
      <c r="H6783" t="n">
        <v>0</v>
      </c>
      <c r="I6783" t="n">
        <v>0</v>
      </c>
      <c r="J6783" t="n">
        <v>0</v>
      </c>
      <c r="K6783" t="n">
        <v>0</v>
      </c>
      <c r="L6783" t="n">
        <v>0</v>
      </c>
      <c r="M6783" t="n">
        <v>0</v>
      </c>
      <c r="N6783" t="n">
        <v>0</v>
      </c>
      <c r="O6783" t="n">
        <v>0</v>
      </c>
      <c r="P6783" t="n">
        <v>0</v>
      </c>
      <c r="Q6783" t="n">
        <v>0</v>
      </c>
      <c r="R6783" s="2" t="inlineStr"/>
    </row>
    <row r="6784" ht="15" customHeight="1">
      <c r="A6784" t="inlineStr">
        <is>
          <t>A 20025-2025</t>
        </is>
      </c>
      <c r="B6784" s="1" t="n">
        <v>45772.34452546296</v>
      </c>
      <c r="C6784" s="1" t="n">
        <v>45883</v>
      </c>
      <c r="D6784" t="inlineStr">
        <is>
          <t>GÄVLEBORGS LÄN</t>
        </is>
      </c>
      <c r="E6784" t="inlineStr">
        <is>
          <t>LJUSDAL</t>
        </is>
      </c>
      <c r="F6784" t="inlineStr">
        <is>
          <t>SCA</t>
        </is>
      </c>
      <c r="G6784" t="n">
        <v>11.5</v>
      </c>
      <c r="H6784" t="n">
        <v>0</v>
      </c>
      <c r="I6784" t="n">
        <v>0</v>
      </c>
      <c r="J6784" t="n">
        <v>0</v>
      </c>
      <c r="K6784" t="n">
        <v>0</v>
      </c>
      <c r="L6784" t="n">
        <v>0</v>
      </c>
      <c r="M6784" t="n">
        <v>0</v>
      </c>
      <c r="N6784" t="n">
        <v>0</v>
      </c>
      <c r="O6784" t="n">
        <v>0</v>
      </c>
      <c r="P6784" t="n">
        <v>0</v>
      </c>
      <c r="Q6784" t="n">
        <v>0</v>
      </c>
      <c r="R6784" s="2" t="inlineStr"/>
    </row>
    <row r="6785" ht="15" customHeight="1">
      <c r="A6785" t="inlineStr">
        <is>
          <t>A 3487-2025</t>
        </is>
      </c>
      <c r="B6785" s="1" t="n">
        <v>45680.5480787037</v>
      </c>
      <c r="C6785" s="1" t="n">
        <v>45883</v>
      </c>
      <c r="D6785" t="inlineStr">
        <is>
          <t>GÄVLEBORGS LÄN</t>
        </is>
      </c>
      <c r="E6785" t="inlineStr">
        <is>
          <t>SÖDERHAMN</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29635-2025</t>
        </is>
      </c>
      <c r="B6786" s="1" t="n">
        <v>45825.45329861111</v>
      </c>
      <c r="C6786" s="1" t="n">
        <v>45883</v>
      </c>
      <c r="D6786" t="inlineStr">
        <is>
          <t>GÄVLEBORGS LÄN</t>
        </is>
      </c>
      <c r="E6786" t="inlineStr">
        <is>
          <t>OVANÅKER</t>
        </is>
      </c>
      <c r="F6786" t="inlineStr">
        <is>
          <t>Bergvik skog väst AB</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3474-2024</t>
        </is>
      </c>
      <c r="B6787" s="1" t="n">
        <v>45320</v>
      </c>
      <c r="C6787" s="1" t="n">
        <v>45883</v>
      </c>
      <c r="D6787" t="inlineStr">
        <is>
          <t>GÄVLEBORGS LÄN</t>
        </is>
      </c>
      <c r="E6787" t="inlineStr">
        <is>
          <t>NORDANSTIG</t>
        </is>
      </c>
      <c r="F6787" t="inlineStr">
        <is>
          <t>Holmen skog AB</t>
        </is>
      </c>
      <c r="G6787" t="n">
        <v>5.7</v>
      </c>
      <c r="H6787" t="n">
        <v>0</v>
      </c>
      <c r="I6787" t="n">
        <v>0</v>
      </c>
      <c r="J6787" t="n">
        <v>0</v>
      </c>
      <c r="K6787" t="n">
        <v>0</v>
      </c>
      <c r="L6787" t="n">
        <v>0</v>
      </c>
      <c r="M6787" t="n">
        <v>0</v>
      </c>
      <c r="N6787" t="n">
        <v>0</v>
      </c>
      <c r="O6787" t="n">
        <v>0</v>
      </c>
      <c r="P6787" t="n">
        <v>0</v>
      </c>
      <c r="Q6787" t="n">
        <v>0</v>
      </c>
      <c r="R6787" s="2" t="inlineStr"/>
    </row>
    <row r="6788" ht="15" customHeight="1">
      <c r="A6788" t="inlineStr">
        <is>
          <t>A 20059-2025</t>
        </is>
      </c>
      <c r="B6788" s="1" t="n">
        <v>45772.41228009259</v>
      </c>
      <c r="C6788" s="1" t="n">
        <v>45883</v>
      </c>
      <c r="D6788" t="inlineStr">
        <is>
          <t>GÄVLEBORGS LÄN</t>
        </is>
      </c>
      <c r="E6788" t="inlineStr">
        <is>
          <t>OCKELBO</t>
        </is>
      </c>
      <c r="G6788" t="n">
        <v>14.8</v>
      </c>
      <c r="H6788" t="n">
        <v>0</v>
      </c>
      <c r="I6788" t="n">
        <v>0</v>
      </c>
      <c r="J6788" t="n">
        <v>0</v>
      </c>
      <c r="K6788" t="n">
        <v>0</v>
      </c>
      <c r="L6788" t="n">
        <v>0</v>
      </c>
      <c r="M6788" t="n">
        <v>0</v>
      </c>
      <c r="N6788" t="n">
        <v>0</v>
      </c>
      <c r="O6788" t="n">
        <v>0</v>
      </c>
      <c r="P6788" t="n">
        <v>0</v>
      </c>
      <c r="Q6788" t="n">
        <v>0</v>
      </c>
      <c r="R6788" s="2" t="inlineStr"/>
    </row>
    <row r="6789" ht="15" customHeight="1">
      <c r="A6789" t="inlineStr">
        <is>
          <t>A 29491-2025</t>
        </is>
      </c>
      <c r="B6789" s="1" t="n">
        <v>45824.78724537037</v>
      </c>
      <c r="C6789" s="1" t="n">
        <v>45883</v>
      </c>
      <c r="D6789" t="inlineStr">
        <is>
          <t>GÄVLEBORGS LÄN</t>
        </is>
      </c>
      <c r="E6789" t="inlineStr">
        <is>
          <t>LJUSDAL</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29835-2025</t>
        </is>
      </c>
      <c r="B6790" s="1" t="n">
        <v>45825.94304398148</v>
      </c>
      <c r="C6790" s="1" t="n">
        <v>45883</v>
      </c>
      <c r="D6790" t="inlineStr">
        <is>
          <t>GÄVLEBORGS LÄN</t>
        </is>
      </c>
      <c r="E6790" t="inlineStr">
        <is>
          <t>SÖDERHAMN</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29851-2025</t>
        </is>
      </c>
      <c r="B6791" s="1" t="n">
        <v>45826.33542824074</v>
      </c>
      <c r="C6791" s="1" t="n">
        <v>45883</v>
      </c>
      <c r="D6791" t="inlineStr">
        <is>
          <t>GÄVLEBORGS LÄN</t>
        </is>
      </c>
      <c r="E6791" t="inlineStr">
        <is>
          <t>OCKELBO</t>
        </is>
      </c>
      <c r="G6791" t="n">
        <v>6.6</v>
      </c>
      <c r="H6791" t="n">
        <v>0</v>
      </c>
      <c r="I6791" t="n">
        <v>0</v>
      </c>
      <c r="J6791" t="n">
        <v>0</v>
      </c>
      <c r="K6791" t="n">
        <v>0</v>
      </c>
      <c r="L6791" t="n">
        <v>0</v>
      </c>
      <c r="M6791" t="n">
        <v>0</v>
      </c>
      <c r="N6791" t="n">
        <v>0</v>
      </c>
      <c r="O6791" t="n">
        <v>0</v>
      </c>
      <c r="P6791" t="n">
        <v>0</v>
      </c>
      <c r="Q6791" t="n">
        <v>0</v>
      </c>
      <c r="R6791" s="2" t="inlineStr"/>
    </row>
    <row r="6792" ht="15" customHeight="1">
      <c r="A6792" t="inlineStr">
        <is>
          <t>A 36194-2025</t>
        </is>
      </c>
      <c r="B6792" s="1" t="n">
        <v>45867.42790509259</v>
      </c>
      <c r="C6792" s="1" t="n">
        <v>45883</v>
      </c>
      <c r="D6792" t="inlineStr">
        <is>
          <t>GÄVLEBORGS LÄN</t>
        </is>
      </c>
      <c r="E6792" t="inlineStr">
        <is>
          <t>HUDIKSVALL</t>
        </is>
      </c>
      <c r="F6792" t="inlineStr">
        <is>
          <t>Holmen skog AB</t>
        </is>
      </c>
      <c r="G6792" t="n">
        <v>3.6</v>
      </c>
      <c r="H6792" t="n">
        <v>0</v>
      </c>
      <c r="I6792" t="n">
        <v>0</v>
      </c>
      <c r="J6792" t="n">
        <v>0</v>
      </c>
      <c r="K6792" t="n">
        <v>0</v>
      </c>
      <c r="L6792" t="n">
        <v>0</v>
      </c>
      <c r="M6792" t="n">
        <v>0</v>
      </c>
      <c r="N6792" t="n">
        <v>0</v>
      </c>
      <c r="O6792" t="n">
        <v>0</v>
      </c>
      <c r="P6792" t="n">
        <v>0</v>
      </c>
      <c r="Q6792" t="n">
        <v>0</v>
      </c>
      <c r="R6792" s="2" t="inlineStr"/>
    </row>
    <row r="6793" ht="15" customHeight="1">
      <c r="A6793" t="inlineStr">
        <is>
          <t>A 36231-2025</t>
        </is>
      </c>
      <c r="B6793" s="1" t="n">
        <v>45867.5446875</v>
      </c>
      <c r="C6793" s="1" t="n">
        <v>45883</v>
      </c>
      <c r="D6793" t="inlineStr">
        <is>
          <t>GÄVLEBORGS LÄN</t>
        </is>
      </c>
      <c r="E6793" t="inlineStr">
        <is>
          <t>BOLLNÄS</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29493-2025</t>
        </is>
      </c>
      <c r="B6794" s="1" t="n">
        <v>45824.80202546297</v>
      </c>
      <c r="C6794" s="1" t="n">
        <v>45883</v>
      </c>
      <c r="D6794" t="inlineStr">
        <is>
          <t>GÄVLEBORGS LÄN</t>
        </is>
      </c>
      <c r="E6794" t="inlineStr">
        <is>
          <t>LJUSDAL</t>
        </is>
      </c>
      <c r="G6794" t="n">
        <v>3.2</v>
      </c>
      <c r="H6794" t="n">
        <v>0</v>
      </c>
      <c r="I6794" t="n">
        <v>0</v>
      </c>
      <c r="J6794" t="n">
        <v>0</v>
      </c>
      <c r="K6794" t="n">
        <v>0</v>
      </c>
      <c r="L6794" t="n">
        <v>0</v>
      </c>
      <c r="M6794" t="n">
        <v>0</v>
      </c>
      <c r="N6794" t="n">
        <v>0</v>
      </c>
      <c r="O6794" t="n">
        <v>0</v>
      </c>
      <c r="P6794" t="n">
        <v>0</v>
      </c>
      <c r="Q6794" t="n">
        <v>0</v>
      </c>
      <c r="R6794" s="2" t="inlineStr"/>
    </row>
    <row r="6795" ht="15" customHeight="1">
      <c r="A6795" t="inlineStr">
        <is>
          <t>A 14563-2025</t>
        </is>
      </c>
      <c r="B6795" s="1" t="n">
        <v>45741</v>
      </c>
      <c r="C6795" s="1" t="n">
        <v>45883</v>
      </c>
      <c r="D6795" t="inlineStr">
        <is>
          <t>GÄVLEBORGS LÄN</t>
        </is>
      </c>
      <c r="E6795" t="inlineStr">
        <is>
          <t>GÄVLE</t>
        </is>
      </c>
      <c r="G6795" t="n">
        <v>4</v>
      </c>
      <c r="H6795" t="n">
        <v>0</v>
      </c>
      <c r="I6795" t="n">
        <v>0</v>
      </c>
      <c r="J6795" t="n">
        <v>0</v>
      </c>
      <c r="K6795" t="n">
        <v>0</v>
      </c>
      <c r="L6795" t="n">
        <v>0</v>
      </c>
      <c r="M6795" t="n">
        <v>0</v>
      </c>
      <c r="N6795" t="n">
        <v>0</v>
      </c>
      <c r="O6795" t="n">
        <v>0</v>
      </c>
      <c r="P6795" t="n">
        <v>0</v>
      </c>
      <c r="Q6795" t="n">
        <v>0</v>
      </c>
      <c r="R6795" s="2" t="inlineStr"/>
    </row>
    <row r="6796" ht="15" customHeight="1">
      <c r="A6796" t="inlineStr">
        <is>
          <t>A 29830-2025</t>
        </is>
      </c>
      <c r="B6796" s="1" t="n">
        <v>45825.91829861111</v>
      </c>
      <c r="C6796" s="1" t="n">
        <v>45883</v>
      </c>
      <c r="D6796" t="inlineStr">
        <is>
          <t>GÄVLEBORGS LÄN</t>
        </is>
      </c>
      <c r="E6796" t="inlineStr">
        <is>
          <t>SANDVIKEN</t>
        </is>
      </c>
      <c r="G6796" t="n">
        <v>1.7</v>
      </c>
      <c r="H6796" t="n">
        <v>0</v>
      </c>
      <c r="I6796" t="n">
        <v>0</v>
      </c>
      <c r="J6796" t="n">
        <v>0</v>
      </c>
      <c r="K6796" t="n">
        <v>0</v>
      </c>
      <c r="L6796" t="n">
        <v>0</v>
      </c>
      <c r="M6796" t="n">
        <v>0</v>
      </c>
      <c r="N6796" t="n">
        <v>0</v>
      </c>
      <c r="O6796" t="n">
        <v>0</v>
      </c>
      <c r="P6796" t="n">
        <v>0</v>
      </c>
      <c r="Q6796" t="n">
        <v>0</v>
      </c>
      <c r="R6796" s="2" t="inlineStr"/>
      <c r="U6796">
        <f>HYPERLINK("https://klasma.github.io/Logging_2181/knärot/A 29830-2025 karta knärot.png", "A 29830-2025")</f>
        <v/>
      </c>
      <c r="V6796">
        <f>HYPERLINK("https://klasma.github.io/Logging_2181/klagomål/A 29830-2025 FSC-klagomål.docx", "A 29830-2025")</f>
        <v/>
      </c>
      <c r="W6796">
        <f>HYPERLINK("https://klasma.github.io/Logging_2181/klagomålsmail/A 29830-2025 FSC-klagomål mail.docx", "A 29830-2025")</f>
        <v/>
      </c>
      <c r="X6796">
        <f>HYPERLINK("https://klasma.github.io/Logging_2181/tillsyn/A 29830-2025 tillsynsbegäran.docx", "A 29830-2025")</f>
        <v/>
      </c>
      <c r="Y6796">
        <f>HYPERLINK("https://klasma.github.io/Logging_2181/tillsynsmail/A 29830-2025 tillsynsbegäran mail.docx", "A 29830-2025")</f>
        <v/>
      </c>
    </row>
    <row r="6797" ht="15" customHeight="1">
      <c r="A6797" t="inlineStr">
        <is>
          <t>A 30058-2025</t>
        </is>
      </c>
      <c r="B6797" s="1" t="n">
        <v>45826.60596064815</v>
      </c>
      <c r="C6797" s="1" t="n">
        <v>45883</v>
      </c>
      <c r="D6797" t="inlineStr">
        <is>
          <t>GÄVLEBORGS LÄN</t>
        </is>
      </c>
      <c r="E6797" t="inlineStr">
        <is>
          <t>SÖDERHAMN</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29892-2025</t>
        </is>
      </c>
      <c r="B6798" s="1" t="n">
        <v>45826.37696759259</v>
      </c>
      <c r="C6798" s="1" t="n">
        <v>45883</v>
      </c>
      <c r="D6798" t="inlineStr">
        <is>
          <t>GÄVLEBORGS LÄN</t>
        </is>
      </c>
      <c r="E6798" t="inlineStr">
        <is>
          <t>OVANÅKER</t>
        </is>
      </c>
      <c r="F6798" t="inlineStr">
        <is>
          <t>Holmen skog AB</t>
        </is>
      </c>
      <c r="G6798" t="n">
        <v>10.5</v>
      </c>
      <c r="H6798" t="n">
        <v>0</v>
      </c>
      <c r="I6798" t="n">
        <v>0</v>
      </c>
      <c r="J6798" t="n">
        <v>0</v>
      </c>
      <c r="K6798" t="n">
        <v>0</v>
      </c>
      <c r="L6798" t="n">
        <v>0</v>
      </c>
      <c r="M6798" t="n">
        <v>0</v>
      </c>
      <c r="N6798" t="n">
        <v>0</v>
      </c>
      <c r="O6798" t="n">
        <v>0</v>
      </c>
      <c r="P6798" t="n">
        <v>0</v>
      </c>
      <c r="Q6798" t="n">
        <v>0</v>
      </c>
      <c r="R6798" s="2" t="inlineStr"/>
    </row>
    <row r="6799" ht="15" customHeight="1">
      <c r="A6799" t="inlineStr">
        <is>
          <t>A 30875-2022</t>
        </is>
      </c>
      <c r="B6799" s="1" t="n">
        <v>44767.55229166667</v>
      </c>
      <c r="C6799" s="1" t="n">
        <v>45883</v>
      </c>
      <c r="D6799" t="inlineStr">
        <is>
          <t>GÄVLEBORGS LÄN</t>
        </is>
      </c>
      <c r="E6799" t="inlineStr">
        <is>
          <t>GÄVLE</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19314-2025</t>
        </is>
      </c>
      <c r="B6800" s="1" t="n">
        <v>45769.57359953703</v>
      </c>
      <c r="C6800" s="1" t="n">
        <v>45883</v>
      </c>
      <c r="D6800" t="inlineStr">
        <is>
          <t>GÄVLEBORGS LÄN</t>
        </is>
      </c>
      <c r="E6800" t="inlineStr">
        <is>
          <t>LJUSDAL</t>
        </is>
      </c>
      <c r="F6800" t="inlineStr">
        <is>
          <t>SCA</t>
        </is>
      </c>
      <c r="G6800" t="n">
        <v>6.6</v>
      </c>
      <c r="H6800" t="n">
        <v>0</v>
      </c>
      <c r="I6800" t="n">
        <v>0</v>
      </c>
      <c r="J6800" t="n">
        <v>0</v>
      </c>
      <c r="K6800" t="n">
        <v>0</v>
      </c>
      <c r="L6800" t="n">
        <v>0</v>
      </c>
      <c r="M6800" t="n">
        <v>0</v>
      </c>
      <c r="N6800" t="n">
        <v>0</v>
      </c>
      <c r="O6800" t="n">
        <v>0</v>
      </c>
      <c r="P6800" t="n">
        <v>0</v>
      </c>
      <c r="Q6800" t="n">
        <v>0</v>
      </c>
      <c r="R6800" s="2" t="inlineStr"/>
    </row>
    <row r="6801" ht="15" customHeight="1">
      <c r="A6801" t="inlineStr">
        <is>
          <t>A 19327-2025</t>
        </is>
      </c>
      <c r="B6801" s="1" t="n">
        <v>45769.58416666667</v>
      </c>
      <c r="C6801" s="1" t="n">
        <v>45883</v>
      </c>
      <c r="D6801" t="inlineStr">
        <is>
          <t>GÄVLEBORGS LÄN</t>
        </is>
      </c>
      <c r="E6801" t="inlineStr">
        <is>
          <t>GÄVLE</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30082-2025</t>
        </is>
      </c>
      <c r="B6802" s="1" t="n">
        <v>45826.6516550926</v>
      </c>
      <c r="C6802" s="1" t="n">
        <v>45883</v>
      </c>
      <c r="D6802" t="inlineStr">
        <is>
          <t>GÄVLEBORGS LÄN</t>
        </is>
      </c>
      <c r="E6802" t="inlineStr">
        <is>
          <t>LJUSDAL</t>
        </is>
      </c>
      <c r="F6802" t="inlineStr">
        <is>
          <t>Holmen skog AB</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29526-2025</t>
        </is>
      </c>
      <c r="B6803" s="1" t="n">
        <v>45825.34037037037</v>
      </c>
      <c r="C6803" s="1" t="n">
        <v>45883</v>
      </c>
      <c r="D6803" t="inlineStr">
        <is>
          <t>GÄVLEBORGS LÄN</t>
        </is>
      </c>
      <c r="E6803" t="inlineStr">
        <is>
          <t>LJUSDAL</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36184-2025</t>
        </is>
      </c>
      <c r="B6804" s="1" t="n">
        <v>45867.41747685185</v>
      </c>
      <c r="C6804" s="1" t="n">
        <v>45883</v>
      </c>
      <c r="D6804" t="inlineStr">
        <is>
          <t>GÄVLEBORGS LÄN</t>
        </is>
      </c>
      <c r="E6804" t="inlineStr">
        <is>
          <t>OVANÅKER</t>
        </is>
      </c>
      <c r="F6804" t="inlineStr">
        <is>
          <t>Bergvik skog väst AB</t>
        </is>
      </c>
      <c r="G6804" t="n">
        <v>8.199999999999999</v>
      </c>
      <c r="H6804" t="n">
        <v>0</v>
      </c>
      <c r="I6804" t="n">
        <v>0</v>
      </c>
      <c r="J6804" t="n">
        <v>0</v>
      </c>
      <c r="K6804" t="n">
        <v>0</v>
      </c>
      <c r="L6804" t="n">
        <v>0</v>
      </c>
      <c r="M6804" t="n">
        <v>0</v>
      </c>
      <c r="N6804" t="n">
        <v>0</v>
      </c>
      <c r="O6804" t="n">
        <v>0</v>
      </c>
      <c r="P6804" t="n">
        <v>0</v>
      </c>
      <c r="Q6804" t="n">
        <v>0</v>
      </c>
      <c r="R6804" s="2" t="inlineStr"/>
    </row>
    <row r="6805" ht="15" customHeight="1">
      <c r="A6805" t="inlineStr">
        <is>
          <t>A 36186-2025</t>
        </is>
      </c>
      <c r="B6805" s="1" t="n">
        <v>45867.41916666667</v>
      </c>
      <c r="C6805" s="1" t="n">
        <v>45883</v>
      </c>
      <c r="D6805" t="inlineStr">
        <is>
          <t>GÄVLEBORGS LÄN</t>
        </is>
      </c>
      <c r="E6805" t="inlineStr">
        <is>
          <t>SÖDERHAMN</t>
        </is>
      </c>
      <c r="F6805" t="inlineStr">
        <is>
          <t>Bergvik skog väst AB</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36200-2025</t>
        </is>
      </c>
      <c r="B6806" s="1" t="n">
        <v>45867.44158564815</v>
      </c>
      <c r="C6806" s="1" t="n">
        <v>45883</v>
      </c>
      <c r="D6806" t="inlineStr">
        <is>
          <t>GÄVLEBORGS LÄN</t>
        </is>
      </c>
      <c r="E6806" t="inlineStr">
        <is>
          <t>HUDIKSVALL</t>
        </is>
      </c>
      <c r="F6806" t="inlineStr">
        <is>
          <t>Holmen skog AB</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62126-2023</t>
        </is>
      </c>
      <c r="B6807" s="1" t="n">
        <v>45267</v>
      </c>
      <c r="C6807" s="1" t="n">
        <v>45883</v>
      </c>
      <c r="D6807" t="inlineStr">
        <is>
          <t>GÄVLEBORGS LÄN</t>
        </is>
      </c>
      <c r="E6807" t="inlineStr">
        <is>
          <t>OVANÅKER</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36317-2025</t>
        </is>
      </c>
      <c r="B6808" s="1" t="n">
        <v>45868.37267361111</v>
      </c>
      <c r="C6808" s="1" t="n">
        <v>45883</v>
      </c>
      <c r="D6808" t="inlineStr">
        <is>
          <t>GÄVLEBORGS LÄN</t>
        </is>
      </c>
      <c r="E6808" t="inlineStr">
        <is>
          <t>LJUSDAL</t>
        </is>
      </c>
      <c r="G6808" t="n">
        <v>7.7</v>
      </c>
      <c r="H6808" t="n">
        <v>0</v>
      </c>
      <c r="I6808" t="n">
        <v>0</v>
      </c>
      <c r="J6808" t="n">
        <v>0</v>
      </c>
      <c r="K6808" t="n">
        <v>0</v>
      </c>
      <c r="L6808" t="n">
        <v>0</v>
      </c>
      <c r="M6808" t="n">
        <v>0</v>
      </c>
      <c r="N6808" t="n">
        <v>0</v>
      </c>
      <c r="O6808" t="n">
        <v>0</v>
      </c>
      <c r="P6808" t="n">
        <v>0</v>
      </c>
      <c r="Q6808" t="n">
        <v>0</v>
      </c>
      <c r="R6808" s="2" t="inlineStr"/>
    </row>
    <row r="6809" ht="15" customHeight="1">
      <c r="A6809" t="inlineStr">
        <is>
          <t>A 36318-2025</t>
        </is>
      </c>
      <c r="B6809" s="1" t="n">
        <v>45868.37643518519</v>
      </c>
      <c r="C6809" s="1" t="n">
        <v>45883</v>
      </c>
      <c r="D6809" t="inlineStr">
        <is>
          <t>GÄVLEBORGS LÄN</t>
        </is>
      </c>
      <c r="E6809" t="inlineStr">
        <is>
          <t>LJUSDAL</t>
        </is>
      </c>
      <c r="G6809" t="n">
        <v>10.2</v>
      </c>
      <c r="H6809" t="n">
        <v>0</v>
      </c>
      <c r="I6809" t="n">
        <v>0</v>
      </c>
      <c r="J6809" t="n">
        <v>0</v>
      </c>
      <c r="K6809" t="n">
        <v>0</v>
      </c>
      <c r="L6809" t="n">
        <v>0</v>
      </c>
      <c r="M6809" t="n">
        <v>0</v>
      </c>
      <c r="N6809" t="n">
        <v>0</v>
      </c>
      <c r="O6809" t="n">
        <v>0</v>
      </c>
      <c r="P6809" t="n">
        <v>0</v>
      </c>
      <c r="Q6809" t="n">
        <v>0</v>
      </c>
      <c r="R6809" s="2" t="inlineStr"/>
    </row>
    <row r="6810" ht="15" customHeight="1">
      <c r="A6810" t="inlineStr">
        <is>
          <t>A 36342-2025</t>
        </is>
      </c>
      <c r="B6810" s="1" t="n">
        <v>45868.46923611111</v>
      </c>
      <c r="C6810" s="1" t="n">
        <v>45883</v>
      </c>
      <c r="D6810" t="inlineStr">
        <is>
          <t>GÄVLEBORGS LÄN</t>
        </is>
      </c>
      <c r="E6810" t="inlineStr">
        <is>
          <t>HUDIKSVALL</t>
        </is>
      </c>
      <c r="G6810" t="n">
        <v>4.2</v>
      </c>
      <c r="H6810" t="n">
        <v>0</v>
      </c>
      <c r="I6810" t="n">
        <v>0</v>
      </c>
      <c r="J6810" t="n">
        <v>0</v>
      </c>
      <c r="K6810" t="n">
        <v>0</v>
      </c>
      <c r="L6810" t="n">
        <v>0</v>
      </c>
      <c r="M6810" t="n">
        <v>0</v>
      </c>
      <c r="N6810" t="n">
        <v>0</v>
      </c>
      <c r="O6810" t="n">
        <v>0</v>
      </c>
      <c r="P6810" t="n">
        <v>0</v>
      </c>
      <c r="Q6810" t="n">
        <v>0</v>
      </c>
      <c r="R6810" s="2" t="inlineStr"/>
    </row>
    <row r="6811" ht="15" customHeight="1">
      <c r="A6811" t="inlineStr">
        <is>
          <t>A 36403-2025</t>
        </is>
      </c>
      <c r="B6811" s="1" t="n">
        <v>45868.6621875</v>
      </c>
      <c r="C6811" s="1" t="n">
        <v>45883</v>
      </c>
      <c r="D6811" t="inlineStr">
        <is>
          <t>GÄVLEBORGS LÄN</t>
        </is>
      </c>
      <c r="E6811" t="inlineStr">
        <is>
          <t>OVANÅKER</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36404-2025</t>
        </is>
      </c>
      <c r="B6812" s="1" t="n">
        <v>45868.66592592592</v>
      </c>
      <c r="C6812" s="1" t="n">
        <v>45883</v>
      </c>
      <c r="D6812" t="inlineStr">
        <is>
          <t>GÄVLEBORGS LÄN</t>
        </is>
      </c>
      <c r="E6812" t="inlineStr">
        <is>
          <t>OVANÅKER</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55112-2023</t>
        </is>
      </c>
      <c r="B6813" s="1" t="n">
        <v>45237.47232638889</v>
      </c>
      <c r="C6813" s="1" t="n">
        <v>45883</v>
      </c>
      <c r="D6813" t="inlineStr">
        <is>
          <t>GÄVLEBORGS LÄN</t>
        </is>
      </c>
      <c r="E6813" t="inlineStr">
        <is>
          <t>OCKELBO</t>
        </is>
      </c>
      <c r="G6813" t="n">
        <v>14.6</v>
      </c>
      <c r="H6813" t="n">
        <v>0</v>
      </c>
      <c r="I6813" t="n">
        <v>0</v>
      </c>
      <c r="J6813" t="n">
        <v>0</v>
      </c>
      <c r="K6813" t="n">
        <v>0</v>
      </c>
      <c r="L6813" t="n">
        <v>0</v>
      </c>
      <c r="M6813" t="n">
        <v>0</v>
      </c>
      <c r="N6813" t="n">
        <v>0</v>
      </c>
      <c r="O6813" t="n">
        <v>0</v>
      </c>
      <c r="P6813" t="n">
        <v>0</v>
      </c>
      <c r="Q6813" t="n">
        <v>0</v>
      </c>
      <c r="R6813" s="2" t="inlineStr"/>
    </row>
    <row r="6814" ht="15" customHeight="1">
      <c r="A6814" t="inlineStr">
        <is>
          <t>A 28296-2024</t>
        </is>
      </c>
      <c r="B6814" s="1" t="n">
        <v>45477.47487268518</v>
      </c>
      <c r="C6814" s="1" t="n">
        <v>45883</v>
      </c>
      <c r="D6814" t="inlineStr">
        <is>
          <t>GÄVLEBORGS LÄN</t>
        </is>
      </c>
      <c r="E6814" t="inlineStr">
        <is>
          <t>HUDIKSVALL</t>
        </is>
      </c>
      <c r="F6814" t="inlineStr">
        <is>
          <t>Holmen skog AB</t>
        </is>
      </c>
      <c r="G6814" t="n">
        <v>3.9</v>
      </c>
      <c r="H6814" t="n">
        <v>0</v>
      </c>
      <c r="I6814" t="n">
        <v>0</v>
      </c>
      <c r="J6814" t="n">
        <v>0</v>
      </c>
      <c r="K6814" t="n">
        <v>0</v>
      </c>
      <c r="L6814" t="n">
        <v>0</v>
      </c>
      <c r="M6814" t="n">
        <v>0</v>
      </c>
      <c r="N6814" t="n">
        <v>0</v>
      </c>
      <c r="O6814" t="n">
        <v>0</v>
      </c>
      <c r="P6814" t="n">
        <v>0</v>
      </c>
      <c r="Q6814" t="n">
        <v>0</v>
      </c>
      <c r="R6814" s="2" t="inlineStr"/>
    </row>
    <row r="6815" ht="15" customHeight="1">
      <c r="A6815" t="inlineStr">
        <is>
          <t>A 28340-2024</t>
        </is>
      </c>
      <c r="B6815" s="1" t="n">
        <v>45477.54754629629</v>
      </c>
      <c r="C6815" s="1" t="n">
        <v>45883</v>
      </c>
      <c r="D6815" t="inlineStr">
        <is>
          <t>GÄVLEBORGS LÄN</t>
        </is>
      </c>
      <c r="E6815" t="inlineStr">
        <is>
          <t>SÖDERHAMN</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55201-2023</t>
        </is>
      </c>
      <c r="B6816" s="1" t="n">
        <v>45237.58758101852</v>
      </c>
      <c r="C6816" s="1" t="n">
        <v>45883</v>
      </c>
      <c r="D6816" t="inlineStr">
        <is>
          <t>GÄVLEBORGS LÄN</t>
        </is>
      </c>
      <c r="E6816" t="inlineStr">
        <is>
          <t>HUDIKSVALL</t>
        </is>
      </c>
      <c r="F6816" t="inlineStr">
        <is>
          <t>Holmen skog AB</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3833-2024</t>
        </is>
      </c>
      <c r="B6817" s="1" t="n">
        <v>45321</v>
      </c>
      <c r="C6817" s="1" t="n">
        <v>45883</v>
      </c>
      <c r="D6817" t="inlineStr">
        <is>
          <t>GÄVLEBORGS LÄN</t>
        </is>
      </c>
      <c r="E6817" t="inlineStr">
        <is>
          <t>SANDVIKEN</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59616-2023</t>
        </is>
      </c>
      <c r="B6818" s="1" t="n">
        <v>45254.65175925926</v>
      </c>
      <c r="C6818" s="1" t="n">
        <v>45883</v>
      </c>
      <c r="D6818" t="inlineStr">
        <is>
          <t>GÄVLEBORGS LÄN</t>
        </is>
      </c>
      <c r="E6818" t="inlineStr">
        <is>
          <t>SANDVIKEN</t>
        </is>
      </c>
      <c r="F6818" t="inlineStr">
        <is>
          <t>Sveaskog</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35252-2024</t>
        </is>
      </c>
      <c r="B6819" s="1" t="n">
        <v>45530.57136574074</v>
      </c>
      <c r="C6819" s="1" t="n">
        <v>45883</v>
      </c>
      <c r="D6819" t="inlineStr">
        <is>
          <t>GÄVLEBORGS LÄN</t>
        </is>
      </c>
      <c r="E6819" t="inlineStr">
        <is>
          <t>SANDVIKEN</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36159-2025</t>
        </is>
      </c>
      <c r="B6820" s="1" t="n">
        <v>45867.36305555556</v>
      </c>
      <c r="C6820" s="1" t="n">
        <v>45883</v>
      </c>
      <c r="D6820" t="inlineStr">
        <is>
          <t>GÄVLEBORGS LÄN</t>
        </is>
      </c>
      <c r="E6820" t="inlineStr">
        <is>
          <t>HUDIKSVALL</t>
        </is>
      </c>
      <c r="G6820" t="n">
        <v>3.6</v>
      </c>
      <c r="H6820" t="n">
        <v>0</v>
      </c>
      <c r="I6820" t="n">
        <v>0</v>
      </c>
      <c r="J6820" t="n">
        <v>0</v>
      </c>
      <c r="K6820" t="n">
        <v>0</v>
      </c>
      <c r="L6820" t="n">
        <v>0</v>
      </c>
      <c r="M6820" t="n">
        <v>0</v>
      </c>
      <c r="N6820" t="n">
        <v>0</v>
      </c>
      <c r="O6820" t="n">
        <v>0</v>
      </c>
      <c r="P6820" t="n">
        <v>0</v>
      </c>
      <c r="Q6820" t="n">
        <v>0</v>
      </c>
      <c r="R6820" s="2" t="inlineStr"/>
    </row>
    <row r="6821" ht="15" customHeight="1">
      <c r="A6821" t="inlineStr">
        <is>
          <t>A 7729-2024</t>
        </is>
      </c>
      <c r="B6821" s="1" t="n">
        <v>45349</v>
      </c>
      <c r="C6821" s="1" t="n">
        <v>45883</v>
      </c>
      <c r="D6821" t="inlineStr">
        <is>
          <t>GÄVLEBORGS LÄN</t>
        </is>
      </c>
      <c r="E6821" t="inlineStr">
        <is>
          <t>LJUSDAL</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2573-2024</t>
        </is>
      </c>
      <c r="B6822" s="1" t="n">
        <v>45313.63486111111</v>
      </c>
      <c r="C6822" s="1" t="n">
        <v>45883</v>
      </c>
      <c r="D6822" t="inlineStr">
        <is>
          <t>GÄVLEBORGS LÄN</t>
        </is>
      </c>
      <c r="E6822" t="inlineStr">
        <is>
          <t>NORDANSTIG</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29833-2025</t>
        </is>
      </c>
      <c r="B6823" s="1" t="n">
        <v>45825.92494212963</v>
      </c>
      <c r="C6823" s="1" t="n">
        <v>45883</v>
      </c>
      <c r="D6823" t="inlineStr">
        <is>
          <t>GÄVLEBORGS LÄN</t>
        </is>
      </c>
      <c r="E6823" t="inlineStr">
        <is>
          <t>SANDVIKEN</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29834-2025</t>
        </is>
      </c>
      <c r="B6824" s="1" t="n">
        <v>45825.93572916667</v>
      </c>
      <c r="C6824" s="1" t="n">
        <v>45883</v>
      </c>
      <c r="D6824" t="inlineStr">
        <is>
          <t>GÄVLEBORGS LÄN</t>
        </is>
      </c>
      <c r="E6824" t="inlineStr">
        <is>
          <t>SÖDERHAMN</t>
        </is>
      </c>
      <c r="G6824" t="n">
        <v>3.7</v>
      </c>
      <c r="H6824" t="n">
        <v>0</v>
      </c>
      <c r="I6824" t="n">
        <v>0</v>
      </c>
      <c r="J6824" t="n">
        <v>0</v>
      </c>
      <c r="K6824" t="n">
        <v>0</v>
      </c>
      <c r="L6824" t="n">
        <v>0</v>
      </c>
      <c r="M6824" t="n">
        <v>0</v>
      </c>
      <c r="N6824" t="n">
        <v>0</v>
      </c>
      <c r="O6824" t="n">
        <v>0</v>
      </c>
      <c r="P6824" t="n">
        <v>0</v>
      </c>
      <c r="Q6824" t="n">
        <v>0</v>
      </c>
      <c r="R6824" s="2" t="inlineStr"/>
    </row>
    <row r="6825" ht="15" customHeight="1">
      <c r="A6825" t="inlineStr">
        <is>
          <t>A 9426-2025</t>
        </is>
      </c>
      <c r="B6825" s="1" t="n">
        <v>45715.40354166667</v>
      </c>
      <c r="C6825" s="1" t="n">
        <v>45883</v>
      </c>
      <c r="D6825" t="inlineStr">
        <is>
          <t>GÄVLEBORGS LÄN</t>
        </is>
      </c>
      <c r="E6825" t="inlineStr">
        <is>
          <t>GÄVLE</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36263-2025</t>
        </is>
      </c>
      <c r="B6826" s="1" t="n">
        <v>45867.61510416667</v>
      </c>
      <c r="C6826" s="1" t="n">
        <v>45883</v>
      </c>
      <c r="D6826" t="inlineStr">
        <is>
          <t>GÄVLEBORGS LÄN</t>
        </is>
      </c>
      <c r="E6826" t="inlineStr">
        <is>
          <t>LJUSDAL</t>
        </is>
      </c>
      <c r="F6826" t="inlineStr">
        <is>
          <t>Naturvårdsverket</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59976-2023</t>
        </is>
      </c>
      <c r="B6827" s="1" t="n">
        <v>45254</v>
      </c>
      <c r="C6827" s="1" t="n">
        <v>45883</v>
      </c>
      <c r="D6827" t="inlineStr">
        <is>
          <t>GÄVLEBORGS LÄN</t>
        </is>
      </c>
      <c r="E6827" t="inlineStr">
        <is>
          <t>OCKELBO</t>
        </is>
      </c>
      <c r="G6827" t="n">
        <v>5.1</v>
      </c>
      <c r="H6827" t="n">
        <v>0</v>
      </c>
      <c r="I6827" t="n">
        <v>0</v>
      </c>
      <c r="J6827" t="n">
        <v>0</v>
      </c>
      <c r="K6827" t="n">
        <v>0</v>
      </c>
      <c r="L6827" t="n">
        <v>0</v>
      </c>
      <c r="M6827" t="n">
        <v>0</v>
      </c>
      <c r="N6827" t="n">
        <v>0</v>
      </c>
      <c r="O6827" t="n">
        <v>0</v>
      </c>
      <c r="P6827" t="n">
        <v>0</v>
      </c>
      <c r="Q6827" t="n">
        <v>0</v>
      </c>
      <c r="R6827" s="2" t="inlineStr"/>
    </row>
    <row r="6828" ht="15" customHeight="1">
      <c r="A6828" t="inlineStr">
        <is>
          <t>A 59978-2023</t>
        </is>
      </c>
      <c r="B6828" s="1" t="n">
        <v>45254</v>
      </c>
      <c r="C6828" s="1" t="n">
        <v>45883</v>
      </c>
      <c r="D6828" t="inlineStr">
        <is>
          <t>GÄVLEBORGS LÄN</t>
        </is>
      </c>
      <c r="E6828" t="inlineStr">
        <is>
          <t>OCKELBO</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26302-2025</t>
        </is>
      </c>
      <c r="B6829" s="1" t="n">
        <v>45805</v>
      </c>
      <c r="C6829" s="1" t="n">
        <v>45883</v>
      </c>
      <c r="D6829" t="inlineStr">
        <is>
          <t>GÄVLEBORGS LÄN</t>
        </is>
      </c>
      <c r="E6829" t="inlineStr">
        <is>
          <t>HOFORS</t>
        </is>
      </c>
      <c r="G6829" t="n">
        <v>5.3</v>
      </c>
      <c r="H6829" t="n">
        <v>0</v>
      </c>
      <c r="I6829" t="n">
        <v>0</v>
      </c>
      <c r="J6829" t="n">
        <v>0</v>
      </c>
      <c r="K6829" t="n">
        <v>0</v>
      </c>
      <c r="L6829" t="n">
        <v>0</v>
      </c>
      <c r="M6829" t="n">
        <v>0</v>
      </c>
      <c r="N6829" t="n">
        <v>0</v>
      </c>
      <c r="O6829" t="n">
        <v>0</v>
      </c>
      <c r="P6829" t="n">
        <v>0</v>
      </c>
      <c r="Q6829" t="n">
        <v>0</v>
      </c>
      <c r="R6829" s="2" t="inlineStr"/>
    </row>
    <row r="6830" ht="15" customHeight="1">
      <c r="A6830" t="inlineStr">
        <is>
          <t>A 36250-2025</t>
        </is>
      </c>
      <c r="B6830" s="1" t="n">
        <v>45867.57358796296</v>
      </c>
      <c r="C6830" s="1" t="n">
        <v>45883</v>
      </c>
      <c r="D6830" t="inlineStr">
        <is>
          <t>GÄVLEBORGS LÄN</t>
        </is>
      </c>
      <c r="E6830" t="inlineStr">
        <is>
          <t>LJUSDAL</t>
        </is>
      </c>
      <c r="F6830" t="inlineStr">
        <is>
          <t>Naturvårdsverket</t>
        </is>
      </c>
      <c r="G6830" t="n">
        <v>4.2</v>
      </c>
      <c r="H6830" t="n">
        <v>0</v>
      </c>
      <c r="I6830" t="n">
        <v>0</v>
      </c>
      <c r="J6830" t="n">
        <v>0</v>
      </c>
      <c r="K6830" t="n">
        <v>0</v>
      </c>
      <c r="L6830" t="n">
        <v>0</v>
      </c>
      <c r="M6830" t="n">
        <v>0</v>
      </c>
      <c r="N6830" t="n">
        <v>0</v>
      </c>
      <c r="O6830" t="n">
        <v>0</v>
      </c>
      <c r="P6830" t="n">
        <v>0</v>
      </c>
      <c r="Q6830" t="n">
        <v>0</v>
      </c>
      <c r="R6830" s="2" t="inlineStr"/>
    </row>
    <row r="6831" ht="15" customHeight="1">
      <c r="A6831" t="inlineStr">
        <is>
          <t>A 5411-2022</t>
        </is>
      </c>
      <c r="B6831" s="1" t="n">
        <v>44595.38513888889</v>
      </c>
      <c r="C6831" s="1" t="n">
        <v>45883</v>
      </c>
      <c r="D6831" t="inlineStr">
        <is>
          <t>GÄVLEBORGS LÄN</t>
        </is>
      </c>
      <c r="E6831" t="inlineStr">
        <is>
          <t>NORDANSTIG</t>
        </is>
      </c>
      <c r="G6831" t="n">
        <v>3.5</v>
      </c>
      <c r="H6831" t="n">
        <v>0</v>
      </c>
      <c r="I6831" t="n">
        <v>0</v>
      </c>
      <c r="J6831" t="n">
        <v>0</v>
      </c>
      <c r="K6831" t="n">
        <v>0</v>
      </c>
      <c r="L6831" t="n">
        <v>0</v>
      </c>
      <c r="M6831" t="n">
        <v>0</v>
      </c>
      <c r="N6831" t="n">
        <v>0</v>
      </c>
      <c r="O6831" t="n">
        <v>0</v>
      </c>
      <c r="P6831" t="n">
        <v>0</v>
      </c>
      <c r="Q6831" t="n">
        <v>0</v>
      </c>
      <c r="R6831" s="2" t="inlineStr"/>
    </row>
    <row r="6832" ht="15" customHeight="1">
      <c r="A6832" t="inlineStr">
        <is>
          <t>A 5244-2024</t>
        </is>
      </c>
      <c r="B6832" s="1" t="n">
        <v>45330</v>
      </c>
      <c r="C6832" s="1" t="n">
        <v>45883</v>
      </c>
      <c r="D6832" t="inlineStr">
        <is>
          <t>GÄVLEBORGS LÄN</t>
        </is>
      </c>
      <c r="E6832" t="inlineStr">
        <is>
          <t>SANDVIKEN</t>
        </is>
      </c>
      <c r="G6832" t="n">
        <v>8.5</v>
      </c>
      <c r="H6832" t="n">
        <v>0</v>
      </c>
      <c r="I6832" t="n">
        <v>0</v>
      </c>
      <c r="J6832" t="n">
        <v>0</v>
      </c>
      <c r="K6832" t="n">
        <v>0</v>
      </c>
      <c r="L6832" t="n">
        <v>0</v>
      </c>
      <c r="M6832" t="n">
        <v>0</v>
      </c>
      <c r="N6832" t="n">
        <v>0</v>
      </c>
      <c r="O6832" t="n">
        <v>0</v>
      </c>
      <c r="P6832" t="n">
        <v>0</v>
      </c>
      <c r="Q6832" t="n">
        <v>0</v>
      </c>
      <c r="R6832" s="2" t="inlineStr"/>
    </row>
    <row r="6833" ht="15" customHeight="1">
      <c r="A6833" t="inlineStr">
        <is>
          <t>A 29772-2025</t>
        </is>
      </c>
      <c r="B6833" s="1" t="n">
        <v>45825</v>
      </c>
      <c r="C6833" s="1" t="n">
        <v>45883</v>
      </c>
      <c r="D6833" t="inlineStr">
        <is>
          <t>GÄVLEBORGS LÄN</t>
        </is>
      </c>
      <c r="E6833" t="inlineStr">
        <is>
          <t>HUDIKSVALL</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29957-2025</t>
        </is>
      </c>
      <c r="B6834" s="1" t="n">
        <v>45826.47090277778</v>
      </c>
      <c r="C6834" s="1" t="n">
        <v>45883</v>
      </c>
      <c r="D6834" t="inlineStr">
        <is>
          <t>GÄVLEBORGS LÄN</t>
        </is>
      </c>
      <c r="E6834" t="inlineStr">
        <is>
          <t>SÖDERHAMN</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58373-2023</t>
        </is>
      </c>
      <c r="B6835" s="1" t="n">
        <v>45250.65805555556</v>
      </c>
      <c r="C6835" s="1" t="n">
        <v>45883</v>
      </c>
      <c r="D6835" t="inlineStr">
        <is>
          <t>GÄVLEBORGS LÄN</t>
        </is>
      </c>
      <c r="E6835" t="inlineStr">
        <is>
          <t>HOFORS</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11478-2025</t>
        </is>
      </c>
      <c r="B6836" s="1" t="n">
        <v>45726.67484953703</v>
      </c>
      <c r="C6836" s="1" t="n">
        <v>45883</v>
      </c>
      <c r="D6836" t="inlineStr">
        <is>
          <t>GÄVLEBORGS LÄN</t>
        </is>
      </c>
      <c r="E6836" t="inlineStr">
        <is>
          <t>SANDVIKEN</t>
        </is>
      </c>
      <c r="F6836" t="inlineStr">
        <is>
          <t>Bergvik skog öst AB</t>
        </is>
      </c>
      <c r="G6836" t="n">
        <v>11.7</v>
      </c>
      <c r="H6836" t="n">
        <v>0</v>
      </c>
      <c r="I6836" t="n">
        <v>0</v>
      </c>
      <c r="J6836" t="n">
        <v>0</v>
      </c>
      <c r="K6836" t="n">
        <v>0</v>
      </c>
      <c r="L6836" t="n">
        <v>0</v>
      </c>
      <c r="M6836" t="n">
        <v>0</v>
      </c>
      <c r="N6836" t="n">
        <v>0</v>
      </c>
      <c r="O6836" t="n">
        <v>0</v>
      </c>
      <c r="P6836" t="n">
        <v>0</v>
      </c>
      <c r="Q6836" t="n">
        <v>0</v>
      </c>
      <c r="R6836" s="2" t="inlineStr"/>
    </row>
    <row r="6837" ht="15" customHeight="1">
      <c r="A6837" t="inlineStr">
        <is>
          <t>A 57664-2024</t>
        </is>
      </c>
      <c r="B6837" s="1" t="n">
        <v>45630.61591435185</v>
      </c>
      <c r="C6837" s="1" t="n">
        <v>45883</v>
      </c>
      <c r="D6837" t="inlineStr">
        <is>
          <t>GÄVLEBORGS LÄN</t>
        </is>
      </c>
      <c r="E6837" t="inlineStr">
        <is>
          <t>LJUSDAL</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36417-2025</t>
        </is>
      </c>
      <c r="B6838" s="1" t="n">
        <v>45868.70127314814</v>
      </c>
      <c r="C6838" s="1" t="n">
        <v>45883</v>
      </c>
      <c r="D6838" t="inlineStr">
        <is>
          <t>GÄVLEBORGS LÄN</t>
        </is>
      </c>
      <c r="E6838" t="inlineStr">
        <is>
          <t>SANDVIKEN</t>
        </is>
      </c>
      <c r="F6838" t="inlineStr">
        <is>
          <t>Sveaskog</t>
        </is>
      </c>
      <c r="G6838" t="n">
        <v>3.9</v>
      </c>
      <c r="H6838" t="n">
        <v>0</v>
      </c>
      <c r="I6838" t="n">
        <v>0</v>
      </c>
      <c r="J6838" t="n">
        <v>0</v>
      </c>
      <c r="K6838" t="n">
        <v>0</v>
      </c>
      <c r="L6838" t="n">
        <v>0</v>
      </c>
      <c r="M6838" t="n">
        <v>0</v>
      </c>
      <c r="N6838" t="n">
        <v>0</v>
      </c>
      <c r="O6838" t="n">
        <v>0</v>
      </c>
      <c r="P6838" t="n">
        <v>0</v>
      </c>
      <c r="Q6838" t="n">
        <v>0</v>
      </c>
      <c r="R6838" s="2" t="inlineStr"/>
      <c r="U6838">
        <f>HYPERLINK("https://klasma.github.io/Logging_2181/knärot/A 36417-2025 karta knärot.png", "A 36417-2025")</f>
        <v/>
      </c>
      <c r="V6838">
        <f>HYPERLINK("https://klasma.github.io/Logging_2181/klagomål/A 36417-2025 FSC-klagomål.docx", "A 36417-2025")</f>
        <v/>
      </c>
      <c r="W6838">
        <f>HYPERLINK("https://klasma.github.io/Logging_2181/klagomålsmail/A 36417-2025 FSC-klagomål mail.docx", "A 36417-2025")</f>
        <v/>
      </c>
      <c r="X6838">
        <f>HYPERLINK("https://klasma.github.io/Logging_2181/tillsyn/A 36417-2025 tillsynsbegäran.docx", "A 36417-2025")</f>
        <v/>
      </c>
      <c r="Y6838">
        <f>HYPERLINK("https://klasma.github.io/Logging_2181/tillsynsmail/A 36417-2025 tillsynsbegäran mail.docx", "A 36417-2025")</f>
        <v/>
      </c>
    </row>
    <row r="6839" ht="15" customHeight="1">
      <c r="A6839" t="inlineStr">
        <is>
          <t>A 36213-2025</t>
        </is>
      </c>
      <c r="B6839" s="1" t="n">
        <v>45867.48995370371</v>
      </c>
      <c r="C6839" s="1" t="n">
        <v>45883</v>
      </c>
      <c r="D6839" t="inlineStr">
        <is>
          <t>GÄVLEBORGS LÄN</t>
        </is>
      </c>
      <c r="E6839" t="inlineStr">
        <is>
          <t>LJUSDAL</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36234-2025</t>
        </is>
      </c>
      <c r="B6840" s="1" t="n">
        <v>45867.54785879629</v>
      </c>
      <c r="C6840" s="1" t="n">
        <v>45883</v>
      </c>
      <c r="D6840" t="inlineStr">
        <is>
          <t>GÄVLEBORGS LÄN</t>
        </is>
      </c>
      <c r="E6840" t="inlineStr">
        <is>
          <t>BOLLNÄS</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36265-2025</t>
        </is>
      </c>
      <c r="B6841" s="1" t="n">
        <v>45867.61561342593</v>
      </c>
      <c r="C6841" s="1" t="n">
        <v>45883</v>
      </c>
      <c r="D6841" t="inlineStr">
        <is>
          <t>GÄVLEBORGS LÄN</t>
        </is>
      </c>
      <c r="E6841" t="inlineStr">
        <is>
          <t>BOLLNÄS</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29930-2025</t>
        </is>
      </c>
      <c r="B6842" s="1" t="n">
        <v>45826.43805555555</v>
      </c>
      <c r="C6842" s="1" t="n">
        <v>45883</v>
      </c>
      <c r="D6842" t="inlineStr">
        <is>
          <t>GÄVLEBORGS LÄN</t>
        </is>
      </c>
      <c r="E6842" t="inlineStr">
        <is>
          <t>BOLLNÄS</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29931-2025</t>
        </is>
      </c>
      <c r="B6843" s="1" t="n">
        <v>45826.43832175926</v>
      </c>
      <c r="C6843" s="1" t="n">
        <v>45883</v>
      </c>
      <c r="D6843" t="inlineStr">
        <is>
          <t>GÄVLEBORGS LÄN</t>
        </is>
      </c>
      <c r="E6843" t="inlineStr">
        <is>
          <t>OVANÅKER</t>
        </is>
      </c>
      <c r="F6843" t="inlineStr">
        <is>
          <t>Bergvik skog öst AB</t>
        </is>
      </c>
      <c r="G6843" t="n">
        <v>10</v>
      </c>
      <c r="H6843" t="n">
        <v>0</v>
      </c>
      <c r="I6843" t="n">
        <v>0</v>
      </c>
      <c r="J6843" t="n">
        <v>0</v>
      </c>
      <c r="K6843" t="n">
        <v>0</v>
      </c>
      <c r="L6843" t="n">
        <v>0</v>
      </c>
      <c r="M6843" t="n">
        <v>0</v>
      </c>
      <c r="N6843" t="n">
        <v>0</v>
      </c>
      <c r="O6843" t="n">
        <v>0</v>
      </c>
      <c r="P6843" t="n">
        <v>0</v>
      </c>
      <c r="Q6843" t="n">
        <v>0</v>
      </c>
      <c r="R6843" s="2" t="inlineStr"/>
    </row>
    <row r="6844" ht="15" customHeight="1">
      <c r="A6844" t="inlineStr">
        <is>
          <t>A 36349-2025</t>
        </is>
      </c>
      <c r="B6844" s="1" t="n">
        <v>45868.48269675926</v>
      </c>
      <c r="C6844" s="1" t="n">
        <v>45883</v>
      </c>
      <c r="D6844" t="inlineStr">
        <is>
          <t>GÄVLEBORGS LÄN</t>
        </is>
      </c>
      <c r="E6844" t="inlineStr">
        <is>
          <t>HOFORS</t>
        </is>
      </c>
      <c r="G6844" t="n">
        <v>2.7</v>
      </c>
      <c r="H6844" t="n">
        <v>0</v>
      </c>
      <c r="I6844" t="n">
        <v>0</v>
      </c>
      <c r="J6844" t="n">
        <v>0</v>
      </c>
      <c r="K6844" t="n">
        <v>0</v>
      </c>
      <c r="L6844" t="n">
        <v>0</v>
      </c>
      <c r="M6844" t="n">
        <v>0</v>
      </c>
      <c r="N6844" t="n">
        <v>0</v>
      </c>
      <c r="O6844" t="n">
        <v>0</v>
      </c>
      <c r="P6844" t="n">
        <v>0</v>
      </c>
      <c r="Q6844" t="n">
        <v>0</v>
      </c>
      <c r="R6844" s="2" t="inlineStr"/>
    </row>
    <row r="6845" ht="15" customHeight="1">
      <c r="A6845" t="inlineStr">
        <is>
          <t>A 36388-2025</t>
        </is>
      </c>
      <c r="B6845" s="1" t="n">
        <v>45868.59954861111</v>
      </c>
      <c r="C6845" s="1" t="n">
        <v>45883</v>
      </c>
      <c r="D6845" t="inlineStr">
        <is>
          <t>GÄVLEBORGS LÄN</t>
        </is>
      </c>
      <c r="E6845" t="inlineStr">
        <is>
          <t>HUDIKSVALL</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28981-2022</t>
        </is>
      </c>
      <c r="B6846" s="1" t="n">
        <v>44749.65293981481</v>
      </c>
      <c r="C6846" s="1" t="n">
        <v>45883</v>
      </c>
      <c r="D6846" t="inlineStr">
        <is>
          <t>GÄVLEBORGS LÄN</t>
        </is>
      </c>
      <c r="E6846" t="inlineStr">
        <is>
          <t>BOLLNÄS</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47530-2023</t>
        </is>
      </c>
      <c r="B6847" s="1" t="n">
        <v>45203.35106481481</v>
      </c>
      <c r="C6847" s="1" t="n">
        <v>45883</v>
      </c>
      <c r="D6847" t="inlineStr">
        <is>
          <t>GÄVLEBORGS LÄN</t>
        </is>
      </c>
      <c r="E6847" t="inlineStr">
        <is>
          <t>HUDIKSVALL</t>
        </is>
      </c>
      <c r="F6847" t="inlineStr">
        <is>
          <t>Holmen skog AB</t>
        </is>
      </c>
      <c r="G6847" t="n">
        <v>37.8</v>
      </c>
      <c r="H6847" t="n">
        <v>0</v>
      </c>
      <c r="I6847" t="n">
        <v>0</v>
      </c>
      <c r="J6847" t="n">
        <v>0</v>
      </c>
      <c r="K6847" t="n">
        <v>0</v>
      </c>
      <c r="L6847" t="n">
        <v>0</v>
      </c>
      <c r="M6847" t="n">
        <v>0</v>
      </c>
      <c r="N6847" t="n">
        <v>0</v>
      </c>
      <c r="O6847" t="n">
        <v>0</v>
      </c>
      <c r="P6847" t="n">
        <v>0</v>
      </c>
      <c r="Q6847" t="n">
        <v>0</v>
      </c>
      <c r="R6847" s="2" t="inlineStr"/>
    </row>
    <row r="6848" ht="15" customHeight="1">
      <c r="A6848" t="inlineStr">
        <is>
          <t>A 36087-2023</t>
        </is>
      </c>
      <c r="B6848" s="1" t="n">
        <v>45149</v>
      </c>
      <c r="C6848" s="1" t="n">
        <v>45883</v>
      </c>
      <c r="D6848" t="inlineStr">
        <is>
          <t>GÄVLEBORGS LÄN</t>
        </is>
      </c>
      <c r="E6848" t="inlineStr">
        <is>
          <t>BOLLNÄS</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29741-2025</t>
        </is>
      </c>
      <c r="B6849" s="1" t="n">
        <v>45825.59167824074</v>
      </c>
      <c r="C6849" s="1" t="n">
        <v>45883</v>
      </c>
      <c r="D6849" t="inlineStr">
        <is>
          <t>GÄVLEBORGS LÄN</t>
        </is>
      </c>
      <c r="E6849" t="inlineStr">
        <is>
          <t>NORDANSTIG</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29777-2025</t>
        </is>
      </c>
      <c r="B6850" s="1" t="n">
        <v>45825.64113425926</v>
      </c>
      <c r="C6850" s="1" t="n">
        <v>45883</v>
      </c>
      <c r="D6850" t="inlineStr">
        <is>
          <t>GÄVLEBORGS LÄN</t>
        </is>
      </c>
      <c r="E6850" t="inlineStr">
        <is>
          <t>BOLLNÄS</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29575-2025</t>
        </is>
      </c>
      <c r="B6851" s="1" t="n">
        <v>45825.37327546296</v>
      </c>
      <c r="C6851" s="1" t="n">
        <v>45883</v>
      </c>
      <c r="D6851" t="inlineStr">
        <is>
          <t>GÄVLEBORGS LÄN</t>
        </is>
      </c>
      <c r="E6851" t="inlineStr">
        <is>
          <t>BOLLNÄS</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29920-2025</t>
        </is>
      </c>
      <c r="B6852" s="1" t="n">
        <v>45826.42377314815</v>
      </c>
      <c r="C6852" s="1" t="n">
        <v>45883</v>
      </c>
      <c r="D6852" t="inlineStr">
        <is>
          <t>GÄVLEBORGS LÄN</t>
        </is>
      </c>
      <c r="E6852" t="inlineStr">
        <is>
          <t>OVANÅKER</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36406-2025</t>
        </is>
      </c>
      <c r="B6853" s="1" t="n">
        <v>45868.67018518518</v>
      </c>
      <c r="C6853" s="1" t="n">
        <v>45883</v>
      </c>
      <c r="D6853" t="inlineStr">
        <is>
          <t>GÄVLEBORGS LÄN</t>
        </is>
      </c>
      <c r="E6853" t="inlineStr">
        <is>
          <t>OVANÅKER</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60885-2023</t>
        </is>
      </c>
      <c r="B6854" s="1" t="n">
        <v>45261</v>
      </c>
      <c r="C6854" s="1" t="n">
        <v>45883</v>
      </c>
      <c r="D6854" t="inlineStr">
        <is>
          <t>GÄVLEBORGS LÄN</t>
        </is>
      </c>
      <c r="E6854" t="inlineStr">
        <is>
          <t>GÄVLE</t>
        </is>
      </c>
      <c r="G6854" t="n">
        <v>2.9</v>
      </c>
      <c r="H6854" t="n">
        <v>0</v>
      </c>
      <c r="I6854" t="n">
        <v>0</v>
      </c>
      <c r="J6854" t="n">
        <v>0</v>
      </c>
      <c r="K6854" t="n">
        <v>0</v>
      </c>
      <c r="L6854" t="n">
        <v>0</v>
      </c>
      <c r="M6854" t="n">
        <v>0</v>
      </c>
      <c r="N6854" t="n">
        <v>0</v>
      </c>
      <c r="O6854" t="n">
        <v>0</v>
      </c>
      <c r="P6854" t="n">
        <v>0</v>
      </c>
      <c r="Q6854" t="n">
        <v>0</v>
      </c>
      <c r="R6854" s="2" t="inlineStr"/>
    </row>
    <row r="6855" ht="15" customHeight="1">
      <c r="A6855" t="inlineStr">
        <is>
          <t>A 60899-2023</t>
        </is>
      </c>
      <c r="B6855" s="1" t="n">
        <v>45261.34966435185</v>
      </c>
      <c r="C6855" s="1" t="n">
        <v>45883</v>
      </c>
      <c r="D6855" t="inlineStr">
        <is>
          <t>GÄVLEBORGS LÄN</t>
        </is>
      </c>
      <c r="E6855" t="inlineStr">
        <is>
          <t>HUDIKSVALL</t>
        </is>
      </c>
      <c r="F6855" t="inlineStr">
        <is>
          <t>Holmen skog AB</t>
        </is>
      </c>
      <c r="G6855" t="n">
        <v>3.4</v>
      </c>
      <c r="H6855" t="n">
        <v>0</v>
      </c>
      <c r="I6855" t="n">
        <v>0</v>
      </c>
      <c r="J6855" t="n">
        <v>0</v>
      </c>
      <c r="K6855" t="n">
        <v>0</v>
      </c>
      <c r="L6855" t="n">
        <v>0</v>
      </c>
      <c r="M6855" t="n">
        <v>0</v>
      </c>
      <c r="N6855" t="n">
        <v>0</v>
      </c>
      <c r="O6855" t="n">
        <v>0</v>
      </c>
      <c r="P6855" t="n">
        <v>0</v>
      </c>
      <c r="Q6855" t="n">
        <v>0</v>
      </c>
      <c r="R6855" s="2" t="inlineStr"/>
    </row>
    <row r="6856" ht="15" customHeight="1">
      <c r="A6856" t="inlineStr">
        <is>
          <t>A 60901-2023</t>
        </is>
      </c>
      <c r="B6856" s="1" t="n">
        <v>45261.35739583334</v>
      </c>
      <c r="C6856" s="1" t="n">
        <v>45883</v>
      </c>
      <c r="D6856" t="inlineStr">
        <is>
          <t>GÄVLEBORGS LÄN</t>
        </is>
      </c>
      <c r="E6856" t="inlineStr">
        <is>
          <t>HUDIKSVALL</t>
        </is>
      </c>
      <c r="F6856" t="inlineStr">
        <is>
          <t>Holmen skog AB</t>
        </is>
      </c>
      <c r="G6856" t="n">
        <v>3.7</v>
      </c>
      <c r="H6856" t="n">
        <v>0</v>
      </c>
      <c r="I6856" t="n">
        <v>0</v>
      </c>
      <c r="J6856" t="n">
        <v>0</v>
      </c>
      <c r="K6856" t="n">
        <v>0</v>
      </c>
      <c r="L6856" t="n">
        <v>0</v>
      </c>
      <c r="M6856" t="n">
        <v>0</v>
      </c>
      <c r="N6856" t="n">
        <v>0</v>
      </c>
      <c r="O6856" t="n">
        <v>0</v>
      </c>
      <c r="P6856" t="n">
        <v>0</v>
      </c>
      <c r="Q6856" t="n">
        <v>0</v>
      </c>
      <c r="R6856" s="2" t="inlineStr"/>
    </row>
    <row r="6857" ht="15" customHeight="1">
      <c r="A6857" t="inlineStr">
        <is>
          <t>A 36471-2025</t>
        </is>
      </c>
      <c r="B6857" s="1" t="n">
        <v>45869.4811574074</v>
      </c>
      <c r="C6857" s="1" t="n">
        <v>45883</v>
      </c>
      <c r="D6857" t="inlineStr">
        <is>
          <t>GÄVLEBORGS LÄN</t>
        </is>
      </c>
      <c r="E6857" t="inlineStr">
        <is>
          <t>BOLLNÄS</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36493-2025</t>
        </is>
      </c>
      <c r="B6858" s="1" t="n">
        <v>45869.54342592593</v>
      </c>
      <c r="C6858" s="1" t="n">
        <v>45883</v>
      </c>
      <c r="D6858" t="inlineStr">
        <is>
          <t>GÄVLEBORGS LÄN</t>
        </is>
      </c>
      <c r="E6858" t="inlineStr">
        <is>
          <t>GÄVLE</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36516-2025</t>
        </is>
      </c>
      <c r="B6859" s="1" t="n">
        <v>45869.58846064815</v>
      </c>
      <c r="C6859" s="1" t="n">
        <v>45883</v>
      </c>
      <c r="D6859" t="inlineStr">
        <is>
          <t>GÄVLEBORGS LÄN</t>
        </is>
      </c>
      <c r="E6859" t="inlineStr">
        <is>
          <t>GÄVLE</t>
        </is>
      </c>
      <c r="G6859" t="n">
        <v>0.4</v>
      </c>
      <c r="H6859" t="n">
        <v>0</v>
      </c>
      <c r="I6859" t="n">
        <v>0</v>
      </c>
      <c r="J6859" t="n">
        <v>0</v>
      </c>
      <c r="K6859" t="n">
        <v>0</v>
      </c>
      <c r="L6859" t="n">
        <v>0</v>
      </c>
      <c r="M6859" t="n">
        <v>0</v>
      </c>
      <c r="N6859" t="n">
        <v>0</v>
      </c>
      <c r="O6859" t="n">
        <v>0</v>
      </c>
      <c r="P6859" t="n">
        <v>0</v>
      </c>
      <c r="Q6859" t="n">
        <v>0</v>
      </c>
      <c r="R6859" s="2" t="inlineStr"/>
    </row>
    <row r="6860" ht="15" customHeight="1">
      <c r="A6860" t="inlineStr">
        <is>
          <t>A 37972-2022</t>
        </is>
      </c>
      <c r="B6860" s="1" t="n">
        <v>44811</v>
      </c>
      <c r="C6860" s="1" t="n">
        <v>45883</v>
      </c>
      <c r="D6860" t="inlineStr">
        <is>
          <t>GÄVLEBORGS LÄN</t>
        </is>
      </c>
      <c r="E6860" t="inlineStr">
        <is>
          <t>NORDANSTIG</t>
        </is>
      </c>
      <c r="G6860" t="n">
        <v>2.7</v>
      </c>
      <c r="H6860" t="n">
        <v>0</v>
      </c>
      <c r="I6860" t="n">
        <v>0</v>
      </c>
      <c r="J6860" t="n">
        <v>0</v>
      </c>
      <c r="K6860" t="n">
        <v>0</v>
      </c>
      <c r="L6860" t="n">
        <v>0</v>
      </c>
      <c r="M6860" t="n">
        <v>0</v>
      </c>
      <c r="N6860" t="n">
        <v>0</v>
      </c>
      <c r="O6860" t="n">
        <v>0</v>
      </c>
      <c r="P6860" t="n">
        <v>0</v>
      </c>
      <c r="Q6860" t="n">
        <v>0</v>
      </c>
      <c r="R6860" s="2" t="inlineStr"/>
    </row>
    <row r="6861" ht="15" customHeight="1">
      <c r="A6861" t="inlineStr">
        <is>
          <t>A 37986-2022</t>
        </is>
      </c>
      <c r="B6861" s="1" t="n">
        <v>44811.56202546296</v>
      </c>
      <c r="C6861" s="1" t="n">
        <v>45883</v>
      </c>
      <c r="D6861" t="inlineStr">
        <is>
          <t>GÄVLEBORGS LÄN</t>
        </is>
      </c>
      <c r="E6861" t="inlineStr">
        <is>
          <t>NORDANSTIG</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30448-2025</t>
        </is>
      </c>
      <c r="B6862" s="1" t="n">
        <v>45827.65844907407</v>
      </c>
      <c r="C6862" s="1" t="n">
        <v>45883</v>
      </c>
      <c r="D6862" t="inlineStr">
        <is>
          <t>GÄVLEBORGS LÄN</t>
        </is>
      </c>
      <c r="E6862" t="inlineStr">
        <is>
          <t>NORDANSTIG</t>
        </is>
      </c>
      <c r="F6862" t="inlineStr">
        <is>
          <t>Holmen skog AB</t>
        </is>
      </c>
      <c r="G6862" t="n">
        <v>7.7</v>
      </c>
      <c r="H6862" t="n">
        <v>0</v>
      </c>
      <c r="I6862" t="n">
        <v>0</v>
      </c>
      <c r="J6862" t="n">
        <v>0</v>
      </c>
      <c r="K6862" t="n">
        <v>0</v>
      </c>
      <c r="L6862" t="n">
        <v>0</v>
      </c>
      <c r="M6862" t="n">
        <v>0</v>
      </c>
      <c r="N6862" t="n">
        <v>0</v>
      </c>
      <c r="O6862" t="n">
        <v>0</v>
      </c>
      <c r="P6862" t="n">
        <v>0</v>
      </c>
      <c r="Q6862" t="n">
        <v>0</v>
      </c>
      <c r="R6862" s="2" t="inlineStr"/>
    </row>
    <row r="6863" ht="15" customHeight="1">
      <c r="A6863" t="inlineStr">
        <is>
          <t>A 30455-2025</t>
        </is>
      </c>
      <c r="B6863" s="1" t="n">
        <v>45827</v>
      </c>
      <c r="C6863" s="1" t="n">
        <v>45883</v>
      </c>
      <c r="D6863" t="inlineStr">
        <is>
          <t>GÄVLEBORGS LÄN</t>
        </is>
      </c>
      <c r="E6863" t="inlineStr">
        <is>
          <t>BOLLNÄS</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55992-2022</t>
        </is>
      </c>
      <c r="B6864" s="1" t="n">
        <v>44889</v>
      </c>
      <c r="C6864" s="1" t="n">
        <v>45883</v>
      </c>
      <c r="D6864" t="inlineStr">
        <is>
          <t>GÄVLEBORGS LÄN</t>
        </is>
      </c>
      <c r="E6864" t="inlineStr">
        <is>
          <t>OVANÅKER</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30481-2025</t>
        </is>
      </c>
      <c r="B6865" s="1" t="n">
        <v>45828.61712962963</v>
      </c>
      <c r="C6865" s="1" t="n">
        <v>45883</v>
      </c>
      <c r="D6865" t="inlineStr">
        <is>
          <t>GÄVLEBORGS LÄN</t>
        </is>
      </c>
      <c r="E6865" t="inlineStr">
        <is>
          <t>HUDIKSVALL</t>
        </is>
      </c>
      <c r="F6865" t="inlineStr">
        <is>
          <t>Holmen skog AB</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36584-2025</t>
        </is>
      </c>
      <c r="B6866" s="1" t="n">
        <v>45870.43672453704</v>
      </c>
      <c r="C6866" s="1" t="n">
        <v>45883</v>
      </c>
      <c r="D6866" t="inlineStr">
        <is>
          <t>GÄVLEBORGS LÄN</t>
        </is>
      </c>
      <c r="E6866" t="inlineStr">
        <is>
          <t>SANDVIKEN</t>
        </is>
      </c>
      <c r="F6866" t="inlineStr">
        <is>
          <t>Sveaskog</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30201-2025</t>
        </is>
      </c>
      <c r="B6867" s="1" t="n">
        <v>45827.3578125</v>
      </c>
      <c r="C6867" s="1" t="n">
        <v>45883</v>
      </c>
      <c r="D6867" t="inlineStr">
        <is>
          <t>GÄVLEBORGS LÄN</t>
        </is>
      </c>
      <c r="E6867" t="inlineStr">
        <is>
          <t>GÄVLE</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67082-2021</t>
        </is>
      </c>
      <c r="B6868" s="1" t="n">
        <v>44522</v>
      </c>
      <c r="C6868" s="1" t="n">
        <v>45883</v>
      </c>
      <c r="D6868" t="inlineStr">
        <is>
          <t>GÄVLEBORGS LÄN</t>
        </is>
      </c>
      <c r="E6868" t="inlineStr">
        <is>
          <t>HUDIKSVALL</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30292-2025</t>
        </is>
      </c>
      <c r="B6869" s="1" t="n">
        <v>45827.47149305556</v>
      </c>
      <c r="C6869" s="1" t="n">
        <v>45883</v>
      </c>
      <c r="D6869" t="inlineStr">
        <is>
          <t>GÄVLEBORGS LÄN</t>
        </is>
      </c>
      <c r="E6869" t="inlineStr">
        <is>
          <t>BOLLNÄS</t>
        </is>
      </c>
      <c r="G6869" t="n">
        <v>3.6</v>
      </c>
      <c r="H6869" t="n">
        <v>0</v>
      </c>
      <c r="I6869" t="n">
        <v>0</v>
      </c>
      <c r="J6869" t="n">
        <v>0</v>
      </c>
      <c r="K6869" t="n">
        <v>0</v>
      </c>
      <c r="L6869" t="n">
        <v>0</v>
      </c>
      <c r="M6869" t="n">
        <v>0</v>
      </c>
      <c r="N6869" t="n">
        <v>0</v>
      </c>
      <c r="O6869" t="n">
        <v>0</v>
      </c>
      <c r="P6869" t="n">
        <v>0</v>
      </c>
      <c r="Q6869" t="n">
        <v>0</v>
      </c>
      <c r="R6869" s="2" t="inlineStr"/>
    </row>
    <row r="6870" ht="15" customHeight="1">
      <c r="A6870" t="inlineStr">
        <is>
          <t>A 30277-2025</t>
        </is>
      </c>
      <c r="B6870" s="1" t="n">
        <v>45827.45482638889</v>
      </c>
      <c r="C6870" s="1" t="n">
        <v>45883</v>
      </c>
      <c r="D6870" t="inlineStr">
        <is>
          <t>GÄVLEBORGS LÄN</t>
        </is>
      </c>
      <c r="E6870" t="inlineStr">
        <is>
          <t>GÄVLE</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30303-2025</t>
        </is>
      </c>
      <c r="B6871" s="1" t="n">
        <v>45827.48033564815</v>
      </c>
      <c r="C6871" s="1" t="n">
        <v>45883</v>
      </c>
      <c r="D6871" t="inlineStr">
        <is>
          <t>GÄVLEBORGS LÄN</t>
        </is>
      </c>
      <c r="E6871" t="inlineStr">
        <is>
          <t>BOLLNÄS</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30331-2025</t>
        </is>
      </c>
      <c r="B6872" s="1" t="n">
        <v>45827.50730324074</v>
      </c>
      <c r="C6872" s="1" t="n">
        <v>45883</v>
      </c>
      <c r="D6872" t="inlineStr">
        <is>
          <t>GÄVLEBORGS LÄN</t>
        </is>
      </c>
      <c r="E6872" t="inlineStr">
        <is>
          <t>OCKELBO</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30149-2025</t>
        </is>
      </c>
      <c r="B6873" s="1" t="n">
        <v>45827.31229166667</v>
      </c>
      <c r="C6873" s="1" t="n">
        <v>45883</v>
      </c>
      <c r="D6873" t="inlineStr">
        <is>
          <t>GÄVLEBORGS LÄN</t>
        </is>
      </c>
      <c r="E6873" t="inlineStr">
        <is>
          <t>OVANÅKER</t>
        </is>
      </c>
      <c r="F6873" t="inlineStr">
        <is>
          <t>Bergvik skog väst AB</t>
        </is>
      </c>
      <c r="G6873" t="n">
        <v>12.1</v>
      </c>
      <c r="H6873" t="n">
        <v>0</v>
      </c>
      <c r="I6873" t="n">
        <v>0</v>
      </c>
      <c r="J6873" t="n">
        <v>0</v>
      </c>
      <c r="K6873" t="n">
        <v>0</v>
      </c>
      <c r="L6873" t="n">
        <v>0</v>
      </c>
      <c r="M6873" t="n">
        <v>0</v>
      </c>
      <c r="N6873" t="n">
        <v>0</v>
      </c>
      <c r="O6873" t="n">
        <v>0</v>
      </c>
      <c r="P6873" t="n">
        <v>0</v>
      </c>
      <c r="Q6873" t="n">
        <v>0</v>
      </c>
      <c r="R6873" s="2" t="inlineStr"/>
    </row>
    <row r="6874" ht="15" customHeight="1">
      <c r="A6874" t="inlineStr">
        <is>
          <t>A 41024-2023</t>
        </is>
      </c>
      <c r="B6874" s="1" t="n">
        <v>45173.59577546296</v>
      </c>
      <c r="C6874" s="1" t="n">
        <v>45883</v>
      </c>
      <c r="D6874" t="inlineStr">
        <is>
          <t>GÄVLEBORGS LÄN</t>
        </is>
      </c>
      <c r="E6874" t="inlineStr">
        <is>
          <t>SANDVIKEN</t>
        </is>
      </c>
      <c r="F6874" t="inlineStr">
        <is>
          <t>Sveaskog</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36452-2025</t>
        </is>
      </c>
      <c r="B6875" s="1" t="n">
        <v>45869.42978009259</v>
      </c>
      <c r="C6875" s="1" t="n">
        <v>45883</v>
      </c>
      <c r="D6875" t="inlineStr">
        <is>
          <t>GÄVLEBORGS LÄN</t>
        </is>
      </c>
      <c r="E6875" t="inlineStr">
        <is>
          <t>GÄVLE</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53488-2023</t>
        </is>
      </c>
      <c r="B6876" s="1" t="n">
        <v>45230.35541666667</v>
      </c>
      <c r="C6876" s="1" t="n">
        <v>45883</v>
      </c>
      <c r="D6876" t="inlineStr">
        <is>
          <t>GÄVLEBORGS LÄN</t>
        </is>
      </c>
      <c r="E6876" t="inlineStr">
        <is>
          <t>OCKELBO</t>
        </is>
      </c>
      <c r="F6876" t="inlineStr">
        <is>
          <t>Bergvik skog väst AB</t>
        </is>
      </c>
      <c r="G6876" t="n">
        <v>13.3</v>
      </c>
      <c r="H6876" t="n">
        <v>0</v>
      </c>
      <c r="I6876" t="n">
        <v>0</v>
      </c>
      <c r="J6876" t="n">
        <v>0</v>
      </c>
      <c r="K6876" t="n">
        <v>0</v>
      </c>
      <c r="L6876" t="n">
        <v>0</v>
      </c>
      <c r="M6876" t="n">
        <v>0</v>
      </c>
      <c r="N6876" t="n">
        <v>0</v>
      </c>
      <c r="O6876" t="n">
        <v>0</v>
      </c>
      <c r="P6876" t="n">
        <v>0</v>
      </c>
      <c r="Q6876" t="n">
        <v>0</v>
      </c>
      <c r="R6876" s="2" t="inlineStr"/>
    </row>
    <row r="6877" ht="15" customHeight="1">
      <c r="A6877" t="inlineStr">
        <is>
          <t>A 36449-2025</t>
        </is>
      </c>
      <c r="B6877" s="1" t="n">
        <v>45869.42247685185</v>
      </c>
      <c r="C6877" s="1" t="n">
        <v>45883</v>
      </c>
      <c r="D6877" t="inlineStr">
        <is>
          <t>GÄVLEBORGS LÄN</t>
        </is>
      </c>
      <c r="E6877" t="inlineStr">
        <is>
          <t>GÄVLE</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36474-2025</t>
        </is>
      </c>
      <c r="B6878" s="1" t="n">
        <v>45869.48569444445</v>
      </c>
      <c r="C6878" s="1" t="n">
        <v>45883</v>
      </c>
      <c r="D6878" t="inlineStr">
        <is>
          <t>GÄVLEBORGS LÄN</t>
        </is>
      </c>
      <c r="E6878" t="inlineStr">
        <is>
          <t>BOLLNÄS</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30300-2025</t>
        </is>
      </c>
      <c r="B6879" s="1" t="n">
        <v>45827.47604166667</v>
      </c>
      <c r="C6879" s="1" t="n">
        <v>45883</v>
      </c>
      <c r="D6879" t="inlineStr">
        <is>
          <t>GÄVLEBORGS LÄN</t>
        </is>
      </c>
      <c r="E6879" t="inlineStr">
        <is>
          <t>GÄVLE</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30304-2025</t>
        </is>
      </c>
      <c r="B6880" s="1" t="n">
        <v>45827.480625</v>
      </c>
      <c r="C6880" s="1" t="n">
        <v>45883</v>
      </c>
      <c r="D6880" t="inlineStr">
        <is>
          <t>GÄVLEBORGS LÄN</t>
        </is>
      </c>
      <c r="E6880" t="inlineStr">
        <is>
          <t>GÄVLE</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30308-2025</t>
        </is>
      </c>
      <c r="B6881" s="1" t="n">
        <v>45827.4880787037</v>
      </c>
      <c r="C6881" s="1" t="n">
        <v>45883</v>
      </c>
      <c r="D6881" t="inlineStr">
        <is>
          <t>GÄVLEBORGS LÄN</t>
        </is>
      </c>
      <c r="E6881" t="inlineStr">
        <is>
          <t>BOLLNÄS</t>
        </is>
      </c>
      <c r="G6881" t="n">
        <v>3.4</v>
      </c>
      <c r="H6881" t="n">
        <v>0</v>
      </c>
      <c r="I6881" t="n">
        <v>0</v>
      </c>
      <c r="J6881" t="n">
        <v>0</v>
      </c>
      <c r="K6881" t="n">
        <v>0</v>
      </c>
      <c r="L6881" t="n">
        <v>0</v>
      </c>
      <c r="M6881" t="n">
        <v>0</v>
      </c>
      <c r="N6881" t="n">
        <v>0</v>
      </c>
      <c r="O6881" t="n">
        <v>0</v>
      </c>
      <c r="P6881" t="n">
        <v>0</v>
      </c>
      <c r="Q6881" t="n">
        <v>0</v>
      </c>
      <c r="R6881" s="2" t="inlineStr"/>
    </row>
    <row r="6882" ht="15" customHeight="1">
      <c r="A6882" t="inlineStr">
        <is>
          <t>A 37071-2022</t>
        </is>
      </c>
      <c r="B6882" s="1" t="n">
        <v>44806</v>
      </c>
      <c r="C6882" s="1" t="n">
        <v>45883</v>
      </c>
      <c r="D6882" t="inlineStr">
        <is>
          <t>GÄVLEBORGS LÄN</t>
        </is>
      </c>
      <c r="E6882" t="inlineStr">
        <is>
          <t>BOLLNÄS</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1392-2024</t>
        </is>
      </c>
      <c r="B6883" s="1" t="n">
        <v>45303.57997685186</v>
      </c>
      <c r="C6883" s="1" t="n">
        <v>45883</v>
      </c>
      <c r="D6883" t="inlineStr">
        <is>
          <t>GÄVLEBORGS LÄN</t>
        </is>
      </c>
      <c r="E6883" t="inlineStr">
        <is>
          <t>SANDVIKEN</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591-2024</t>
        </is>
      </c>
      <c r="B6884" s="1" t="n">
        <v>45299</v>
      </c>
      <c r="C6884" s="1" t="n">
        <v>45883</v>
      </c>
      <c r="D6884" t="inlineStr">
        <is>
          <t>GÄVLEBORGS LÄN</t>
        </is>
      </c>
      <c r="E6884" t="inlineStr">
        <is>
          <t>LJUSDAL</t>
        </is>
      </c>
      <c r="G6884" t="n">
        <v>14.1</v>
      </c>
      <c r="H6884" t="n">
        <v>0</v>
      </c>
      <c r="I6884" t="n">
        <v>0</v>
      </c>
      <c r="J6884" t="n">
        <v>0</v>
      </c>
      <c r="K6884" t="n">
        <v>0</v>
      </c>
      <c r="L6884" t="n">
        <v>0</v>
      </c>
      <c r="M6884" t="n">
        <v>0</v>
      </c>
      <c r="N6884" t="n">
        <v>0</v>
      </c>
      <c r="O6884" t="n">
        <v>0</v>
      </c>
      <c r="P6884" t="n">
        <v>0</v>
      </c>
      <c r="Q6884" t="n">
        <v>0</v>
      </c>
      <c r="R6884" s="2" t="inlineStr"/>
    </row>
    <row r="6885" ht="15" customHeight="1">
      <c r="A6885" t="inlineStr">
        <is>
          <t>A 17761-2025</t>
        </is>
      </c>
      <c r="B6885" s="1" t="n">
        <v>45758.495625</v>
      </c>
      <c r="C6885" s="1" t="n">
        <v>45883</v>
      </c>
      <c r="D6885" t="inlineStr">
        <is>
          <t>GÄVLEBORGS LÄN</t>
        </is>
      </c>
      <c r="E6885" t="inlineStr">
        <is>
          <t>BOLLNÄS</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9589-2025</t>
        </is>
      </c>
      <c r="B6886" s="1" t="n">
        <v>45715.64090277778</v>
      </c>
      <c r="C6886" s="1" t="n">
        <v>45883</v>
      </c>
      <c r="D6886" t="inlineStr">
        <is>
          <t>GÄVLEBORGS LÄN</t>
        </is>
      </c>
      <c r="E6886" t="inlineStr">
        <is>
          <t>HUDIKSVALL</t>
        </is>
      </c>
      <c r="F6886" t="inlineStr">
        <is>
          <t>Holmen skog AB</t>
        </is>
      </c>
      <c r="G6886" t="n">
        <v>7.8</v>
      </c>
      <c r="H6886" t="n">
        <v>0</v>
      </c>
      <c r="I6886" t="n">
        <v>0</v>
      </c>
      <c r="J6886" t="n">
        <v>0</v>
      </c>
      <c r="K6886" t="n">
        <v>0</v>
      </c>
      <c r="L6886" t="n">
        <v>0</v>
      </c>
      <c r="M6886" t="n">
        <v>0</v>
      </c>
      <c r="N6886" t="n">
        <v>0</v>
      </c>
      <c r="O6886" t="n">
        <v>0</v>
      </c>
      <c r="P6886" t="n">
        <v>0</v>
      </c>
      <c r="Q6886" t="n">
        <v>0</v>
      </c>
      <c r="R6886" s="2" t="inlineStr"/>
    </row>
    <row r="6887" ht="15" customHeight="1">
      <c r="A6887" t="inlineStr">
        <is>
          <t>A 45989-2023</t>
        </is>
      </c>
      <c r="B6887" s="1" t="n">
        <v>45196.31804398148</v>
      </c>
      <c r="C6887" s="1" t="n">
        <v>45883</v>
      </c>
      <c r="D6887" t="inlineStr">
        <is>
          <t>GÄVLEBORGS LÄN</t>
        </is>
      </c>
      <c r="E6887" t="inlineStr">
        <is>
          <t>SANDVIKEN</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34427-2022</t>
        </is>
      </c>
      <c r="B6888" s="1" t="n">
        <v>44792</v>
      </c>
      <c r="C6888" s="1" t="n">
        <v>45883</v>
      </c>
      <c r="D6888" t="inlineStr">
        <is>
          <t>GÄVLEBORGS LÄN</t>
        </is>
      </c>
      <c r="E6888" t="inlineStr">
        <is>
          <t>HUDIKSVALL</t>
        </is>
      </c>
      <c r="F6888" t="inlineStr">
        <is>
          <t>Holmen skog AB</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2457-2024</t>
        </is>
      </c>
      <c r="B6889" s="1" t="n">
        <v>45312.89391203703</v>
      </c>
      <c r="C6889" s="1" t="n">
        <v>45883</v>
      </c>
      <c r="D6889" t="inlineStr">
        <is>
          <t>GÄVLEBORGS LÄN</t>
        </is>
      </c>
      <c r="E6889" t="inlineStr">
        <is>
          <t>GÄVLE</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35070-2022</t>
        </is>
      </c>
      <c r="B6890" s="1" t="n">
        <v>44797.36980324074</v>
      </c>
      <c r="C6890" s="1" t="n">
        <v>45883</v>
      </c>
      <c r="D6890" t="inlineStr">
        <is>
          <t>GÄVLEBORGS LÄN</t>
        </is>
      </c>
      <c r="E6890" t="inlineStr">
        <is>
          <t>NORDANSTIG</t>
        </is>
      </c>
      <c r="F6890" t="inlineStr">
        <is>
          <t>Holmen skog AB</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24667-2024</t>
        </is>
      </c>
      <c r="B6891" s="1" t="n">
        <v>45460.58346064815</v>
      </c>
      <c r="C6891" s="1" t="n">
        <v>45883</v>
      </c>
      <c r="D6891" t="inlineStr">
        <is>
          <t>GÄVLEBORGS LÄN</t>
        </is>
      </c>
      <c r="E6891" t="inlineStr">
        <is>
          <t>LJUSDAL</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30456-2025</t>
        </is>
      </c>
      <c r="B6892" s="1" t="n">
        <v>45827</v>
      </c>
      <c r="C6892" s="1" t="n">
        <v>45883</v>
      </c>
      <c r="D6892" t="inlineStr">
        <is>
          <t>GÄVLEBORGS LÄN</t>
        </is>
      </c>
      <c r="E6892" t="inlineStr">
        <is>
          <t>BOLLNÄS</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30463-2025</t>
        </is>
      </c>
      <c r="B6893" s="1" t="n">
        <v>45827</v>
      </c>
      <c r="C6893" s="1" t="n">
        <v>45883</v>
      </c>
      <c r="D6893" t="inlineStr">
        <is>
          <t>GÄVLEBORGS LÄN</t>
        </is>
      </c>
      <c r="E6893" t="inlineStr">
        <is>
          <t>HUDIKSVALL</t>
        </is>
      </c>
      <c r="G6893" t="n">
        <v>9.800000000000001</v>
      </c>
      <c r="H6893" t="n">
        <v>0</v>
      </c>
      <c r="I6893" t="n">
        <v>0</v>
      </c>
      <c r="J6893" t="n">
        <v>0</v>
      </c>
      <c r="K6893" t="n">
        <v>0</v>
      </c>
      <c r="L6893" t="n">
        <v>0</v>
      </c>
      <c r="M6893" t="n">
        <v>0</v>
      </c>
      <c r="N6893" t="n">
        <v>0</v>
      </c>
      <c r="O6893" t="n">
        <v>0</v>
      </c>
      <c r="P6893" t="n">
        <v>0</v>
      </c>
      <c r="Q6893" t="n">
        <v>0</v>
      </c>
      <c r="R6893" s="2" t="inlineStr"/>
    </row>
    <row r="6894" ht="15" customHeight="1">
      <c r="A6894" t="inlineStr">
        <is>
          <t>A 30480-2025</t>
        </is>
      </c>
      <c r="B6894" s="1" t="n">
        <v>45828.60586805556</v>
      </c>
      <c r="C6894" s="1" t="n">
        <v>45883</v>
      </c>
      <c r="D6894" t="inlineStr">
        <is>
          <t>GÄVLEBORGS LÄN</t>
        </is>
      </c>
      <c r="E6894" t="inlineStr">
        <is>
          <t>HUDIKSVALL</t>
        </is>
      </c>
      <c r="F6894" t="inlineStr">
        <is>
          <t>Holmen skog AB</t>
        </is>
      </c>
      <c r="G6894" t="n">
        <v>4</v>
      </c>
      <c r="H6894" t="n">
        <v>0</v>
      </c>
      <c r="I6894" t="n">
        <v>0</v>
      </c>
      <c r="J6894" t="n">
        <v>0</v>
      </c>
      <c r="K6894" t="n">
        <v>0</v>
      </c>
      <c r="L6894" t="n">
        <v>0</v>
      </c>
      <c r="M6894" t="n">
        <v>0</v>
      </c>
      <c r="N6894" t="n">
        <v>0</v>
      </c>
      <c r="O6894" t="n">
        <v>0</v>
      </c>
      <c r="P6894" t="n">
        <v>0</v>
      </c>
      <c r="Q6894" t="n">
        <v>0</v>
      </c>
      <c r="R6894" s="2" t="inlineStr"/>
    </row>
    <row r="6895" ht="15" customHeight="1">
      <c r="A6895" t="inlineStr">
        <is>
          <t>A 30482-2025</t>
        </is>
      </c>
      <c r="B6895" s="1" t="n">
        <v>45828.64520833334</v>
      </c>
      <c r="C6895" s="1" t="n">
        <v>45883</v>
      </c>
      <c r="D6895" t="inlineStr">
        <is>
          <t>GÄVLEBORGS LÄN</t>
        </is>
      </c>
      <c r="E6895" t="inlineStr">
        <is>
          <t>HUDIKSVALL</t>
        </is>
      </c>
      <c r="F6895" t="inlineStr">
        <is>
          <t>Holmen skog AB</t>
        </is>
      </c>
      <c r="G6895" t="n">
        <v>4.5</v>
      </c>
      <c r="H6895" t="n">
        <v>0</v>
      </c>
      <c r="I6895" t="n">
        <v>0</v>
      </c>
      <c r="J6895" t="n">
        <v>0</v>
      </c>
      <c r="K6895" t="n">
        <v>0</v>
      </c>
      <c r="L6895" t="n">
        <v>0</v>
      </c>
      <c r="M6895" t="n">
        <v>0</v>
      </c>
      <c r="N6895" t="n">
        <v>0</v>
      </c>
      <c r="O6895" t="n">
        <v>0</v>
      </c>
      <c r="P6895" t="n">
        <v>0</v>
      </c>
      <c r="Q6895" t="n">
        <v>0</v>
      </c>
      <c r="R6895" s="2" t="inlineStr"/>
    </row>
    <row r="6896" ht="15" customHeight="1">
      <c r="A6896" t="inlineStr">
        <is>
          <t>A 34946-2022</t>
        </is>
      </c>
      <c r="B6896" s="1" t="n">
        <v>44796</v>
      </c>
      <c r="C6896" s="1" t="n">
        <v>45883</v>
      </c>
      <c r="D6896" t="inlineStr">
        <is>
          <t>GÄVLEBORGS LÄN</t>
        </is>
      </c>
      <c r="E6896" t="inlineStr">
        <is>
          <t>SANDVIKEN</t>
        </is>
      </c>
      <c r="F6896" t="inlineStr">
        <is>
          <t>Bergvik skog öst AB</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16738-2025</t>
        </is>
      </c>
      <c r="B6897" s="1" t="n">
        <v>45754.54916666666</v>
      </c>
      <c r="C6897" s="1" t="n">
        <v>45883</v>
      </c>
      <c r="D6897" t="inlineStr">
        <is>
          <t>GÄVLEBORGS LÄN</t>
        </is>
      </c>
      <c r="E6897" t="inlineStr">
        <is>
          <t>OCKELBO</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58506-2023</t>
        </is>
      </c>
      <c r="B6898" s="1" t="n">
        <v>45251</v>
      </c>
      <c r="C6898" s="1" t="n">
        <v>45883</v>
      </c>
      <c r="D6898" t="inlineStr">
        <is>
          <t>GÄVLEBORGS LÄN</t>
        </is>
      </c>
      <c r="E6898" t="inlineStr">
        <is>
          <t>BOLLNÄS</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46111-2023</t>
        </is>
      </c>
      <c r="B6899" s="1" t="n">
        <v>45196.54778935185</v>
      </c>
      <c r="C6899" s="1" t="n">
        <v>45883</v>
      </c>
      <c r="D6899" t="inlineStr">
        <is>
          <t>GÄVLEBORGS LÄN</t>
        </is>
      </c>
      <c r="E6899" t="inlineStr">
        <is>
          <t>NORDANSTIG</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1162-2024</t>
        </is>
      </c>
      <c r="B6900" s="1" t="n">
        <v>45302</v>
      </c>
      <c r="C6900" s="1" t="n">
        <v>45883</v>
      </c>
      <c r="D6900" t="inlineStr">
        <is>
          <t>GÄVLEBORGS LÄN</t>
        </is>
      </c>
      <c r="E6900" t="inlineStr">
        <is>
          <t>SANDVIKEN</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23200-2024</t>
        </is>
      </c>
      <c r="B6901" s="1" t="n">
        <v>45451.93958333333</v>
      </c>
      <c r="C6901" s="1" t="n">
        <v>45883</v>
      </c>
      <c r="D6901" t="inlineStr">
        <is>
          <t>GÄVLEBORGS LÄN</t>
        </is>
      </c>
      <c r="E6901" t="inlineStr">
        <is>
          <t>SANDVIKEN</t>
        </is>
      </c>
      <c r="G6901" t="n">
        <v>4.8</v>
      </c>
      <c r="H6901" t="n">
        <v>0</v>
      </c>
      <c r="I6901" t="n">
        <v>0</v>
      </c>
      <c r="J6901" t="n">
        <v>0</v>
      </c>
      <c r="K6901" t="n">
        <v>0</v>
      </c>
      <c r="L6901" t="n">
        <v>0</v>
      </c>
      <c r="M6901" t="n">
        <v>0</v>
      </c>
      <c r="N6901" t="n">
        <v>0</v>
      </c>
      <c r="O6901" t="n">
        <v>0</v>
      </c>
      <c r="P6901" t="n">
        <v>0</v>
      </c>
      <c r="Q6901" t="n">
        <v>0</v>
      </c>
      <c r="R6901" s="2" t="inlineStr"/>
    </row>
    <row r="6902" ht="15" customHeight="1">
      <c r="A6902" t="inlineStr">
        <is>
          <t>A 38251-2022</t>
        </is>
      </c>
      <c r="B6902" s="1" t="n">
        <v>44812.4874537037</v>
      </c>
      <c r="C6902" s="1" t="n">
        <v>45883</v>
      </c>
      <c r="D6902" t="inlineStr">
        <is>
          <t>GÄVLEBORGS LÄN</t>
        </is>
      </c>
      <c r="E6902" t="inlineStr">
        <is>
          <t>HOFORS</t>
        </is>
      </c>
      <c r="G6902" t="n">
        <v>3.5</v>
      </c>
      <c r="H6902" t="n">
        <v>0</v>
      </c>
      <c r="I6902" t="n">
        <v>0</v>
      </c>
      <c r="J6902" t="n">
        <v>0</v>
      </c>
      <c r="K6902" t="n">
        <v>0</v>
      </c>
      <c r="L6902" t="n">
        <v>0</v>
      </c>
      <c r="M6902" t="n">
        <v>0</v>
      </c>
      <c r="N6902" t="n">
        <v>0</v>
      </c>
      <c r="O6902" t="n">
        <v>0</v>
      </c>
      <c r="P6902" t="n">
        <v>0</v>
      </c>
      <c r="Q6902" t="n">
        <v>0</v>
      </c>
      <c r="R6902" s="2" t="inlineStr"/>
    </row>
    <row r="6903" ht="15" customHeight="1">
      <c r="A6903" t="inlineStr">
        <is>
          <t>A 30280-2025</t>
        </is>
      </c>
      <c r="B6903" s="1" t="n">
        <v>45827.45775462963</v>
      </c>
      <c r="C6903" s="1" t="n">
        <v>45883</v>
      </c>
      <c r="D6903" t="inlineStr">
        <is>
          <t>GÄVLEBORGS LÄN</t>
        </is>
      </c>
      <c r="E6903" t="inlineStr">
        <is>
          <t>OCKELBO</t>
        </is>
      </c>
      <c r="F6903" t="inlineStr">
        <is>
          <t>Kyrkan</t>
        </is>
      </c>
      <c r="G6903" t="n">
        <v>5.2</v>
      </c>
      <c r="H6903" t="n">
        <v>0</v>
      </c>
      <c r="I6903" t="n">
        <v>0</v>
      </c>
      <c r="J6903" t="n">
        <v>0</v>
      </c>
      <c r="K6903" t="n">
        <v>0</v>
      </c>
      <c r="L6903" t="n">
        <v>0</v>
      </c>
      <c r="M6903" t="n">
        <v>0</v>
      </c>
      <c r="N6903" t="n">
        <v>0</v>
      </c>
      <c r="O6903" t="n">
        <v>0</v>
      </c>
      <c r="P6903" t="n">
        <v>0</v>
      </c>
      <c r="Q6903" t="n">
        <v>0</v>
      </c>
      <c r="R6903" s="2" t="inlineStr"/>
    </row>
    <row r="6904" ht="15" customHeight="1">
      <c r="A6904" t="inlineStr">
        <is>
          <t>A 48654-2022</t>
        </is>
      </c>
      <c r="B6904" s="1" t="n">
        <v>44859.43793981482</v>
      </c>
      <c r="C6904" s="1" t="n">
        <v>45883</v>
      </c>
      <c r="D6904" t="inlineStr">
        <is>
          <t>GÄVLEBORGS LÄN</t>
        </is>
      </c>
      <c r="E6904" t="inlineStr">
        <is>
          <t>LJUSDAL</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30301-2025</t>
        </is>
      </c>
      <c r="B6905" s="1" t="n">
        <v>45827.47753472222</v>
      </c>
      <c r="C6905" s="1" t="n">
        <v>45883</v>
      </c>
      <c r="D6905" t="inlineStr">
        <is>
          <t>GÄVLEBORGS LÄN</t>
        </is>
      </c>
      <c r="E6905" t="inlineStr">
        <is>
          <t>GÄVLE</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30302-2025</t>
        </is>
      </c>
      <c r="B6906" s="1" t="n">
        <v>45827.47875</v>
      </c>
      <c r="C6906" s="1" t="n">
        <v>45883</v>
      </c>
      <c r="D6906" t="inlineStr">
        <is>
          <t>GÄVLEBORGS LÄN</t>
        </is>
      </c>
      <c r="E6906" t="inlineStr">
        <is>
          <t>GÄVLE</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30400-2025</t>
        </is>
      </c>
      <c r="B6907" s="1" t="n">
        <v>45827.58907407407</v>
      </c>
      <c r="C6907" s="1" t="n">
        <v>45883</v>
      </c>
      <c r="D6907" t="inlineStr">
        <is>
          <t>GÄVLEBORGS LÄN</t>
        </is>
      </c>
      <c r="E6907" t="inlineStr">
        <is>
          <t>NORDANSTIG</t>
        </is>
      </c>
      <c r="F6907" t="inlineStr">
        <is>
          <t>Holmen skog AB</t>
        </is>
      </c>
      <c r="G6907" t="n">
        <v>8</v>
      </c>
      <c r="H6907" t="n">
        <v>0</v>
      </c>
      <c r="I6907" t="n">
        <v>0</v>
      </c>
      <c r="J6907" t="n">
        <v>0</v>
      </c>
      <c r="K6907" t="n">
        <v>0</v>
      </c>
      <c r="L6907" t="n">
        <v>0</v>
      </c>
      <c r="M6907" t="n">
        <v>0</v>
      </c>
      <c r="N6907" t="n">
        <v>0</v>
      </c>
      <c r="O6907" t="n">
        <v>0</v>
      </c>
      <c r="P6907" t="n">
        <v>0</v>
      </c>
      <c r="Q6907" t="n">
        <v>0</v>
      </c>
      <c r="R6907" s="2" t="inlineStr"/>
    </row>
    <row r="6908" ht="15" customHeight="1">
      <c r="A6908" t="inlineStr">
        <is>
          <t>A 30450-2025</t>
        </is>
      </c>
      <c r="B6908" s="1" t="n">
        <v>45827</v>
      </c>
      <c r="C6908" s="1" t="n">
        <v>45883</v>
      </c>
      <c r="D6908" t="inlineStr">
        <is>
          <t>GÄVLEBORGS LÄN</t>
        </is>
      </c>
      <c r="E6908" t="inlineStr">
        <is>
          <t>HUDIKSVALL</t>
        </is>
      </c>
      <c r="G6908" t="n">
        <v>14.4</v>
      </c>
      <c r="H6908" t="n">
        <v>0</v>
      </c>
      <c r="I6908" t="n">
        <v>0</v>
      </c>
      <c r="J6908" t="n">
        <v>0</v>
      </c>
      <c r="K6908" t="n">
        <v>0</v>
      </c>
      <c r="L6908" t="n">
        <v>0</v>
      </c>
      <c r="M6908" t="n">
        <v>0</v>
      </c>
      <c r="N6908" t="n">
        <v>0</v>
      </c>
      <c r="O6908" t="n">
        <v>0</v>
      </c>
      <c r="P6908" t="n">
        <v>0</v>
      </c>
      <c r="Q6908" t="n">
        <v>0</v>
      </c>
      <c r="R6908" s="2" t="inlineStr"/>
    </row>
    <row r="6909" ht="15" customHeight="1">
      <c r="A6909" t="inlineStr">
        <is>
          <t>A 30458-2025</t>
        </is>
      </c>
      <c r="B6909" s="1" t="n">
        <v>45827</v>
      </c>
      <c r="C6909" s="1" t="n">
        <v>45883</v>
      </c>
      <c r="D6909" t="inlineStr">
        <is>
          <t>GÄVLEBORGS LÄN</t>
        </is>
      </c>
      <c r="E6909" t="inlineStr">
        <is>
          <t>BOLLNÄS</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36465-2025</t>
        </is>
      </c>
      <c r="B6910" s="1" t="n">
        <v>45869.46657407407</v>
      </c>
      <c r="C6910" s="1" t="n">
        <v>45883</v>
      </c>
      <c r="D6910" t="inlineStr">
        <is>
          <t>GÄVLEBORGS LÄN</t>
        </is>
      </c>
      <c r="E6910" t="inlineStr">
        <is>
          <t>GÄVLE</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36482-2025</t>
        </is>
      </c>
      <c r="B6911" s="1" t="n">
        <v>45869.5053587963</v>
      </c>
      <c r="C6911" s="1" t="n">
        <v>45883</v>
      </c>
      <c r="D6911" t="inlineStr">
        <is>
          <t>GÄVLEBORGS LÄN</t>
        </is>
      </c>
      <c r="E6911" t="inlineStr">
        <is>
          <t>BOLLNÄS</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30442-2025</t>
        </is>
      </c>
      <c r="B6912" s="1" t="n">
        <v>45827.64628472222</v>
      </c>
      <c r="C6912" s="1" t="n">
        <v>45883</v>
      </c>
      <c r="D6912" t="inlineStr">
        <is>
          <t>GÄVLEBORGS LÄN</t>
        </is>
      </c>
      <c r="E6912" t="inlineStr">
        <is>
          <t>HUDIKSVALL</t>
        </is>
      </c>
      <c r="F6912" t="inlineStr">
        <is>
          <t>Holmen skog AB</t>
        </is>
      </c>
      <c r="G6912" t="n">
        <v>48.3</v>
      </c>
      <c r="H6912" t="n">
        <v>0</v>
      </c>
      <c r="I6912" t="n">
        <v>0</v>
      </c>
      <c r="J6912" t="n">
        <v>0</v>
      </c>
      <c r="K6912" t="n">
        <v>0</v>
      </c>
      <c r="L6912" t="n">
        <v>0</v>
      </c>
      <c r="M6912" t="n">
        <v>0</v>
      </c>
      <c r="N6912" t="n">
        <v>0</v>
      </c>
      <c r="O6912" t="n">
        <v>0</v>
      </c>
      <c r="P6912" t="n">
        <v>0</v>
      </c>
      <c r="Q6912" t="n">
        <v>0</v>
      </c>
      <c r="R6912" s="2" t="inlineStr"/>
    </row>
    <row r="6913" ht="15" customHeight="1">
      <c r="A6913" t="inlineStr">
        <is>
          <t>A 30445-2025</t>
        </is>
      </c>
      <c r="B6913" s="1" t="n">
        <v>45827.64987268519</v>
      </c>
      <c r="C6913" s="1" t="n">
        <v>45883</v>
      </c>
      <c r="D6913" t="inlineStr">
        <is>
          <t>GÄVLEBORGS LÄN</t>
        </is>
      </c>
      <c r="E6913" t="inlineStr">
        <is>
          <t>NORDANSTIG</t>
        </is>
      </c>
      <c r="F6913" t="inlineStr">
        <is>
          <t>Holmen skog AB</t>
        </is>
      </c>
      <c r="G6913" t="n">
        <v>7.8</v>
      </c>
      <c r="H6913" t="n">
        <v>0</v>
      </c>
      <c r="I6913" t="n">
        <v>0</v>
      </c>
      <c r="J6913" t="n">
        <v>0</v>
      </c>
      <c r="K6913" t="n">
        <v>0</v>
      </c>
      <c r="L6913" t="n">
        <v>0</v>
      </c>
      <c r="M6913" t="n">
        <v>0</v>
      </c>
      <c r="N6913" t="n">
        <v>0</v>
      </c>
      <c r="O6913" t="n">
        <v>0</v>
      </c>
      <c r="P6913" t="n">
        <v>0</v>
      </c>
      <c r="Q6913" t="n">
        <v>0</v>
      </c>
      <c r="R6913" s="2" t="inlineStr"/>
    </row>
    <row r="6914" ht="15" customHeight="1">
      <c r="A6914" t="inlineStr">
        <is>
          <t>A 30454-2025</t>
        </is>
      </c>
      <c r="B6914" s="1" t="n">
        <v>45827</v>
      </c>
      <c r="C6914" s="1" t="n">
        <v>45883</v>
      </c>
      <c r="D6914" t="inlineStr">
        <is>
          <t>GÄVLEBORGS LÄN</t>
        </is>
      </c>
      <c r="E6914" t="inlineStr">
        <is>
          <t>BOLLNÄS</t>
        </is>
      </c>
      <c r="G6914" t="n">
        <v>3.9</v>
      </c>
      <c r="H6914" t="n">
        <v>0</v>
      </c>
      <c r="I6914" t="n">
        <v>0</v>
      </c>
      <c r="J6914" t="n">
        <v>0</v>
      </c>
      <c r="K6914" t="n">
        <v>0</v>
      </c>
      <c r="L6914" t="n">
        <v>0</v>
      </c>
      <c r="M6914" t="n">
        <v>0</v>
      </c>
      <c r="N6914" t="n">
        <v>0</v>
      </c>
      <c r="O6914" t="n">
        <v>0</v>
      </c>
      <c r="P6914" t="n">
        <v>0</v>
      </c>
      <c r="Q6914" t="n">
        <v>0</v>
      </c>
      <c r="R6914" s="2" t="inlineStr"/>
    </row>
    <row r="6915" ht="15" customHeight="1">
      <c r="A6915" t="inlineStr">
        <is>
          <t>A 35964-2024</t>
        </is>
      </c>
      <c r="B6915" s="1" t="n">
        <v>45533.48047453703</v>
      </c>
      <c r="C6915" s="1" t="n">
        <v>45883</v>
      </c>
      <c r="D6915" t="inlineStr">
        <is>
          <t>GÄVLEBORGS LÄN</t>
        </is>
      </c>
      <c r="E6915" t="inlineStr">
        <is>
          <t>HUDIKSVALL</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55608-2023</t>
        </is>
      </c>
      <c r="B6916" s="1" t="n">
        <v>45238.70842592593</v>
      </c>
      <c r="C6916" s="1" t="n">
        <v>45883</v>
      </c>
      <c r="D6916" t="inlineStr">
        <is>
          <t>GÄVLEBORGS LÄN</t>
        </is>
      </c>
      <c r="E6916" t="inlineStr">
        <is>
          <t>NORDANSTIG</t>
        </is>
      </c>
      <c r="F6916" t="inlineStr">
        <is>
          <t>Holmen skog AB</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56017-2023</t>
        </is>
      </c>
      <c r="B6917" s="1" t="n">
        <v>45240</v>
      </c>
      <c r="C6917" s="1" t="n">
        <v>45883</v>
      </c>
      <c r="D6917" t="inlineStr">
        <is>
          <t>GÄVLEBORGS LÄN</t>
        </is>
      </c>
      <c r="E6917" t="inlineStr">
        <is>
          <t>SANDVIKEN</t>
        </is>
      </c>
      <c r="F6917" t="inlineStr">
        <is>
          <t>Sveaskog</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35985-2024</t>
        </is>
      </c>
      <c r="B6918" s="1" t="n">
        <v>45533.51108796296</v>
      </c>
      <c r="C6918" s="1" t="n">
        <v>45883</v>
      </c>
      <c r="D6918" t="inlineStr">
        <is>
          <t>GÄVLEBORGS LÄN</t>
        </is>
      </c>
      <c r="E6918" t="inlineStr">
        <is>
          <t>HUDIKSVALL</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35989-2024</t>
        </is>
      </c>
      <c r="B6919" s="1" t="n">
        <v>45533.52966435185</v>
      </c>
      <c r="C6919" s="1" t="n">
        <v>45883</v>
      </c>
      <c r="D6919" t="inlineStr">
        <is>
          <t>GÄVLEBORGS LÄN</t>
        </is>
      </c>
      <c r="E6919" t="inlineStr">
        <is>
          <t>GÄVLE</t>
        </is>
      </c>
      <c r="F6919" t="inlineStr">
        <is>
          <t>Bergvik skog väst AB</t>
        </is>
      </c>
      <c r="G6919" t="n">
        <v>3.1</v>
      </c>
      <c r="H6919" t="n">
        <v>0</v>
      </c>
      <c r="I6919" t="n">
        <v>0</v>
      </c>
      <c r="J6919" t="n">
        <v>0</v>
      </c>
      <c r="K6919" t="n">
        <v>0</v>
      </c>
      <c r="L6919" t="n">
        <v>0</v>
      </c>
      <c r="M6919" t="n">
        <v>0</v>
      </c>
      <c r="N6919" t="n">
        <v>0</v>
      </c>
      <c r="O6919" t="n">
        <v>0</v>
      </c>
      <c r="P6919" t="n">
        <v>0</v>
      </c>
      <c r="Q6919" t="n">
        <v>0</v>
      </c>
      <c r="R6919" s="2" t="inlineStr"/>
      <c r="U6919">
        <f>HYPERLINK("https://klasma.github.io/Logging_2180/knärot/A 35989-2024 karta knärot.png", "A 35989-2024")</f>
        <v/>
      </c>
      <c r="V6919">
        <f>HYPERLINK("https://klasma.github.io/Logging_2180/klagomål/A 35989-2024 FSC-klagomål.docx", "A 35989-2024")</f>
        <v/>
      </c>
      <c r="W6919">
        <f>HYPERLINK("https://klasma.github.io/Logging_2180/klagomålsmail/A 35989-2024 FSC-klagomål mail.docx", "A 35989-2024")</f>
        <v/>
      </c>
      <c r="X6919">
        <f>HYPERLINK("https://klasma.github.io/Logging_2180/tillsyn/A 35989-2024 tillsynsbegäran.docx", "A 35989-2024")</f>
        <v/>
      </c>
      <c r="Y6919">
        <f>HYPERLINK("https://klasma.github.io/Logging_2180/tillsynsmail/A 35989-2024 tillsynsbegäran mail.docx", "A 35989-2024")</f>
        <v/>
      </c>
    </row>
    <row r="6920" ht="15" customHeight="1">
      <c r="A6920" t="inlineStr">
        <is>
          <t>A 30234-2025</t>
        </is>
      </c>
      <c r="B6920" s="1" t="n">
        <v>45827.38854166667</v>
      </c>
      <c r="C6920" s="1" t="n">
        <v>45883</v>
      </c>
      <c r="D6920" t="inlineStr">
        <is>
          <t>GÄVLEBORGS LÄN</t>
        </is>
      </c>
      <c r="E6920" t="inlineStr">
        <is>
          <t>HUDIKSVALL</t>
        </is>
      </c>
      <c r="G6920" t="n">
        <v>8.300000000000001</v>
      </c>
      <c r="H6920" t="n">
        <v>0</v>
      </c>
      <c r="I6920" t="n">
        <v>0</v>
      </c>
      <c r="J6920" t="n">
        <v>0</v>
      </c>
      <c r="K6920" t="n">
        <v>0</v>
      </c>
      <c r="L6920" t="n">
        <v>0</v>
      </c>
      <c r="M6920" t="n">
        <v>0</v>
      </c>
      <c r="N6920" t="n">
        <v>0</v>
      </c>
      <c r="O6920" t="n">
        <v>0</v>
      </c>
      <c r="P6920" t="n">
        <v>0</v>
      </c>
      <c r="Q6920" t="n">
        <v>0</v>
      </c>
      <c r="R6920" s="2" t="inlineStr"/>
    </row>
    <row r="6921" ht="15" customHeight="1">
      <c r="A6921" t="inlineStr">
        <is>
          <t>A 56034-2023</t>
        </is>
      </c>
      <c r="B6921" s="1" t="n">
        <v>45240.43925925926</v>
      </c>
      <c r="C6921" s="1" t="n">
        <v>45883</v>
      </c>
      <c r="D6921" t="inlineStr">
        <is>
          <t>GÄVLEBORGS LÄN</t>
        </is>
      </c>
      <c r="E6921" t="inlineStr">
        <is>
          <t>OCKELBO</t>
        </is>
      </c>
      <c r="F6921" t="inlineStr">
        <is>
          <t>Bergvik skog väst AB</t>
        </is>
      </c>
      <c r="G6921" t="n">
        <v>4</v>
      </c>
      <c r="H6921" t="n">
        <v>0</v>
      </c>
      <c r="I6921" t="n">
        <v>0</v>
      </c>
      <c r="J6921" t="n">
        <v>0</v>
      </c>
      <c r="K6921" t="n">
        <v>0</v>
      </c>
      <c r="L6921" t="n">
        <v>0</v>
      </c>
      <c r="M6921" t="n">
        <v>0</v>
      </c>
      <c r="N6921" t="n">
        <v>0</v>
      </c>
      <c r="O6921" t="n">
        <v>0</v>
      </c>
      <c r="P6921" t="n">
        <v>0</v>
      </c>
      <c r="Q6921" t="n">
        <v>0</v>
      </c>
      <c r="R6921" s="2" t="inlineStr"/>
    </row>
    <row r="6922" ht="15" customHeight="1">
      <c r="A6922" t="inlineStr">
        <is>
          <t>A 27612-2024</t>
        </is>
      </c>
      <c r="B6922" s="1" t="n">
        <v>45474.7375925926</v>
      </c>
      <c r="C6922" s="1" t="n">
        <v>45883</v>
      </c>
      <c r="D6922" t="inlineStr">
        <is>
          <t>GÄVLEBORGS LÄN</t>
        </is>
      </c>
      <c r="E6922" t="inlineStr">
        <is>
          <t>BOLLNÄS</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48587-2021</t>
        </is>
      </c>
      <c r="B6923" s="1" t="n">
        <v>44452.47790509259</v>
      </c>
      <c r="C6923" s="1" t="n">
        <v>45883</v>
      </c>
      <c r="D6923" t="inlineStr">
        <is>
          <t>GÄVLEBORGS LÄN</t>
        </is>
      </c>
      <c r="E6923" t="inlineStr">
        <is>
          <t>LJUSDAL</t>
        </is>
      </c>
      <c r="G6923" t="n">
        <v>0.4</v>
      </c>
      <c r="H6923" t="n">
        <v>0</v>
      </c>
      <c r="I6923" t="n">
        <v>0</v>
      </c>
      <c r="J6923" t="n">
        <v>0</v>
      </c>
      <c r="K6923" t="n">
        <v>0</v>
      </c>
      <c r="L6923" t="n">
        <v>0</v>
      </c>
      <c r="M6923" t="n">
        <v>0</v>
      </c>
      <c r="N6923" t="n">
        <v>0</v>
      </c>
      <c r="O6923" t="n">
        <v>0</v>
      </c>
      <c r="P6923" t="n">
        <v>0</v>
      </c>
      <c r="Q6923" t="n">
        <v>0</v>
      </c>
      <c r="R6923" s="2" t="inlineStr"/>
    </row>
    <row r="6924" ht="15" customHeight="1">
      <c r="A6924" t="inlineStr">
        <is>
          <t>A 61335-2022</t>
        </is>
      </c>
      <c r="B6924" s="1" t="n">
        <v>44915.66561342592</v>
      </c>
      <c r="C6924" s="1" t="n">
        <v>45883</v>
      </c>
      <c r="D6924" t="inlineStr">
        <is>
          <t>GÄVLEBORGS LÄN</t>
        </is>
      </c>
      <c r="E6924" t="inlineStr">
        <is>
          <t>OCKELBO</t>
        </is>
      </c>
      <c r="G6924" t="n">
        <v>8.5</v>
      </c>
      <c r="H6924" t="n">
        <v>0</v>
      </c>
      <c r="I6924" t="n">
        <v>0</v>
      </c>
      <c r="J6924" t="n">
        <v>0</v>
      </c>
      <c r="K6924" t="n">
        <v>0</v>
      </c>
      <c r="L6924" t="n">
        <v>0</v>
      </c>
      <c r="M6924" t="n">
        <v>0</v>
      </c>
      <c r="N6924" t="n">
        <v>0</v>
      </c>
      <c r="O6924" t="n">
        <v>0</v>
      </c>
      <c r="P6924" t="n">
        <v>0</v>
      </c>
      <c r="Q6924" t="n">
        <v>0</v>
      </c>
      <c r="R6924" s="2" t="inlineStr"/>
    </row>
    <row r="6925" ht="15" customHeight="1">
      <c r="A6925" t="inlineStr">
        <is>
          <t>A 30276-2025</t>
        </is>
      </c>
      <c r="B6925" s="1" t="n">
        <v>45827.45482638889</v>
      </c>
      <c r="C6925" s="1" t="n">
        <v>45883</v>
      </c>
      <c r="D6925" t="inlineStr">
        <is>
          <t>GÄVLEBORGS LÄN</t>
        </is>
      </c>
      <c r="E6925" t="inlineStr">
        <is>
          <t>OVANÅKER</t>
        </is>
      </c>
      <c r="G6925" t="n">
        <v>6</v>
      </c>
      <c r="H6925" t="n">
        <v>0</v>
      </c>
      <c r="I6925" t="n">
        <v>0</v>
      </c>
      <c r="J6925" t="n">
        <v>0</v>
      </c>
      <c r="K6925" t="n">
        <v>0</v>
      </c>
      <c r="L6925" t="n">
        <v>0</v>
      </c>
      <c r="M6925" t="n">
        <v>0</v>
      </c>
      <c r="N6925" t="n">
        <v>0</v>
      </c>
      <c r="O6925" t="n">
        <v>0</v>
      </c>
      <c r="P6925" t="n">
        <v>0</v>
      </c>
      <c r="Q6925" t="n">
        <v>0</v>
      </c>
      <c r="R6925" s="2" t="inlineStr"/>
    </row>
    <row r="6926" ht="15" customHeight="1">
      <c r="A6926" t="inlineStr">
        <is>
          <t>A 30479-2025</t>
        </is>
      </c>
      <c r="B6926" s="1" t="n">
        <v>45828.53508101852</v>
      </c>
      <c r="C6926" s="1" t="n">
        <v>45883</v>
      </c>
      <c r="D6926" t="inlineStr">
        <is>
          <t>GÄVLEBORGS LÄN</t>
        </is>
      </c>
      <c r="E6926" t="inlineStr">
        <is>
          <t>HUDIKSVALL</t>
        </is>
      </c>
      <c r="F6926" t="inlineStr">
        <is>
          <t>Holmen skog AB</t>
        </is>
      </c>
      <c r="G6926" t="n">
        <v>13.5</v>
      </c>
      <c r="H6926" t="n">
        <v>0</v>
      </c>
      <c r="I6926" t="n">
        <v>0</v>
      </c>
      <c r="J6926" t="n">
        <v>0</v>
      </c>
      <c r="K6926" t="n">
        <v>0</v>
      </c>
      <c r="L6926" t="n">
        <v>0</v>
      </c>
      <c r="M6926" t="n">
        <v>0</v>
      </c>
      <c r="N6926" t="n">
        <v>0</v>
      </c>
      <c r="O6926" t="n">
        <v>0</v>
      </c>
      <c r="P6926" t="n">
        <v>0</v>
      </c>
      <c r="Q6926" t="n">
        <v>0</v>
      </c>
      <c r="R6926" s="2" t="inlineStr"/>
    </row>
    <row r="6927" ht="15" customHeight="1">
      <c r="A6927" t="inlineStr">
        <is>
          <t>A 36551-2025</t>
        </is>
      </c>
      <c r="B6927" s="1" t="n">
        <v>45870.32935185185</v>
      </c>
      <c r="C6927" s="1" t="n">
        <v>45883</v>
      </c>
      <c r="D6927" t="inlineStr">
        <is>
          <t>GÄVLEBORGS LÄN</t>
        </is>
      </c>
      <c r="E6927" t="inlineStr">
        <is>
          <t>OVANÅKER</t>
        </is>
      </c>
      <c r="G6927" t="n">
        <v>8.699999999999999</v>
      </c>
      <c r="H6927" t="n">
        <v>0</v>
      </c>
      <c r="I6927" t="n">
        <v>0</v>
      </c>
      <c r="J6927" t="n">
        <v>0</v>
      </c>
      <c r="K6927" t="n">
        <v>0</v>
      </c>
      <c r="L6927" t="n">
        <v>0</v>
      </c>
      <c r="M6927" t="n">
        <v>0</v>
      </c>
      <c r="N6927" t="n">
        <v>0</v>
      </c>
      <c r="O6927" t="n">
        <v>0</v>
      </c>
      <c r="P6927" t="n">
        <v>0</v>
      </c>
      <c r="Q6927" t="n">
        <v>0</v>
      </c>
      <c r="R6927" s="2" t="inlineStr"/>
    </row>
    <row r="6928" ht="15" customHeight="1">
      <c r="A6928" t="inlineStr">
        <is>
          <t>A 30229-2025</t>
        </is>
      </c>
      <c r="B6928" s="1" t="n">
        <v>45827.3822337963</v>
      </c>
      <c r="C6928" s="1" t="n">
        <v>45883</v>
      </c>
      <c r="D6928" t="inlineStr">
        <is>
          <t>GÄVLEBORGS LÄN</t>
        </is>
      </c>
      <c r="E6928" t="inlineStr">
        <is>
          <t>OCKELBO</t>
        </is>
      </c>
      <c r="F6928" t="inlineStr">
        <is>
          <t>Bergvik skog väst AB</t>
        </is>
      </c>
      <c r="G6928" t="n">
        <v>5.3</v>
      </c>
      <c r="H6928" t="n">
        <v>0</v>
      </c>
      <c r="I6928" t="n">
        <v>0</v>
      </c>
      <c r="J6928" t="n">
        <v>0</v>
      </c>
      <c r="K6928" t="n">
        <v>0</v>
      </c>
      <c r="L6928" t="n">
        <v>0</v>
      </c>
      <c r="M6928" t="n">
        <v>0</v>
      </c>
      <c r="N6928" t="n">
        <v>0</v>
      </c>
      <c r="O6928" t="n">
        <v>0</v>
      </c>
      <c r="P6928" t="n">
        <v>0</v>
      </c>
      <c r="Q6928" t="n">
        <v>0</v>
      </c>
      <c r="R6928" s="2" t="inlineStr"/>
    </row>
    <row r="6929" ht="15" customHeight="1">
      <c r="A6929" t="inlineStr">
        <is>
          <t>A 30155-2025</t>
        </is>
      </c>
      <c r="B6929" s="1" t="n">
        <v>45827.31878472222</v>
      </c>
      <c r="C6929" s="1" t="n">
        <v>45883</v>
      </c>
      <c r="D6929" t="inlineStr">
        <is>
          <t>GÄVLEBORGS LÄN</t>
        </is>
      </c>
      <c r="E6929" t="inlineStr">
        <is>
          <t>HUDIKSVALL</t>
        </is>
      </c>
      <c r="F6929" t="inlineStr">
        <is>
          <t>Sveaskog</t>
        </is>
      </c>
      <c r="G6929" t="n">
        <v>11.7</v>
      </c>
      <c r="H6929" t="n">
        <v>0</v>
      </c>
      <c r="I6929" t="n">
        <v>0</v>
      </c>
      <c r="J6929" t="n">
        <v>0</v>
      </c>
      <c r="K6929" t="n">
        <v>0</v>
      </c>
      <c r="L6929" t="n">
        <v>0</v>
      </c>
      <c r="M6929" t="n">
        <v>0</v>
      </c>
      <c r="N6929" t="n">
        <v>0</v>
      </c>
      <c r="O6929" t="n">
        <v>0</v>
      </c>
      <c r="P6929" t="n">
        <v>0</v>
      </c>
      <c r="Q6929" t="n">
        <v>0</v>
      </c>
      <c r="R6929" s="2" t="inlineStr"/>
    </row>
    <row r="6930" ht="15" customHeight="1">
      <c r="A6930" t="inlineStr">
        <is>
          <t>A 30158-2025</t>
        </is>
      </c>
      <c r="B6930" s="1" t="n">
        <v>45827.32184027778</v>
      </c>
      <c r="C6930" s="1" t="n">
        <v>45883</v>
      </c>
      <c r="D6930" t="inlineStr">
        <is>
          <t>GÄVLEBORGS LÄN</t>
        </is>
      </c>
      <c r="E6930" t="inlineStr">
        <is>
          <t>HUDIKSVALL</t>
        </is>
      </c>
      <c r="F6930" t="inlineStr">
        <is>
          <t>Sveaskog</t>
        </is>
      </c>
      <c r="G6930" t="n">
        <v>7.2</v>
      </c>
      <c r="H6930" t="n">
        <v>0</v>
      </c>
      <c r="I6930" t="n">
        <v>0</v>
      </c>
      <c r="J6930" t="n">
        <v>0</v>
      </c>
      <c r="K6930" t="n">
        <v>0</v>
      </c>
      <c r="L6930" t="n">
        <v>0</v>
      </c>
      <c r="M6930" t="n">
        <v>0</v>
      </c>
      <c r="N6930" t="n">
        <v>0</v>
      </c>
      <c r="O6930" t="n">
        <v>0</v>
      </c>
      <c r="P6930" t="n">
        <v>0</v>
      </c>
      <c r="Q6930" t="n">
        <v>0</v>
      </c>
      <c r="R6930" s="2" t="inlineStr"/>
    </row>
    <row r="6931" ht="15" customHeight="1">
      <c r="A6931" t="inlineStr">
        <is>
          <t>A 30156-2025</t>
        </is>
      </c>
      <c r="B6931" s="1" t="n">
        <v>45827.31972222222</v>
      </c>
      <c r="C6931" s="1" t="n">
        <v>45883</v>
      </c>
      <c r="D6931" t="inlineStr">
        <is>
          <t>GÄVLEBORGS LÄN</t>
        </is>
      </c>
      <c r="E6931" t="inlineStr">
        <is>
          <t>OVANÅKER</t>
        </is>
      </c>
      <c r="F6931" t="inlineStr">
        <is>
          <t>Holmen skog AB</t>
        </is>
      </c>
      <c r="G6931" t="n">
        <v>29.1</v>
      </c>
      <c r="H6931" t="n">
        <v>0</v>
      </c>
      <c r="I6931" t="n">
        <v>0</v>
      </c>
      <c r="J6931" t="n">
        <v>0</v>
      </c>
      <c r="K6931" t="n">
        <v>0</v>
      </c>
      <c r="L6931" t="n">
        <v>0</v>
      </c>
      <c r="M6931" t="n">
        <v>0</v>
      </c>
      <c r="N6931" t="n">
        <v>0</v>
      </c>
      <c r="O6931" t="n">
        <v>0</v>
      </c>
      <c r="P6931" t="n">
        <v>0</v>
      </c>
      <c r="Q6931" t="n">
        <v>0</v>
      </c>
      <c r="R6931" s="2" t="inlineStr"/>
    </row>
    <row r="6932" ht="15" customHeight="1">
      <c r="A6932" t="inlineStr">
        <is>
          <t>A 36506-2025</t>
        </is>
      </c>
      <c r="B6932" s="1" t="n">
        <v>45869.57229166666</v>
      </c>
      <c r="C6932" s="1" t="n">
        <v>45883</v>
      </c>
      <c r="D6932" t="inlineStr">
        <is>
          <t>GÄVLEBORGS LÄN</t>
        </is>
      </c>
      <c r="E6932" t="inlineStr">
        <is>
          <t>GÄVLE</t>
        </is>
      </c>
      <c r="F6932" t="inlineStr">
        <is>
          <t>Bergvik skog väst AB</t>
        </is>
      </c>
      <c r="G6932" t="n">
        <v>4.9</v>
      </c>
      <c r="H6932" t="n">
        <v>0</v>
      </c>
      <c r="I6932" t="n">
        <v>0</v>
      </c>
      <c r="J6932" t="n">
        <v>0</v>
      </c>
      <c r="K6932" t="n">
        <v>0</v>
      </c>
      <c r="L6932" t="n">
        <v>0</v>
      </c>
      <c r="M6932" t="n">
        <v>0</v>
      </c>
      <c r="N6932" t="n">
        <v>0</v>
      </c>
      <c r="O6932" t="n">
        <v>0</v>
      </c>
      <c r="P6932" t="n">
        <v>0</v>
      </c>
      <c r="Q6932" t="n">
        <v>0</v>
      </c>
      <c r="R6932" s="2" t="inlineStr"/>
    </row>
    <row r="6933" ht="15" customHeight="1">
      <c r="A6933" t="inlineStr">
        <is>
          <t>A 30196-2025</t>
        </is>
      </c>
      <c r="B6933" s="1" t="n">
        <v>45827.35413194444</v>
      </c>
      <c r="C6933" s="1" t="n">
        <v>45883</v>
      </c>
      <c r="D6933" t="inlineStr">
        <is>
          <t>GÄVLEBORGS LÄN</t>
        </is>
      </c>
      <c r="E6933" t="inlineStr">
        <is>
          <t>OVANÅKER</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36610-2025</t>
        </is>
      </c>
      <c r="B6934" s="1" t="n">
        <v>45870.58332175926</v>
      </c>
      <c r="C6934" s="1" t="n">
        <v>45883</v>
      </c>
      <c r="D6934" t="inlineStr">
        <is>
          <t>GÄVLEBORGS LÄN</t>
        </is>
      </c>
      <c r="E6934" t="inlineStr">
        <is>
          <t>BOLLNÄS</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8522-2024</t>
        </is>
      </c>
      <c r="B6935" s="1" t="n">
        <v>45355</v>
      </c>
      <c r="C6935" s="1" t="n">
        <v>45883</v>
      </c>
      <c r="D6935" t="inlineStr">
        <is>
          <t>GÄVLEBORGS LÄN</t>
        </is>
      </c>
      <c r="E6935" t="inlineStr">
        <is>
          <t>HUDIKSVALL</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10108-2024</t>
        </is>
      </c>
      <c r="B6936" s="1" t="n">
        <v>45364.5456712963</v>
      </c>
      <c r="C6936" s="1" t="n">
        <v>45883</v>
      </c>
      <c r="D6936" t="inlineStr">
        <is>
          <t>GÄVLEBORGS LÄN</t>
        </is>
      </c>
      <c r="E6936" t="inlineStr">
        <is>
          <t>HUDIKSVALL</t>
        </is>
      </c>
      <c r="F6936" t="inlineStr">
        <is>
          <t>Holmen skog AB</t>
        </is>
      </c>
      <c r="G6936" t="n">
        <v>23.1</v>
      </c>
      <c r="H6936" t="n">
        <v>0</v>
      </c>
      <c r="I6936" t="n">
        <v>0</v>
      </c>
      <c r="J6936" t="n">
        <v>0</v>
      </c>
      <c r="K6936" t="n">
        <v>0</v>
      </c>
      <c r="L6936" t="n">
        <v>0</v>
      </c>
      <c r="M6936" t="n">
        <v>0</v>
      </c>
      <c r="N6936" t="n">
        <v>0</v>
      </c>
      <c r="O6936" t="n">
        <v>0</v>
      </c>
      <c r="P6936" t="n">
        <v>0</v>
      </c>
      <c r="Q6936" t="n">
        <v>0</v>
      </c>
      <c r="R6936" s="2" t="inlineStr"/>
    </row>
    <row r="6937" ht="15" customHeight="1">
      <c r="A6937" t="inlineStr">
        <is>
          <t>A 30382-2025</t>
        </is>
      </c>
      <c r="B6937" s="1" t="n">
        <v>45827.57060185185</v>
      </c>
      <c r="C6937" s="1" t="n">
        <v>45883</v>
      </c>
      <c r="D6937" t="inlineStr">
        <is>
          <t>GÄVLEBORGS LÄN</t>
        </is>
      </c>
      <c r="E6937" t="inlineStr">
        <is>
          <t>OVANÅKER</t>
        </is>
      </c>
      <c r="F6937" t="inlineStr">
        <is>
          <t>Holmen skog AB</t>
        </is>
      </c>
      <c r="G6937" t="n">
        <v>6.4</v>
      </c>
      <c r="H6937" t="n">
        <v>0</v>
      </c>
      <c r="I6937" t="n">
        <v>0</v>
      </c>
      <c r="J6937" t="n">
        <v>0</v>
      </c>
      <c r="K6937" t="n">
        <v>0</v>
      </c>
      <c r="L6937" t="n">
        <v>0</v>
      </c>
      <c r="M6937" t="n">
        <v>0</v>
      </c>
      <c r="N6937" t="n">
        <v>0</v>
      </c>
      <c r="O6937" t="n">
        <v>0</v>
      </c>
      <c r="P6937" t="n">
        <v>0</v>
      </c>
      <c r="Q6937" t="n">
        <v>0</v>
      </c>
      <c r="R6937" s="2" t="inlineStr"/>
    </row>
    <row r="6938" ht="15" customHeight="1">
      <c r="A6938" t="inlineStr">
        <is>
          <t>A 36478-2025</t>
        </is>
      </c>
      <c r="B6938" s="1" t="n">
        <v>45869.49104166667</v>
      </c>
      <c r="C6938" s="1" t="n">
        <v>45883</v>
      </c>
      <c r="D6938" t="inlineStr">
        <is>
          <t>GÄVLEBORGS LÄN</t>
        </is>
      </c>
      <c r="E6938" t="inlineStr">
        <is>
          <t>OVANÅKER</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36503-2025</t>
        </is>
      </c>
      <c r="B6939" s="1" t="n">
        <v>45869.56767361111</v>
      </c>
      <c r="C6939" s="1" t="n">
        <v>45883</v>
      </c>
      <c r="D6939" t="inlineStr">
        <is>
          <t>GÄVLEBORGS LÄN</t>
        </is>
      </c>
      <c r="E6939" t="inlineStr">
        <is>
          <t>HUDIKSVALL</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36615-2025</t>
        </is>
      </c>
      <c r="B6940" s="1" t="n">
        <v>45870.62204861111</v>
      </c>
      <c r="C6940" s="1" t="n">
        <v>45883</v>
      </c>
      <c r="D6940" t="inlineStr">
        <is>
          <t>GÄVLEBORGS LÄN</t>
        </is>
      </c>
      <c r="E6940" t="inlineStr">
        <is>
          <t>HUDIKSVALL</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55026-2022</t>
        </is>
      </c>
      <c r="B6941" s="1" t="n">
        <v>44886</v>
      </c>
      <c r="C6941" s="1" t="n">
        <v>45883</v>
      </c>
      <c r="D6941" t="inlineStr">
        <is>
          <t>GÄVLEBORGS LÄN</t>
        </is>
      </c>
      <c r="E6941" t="inlineStr">
        <is>
          <t>NORDANSTIG</t>
        </is>
      </c>
      <c r="F6941" t="inlineStr">
        <is>
          <t>Holmen skog AB</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30202-2025</t>
        </is>
      </c>
      <c r="B6942" s="1" t="n">
        <v>45827</v>
      </c>
      <c r="C6942" s="1" t="n">
        <v>45883</v>
      </c>
      <c r="D6942" t="inlineStr">
        <is>
          <t>GÄVLEBORGS LÄN</t>
        </is>
      </c>
      <c r="E6942" t="inlineStr">
        <is>
          <t>GÄVLE</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30152-2025</t>
        </is>
      </c>
      <c r="B6943" s="1" t="n">
        <v>45827.3172337963</v>
      </c>
      <c r="C6943" s="1" t="n">
        <v>45883</v>
      </c>
      <c r="D6943" t="inlineStr">
        <is>
          <t>GÄVLEBORGS LÄN</t>
        </is>
      </c>
      <c r="E6943" t="inlineStr">
        <is>
          <t>OCKELBO</t>
        </is>
      </c>
      <c r="F6943" t="inlineStr">
        <is>
          <t>Bergvik skog väst AB</t>
        </is>
      </c>
      <c r="G6943" t="n">
        <v>6.5</v>
      </c>
      <c r="H6943" t="n">
        <v>0</v>
      </c>
      <c r="I6943" t="n">
        <v>0</v>
      </c>
      <c r="J6943" t="n">
        <v>0</v>
      </c>
      <c r="K6943" t="n">
        <v>0</v>
      </c>
      <c r="L6943" t="n">
        <v>0</v>
      </c>
      <c r="M6943" t="n">
        <v>0</v>
      </c>
      <c r="N6943" t="n">
        <v>0</v>
      </c>
      <c r="O6943" t="n">
        <v>0</v>
      </c>
      <c r="P6943" t="n">
        <v>0</v>
      </c>
      <c r="Q6943" t="n">
        <v>0</v>
      </c>
      <c r="R6943" s="2" t="inlineStr"/>
    </row>
    <row r="6944" ht="15" customHeight="1">
      <c r="A6944" t="inlineStr">
        <is>
          <t>A 55120-2022</t>
        </is>
      </c>
      <c r="B6944" s="1" t="n">
        <v>44886</v>
      </c>
      <c r="C6944" s="1" t="n">
        <v>45883</v>
      </c>
      <c r="D6944" t="inlineStr">
        <is>
          <t>GÄVLEBORGS LÄN</t>
        </is>
      </c>
      <c r="E6944" t="inlineStr">
        <is>
          <t>NORDANSTIG</t>
        </is>
      </c>
      <c r="F6944" t="inlineStr">
        <is>
          <t>Holmen skog AB</t>
        </is>
      </c>
      <c r="G6944" t="n">
        <v>8.4</v>
      </c>
      <c r="H6944" t="n">
        <v>0</v>
      </c>
      <c r="I6944" t="n">
        <v>0</v>
      </c>
      <c r="J6944" t="n">
        <v>0</v>
      </c>
      <c r="K6944" t="n">
        <v>0</v>
      </c>
      <c r="L6944" t="n">
        <v>0</v>
      </c>
      <c r="M6944" t="n">
        <v>0</v>
      </c>
      <c r="N6944" t="n">
        <v>0</v>
      </c>
      <c r="O6944" t="n">
        <v>0</v>
      </c>
      <c r="P6944" t="n">
        <v>0</v>
      </c>
      <c r="Q6944" t="n">
        <v>0</v>
      </c>
      <c r="R6944" s="2" t="inlineStr"/>
    </row>
    <row r="6945" ht="15" customHeight="1">
      <c r="A6945" t="inlineStr">
        <is>
          <t>A 18686-2025</t>
        </is>
      </c>
      <c r="B6945" s="1" t="n">
        <v>45763.61261574074</v>
      </c>
      <c r="C6945" s="1" t="n">
        <v>45883</v>
      </c>
      <c r="D6945" t="inlineStr">
        <is>
          <t>GÄVLEBORGS LÄN</t>
        </is>
      </c>
      <c r="E6945" t="inlineStr">
        <is>
          <t>HUDIKSVALL</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36604-2025</t>
        </is>
      </c>
      <c r="B6946" s="1" t="n">
        <v>45870</v>
      </c>
      <c r="C6946" s="1" t="n">
        <v>45883</v>
      </c>
      <c r="D6946" t="inlineStr">
        <is>
          <t>GÄVLEBORGS LÄN</t>
        </is>
      </c>
      <c r="E6946" t="inlineStr">
        <is>
          <t>OCKELBO</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14681-2023</t>
        </is>
      </c>
      <c r="B6947" s="1" t="n">
        <v>45014.3017824074</v>
      </c>
      <c r="C6947" s="1" t="n">
        <v>45883</v>
      </c>
      <c r="D6947" t="inlineStr">
        <is>
          <t>GÄVLEBORGS LÄN</t>
        </is>
      </c>
      <c r="E6947" t="inlineStr">
        <is>
          <t>BOLLNÄS</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30123-2025</t>
        </is>
      </c>
      <c r="B6948" s="1" t="n">
        <v>45826.7700462963</v>
      </c>
      <c r="C6948" s="1" t="n">
        <v>45883</v>
      </c>
      <c r="D6948" t="inlineStr">
        <is>
          <t>GÄVLEBORGS LÄN</t>
        </is>
      </c>
      <c r="E6948" t="inlineStr">
        <is>
          <t>OVANÅKER</t>
        </is>
      </c>
      <c r="F6948" t="inlineStr">
        <is>
          <t>Bergvik skog väst AB</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30179-2025</t>
        </is>
      </c>
      <c r="B6949" s="1" t="n">
        <v>45827.34570601852</v>
      </c>
      <c r="C6949" s="1" t="n">
        <v>45883</v>
      </c>
      <c r="D6949" t="inlineStr">
        <is>
          <t>GÄVLEBORGS LÄN</t>
        </is>
      </c>
      <c r="E6949" t="inlineStr">
        <is>
          <t>OCKELBO</t>
        </is>
      </c>
      <c r="F6949" t="inlineStr">
        <is>
          <t>Bergvik skog väst AB</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30203-2025</t>
        </is>
      </c>
      <c r="B6950" s="1" t="n">
        <v>45827.35971064815</v>
      </c>
      <c r="C6950" s="1" t="n">
        <v>45883</v>
      </c>
      <c r="D6950" t="inlineStr">
        <is>
          <t>GÄVLEBORGS LÄN</t>
        </is>
      </c>
      <c r="E6950" t="inlineStr">
        <is>
          <t>SANDVIKEN</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5924-2021</t>
        </is>
      </c>
      <c r="B6951" s="1" t="n">
        <v>44231</v>
      </c>
      <c r="C6951" s="1" t="n">
        <v>45883</v>
      </c>
      <c r="D6951" t="inlineStr">
        <is>
          <t>GÄVLEBORGS LÄN</t>
        </is>
      </c>
      <c r="E6951" t="inlineStr">
        <is>
          <t>SÖDERHAMN</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36511-2025</t>
        </is>
      </c>
      <c r="B6952" s="1" t="n">
        <v>45869.57623842593</v>
      </c>
      <c r="C6952" s="1" t="n">
        <v>45883</v>
      </c>
      <c r="D6952" t="inlineStr">
        <is>
          <t>GÄVLEBORGS LÄN</t>
        </is>
      </c>
      <c r="E6952" t="inlineStr">
        <is>
          <t>GÄVLE</t>
        </is>
      </c>
      <c r="F6952" t="inlineStr">
        <is>
          <t>Bergvik skog väst AB</t>
        </is>
      </c>
      <c r="G6952" t="n">
        <v>4.2</v>
      </c>
      <c r="H6952" t="n">
        <v>0</v>
      </c>
      <c r="I6952" t="n">
        <v>0</v>
      </c>
      <c r="J6952" t="n">
        <v>0</v>
      </c>
      <c r="K6952" t="n">
        <v>0</v>
      </c>
      <c r="L6952" t="n">
        <v>0</v>
      </c>
      <c r="M6952" t="n">
        <v>0</v>
      </c>
      <c r="N6952" t="n">
        <v>0</v>
      </c>
      <c r="O6952" t="n">
        <v>0</v>
      </c>
      <c r="P6952" t="n">
        <v>0</v>
      </c>
      <c r="Q6952" t="n">
        <v>0</v>
      </c>
      <c r="R6952" s="2" t="inlineStr"/>
    </row>
    <row r="6953" ht="15" customHeight="1">
      <c r="A6953" t="inlineStr">
        <is>
          <t>A 30291-2025</t>
        </is>
      </c>
      <c r="B6953" s="1" t="n">
        <v>45827.47054398148</v>
      </c>
      <c r="C6953" s="1" t="n">
        <v>45883</v>
      </c>
      <c r="D6953" t="inlineStr">
        <is>
          <t>GÄVLEBORGS LÄN</t>
        </is>
      </c>
      <c r="E6953" t="inlineStr">
        <is>
          <t>NORDANSTIG</t>
        </is>
      </c>
      <c r="F6953" t="inlineStr">
        <is>
          <t>Holmen skog AB</t>
        </is>
      </c>
      <c r="G6953" t="n">
        <v>11.2</v>
      </c>
      <c r="H6953" t="n">
        <v>0</v>
      </c>
      <c r="I6953" t="n">
        <v>0</v>
      </c>
      <c r="J6953" t="n">
        <v>0</v>
      </c>
      <c r="K6953" t="n">
        <v>0</v>
      </c>
      <c r="L6953" t="n">
        <v>0</v>
      </c>
      <c r="M6953" t="n">
        <v>0</v>
      </c>
      <c r="N6953" t="n">
        <v>0</v>
      </c>
      <c r="O6953" t="n">
        <v>0</v>
      </c>
      <c r="P6953" t="n">
        <v>0</v>
      </c>
      <c r="Q6953" t="n">
        <v>0</v>
      </c>
      <c r="R6953" s="2" t="inlineStr"/>
    </row>
    <row r="6954" ht="15" customHeight="1">
      <c r="A6954" t="inlineStr">
        <is>
          <t>A 30307-2025</t>
        </is>
      </c>
      <c r="B6954" s="1" t="n">
        <v>45827.48408564815</v>
      </c>
      <c r="C6954" s="1" t="n">
        <v>45883</v>
      </c>
      <c r="D6954" t="inlineStr">
        <is>
          <t>GÄVLEBORGS LÄN</t>
        </is>
      </c>
      <c r="E6954" t="inlineStr">
        <is>
          <t>HUDIKSVALL</t>
        </is>
      </c>
      <c r="G6954" t="n">
        <v>6</v>
      </c>
      <c r="H6954" t="n">
        <v>0</v>
      </c>
      <c r="I6954" t="n">
        <v>0</v>
      </c>
      <c r="J6954" t="n">
        <v>0</v>
      </c>
      <c r="K6954" t="n">
        <v>0</v>
      </c>
      <c r="L6954" t="n">
        <v>0</v>
      </c>
      <c r="M6954" t="n">
        <v>0</v>
      </c>
      <c r="N6954" t="n">
        <v>0</v>
      </c>
      <c r="O6954" t="n">
        <v>0</v>
      </c>
      <c r="P6954" t="n">
        <v>0</v>
      </c>
      <c r="Q6954" t="n">
        <v>0</v>
      </c>
      <c r="R6954" s="2" t="inlineStr"/>
    </row>
    <row r="6955" ht="15" customHeight="1">
      <c r="A6955" t="inlineStr">
        <is>
          <t>A 30309-2025</t>
        </is>
      </c>
      <c r="B6955" s="1" t="n">
        <v>45827.48891203704</v>
      </c>
      <c r="C6955" s="1" t="n">
        <v>45883</v>
      </c>
      <c r="D6955" t="inlineStr">
        <is>
          <t>GÄVLEBORGS LÄN</t>
        </is>
      </c>
      <c r="E6955" t="inlineStr">
        <is>
          <t>HUDIKSVALL</t>
        </is>
      </c>
      <c r="G6955" t="n">
        <v>5.7</v>
      </c>
      <c r="H6955" t="n">
        <v>0</v>
      </c>
      <c r="I6955" t="n">
        <v>0</v>
      </c>
      <c r="J6955" t="n">
        <v>0</v>
      </c>
      <c r="K6955" t="n">
        <v>0</v>
      </c>
      <c r="L6955" t="n">
        <v>0</v>
      </c>
      <c r="M6955" t="n">
        <v>0</v>
      </c>
      <c r="N6955" t="n">
        <v>0</v>
      </c>
      <c r="O6955" t="n">
        <v>0</v>
      </c>
      <c r="P6955" t="n">
        <v>0</v>
      </c>
      <c r="Q6955" t="n">
        <v>0</v>
      </c>
      <c r="R6955" s="2" t="inlineStr"/>
    </row>
    <row r="6956" ht="15" customHeight="1">
      <c r="A6956" t="inlineStr">
        <is>
          <t>A 36512-2025</t>
        </is>
      </c>
      <c r="B6956" s="1" t="n">
        <v>45869.57649305555</v>
      </c>
      <c r="C6956" s="1" t="n">
        <v>45883</v>
      </c>
      <c r="D6956" t="inlineStr">
        <is>
          <t>GÄVLEBORGS LÄN</t>
        </is>
      </c>
      <c r="E6956" t="inlineStr">
        <is>
          <t>GÄVLE</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30686-2025</t>
        </is>
      </c>
      <c r="B6957" s="1" t="n">
        <v>45831.53361111111</v>
      </c>
      <c r="C6957" s="1" t="n">
        <v>45883</v>
      </c>
      <c r="D6957" t="inlineStr">
        <is>
          <t>GÄVLEBORGS LÄN</t>
        </is>
      </c>
      <c r="E6957" t="inlineStr">
        <is>
          <t>LJUSDAL</t>
        </is>
      </c>
      <c r="F6957" t="inlineStr">
        <is>
          <t>Bergvik skog väst AB</t>
        </is>
      </c>
      <c r="G6957" t="n">
        <v>9.9</v>
      </c>
      <c r="H6957" t="n">
        <v>0</v>
      </c>
      <c r="I6957" t="n">
        <v>0</v>
      </c>
      <c r="J6957" t="n">
        <v>0</v>
      </c>
      <c r="K6957" t="n">
        <v>0</v>
      </c>
      <c r="L6957" t="n">
        <v>0</v>
      </c>
      <c r="M6957" t="n">
        <v>0</v>
      </c>
      <c r="N6957" t="n">
        <v>0</v>
      </c>
      <c r="O6957" t="n">
        <v>0</v>
      </c>
      <c r="P6957" t="n">
        <v>0</v>
      </c>
      <c r="Q6957" t="n">
        <v>0</v>
      </c>
      <c r="R6957" s="2" t="inlineStr"/>
    </row>
    <row r="6958" ht="15" customHeight="1">
      <c r="A6958" t="inlineStr">
        <is>
          <t>A 30665-2025</t>
        </is>
      </c>
      <c r="B6958" s="1" t="n">
        <v>45831.51395833334</v>
      </c>
      <c r="C6958" s="1" t="n">
        <v>45883</v>
      </c>
      <c r="D6958" t="inlineStr">
        <is>
          <t>GÄVLEBORGS LÄN</t>
        </is>
      </c>
      <c r="E6958" t="inlineStr">
        <is>
          <t>LJUSDAL</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59875-2023</t>
        </is>
      </c>
      <c r="B6959" s="1" t="n">
        <v>45257.58866898148</v>
      </c>
      <c r="C6959" s="1" t="n">
        <v>45883</v>
      </c>
      <c r="D6959" t="inlineStr">
        <is>
          <t>GÄVLEBORGS LÄN</t>
        </is>
      </c>
      <c r="E6959" t="inlineStr">
        <is>
          <t>HUDIKSVALL</t>
        </is>
      </c>
      <c r="G6959" t="n">
        <v>3.9</v>
      </c>
      <c r="H6959" t="n">
        <v>0</v>
      </c>
      <c r="I6959" t="n">
        <v>0</v>
      </c>
      <c r="J6959" t="n">
        <v>0</v>
      </c>
      <c r="K6959" t="n">
        <v>0</v>
      </c>
      <c r="L6959" t="n">
        <v>0</v>
      </c>
      <c r="M6959" t="n">
        <v>0</v>
      </c>
      <c r="N6959" t="n">
        <v>0</v>
      </c>
      <c r="O6959" t="n">
        <v>0</v>
      </c>
      <c r="P6959" t="n">
        <v>0</v>
      </c>
      <c r="Q6959" t="n">
        <v>0</v>
      </c>
      <c r="R6959" s="2" t="inlineStr"/>
    </row>
    <row r="6960" ht="15" customHeight="1">
      <c r="A6960" t="inlineStr">
        <is>
          <t>A 59883-2023</t>
        </is>
      </c>
      <c r="B6960" s="1" t="n">
        <v>45257</v>
      </c>
      <c r="C6960" s="1" t="n">
        <v>45883</v>
      </c>
      <c r="D6960" t="inlineStr">
        <is>
          <t>GÄVLEBORGS LÄN</t>
        </is>
      </c>
      <c r="E6960" t="inlineStr">
        <is>
          <t>LJUSDAL</t>
        </is>
      </c>
      <c r="G6960" t="n">
        <v>16.6</v>
      </c>
      <c r="H6960" t="n">
        <v>0</v>
      </c>
      <c r="I6960" t="n">
        <v>0</v>
      </c>
      <c r="J6960" t="n">
        <v>0</v>
      </c>
      <c r="K6960" t="n">
        <v>0</v>
      </c>
      <c r="L6960" t="n">
        <v>0</v>
      </c>
      <c r="M6960" t="n">
        <v>0</v>
      </c>
      <c r="N6960" t="n">
        <v>0</v>
      </c>
      <c r="O6960" t="n">
        <v>0</v>
      </c>
      <c r="P6960" t="n">
        <v>0</v>
      </c>
      <c r="Q6960" t="n">
        <v>0</v>
      </c>
      <c r="R6960" s="2" t="inlineStr"/>
    </row>
    <row r="6961" ht="15" customHeight="1">
      <c r="A6961" t="inlineStr">
        <is>
          <t>A 30673-2025</t>
        </is>
      </c>
      <c r="B6961" s="1" t="n">
        <v>45831.51881944444</v>
      </c>
      <c r="C6961" s="1" t="n">
        <v>45883</v>
      </c>
      <c r="D6961" t="inlineStr">
        <is>
          <t>GÄVLEBORGS LÄN</t>
        </is>
      </c>
      <c r="E6961" t="inlineStr">
        <is>
          <t>LJUSDAL</t>
        </is>
      </c>
      <c r="G6961" t="n">
        <v>3.9</v>
      </c>
      <c r="H6961" t="n">
        <v>0</v>
      </c>
      <c r="I6961" t="n">
        <v>0</v>
      </c>
      <c r="J6961" t="n">
        <v>0</v>
      </c>
      <c r="K6961" t="n">
        <v>0</v>
      </c>
      <c r="L6961" t="n">
        <v>0</v>
      </c>
      <c r="M6961" t="n">
        <v>0</v>
      </c>
      <c r="N6961" t="n">
        <v>0</v>
      </c>
      <c r="O6961" t="n">
        <v>0</v>
      </c>
      <c r="P6961" t="n">
        <v>0</v>
      </c>
      <c r="Q6961" t="n">
        <v>0</v>
      </c>
      <c r="R6961" s="2" t="inlineStr"/>
    </row>
    <row r="6962" ht="15" customHeight="1">
      <c r="A6962" t="inlineStr">
        <is>
          <t>A 30677-2025</t>
        </is>
      </c>
      <c r="B6962" s="1" t="n">
        <v>45831.52335648148</v>
      </c>
      <c r="C6962" s="1" t="n">
        <v>45883</v>
      </c>
      <c r="D6962" t="inlineStr">
        <is>
          <t>GÄVLEBORGS LÄN</t>
        </is>
      </c>
      <c r="E6962" t="inlineStr">
        <is>
          <t>LJUSDAL</t>
        </is>
      </c>
      <c r="G6962" t="n">
        <v>5.4</v>
      </c>
      <c r="H6962" t="n">
        <v>0</v>
      </c>
      <c r="I6962" t="n">
        <v>0</v>
      </c>
      <c r="J6962" t="n">
        <v>0</v>
      </c>
      <c r="K6962" t="n">
        <v>0</v>
      </c>
      <c r="L6962" t="n">
        <v>0</v>
      </c>
      <c r="M6962" t="n">
        <v>0</v>
      </c>
      <c r="N6962" t="n">
        <v>0</v>
      </c>
      <c r="O6962" t="n">
        <v>0</v>
      </c>
      <c r="P6962" t="n">
        <v>0</v>
      </c>
      <c r="Q6962" t="n">
        <v>0</v>
      </c>
      <c r="R6962" s="2" t="inlineStr"/>
    </row>
    <row r="6963" ht="15" customHeight="1">
      <c r="A6963" t="inlineStr">
        <is>
          <t>A 30681-2025</t>
        </is>
      </c>
      <c r="B6963" s="1" t="n">
        <v>45831.52996527778</v>
      </c>
      <c r="C6963" s="1" t="n">
        <v>45883</v>
      </c>
      <c r="D6963" t="inlineStr">
        <is>
          <t>GÄVLEBORGS LÄN</t>
        </is>
      </c>
      <c r="E6963" t="inlineStr">
        <is>
          <t>LJUSDAL</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30953-2025</t>
        </is>
      </c>
      <c r="B6964" s="1" t="n">
        <v>45832.43494212963</v>
      </c>
      <c r="C6964" s="1" t="n">
        <v>45883</v>
      </c>
      <c r="D6964" t="inlineStr">
        <is>
          <t>GÄVLEBORGS LÄN</t>
        </is>
      </c>
      <c r="E6964" t="inlineStr">
        <is>
          <t>OVANÅKER</t>
        </is>
      </c>
      <c r="G6964" t="n">
        <v>15.3</v>
      </c>
      <c r="H6964" t="n">
        <v>0</v>
      </c>
      <c r="I6964" t="n">
        <v>0</v>
      </c>
      <c r="J6964" t="n">
        <v>0</v>
      </c>
      <c r="K6964" t="n">
        <v>0</v>
      </c>
      <c r="L6964" t="n">
        <v>0</v>
      </c>
      <c r="M6964" t="n">
        <v>0</v>
      </c>
      <c r="N6964" t="n">
        <v>0</v>
      </c>
      <c r="O6964" t="n">
        <v>0</v>
      </c>
      <c r="P6964" t="n">
        <v>0</v>
      </c>
      <c r="Q6964" t="n">
        <v>0</v>
      </c>
      <c r="R6964" s="2" t="inlineStr"/>
    </row>
    <row r="6965" ht="15" customHeight="1">
      <c r="A6965" t="inlineStr">
        <is>
          <t>A 45920-2022</t>
        </is>
      </c>
      <c r="B6965" s="1" t="n">
        <v>44846.62366898148</v>
      </c>
      <c r="C6965" s="1" t="n">
        <v>45883</v>
      </c>
      <c r="D6965" t="inlineStr">
        <is>
          <t>GÄVLEBORGS LÄN</t>
        </is>
      </c>
      <c r="E6965" t="inlineStr">
        <is>
          <t>SANDVIKEN</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31012-2025</t>
        </is>
      </c>
      <c r="B6966" s="1" t="n">
        <v>45832.50887731482</v>
      </c>
      <c r="C6966" s="1" t="n">
        <v>45883</v>
      </c>
      <c r="D6966" t="inlineStr">
        <is>
          <t>GÄVLEBORGS LÄN</t>
        </is>
      </c>
      <c r="E6966" t="inlineStr">
        <is>
          <t>HUDIKSVALL</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51443-2022</t>
        </is>
      </c>
      <c r="B6967" s="1" t="n">
        <v>44869.489375</v>
      </c>
      <c r="C6967" s="1" t="n">
        <v>45883</v>
      </c>
      <c r="D6967" t="inlineStr">
        <is>
          <t>GÄVLEBORGS LÄN</t>
        </is>
      </c>
      <c r="E6967" t="inlineStr">
        <is>
          <t>BOLLNÄS</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60346-2021</t>
        </is>
      </c>
      <c r="B6968" s="1" t="n">
        <v>44496.3164699074</v>
      </c>
      <c r="C6968" s="1" t="n">
        <v>45883</v>
      </c>
      <c r="D6968" t="inlineStr">
        <is>
          <t>GÄVLEBORGS LÄN</t>
        </is>
      </c>
      <c r="E6968" t="inlineStr">
        <is>
          <t>LJUSDAL</t>
        </is>
      </c>
      <c r="F6968" t="inlineStr">
        <is>
          <t>Kommuner</t>
        </is>
      </c>
      <c r="G6968" t="n">
        <v>8.1</v>
      </c>
      <c r="H6968" t="n">
        <v>0</v>
      </c>
      <c r="I6968" t="n">
        <v>0</v>
      </c>
      <c r="J6968" t="n">
        <v>0</v>
      </c>
      <c r="K6968" t="n">
        <v>0</v>
      </c>
      <c r="L6968" t="n">
        <v>0</v>
      </c>
      <c r="M6968" t="n">
        <v>0</v>
      </c>
      <c r="N6968" t="n">
        <v>0</v>
      </c>
      <c r="O6968" t="n">
        <v>0</v>
      </c>
      <c r="P6968" t="n">
        <v>0</v>
      </c>
      <c r="Q6968" t="n">
        <v>0</v>
      </c>
      <c r="R6968" s="2" t="inlineStr"/>
    </row>
    <row r="6969" ht="15" customHeight="1">
      <c r="A6969" t="inlineStr">
        <is>
          <t>A 25271-2024</t>
        </is>
      </c>
      <c r="B6969" s="1" t="n">
        <v>45462</v>
      </c>
      <c r="C6969" s="1" t="n">
        <v>45883</v>
      </c>
      <c r="D6969" t="inlineStr">
        <is>
          <t>GÄVLEBORGS LÄN</t>
        </is>
      </c>
      <c r="E6969" t="inlineStr">
        <is>
          <t>NORDANSTIG</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44715-2022</t>
        </is>
      </c>
      <c r="B6970" s="1" t="n">
        <v>44840</v>
      </c>
      <c r="C6970" s="1" t="n">
        <v>45883</v>
      </c>
      <c r="D6970" t="inlineStr">
        <is>
          <t>GÄVLEBORGS LÄN</t>
        </is>
      </c>
      <c r="E6970" t="inlineStr">
        <is>
          <t>BOLLNÄS</t>
        </is>
      </c>
      <c r="G6970" t="n">
        <v>4.5</v>
      </c>
      <c r="H6970" t="n">
        <v>0</v>
      </c>
      <c r="I6970" t="n">
        <v>0</v>
      </c>
      <c r="J6970" t="n">
        <v>0</v>
      </c>
      <c r="K6970" t="n">
        <v>0</v>
      </c>
      <c r="L6970" t="n">
        <v>0</v>
      </c>
      <c r="M6970" t="n">
        <v>0</v>
      </c>
      <c r="N6970" t="n">
        <v>0</v>
      </c>
      <c r="O6970" t="n">
        <v>0</v>
      </c>
      <c r="P6970" t="n">
        <v>0</v>
      </c>
      <c r="Q6970" t="n">
        <v>0</v>
      </c>
      <c r="R6970" s="2" t="inlineStr"/>
    </row>
    <row r="6971" ht="15" customHeight="1">
      <c r="A6971" t="inlineStr">
        <is>
          <t>A 31123-2025</t>
        </is>
      </c>
      <c r="B6971" s="1" t="n">
        <v>45832.62681712963</v>
      </c>
      <c r="C6971" s="1" t="n">
        <v>45883</v>
      </c>
      <c r="D6971" t="inlineStr">
        <is>
          <t>GÄVLEBORGS LÄN</t>
        </is>
      </c>
      <c r="E6971" t="inlineStr">
        <is>
          <t>LJUSDAL</t>
        </is>
      </c>
      <c r="F6971" t="inlineStr">
        <is>
          <t>Sveaskog</t>
        </is>
      </c>
      <c r="G6971" t="n">
        <v>2.7</v>
      </c>
      <c r="H6971" t="n">
        <v>0</v>
      </c>
      <c r="I6971" t="n">
        <v>0</v>
      </c>
      <c r="J6971" t="n">
        <v>0</v>
      </c>
      <c r="K6971" t="n">
        <v>0</v>
      </c>
      <c r="L6971" t="n">
        <v>0</v>
      </c>
      <c r="M6971" t="n">
        <v>0</v>
      </c>
      <c r="N6971" t="n">
        <v>0</v>
      </c>
      <c r="O6971" t="n">
        <v>0</v>
      </c>
      <c r="P6971" t="n">
        <v>0</v>
      </c>
      <c r="Q6971" t="n">
        <v>0</v>
      </c>
      <c r="R6971" s="2" t="inlineStr"/>
    </row>
    <row r="6972" ht="15" customHeight="1">
      <c r="A6972" t="inlineStr">
        <is>
          <t>A 50392-2023</t>
        </is>
      </c>
      <c r="B6972" s="1" t="n">
        <v>45216.63394675926</v>
      </c>
      <c r="C6972" s="1" t="n">
        <v>45883</v>
      </c>
      <c r="D6972" t="inlineStr">
        <is>
          <t>GÄVLEBORGS LÄN</t>
        </is>
      </c>
      <c r="E6972" t="inlineStr">
        <is>
          <t>LJUSDAL</t>
        </is>
      </c>
      <c r="G6972" t="n">
        <v>6.5</v>
      </c>
      <c r="H6972" t="n">
        <v>0</v>
      </c>
      <c r="I6972" t="n">
        <v>0</v>
      </c>
      <c r="J6972" t="n">
        <v>0</v>
      </c>
      <c r="K6972" t="n">
        <v>0</v>
      </c>
      <c r="L6972" t="n">
        <v>0</v>
      </c>
      <c r="M6972" t="n">
        <v>0</v>
      </c>
      <c r="N6972" t="n">
        <v>0</v>
      </c>
      <c r="O6972" t="n">
        <v>0</v>
      </c>
      <c r="P6972" t="n">
        <v>0</v>
      </c>
      <c r="Q6972" t="n">
        <v>0</v>
      </c>
      <c r="R6972" s="2" t="inlineStr"/>
    </row>
    <row r="6973" ht="15" customHeight="1">
      <c r="A6973" t="inlineStr">
        <is>
          <t>A 12270-2025</t>
        </is>
      </c>
      <c r="B6973" s="1" t="n">
        <v>45729.63827546296</v>
      </c>
      <c r="C6973" s="1" t="n">
        <v>45883</v>
      </c>
      <c r="D6973" t="inlineStr">
        <is>
          <t>GÄVLEBORGS LÄN</t>
        </is>
      </c>
      <c r="E6973" t="inlineStr">
        <is>
          <t>SANDVIKEN</t>
        </is>
      </c>
      <c r="F6973" t="inlineStr">
        <is>
          <t>Bergvik skog öst AB</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12325-2025</t>
        </is>
      </c>
      <c r="B6974" s="1" t="n">
        <v>45730.30092592593</v>
      </c>
      <c r="C6974" s="1" t="n">
        <v>45883</v>
      </c>
      <c r="D6974" t="inlineStr">
        <is>
          <t>GÄVLEBORGS LÄN</t>
        </is>
      </c>
      <c r="E6974" t="inlineStr">
        <is>
          <t>OVANÅKER</t>
        </is>
      </c>
      <c r="G6974" t="n">
        <v>4</v>
      </c>
      <c r="H6974" t="n">
        <v>0</v>
      </c>
      <c r="I6974" t="n">
        <v>0</v>
      </c>
      <c r="J6974" t="n">
        <v>0</v>
      </c>
      <c r="K6974" t="n">
        <v>0</v>
      </c>
      <c r="L6974" t="n">
        <v>0</v>
      </c>
      <c r="M6974" t="n">
        <v>0</v>
      </c>
      <c r="N6974" t="n">
        <v>0</v>
      </c>
      <c r="O6974" t="n">
        <v>0</v>
      </c>
      <c r="P6974" t="n">
        <v>0</v>
      </c>
      <c r="Q6974" t="n">
        <v>0</v>
      </c>
      <c r="R6974" s="2" t="inlineStr"/>
    </row>
    <row r="6975" ht="15" customHeight="1">
      <c r="A6975" t="inlineStr">
        <is>
          <t>A 12326-2025</t>
        </is>
      </c>
      <c r="B6975" s="1" t="n">
        <v>45730.30270833334</v>
      </c>
      <c r="C6975" s="1" t="n">
        <v>45883</v>
      </c>
      <c r="D6975" t="inlineStr">
        <is>
          <t>GÄVLEBORGS LÄN</t>
        </is>
      </c>
      <c r="E6975" t="inlineStr">
        <is>
          <t>OVANÅKER</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36671-2023</t>
        </is>
      </c>
      <c r="B6976" s="1" t="n">
        <v>45153.58384259259</v>
      </c>
      <c r="C6976" s="1" t="n">
        <v>45883</v>
      </c>
      <c r="D6976" t="inlineStr">
        <is>
          <t>GÄVLEBORGS LÄN</t>
        </is>
      </c>
      <c r="E6976" t="inlineStr">
        <is>
          <t>SANDVIKEN</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29928-2024</t>
        </is>
      </c>
      <c r="B6977" s="1" t="n">
        <v>45488.38681712963</v>
      </c>
      <c r="C6977" s="1" t="n">
        <v>45883</v>
      </c>
      <c r="D6977" t="inlineStr">
        <is>
          <t>GÄVLEBORGS LÄN</t>
        </is>
      </c>
      <c r="E6977" t="inlineStr">
        <is>
          <t>SANDVIKEN</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52837-2023</t>
        </is>
      </c>
      <c r="B6978" s="1" t="n">
        <v>45226.41961805556</v>
      </c>
      <c r="C6978" s="1" t="n">
        <v>45883</v>
      </c>
      <c r="D6978" t="inlineStr">
        <is>
          <t>GÄVLEBORGS LÄN</t>
        </is>
      </c>
      <c r="E6978" t="inlineStr">
        <is>
          <t>LJUSDAL</t>
        </is>
      </c>
      <c r="G6978" t="n">
        <v>3</v>
      </c>
      <c r="H6978" t="n">
        <v>0</v>
      </c>
      <c r="I6978" t="n">
        <v>0</v>
      </c>
      <c r="J6978" t="n">
        <v>0</v>
      </c>
      <c r="K6978" t="n">
        <v>0</v>
      </c>
      <c r="L6978" t="n">
        <v>0</v>
      </c>
      <c r="M6978" t="n">
        <v>0</v>
      </c>
      <c r="N6978" t="n">
        <v>0</v>
      </c>
      <c r="O6978" t="n">
        <v>0</v>
      </c>
      <c r="P6978" t="n">
        <v>0</v>
      </c>
      <c r="Q6978" t="n">
        <v>0</v>
      </c>
      <c r="R6978" s="2" t="inlineStr"/>
    </row>
    <row r="6979" ht="15" customHeight="1">
      <c r="A6979" t="inlineStr">
        <is>
          <t>A 13623-2025</t>
        </is>
      </c>
      <c r="B6979" s="1" t="n">
        <v>45736.63565972223</v>
      </c>
      <c r="C6979" s="1" t="n">
        <v>45883</v>
      </c>
      <c r="D6979" t="inlineStr">
        <is>
          <t>GÄVLEBORGS LÄN</t>
        </is>
      </c>
      <c r="E6979" t="inlineStr">
        <is>
          <t>LJUSDAL</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20653-2024</t>
        </is>
      </c>
      <c r="B6980" s="1" t="n">
        <v>45436.53184027778</v>
      </c>
      <c r="C6980" s="1" t="n">
        <v>45883</v>
      </c>
      <c r="D6980" t="inlineStr">
        <is>
          <t>GÄVLEBORGS LÄN</t>
        </is>
      </c>
      <c r="E6980" t="inlineStr">
        <is>
          <t>LJUSDAL</t>
        </is>
      </c>
      <c r="F6980" t="inlineStr">
        <is>
          <t>Sveaskog</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6820-2023</t>
        </is>
      </c>
      <c r="B6981" s="1" t="n">
        <v>44967.38015046297</v>
      </c>
      <c r="C6981" s="1" t="n">
        <v>45883</v>
      </c>
      <c r="D6981" t="inlineStr">
        <is>
          <t>GÄVLEBORGS LÄN</t>
        </is>
      </c>
      <c r="E6981" t="inlineStr">
        <is>
          <t>NORDANSTIG</t>
        </is>
      </c>
      <c r="F6981" t="inlineStr">
        <is>
          <t>Holmen skog AB</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7603-2024</t>
        </is>
      </c>
      <c r="B6982" s="1" t="n">
        <v>45348.56818287037</v>
      </c>
      <c r="C6982" s="1" t="n">
        <v>45883</v>
      </c>
      <c r="D6982" t="inlineStr">
        <is>
          <t>GÄVLEBORGS LÄN</t>
        </is>
      </c>
      <c r="E6982" t="inlineStr">
        <is>
          <t>LJUSDAL</t>
        </is>
      </c>
      <c r="G6982" t="n">
        <v>3.2</v>
      </c>
      <c r="H6982" t="n">
        <v>0</v>
      </c>
      <c r="I6982" t="n">
        <v>0</v>
      </c>
      <c r="J6982" t="n">
        <v>0</v>
      </c>
      <c r="K6982" t="n">
        <v>0</v>
      </c>
      <c r="L6982" t="n">
        <v>0</v>
      </c>
      <c r="M6982" t="n">
        <v>0</v>
      </c>
      <c r="N6982" t="n">
        <v>0</v>
      </c>
      <c r="O6982" t="n">
        <v>0</v>
      </c>
      <c r="P6982" t="n">
        <v>0</v>
      </c>
      <c r="Q6982" t="n">
        <v>0</v>
      </c>
      <c r="R6982" s="2" t="inlineStr"/>
    </row>
    <row r="6983" ht="15" customHeight="1">
      <c r="A6983" t="inlineStr">
        <is>
          <t>A 19156-2023</t>
        </is>
      </c>
      <c r="B6983" s="1" t="n">
        <v>45048</v>
      </c>
      <c r="C6983" s="1" t="n">
        <v>45883</v>
      </c>
      <c r="D6983" t="inlineStr">
        <is>
          <t>GÄVLEBORGS LÄN</t>
        </is>
      </c>
      <c r="E6983" t="inlineStr">
        <is>
          <t>HUDIKSVALL</t>
        </is>
      </c>
      <c r="G6983" t="n">
        <v>3.7</v>
      </c>
      <c r="H6983" t="n">
        <v>0</v>
      </c>
      <c r="I6983" t="n">
        <v>0</v>
      </c>
      <c r="J6983" t="n">
        <v>0</v>
      </c>
      <c r="K6983" t="n">
        <v>0</v>
      </c>
      <c r="L6983" t="n">
        <v>0</v>
      </c>
      <c r="M6983" t="n">
        <v>0</v>
      </c>
      <c r="N6983" t="n">
        <v>0</v>
      </c>
      <c r="O6983" t="n">
        <v>0</v>
      </c>
      <c r="P6983" t="n">
        <v>0</v>
      </c>
      <c r="Q6983" t="n">
        <v>0</v>
      </c>
      <c r="R6983" s="2" t="inlineStr"/>
    </row>
    <row r="6984" ht="15" customHeight="1">
      <c r="A6984" t="inlineStr">
        <is>
          <t>A 26693-2024</t>
        </is>
      </c>
      <c r="B6984" s="1" t="n">
        <v>45470.3715162037</v>
      </c>
      <c r="C6984" s="1" t="n">
        <v>45883</v>
      </c>
      <c r="D6984" t="inlineStr">
        <is>
          <t>GÄVLEBORGS LÄN</t>
        </is>
      </c>
      <c r="E6984" t="inlineStr">
        <is>
          <t>SÖDERHAMN</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62628-2023</t>
        </is>
      </c>
      <c r="B6985" s="1" t="n">
        <v>45271.38574074074</v>
      </c>
      <c r="C6985" s="1" t="n">
        <v>45883</v>
      </c>
      <c r="D6985" t="inlineStr">
        <is>
          <t>GÄVLEBORGS LÄN</t>
        </is>
      </c>
      <c r="E6985" t="inlineStr">
        <is>
          <t>HUDIKSVALL</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63036-2023</t>
        </is>
      </c>
      <c r="B6986" s="1" t="n">
        <v>45272</v>
      </c>
      <c r="C6986" s="1" t="n">
        <v>45883</v>
      </c>
      <c r="D6986" t="inlineStr">
        <is>
          <t>GÄVLEBORGS LÄN</t>
        </is>
      </c>
      <c r="E6986" t="inlineStr">
        <is>
          <t>GÄVLE</t>
        </is>
      </c>
      <c r="G6986" t="n">
        <v>12.7</v>
      </c>
      <c r="H6986" t="n">
        <v>0</v>
      </c>
      <c r="I6986" t="n">
        <v>0</v>
      </c>
      <c r="J6986" t="n">
        <v>0</v>
      </c>
      <c r="K6986" t="n">
        <v>0</v>
      </c>
      <c r="L6986" t="n">
        <v>0</v>
      </c>
      <c r="M6986" t="n">
        <v>0</v>
      </c>
      <c r="N6986" t="n">
        <v>0</v>
      </c>
      <c r="O6986" t="n">
        <v>0</v>
      </c>
      <c r="P6986" t="n">
        <v>0</v>
      </c>
      <c r="Q6986" t="n">
        <v>0</v>
      </c>
      <c r="R6986" s="2" t="inlineStr"/>
    </row>
    <row r="6987" ht="15" customHeight="1">
      <c r="A6987" t="inlineStr">
        <is>
          <t>A 188-2024</t>
        </is>
      </c>
      <c r="B6987" s="1" t="n">
        <v>45294.61709490741</v>
      </c>
      <c r="C6987" s="1" t="n">
        <v>45883</v>
      </c>
      <c r="D6987" t="inlineStr">
        <is>
          <t>GÄVLEBORGS LÄN</t>
        </is>
      </c>
      <c r="E6987" t="inlineStr">
        <is>
          <t>LJUSDAL</t>
        </is>
      </c>
      <c r="G6987" t="n">
        <v>14.3</v>
      </c>
      <c r="H6987" t="n">
        <v>0</v>
      </c>
      <c r="I6987" t="n">
        <v>0</v>
      </c>
      <c r="J6987" t="n">
        <v>0</v>
      </c>
      <c r="K6987" t="n">
        <v>0</v>
      </c>
      <c r="L6987" t="n">
        <v>0</v>
      </c>
      <c r="M6987" t="n">
        <v>0</v>
      </c>
      <c r="N6987" t="n">
        <v>0</v>
      </c>
      <c r="O6987" t="n">
        <v>0</v>
      </c>
      <c r="P6987" t="n">
        <v>0</v>
      </c>
      <c r="Q6987" t="n">
        <v>0</v>
      </c>
      <c r="R6987" s="2" t="inlineStr"/>
    </row>
    <row r="6988" ht="15" customHeight="1">
      <c r="A6988" t="inlineStr">
        <is>
          <t>A 40794-2024</t>
        </is>
      </c>
      <c r="B6988" s="1" t="n">
        <v>45558.50545138889</v>
      </c>
      <c r="C6988" s="1" t="n">
        <v>45883</v>
      </c>
      <c r="D6988" t="inlineStr">
        <is>
          <t>GÄVLEBORGS LÄN</t>
        </is>
      </c>
      <c r="E6988" t="inlineStr">
        <is>
          <t>OCKELBO</t>
        </is>
      </c>
      <c r="G6988" t="n">
        <v>3</v>
      </c>
      <c r="H6988" t="n">
        <v>0</v>
      </c>
      <c r="I6988" t="n">
        <v>0</v>
      </c>
      <c r="J6988" t="n">
        <v>0</v>
      </c>
      <c r="K6988" t="n">
        <v>0</v>
      </c>
      <c r="L6988" t="n">
        <v>0</v>
      </c>
      <c r="M6988" t="n">
        <v>0</v>
      </c>
      <c r="N6988" t="n">
        <v>0</v>
      </c>
      <c r="O6988" t="n">
        <v>0</v>
      </c>
      <c r="P6988" t="n">
        <v>0</v>
      </c>
      <c r="Q6988" t="n">
        <v>0</v>
      </c>
      <c r="R6988" s="2" t="inlineStr"/>
    </row>
    <row r="6989" ht="15" customHeight="1">
      <c r="A6989" t="inlineStr">
        <is>
          <t>A 31892-2023</t>
        </is>
      </c>
      <c r="B6989" s="1" t="n">
        <v>45118</v>
      </c>
      <c r="C6989" s="1" t="n">
        <v>45883</v>
      </c>
      <c r="D6989" t="inlineStr">
        <is>
          <t>GÄVLEBORGS LÄN</t>
        </is>
      </c>
      <c r="E6989" t="inlineStr">
        <is>
          <t>LJUSDAL</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18505-2025</t>
        </is>
      </c>
      <c r="B6990" s="1" t="n">
        <v>45763.37523148148</v>
      </c>
      <c r="C6990" s="1" t="n">
        <v>45883</v>
      </c>
      <c r="D6990" t="inlineStr">
        <is>
          <t>GÄVLEBORGS LÄN</t>
        </is>
      </c>
      <c r="E6990" t="inlineStr">
        <is>
          <t>OVANÅKER</t>
        </is>
      </c>
      <c r="F6990" t="inlineStr">
        <is>
          <t>Holmen skog AB</t>
        </is>
      </c>
      <c r="G6990" t="n">
        <v>6.9</v>
      </c>
      <c r="H6990" t="n">
        <v>0</v>
      </c>
      <c r="I6990" t="n">
        <v>0</v>
      </c>
      <c r="J6990" t="n">
        <v>0</v>
      </c>
      <c r="K6990" t="n">
        <v>0</v>
      </c>
      <c r="L6990" t="n">
        <v>0</v>
      </c>
      <c r="M6990" t="n">
        <v>0</v>
      </c>
      <c r="N6990" t="n">
        <v>0</v>
      </c>
      <c r="O6990" t="n">
        <v>0</v>
      </c>
      <c r="P6990" t="n">
        <v>0</v>
      </c>
      <c r="Q6990" t="n">
        <v>0</v>
      </c>
      <c r="R6990" s="2" t="inlineStr"/>
    </row>
    <row r="6991" ht="15" customHeight="1">
      <c r="A6991" t="inlineStr">
        <is>
          <t>A 18562-2025</t>
        </is>
      </c>
      <c r="B6991" s="1" t="n">
        <v>45763.4484375</v>
      </c>
      <c r="C6991" s="1" t="n">
        <v>45883</v>
      </c>
      <c r="D6991" t="inlineStr">
        <is>
          <t>GÄVLEBORGS LÄN</t>
        </is>
      </c>
      <c r="E6991" t="inlineStr">
        <is>
          <t>OVANÅKER</t>
        </is>
      </c>
      <c r="F6991" t="inlineStr">
        <is>
          <t>Holmen skog AB</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30577-2025</t>
        </is>
      </c>
      <c r="B6992" s="1" t="n">
        <v>45831.41457175926</v>
      </c>
      <c r="C6992" s="1" t="n">
        <v>45883</v>
      </c>
      <c r="D6992" t="inlineStr">
        <is>
          <t>GÄVLEBORGS LÄN</t>
        </is>
      </c>
      <c r="E6992" t="inlineStr">
        <is>
          <t>LJUSDAL</t>
        </is>
      </c>
      <c r="F6992" t="inlineStr">
        <is>
          <t>Sveaskog</t>
        </is>
      </c>
      <c r="G6992" t="n">
        <v>4.5</v>
      </c>
      <c r="H6992" t="n">
        <v>0</v>
      </c>
      <c r="I6992" t="n">
        <v>0</v>
      </c>
      <c r="J6992" t="n">
        <v>0</v>
      </c>
      <c r="K6992" t="n">
        <v>0</v>
      </c>
      <c r="L6992" t="n">
        <v>0</v>
      </c>
      <c r="M6992" t="n">
        <v>0</v>
      </c>
      <c r="N6992" t="n">
        <v>0</v>
      </c>
      <c r="O6992" t="n">
        <v>0</v>
      </c>
      <c r="P6992" t="n">
        <v>0</v>
      </c>
      <c r="Q6992" t="n">
        <v>0</v>
      </c>
      <c r="R6992" s="2" t="inlineStr"/>
    </row>
    <row r="6993" ht="15" customHeight="1">
      <c r="A6993" t="inlineStr">
        <is>
          <t>A 36784-2025</t>
        </is>
      </c>
      <c r="B6993" s="1" t="n">
        <v>45873.6207175926</v>
      </c>
      <c r="C6993" s="1" t="n">
        <v>45883</v>
      </c>
      <c r="D6993" t="inlineStr">
        <is>
          <t>GÄVLEBORGS LÄN</t>
        </is>
      </c>
      <c r="E6993" t="inlineStr">
        <is>
          <t>LJUSDAL</t>
        </is>
      </c>
      <c r="F6993" t="inlineStr">
        <is>
          <t>Bergvik skog väst AB</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23429-2025</t>
        </is>
      </c>
      <c r="B6994" s="1" t="n">
        <v>45792</v>
      </c>
      <c r="C6994" s="1" t="n">
        <v>45883</v>
      </c>
      <c r="D6994" t="inlineStr">
        <is>
          <t>GÄVLEBORGS LÄN</t>
        </is>
      </c>
      <c r="E6994" t="inlineStr">
        <is>
          <t>LJUSDAL</t>
        </is>
      </c>
      <c r="F6994" t="inlineStr">
        <is>
          <t>SCA</t>
        </is>
      </c>
      <c r="G6994" t="n">
        <v>4.9</v>
      </c>
      <c r="H6994" t="n">
        <v>0</v>
      </c>
      <c r="I6994" t="n">
        <v>0</v>
      </c>
      <c r="J6994" t="n">
        <v>0</v>
      </c>
      <c r="K6994" t="n">
        <v>0</v>
      </c>
      <c r="L6994" t="n">
        <v>0</v>
      </c>
      <c r="M6994" t="n">
        <v>0</v>
      </c>
      <c r="N6994" t="n">
        <v>0</v>
      </c>
      <c r="O6994" t="n">
        <v>0</v>
      </c>
      <c r="P6994" t="n">
        <v>0</v>
      </c>
      <c r="Q6994" t="n">
        <v>0</v>
      </c>
      <c r="R6994" s="2" t="inlineStr"/>
    </row>
    <row r="6995" ht="15" customHeight="1">
      <c r="A6995" t="inlineStr">
        <is>
          <t>A 30826-2025</t>
        </is>
      </c>
      <c r="B6995" s="1" t="n">
        <v>45831.67693287037</v>
      </c>
      <c r="C6995" s="1" t="n">
        <v>45883</v>
      </c>
      <c r="D6995" t="inlineStr">
        <is>
          <t>GÄVLEBORGS LÄN</t>
        </is>
      </c>
      <c r="E6995" t="inlineStr">
        <is>
          <t>OVANÅKER</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30938-2025</t>
        </is>
      </c>
      <c r="B6996" s="1" t="n">
        <v>45832.40675925926</v>
      </c>
      <c r="C6996" s="1" t="n">
        <v>45883</v>
      </c>
      <c r="D6996" t="inlineStr">
        <is>
          <t>GÄVLEBORGS LÄN</t>
        </is>
      </c>
      <c r="E6996" t="inlineStr">
        <is>
          <t>LJUSDAL</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32847-2022</t>
        </is>
      </c>
      <c r="B6997" s="1" t="n">
        <v>44784.46349537037</v>
      </c>
      <c r="C6997" s="1" t="n">
        <v>45883</v>
      </c>
      <c r="D6997" t="inlineStr">
        <is>
          <t>GÄVLEBORGS LÄN</t>
        </is>
      </c>
      <c r="E6997" t="inlineStr">
        <is>
          <t>SANDVIKEN</t>
        </is>
      </c>
      <c r="G6997" t="n">
        <v>3.4</v>
      </c>
      <c r="H6997" t="n">
        <v>0</v>
      </c>
      <c r="I6997" t="n">
        <v>0</v>
      </c>
      <c r="J6997" t="n">
        <v>0</v>
      </c>
      <c r="K6997" t="n">
        <v>0</v>
      </c>
      <c r="L6997" t="n">
        <v>0</v>
      </c>
      <c r="M6997" t="n">
        <v>0</v>
      </c>
      <c r="N6997" t="n">
        <v>0</v>
      </c>
      <c r="O6997" t="n">
        <v>0</v>
      </c>
      <c r="P6997" t="n">
        <v>0</v>
      </c>
      <c r="Q6997" t="n">
        <v>0</v>
      </c>
      <c r="R6997" s="2" t="inlineStr"/>
    </row>
    <row r="6998" ht="15" customHeight="1">
      <c r="A6998" t="inlineStr">
        <is>
          <t>A 36717-2025</t>
        </is>
      </c>
      <c r="B6998" s="1" t="n">
        <v>45873.46980324074</v>
      </c>
      <c r="C6998" s="1" t="n">
        <v>45883</v>
      </c>
      <c r="D6998" t="inlineStr">
        <is>
          <t>GÄVLEBORGS LÄN</t>
        </is>
      </c>
      <c r="E6998" t="inlineStr">
        <is>
          <t>OVANÅKER</t>
        </is>
      </c>
      <c r="F6998" t="inlineStr">
        <is>
          <t>Bergvik skog väst AB</t>
        </is>
      </c>
      <c r="G6998" t="n">
        <v>8.1</v>
      </c>
      <c r="H6998" t="n">
        <v>0</v>
      </c>
      <c r="I6998" t="n">
        <v>0</v>
      </c>
      <c r="J6998" t="n">
        <v>0</v>
      </c>
      <c r="K6998" t="n">
        <v>0</v>
      </c>
      <c r="L6998" t="n">
        <v>0</v>
      </c>
      <c r="M6998" t="n">
        <v>0</v>
      </c>
      <c r="N6998" t="n">
        <v>0</v>
      </c>
      <c r="O6998" t="n">
        <v>0</v>
      </c>
      <c r="P6998" t="n">
        <v>0</v>
      </c>
      <c r="Q6998" t="n">
        <v>0</v>
      </c>
      <c r="R6998" s="2" t="inlineStr"/>
    </row>
    <row r="6999" ht="15" customHeight="1">
      <c r="A6999" t="inlineStr">
        <is>
          <t>A 36703-2025</t>
        </is>
      </c>
      <c r="B6999" s="1" t="n">
        <v>45873.45009259259</v>
      </c>
      <c r="C6999" s="1" t="n">
        <v>45883</v>
      </c>
      <c r="D6999" t="inlineStr">
        <is>
          <t>GÄVLEBORGS LÄN</t>
        </is>
      </c>
      <c r="E6999" t="inlineStr">
        <is>
          <t>OVANÅKER</t>
        </is>
      </c>
      <c r="F6999" t="inlineStr">
        <is>
          <t>Bergvik skog väst AB</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36684-2025</t>
        </is>
      </c>
      <c r="B7000" s="1" t="n">
        <v>45873.41694444444</v>
      </c>
      <c r="C7000" s="1" t="n">
        <v>45883</v>
      </c>
      <c r="D7000" t="inlineStr">
        <is>
          <t>GÄVLEBORGS LÄN</t>
        </is>
      </c>
      <c r="E7000" t="inlineStr">
        <is>
          <t>OVANÅKER</t>
        </is>
      </c>
      <c r="F7000" t="inlineStr">
        <is>
          <t>Bergvik skog väst AB</t>
        </is>
      </c>
      <c r="G7000" t="n">
        <v>4.8</v>
      </c>
      <c r="H7000" t="n">
        <v>0</v>
      </c>
      <c r="I7000" t="n">
        <v>0</v>
      </c>
      <c r="J7000" t="n">
        <v>0</v>
      </c>
      <c r="K7000" t="n">
        <v>0</v>
      </c>
      <c r="L7000" t="n">
        <v>0</v>
      </c>
      <c r="M7000" t="n">
        <v>0</v>
      </c>
      <c r="N7000" t="n">
        <v>0</v>
      </c>
      <c r="O7000" t="n">
        <v>0</v>
      </c>
      <c r="P7000" t="n">
        <v>0</v>
      </c>
      <c r="Q7000" t="n">
        <v>0</v>
      </c>
      <c r="R7000" s="2" t="inlineStr"/>
    </row>
    <row r="7001" ht="15" customHeight="1">
      <c r="A7001" t="inlineStr">
        <is>
          <t>A 36836-2025</t>
        </is>
      </c>
      <c r="B7001" s="1" t="n">
        <v>45874.36065972222</v>
      </c>
      <c r="C7001" s="1" t="n">
        <v>45883</v>
      </c>
      <c r="D7001" t="inlineStr">
        <is>
          <t>GÄVLEBORGS LÄN</t>
        </is>
      </c>
      <c r="E7001" t="inlineStr">
        <is>
          <t>OVANÅKER</t>
        </is>
      </c>
      <c r="G7001" t="n">
        <v>4.5</v>
      </c>
      <c r="H7001" t="n">
        <v>0</v>
      </c>
      <c r="I7001" t="n">
        <v>0</v>
      </c>
      <c r="J7001" t="n">
        <v>0</v>
      </c>
      <c r="K7001" t="n">
        <v>0</v>
      </c>
      <c r="L7001" t="n">
        <v>0</v>
      </c>
      <c r="M7001" t="n">
        <v>0</v>
      </c>
      <c r="N7001" t="n">
        <v>0</v>
      </c>
      <c r="O7001" t="n">
        <v>0</v>
      </c>
      <c r="P7001" t="n">
        <v>0</v>
      </c>
      <c r="Q7001" t="n">
        <v>0</v>
      </c>
      <c r="R7001" s="2" t="inlineStr"/>
    </row>
    <row r="7002" ht="15" customHeight="1">
      <c r="A7002" t="inlineStr">
        <is>
          <t>A 2297-2024</t>
        </is>
      </c>
      <c r="B7002" s="1" t="n">
        <v>45310.43618055555</v>
      </c>
      <c r="C7002" s="1" t="n">
        <v>45883</v>
      </c>
      <c r="D7002" t="inlineStr">
        <is>
          <t>GÄVLEBORGS LÄN</t>
        </is>
      </c>
      <c r="E7002" t="inlineStr">
        <is>
          <t>BOLLNÄS</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5719-2023</t>
        </is>
      </c>
      <c r="B7003" s="1" t="n">
        <v>44961.40068287037</v>
      </c>
      <c r="C7003" s="1" t="n">
        <v>45883</v>
      </c>
      <c r="D7003" t="inlineStr">
        <is>
          <t>GÄVLEBORGS LÄN</t>
        </is>
      </c>
      <c r="E7003" t="inlineStr">
        <is>
          <t>OVANÅKER</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3731-2024</t>
        </is>
      </c>
      <c r="B7004" s="1" t="n">
        <v>45321.48737268519</v>
      </c>
      <c r="C7004" s="1" t="n">
        <v>45883</v>
      </c>
      <c r="D7004" t="inlineStr">
        <is>
          <t>GÄVLEBORGS LÄN</t>
        </is>
      </c>
      <c r="E7004" t="inlineStr">
        <is>
          <t>SANDVIKEN</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7192-2023</t>
        </is>
      </c>
      <c r="B7005" s="1" t="n">
        <v>44970</v>
      </c>
      <c r="C7005" s="1" t="n">
        <v>45883</v>
      </c>
      <c r="D7005" t="inlineStr">
        <is>
          <t>GÄVLEBORGS LÄN</t>
        </is>
      </c>
      <c r="E7005" t="inlineStr">
        <is>
          <t>LJUSDAL</t>
        </is>
      </c>
      <c r="G7005" t="n">
        <v>3.6</v>
      </c>
      <c r="H7005" t="n">
        <v>0</v>
      </c>
      <c r="I7005" t="n">
        <v>0</v>
      </c>
      <c r="J7005" t="n">
        <v>0</v>
      </c>
      <c r="K7005" t="n">
        <v>0</v>
      </c>
      <c r="L7005" t="n">
        <v>0</v>
      </c>
      <c r="M7005" t="n">
        <v>0</v>
      </c>
      <c r="N7005" t="n">
        <v>0</v>
      </c>
      <c r="O7005" t="n">
        <v>0</v>
      </c>
      <c r="P7005" t="n">
        <v>0</v>
      </c>
      <c r="Q7005" t="n">
        <v>0</v>
      </c>
      <c r="R7005" s="2" t="inlineStr"/>
    </row>
    <row r="7006" ht="15" customHeight="1">
      <c r="A7006" t="inlineStr">
        <is>
          <t>A 25345-2024</t>
        </is>
      </c>
      <c r="B7006" s="1" t="n">
        <v>45462.92701388889</v>
      </c>
      <c r="C7006" s="1" t="n">
        <v>45883</v>
      </c>
      <c r="D7006" t="inlineStr">
        <is>
          <t>GÄVLEBORGS LÄN</t>
        </is>
      </c>
      <c r="E7006" t="inlineStr">
        <is>
          <t>OVANÅKER</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15347-2025</t>
        </is>
      </c>
      <c r="B7007" s="1" t="n">
        <v>45747.38072916667</v>
      </c>
      <c r="C7007" s="1" t="n">
        <v>45883</v>
      </c>
      <c r="D7007" t="inlineStr">
        <is>
          <t>GÄVLEBORGS LÄN</t>
        </is>
      </c>
      <c r="E7007" t="inlineStr">
        <is>
          <t>SANDVIKEN</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30496-2025</t>
        </is>
      </c>
      <c r="B7008" s="1" t="n">
        <v>45830.71666666667</v>
      </c>
      <c r="C7008" s="1" t="n">
        <v>45883</v>
      </c>
      <c r="D7008" t="inlineStr">
        <is>
          <t>GÄVLEBORGS LÄN</t>
        </is>
      </c>
      <c r="E7008" t="inlineStr">
        <is>
          <t>LJUSDAL</t>
        </is>
      </c>
      <c r="G7008" t="n">
        <v>7.8</v>
      </c>
      <c r="H7008" t="n">
        <v>0</v>
      </c>
      <c r="I7008" t="n">
        <v>0</v>
      </c>
      <c r="J7008" t="n">
        <v>0</v>
      </c>
      <c r="K7008" t="n">
        <v>0</v>
      </c>
      <c r="L7008" t="n">
        <v>0</v>
      </c>
      <c r="M7008" t="n">
        <v>0</v>
      </c>
      <c r="N7008" t="n">
        <v>0</v>
      </c>
      <c r="O7008" t="n">
        <v>0</v>
      </c>
      <c r="P7008" t="n">
        <v>0</v>
      </c>
      <c r="Q7008" t="n">
        <v>0</v>
      </c>
      <c r="R7008" s="2" t="inlineStr"/>
    </row>
    <row r="7009" ht="15" customHeight="1">
      <c r="A7009" t="inlineStr">
        <is>
          <t>A 30937-2025</t>
        </is>
      </c>
      <c r="B7009" s="1" t="n">
        <v>45832.40670138889</v>
      </c>
      <c r="C7009" s="1" t="n">
        <v>45883</v>
      </c>
      <c r="D7009" t="inlineStr">
        <is>
          <t>GÄVLEBORGS LÄN</t>
        </is>
      </c>
      <c r="E7009" t="inlineStr">
        <is>
          <t>LJUSDAL</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61234-2023</t>
        </is>
      </c>
      <c r="B7010" s="1" t="n">
        <v>45264.45878472222</v>
      </c>
      <c r="C7010" s="1" t="n">
        <v>45883</v>
      </c>
      <c r="D7010" t="inlineStr">
        <is>
          <t>GÄVLEBORGS LÄN</t>
        </is>
      </c>
      <c r="E7010" t="inlineStr">
        <is>
          <t>HUDIKSVALL</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16909-2025</t>
        </is>
      </c>
      <c r="B7011" s="1" t="n">
        <v>45755.35984953704</v>
      </c>
      <c r="C7011" s="1" t="n">
        <v>45883</v>
      </c>
      <c r="D7011" t="inlineStr">
        <is>
          <t>GÄVLEBORGS LÄN</t>
        </is>
      </c>
      <c r="E7011" t="inlineStr">
        <is>
          <t>BOLLNÄS</t>
        </is>
      </c>
      <c r="G7011" t="n">
        <v>4.7</v>
      </c>
      <c r="H7011" t="n">
        <v>0</v>
      </c>
      <c r="I7011" t="n">
        <v>0</v>
      </c>
      <c r="J7011" t="n">
        <v>0</v>
      </c>
      <c r="K7011" t="n">
        <v>0</v>
      </c>
      <c r="L7011" t="n">
        <v>0</v>
      </c>
      <c r="M7011" t="n">
        <v>0</v>
      </c>
      <c r="N7011" t="n">
        <v>0</v>
      </c>
      <c r="O7011" t="n">
        <v>0</v>
      </c>
      <c r="P7011" t="n">
        <v>0</v>
      </c>
      <c r="Q7011" t="n">
        <v>0</v>
      </c>
      <c r="R7011" s="2" t="inlineStr"/>
    </row>
    <row r="7012" ht="15" customHeight="1">
      <c r="A7012" t="inlineStr">
        <is>
          <t>A 16911-2025</t>
        </is>
      </c>
      <c r="B7012" s="1" t="n">
        <v>45755.36253472222</v>
      </c>
      <c r="C7012" s="1" t="n">
        <v>45883</v>
      </c>
      <c r="D7012" t="inlineStr">
        <is>
          <t>GÄVLEBORGS LÄN</t>
        </is>
      </c>
      <c r="E7012" t="inlineStr">
        <is>
          <t>OVANÅKER</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31004-2025</t>
        </is>
      </c>
      <c r="B7013" s="1" t="n">
        <v>45832.49621527778</v>
      </c>
      <c r="C7013" s="1" t="n">
        <v>45883</v>
      </c>
      <c r="D7013" t="inlineStr">
        <is>
          <t>GÄVLEBORGS LÄN</t>
        </is>
      </c>
      <c r="E7013" t="inlineStr">
        <is>
          <t>GÄVLE</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31028-2025</t>
        </is>
      </c>
      <c r="B7014" s="1" t="n">
        <v>45832.53422453703</v>
      </c>
      <c r="C7014" s="1" t="n">
        <v>45883</v>
      </c>
      <c r="D7014" t="inlineStr">
        <is>
          <t>GÄVLEBORGS LÄN</t>
        </is>
      </c>
      <c r="E7014" t="inlineStr">
        <is>
          <t>LJUSDAL</t>
        </is>
      </c>
      <c r="G7014" t="n">
        <v>20.5</v>
      </c>
      <c r="H7014" t="n">
        <v>0</v>
      </c>
      <c r="I7014" t="n">
        <v>0</v>
      </c>
      <c r="J7014" t="n">
        <v>0</v>
      </c>
      <c r="K7014" t="n">
        <v>0</v>
      </c>
      <c r="L7014" t="n">
        <v>0</v>
      </c>
      <c r="M7014" t="n">
        <v>0</v>
      </c>
      <c r="N7014" t="n">
        <v>0</v>
      </c>
      <c r="O7014" t="n">
        <v>0</v>
      </c>
      <c r="P7014" t="n">
        <v>0</v>
      </c>
      <c r="Q7014" t="n">
        <v>0</v>
      </c>
      <c r="R7014" s="2" t="inlineStr"/>
    </row>
    <row r="7015" ht="15" customHeight="1">
      <c r="A7015" t="inlineStr">
        <is>
          <t>A 31140-2025</t>
        </is>
      </c>
      <c r="B7015" s="1" t="n">
        <v>45832.63648148148</v>
      </c>
      <c r="C7015" s="1" t="n">
        <v>45883</v>
      </c>
      <c r="D7015" t="inlineStr">
        <is>
          <t>GÄVLEBORGS LÄN</t>
        </is>
      </c>
      <c r="E7015" t="inlineStr">
        <is>
          <t>LJUSDAL</t>
        </is>
      </c>
      <c r="F7015" t="inlineStr">
        <is>
          <t>SCA</t>
        </is>
      </c>
      <c r="G7015" t="n">
        <v>3.9</v>
      </c>
      <c r="H7015" t="n">
        <v>0</v>
      </c>
      <c r="I7015" t="n">
        <v>0</v>
      </c>
      <c r="J7015" t="n">
        <v>0</v>
      </c>
      <c r="K7015" t="n">
        <v>0</v>
      </c>
      <c r="L7015" t="n">
        <v>0</v>
      </c>
      <c r="M7015" t="n">
        <v>0</v>
      </c>
      <c r="N7015" t="n">
        <v>0</v>
      </c>
      <c r="O7015" t="n">
        <v>0</v>
      </c>
      <c r="P7015" t="n">
        <v>0</v>
      </c>
      <c r="Q7015" t="n">
        <v>0</v>
      </c>
      <c r="R7015" s="2" t="inlineStr"/>
    </row>
    <row r="7016" ht="15" customHeight="1">
      <c r="A7016" t="inlineStr">
        <is>
          <t>A 50268-2024</t>
        </is>
      </c>
      <c r="B7016" s="1" t="n">
        <v>45600.58967592593</v>
      </c>
      <c r="C7016" s="1" t="n">
        <v>45883</v>
      </c>
      <c r="D7016" t="inlineStr">
        <is>
          <t>GÄVLEBORGS LÄN</t>
        </is>
      </c>
      <c r="E7016" t="inlineStr">
        <is>
          <t>SÖDERHAMN</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8909-2024</t>
        </is>
      </c>
      <c r="B7017" s="1" t="n">
        <v>45357</v>
      </c>
      <c r="C7017" s="1" t="n">
        <v>45883</v>
      </c>
      <c r="D7017" t="inlineStr">
        <is>
          <t>GÄVLEBORGS LÄN</t>
        </is>
      </c>
      <c r="E7017" t="inlineStr">
        <is>
          <t>NORDANSTIG</t>
        </is>
      </c>
      <c r="G7017" t="n">
        <v>15.3</v>
      </c>
      <c r="H7017" t="n">
        <v>0</v>
      </c>
      <c r="I7017" t="n">
        <v>0</v>
      </c>
      <c r="J7017" t="n">
        <v>0</v>
      </c>
      <c r="K7017" t="n">
        <v>0</v>
      </c>
      <c r="L7017" t="n">
        <v>0</v>
      </c>
      <c r="M7017" t="n">
        <v>0</v>
      </c>
      <c r="N7017" t="n">
        <v>0</v>
      </c>
      <c r="O7017" t="n">
        <v>0</v>
      </c>
      <c r="P7017" t="n">
        <v>0</v>
      </c>
      <c r="Q7017" t="n">
        <v>0</v>
      </c>
      <c r="R7017" s="2" t="inlineStr"/>
    </row>
    <row r="7018" ht="15" customHeight="1">
      <c r="A7018" t="inlineStr">
        <is>
          <t>A 17523-2025</t>
        </is>
      </c>
      <c r="B7018" s="1" t="n">
        <v>45757.58005787037</v>
      </c>
      <c r="C7018" s="1" t="n">
        <v>45883</v>
      </c>
      <c r="D7018" t="inlineStr">
        <is>
          <t>GÄVLEBORGS LÄN</t>
        </is>
      </c>
      <c r="E7018" t="inlineStr">
        <is>
          <t>OVANÅKER</t>
        </is>
      </c>
      <c r="F7018" t="inlineStr">
        <is>
          <t>Bergvik skog öst AB</t>
        </is>
      </c>
      <c r="G7018" t="n">
        <v>3.1</v>
      </c>
      <c r="H7018" t="n">
        <v>0</v>
      </c>
      <c r="I7018" t="n">
        <v>0</v>
      </c>
      <c r="J7018" t="n">
        <v>0</v>
      </c>
      <c r="K7018" t="n">
        <v>0</v>
      </c>
      <c r="L7018" t="n">
        <v>0</v>
      </c>
      <c r="M7018" t="n">
        <v>0</v>
      </c>
      <c r="N7018" t="n">
        <v>0</v>
      </c>
      <c r="O7018" t="n">
        <v>0</v>
      </c>
      <c r="P7018" t="n">
        <v>0</v>
      </c>
      <c r="Q7018" t="n">
        <v>0</v>
      </c>
      <c r="R7018" s="2" t="inlineStr"/>
    </row>
    <row r="7019" ht="15" customHeight="1">
      <c r="A7019" t="inlineStr">
        <is>
          <t>A 30926-2025</t>
        </is>
      </c>
      <c r="B7019" s="1" t="n">
        <v>45832.38623842593</v>
      </c>
      <c r="C7019" s="1" t="n">
        <v>45883</v>
      </c>
      <c r="D7019" t="inlineStr">
        <is>
          <t>GÄVLEBORGS LÄN</t>
        </is>
      </c>
      <c r="E7019" t="inlineStr">
        <is>
          <t>LJUSDAL</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30749-2025</t>
        </is>
      </c>
      <c r="B7020" s="1" t="n">
        <v>45831.58878472223</v>
      </c>
      <c r="C7020" s="1" t="n">
        <v>45883</v>
      </c>
      <c r="D7020" t="inlineStr">
        <is>
          <t>GÄVLEBORGS LÄN</t>
        </is>
      </c>
      <c r="E7020" t="inlineStr">
        <is>
          <t>BOLLNÄS</t>
        </is>
      </c>
      <c r="F7020" t="inlineStr">
        <is>
          <t>Bergvik skog väst AB</t>
        </is>
      </c>
      <c r="G7020" t="n">
        <v>10.1</v>
      </c>
      <c r="H7020" t="n">
        <v>0</v>
      </c>
      <c r="I7020" t="n">
        <v>0</v>
      </c>
      <c r="J7020" t="n">
        <v>0</v>
      </c>
      <c r="K7020" t="n">
        <v>0</v>
      </c>
      <c r="L7020" t="n">
        <v>0</v>
      </c>
      <c r="M7020" t="n">
        <v>0</v>
      </c>
      <c r="N7020" t="n">
        <v>0</v>
      </c>
      <c r="O7020" t="n">
        <v>0</v>
      </c>
      <c r="P7020" t="n">
        <v>0</v>
      </c>
      <c r="Q7020" t="n">
        <v>0</v>
      </c>
      <c r="R7020" s="2" t="inlineStr"/>
    </row>
    <row r="7021" ht="15" customHeight="1">
      <c r="A7021" t="inlineStr">
        <is>
          <t>A 30589-2025</t>
        </is>
      </c>
      <c r="B7021" s="1" t="n">
        <v>45831.43140046296</v>
      </c>
      <c r="C7021" s="1" t="n">
        <v>45883</v>
      </c>
      <c r="D7021" t="inlineStr">
        <is>
          <t>GÄVLEBORGS LÄN</t>
        </is>
      </c>
      <c r="E7021" t="inlineStr">
        <is>
          <t>LJUSDAL</t>
        </is>
      </c>
      <c r="F7021" t="inlineStr">
        <is>
          <t>Holmen skog AB</t>
        </is>
      </c>
      <c r="G7021" t="n">
        <v>32.3</v>
      </c>
      <c r="H7021" t="n">
        <v>0</v>
      </c>
      <c r="I7021" t="n">
        <v>0</v>
      </c>
      <c r="J7021" t="n">
        <v>0</v>
      </c>
      <c r="K7021" t="n">
        <v>0</v>
      </c>
      <c r="L7021" t="n">
        <v>0</v>
      </c>
      <c r="M7021" t="n">
        <v>0</v>
      </c>
      <c r="N7021" t="n">
        <v>0</v>
      </c>
      <c r="O7021" t="n">
        <v>0</v>
      </c>
      <c r="P7021" t="n">
        <v>0</v>
      </c>
      <c r="Q7021" t="n">
        <v>0</v>
      </c>
      <c r="R7021" s="2" t="inlineStr"/>
    </row>
    <row r="7022" ht="15" customHeight="1">
      <c r="A7022" t="inlineStr">
        <is>
          <t>A 12397-2025</t>
        </is>
      </c>
      <c r="B7022" s="1" t="n">
        <v>45730.40746527778</v>
      </c>
      <c r="C7022" s="1" t="n">
        <v>45883</v>
      </c>
      <c r="D7022" t="inlineStr">
        <is>
          <t>GÄVLEBORGS LÄN</t>
        </is>
      </c>
      <c r="E7022" t="inlineStr">
        <is>
          <t>OCKELBO</t>
        </is>
      </c>
      <c r="G7022" t="n">
        <v>3.6</v>
      </c>
      <c r="H7022" t="n">
        <v>0</v>
      </c>
      <c r="I7022" t="n">
        <v>0</v>
      </c>
      <c r="J7022" t="n">
        <v>0</v>
      </c>
      <c r="K7022" t="n">
        <v>0</v>
      </c>
      <c r="L7022" t="n">
        <v>0</v>
      </c>
      <c r="M7022" t="n">
        <v>0</v>
      </c>
      <c r="N7022" t="n">
        <v>0</v>
      </c>
      <c r="O7022" t="n">
        <v>0</v>
      </c>
      <c r="P7022" t="n">
        <v>0</v>
      </c>
      <c r="Q7022" t="n">
        <v>0</v>
      </c>
      <c r="R7022" s="2" t="inlineStr"/>
    </row>
    <row r="7023" ht="15" customHeight="1">
      <c r="A7023" t="inlineStr">
        <is>
          <t>A 36981-2025</t>
        </is>
      </c>
      <c r="B7023" s="1" t="n">
        <v>45874.64697916667</v>
      </c>
      <c r="C7023" s="1" t="n">
        <v>45883</v>
      </c>
      <c r="D7023" t="inlineStr">
        <is>
          <t>GÄVLEBORGS LÄN</t>
        </is>
      </c>
      <c r="E7023" t="inlineStr">
        <is>
          <t>LJUSDAL</t>
        </is>
      </c>
      <c r="F7023" t="inlineStr">
        <is>
          <t>Sveaskog</t>
        </is>
      </c>
      <c r="G7023" t="n">
        <v>6.2</v>
      </c>
      <c r="H7023" t="n">
        <v>0</v>
      </c>
      <c r="I7023" t="n">
        <v>0</v>
      </c>
      <c r="J7023" t="n">
        <v>0</v>
      </c>
      <c r="K7023" t="n">
        <v>0</v>
      </c>
      <c r="L7023" t="n">
        <v>0</v>
      </c>
      <c r="M7023" t="n">
        <v>0</v>
      </c>
      <c r="N7023" t="n">
        <v>0</v>
      </c>
      <c r="O7023" t="n">
        <v>0</v>
      </c>
      <c r="P7023" t="n">
        <v>0</v>
      </c>
      <c r="Q7023" t="n">
        <v>0</v>
      </c>
      <c r="R7023" s="2" t="inlineStr"/>
    </row>
    <row r="7024" ht="15" customHeight="1">
      <c r="A7024" t="inlineStr">
        <is>
          <t>A 40386-2024</t>
        </is>
      </c>
      <c r="B7024" s="1" t="n">
        <v>45555.43184027778</v>
      </c>
      <c r="C7024" s="1" t="n">
        <v>45883</v>
      </c>
      <c r="D7024" t="inlineStr">
        <is>
          <t>GÄVLEBORGS LÄN</t>
        </is>
      </c>
      <c r="E7024" t="inlineStr">
        <is>
          <t>BOLLNÄS</t>
        </is>
      </c>
      <c r="F7024" t="inlineStr">
        <is>
          <t>Bergvik skog väst AB</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5825-2025</t>
        </is>
      </c>
      <c r="B7025" s="1" t="n">
        <v>45694</v>
      </c>
      <c r="C7025" s="1" t="n">
        <v>45883</v>
      </c>
      <c r="D7025" t="inlineStr">
        <is>
          <t>GÄVLEBORGS LÄN</t>
        </is>
      </c>
      <c r="E7025" t="inlineStr">
        <is>
          <t>HUDIKSVALL</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36647-2025</t>
        </is>
      </c>
      <c r="B7026" s="1" t="n">
        <v>45872</v>
      </c>
      <c r="C7026" s="1" t="n">
        <v>45883</v>
      </c>
      <c r="D7026" t="inlineStr">
        <is>
          <t>GÄVLEBORGS LÄN</t>
        </is>
      </c>
      <c r="E7026" t="inlineStr">
        <is>
          <t>HUDIKSVALL</t>
        </is>
      </c>
      <c r="F7026" t="inlineStr">
        <is>
          <t>Holmen skog AB</t>
        </is>
      </c>
      <c r="G7026" t="n">
        <v>8.199999999999999</v>
      </c>
      <c r="H7026" t="n">
        <v>0</v>
      </c>
      <c r="I7026" t="n">
        <v>0</v>
      </c>
      <c r="J7026" t="n">
        <v>0</v>
      </c>
      <c r="K7026" t="n">
        <v>0</v>
      </c>
      <c r="L7026" t="n">
        <v>0</v>
      </c>
      <c r="M7026" t="n">
        <v>0</v>
      </c>
      <c r="N7026" t="n">
        <v>0</v>
      </c>
      <c r="O7026" t="n">
        <v>0</v>
      </c>
      <c r="P7026" t="n">
        <v>0</v>
      </c>
      <c r="Q7026" t="n">
        <v>0</v>
      </c>
      <c r="R7026" s="2" t="inlineStr"/>
    </row>
    <row r="7027" ht="15" customHeight="1">
      <c r="A7027" t="inlineStr">
        <is>
          <t>A 30661-2025</t>
        </is>
      </c>
      <c r="B7027" s="1" t="n">
        <v>45831.5102662037</v>
      </c>
      <c r="C7027" s="1" t="n">
        <v>45883</v>
      </c>
      <c r="D7027" t="inlineStr">
        <is>
          <t>GÄVLEBORGS LÄN</t>
        </is>
      </c>
      <c r="E7027" t="inlineStr">
        <is>
          <t>LJUSDAL</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3679-2022</t>
        </is>
      </c>
      <c r="B7028" s="1" t="n">
        <v>44586</v>
      </c>
      <c r="C7028" s="1" t="n">
        <v>45883</v>
      </c>
      <c r="D7028" t="inlineStr">
        <is>
          <t>GÄVLEBORGS LÄN</t>
        </is>
      </c>
      <c r="E7028" t="inlineStr">
        <is>
          <t>SANDVIKEN</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31040-2025</t>
        </is>
      </c>
      <c r="B7029" s="1" t="n">
        <v>45832.55109953704</v>
      </c>
      <c r="C7029" s="1" t="n">
        <v>45883</v>
      </c>
      <c r="D7029" t="inlineStr">
        <is>
          <t>GÄVLEBORGS LÄN</t>
        </is>
      </c>
      <c r="E7029" t="inlineStr">
        <is>
          <t>LJUSDAL</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30870-2025</t>
        </is>
      </c>
      <c r="B7030" s="1" t="n">
        <v>45832.33273148148</v>
      </c>
      <c r="C7030" s="1" t="n">
        <v>45883</v>
      </c>
      <c r="D7030" t="inlineStr">
        <is>
          <t>GÄVLEBORGS LÄN</t>
        </is>
      </c>
      <c r="E7030" t="inlineStr">
        <is>
          <t>NORDANSTIG</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32622-2022</t>
        </is>
      </c>
      <c r="B7031" s="1" t="n">
        <v>44783.45782407407</v>
      </c>
      <c r="C7031" s="1" t="n">
        <v>45883</v>
      </c>
      <c r="D7031" t="inlineStr">
        <is>
          <t>GÄVLEBORGS LÄN</t>
        </is>
      </c>
      <c r="E7031" t="inlineStr">
        <is>
          <t>NORDANSTIG</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23440-2024</t>
        </is>
      </c>
      <c r="B7032" s="1" t="n">
        <v>45453</v>
      </c>
      <c r="C7032" s="1" t="n">
        <v>45883</v>
      </c>
      <c r="D7032" t="inlineStr">
        <is>
          <t>GÄVLEBORGS LÄN</t>
        </is>
      </c>
      <c r="E7032" t="inlineStr">
        <is>
          <t>BOLLNÄS</t>
        </is>
      </c>
      <c r="F7032" t="inlineStr">
        <is>
          <t>Bergvik skog väst AB</t>
        </is>
      </c>
      <c r="G7032" t="n">
        <v>3.7</v>
      </c>
      <c r="H7032" t="n">
        <v>0</v>
      </c>
      <c r="I7032" t="n">
        <v>0</v>
      </c>
      <c r="J7032" t="n">
        <v>0</v>
      </c>
      <c r="K7032" t="n">
        <v>0</v>
      </c>
      <c r="L7032" t="n">
        <v>0</v>
      </c>
      <c r="M7032" t="n">
        <v>0</v>
      </c>
      <c r="N7032" t="n">
        <v>0</v>
      </c>
      <c r="O7032" t="n">
        <v>0</v>
      </c>
      <c r="P7032" t="n">
        <v>0</v>
      </c>
      <c r="Q7032" t="n">
        <v>0</v>
      </c>
      <c r="R7032" s="2" t="inlineStr"/>
    </row>
    <row r="7033" ht="15" customHeight="1">
      <c r="A7033" t="inlineStr">
        <is>
          <t>A 16401-2025</t>
        </is>
      </c>
      <c r="B7033" s="1" t="n">
        <v>45751</v>
      </c>
      <c r="C7033" s="1" t="n">
        <v>45883</v>
      </c>
      <c r="D7033" t="inlineStr">
        <is>
          <t>GÄVLEBORGS LÄN</t>
        </is>
      </c>
      <c r="E7033" t="inlineStr">
        <is>
          <t>GÄVLE</t>
        </is>
      </c>
      <c r="F7033" t="inlineStr">
        <is>
          <t>Bergvik skog väst AB</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16464-2025</t>
        </is>
      </c>
      <c r="B7034" s="1" t="n">
        <v>45751.53643518518</v>
      </c>
      <c r="C7034" s="1" t="n">
        <v>45883</v>
      </c>
      <c r="D7034" t="inlineStr">
        <is>
          <t>GÄVLEBORGS LÄN</t>
        </is>
      </c>
      <c r="E7034" t="inlineStr">
        <is>
          <t>OVANÅKER</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14284-2025</t>
        </is>
      </c>
      <c r="B7035" s="1" t="n">
        <v>45740.65900462963</v>
      </c>
      <c r="C7035" s="1" t="n">
        <v>45883</v>
      </c>
      <c r="D7035" t="inlineStr">
        <is>
          <t>GÄVLEBORGS LÄN</t>
        </is>
      </c>
      <c r="E7035" t="inlineStr">
        <is>
          <t>GÄVLE</t>
        </is>
      </c>
      <c r="G7035" t="n">
        <v>3.4</v>
      </c>
      <c r="H7035" t="n">
        <v>0</v>
      </c>
      <c r="I7035" t="n">
        <v>0</v>
      </c>
      <c r="J7035" t="n">
        <v>0</v>
      </c>
      <c r="K7035" t="n">
        <v>0</v>
      </c>
      <c r="L7035" t="n">
        <v>0</v>
      </c>
      <c r="M7035" t="n">
        <v>0</v>
      </c>
      <c r="N7035" t="n">
        <v>0</v>
      </c>
      <c r="O7035" t="n">
        <v>0</v>
      </c>
      <c r="P7035" t="n">
        <v>0</v>
      </c>
      <c r="Q7035" t="n">
        <v>0</v>
      </c>
      <c r="R7035" s="2" t="inlineStr"/>
    </row>
    <row r="7036" ht="15" customHeight="1">
      <c r="A7036" t="inlineStr">
        <is>
          <t>A 37012-2025</t>
        </is>
      </c>
      <c r="B7036" s="1" t="n">
        <v>45874.7066550926</v>
      </c>
      <c r="C7036" s="1" t="n">
        <v>45883</v>
      </c>
      <c r="D7036" t="inlineStr">
        <is>
          <t>GÄVLEBORGS LÄN</t>
        </is>
      </c>
      <c r="E7036" t="inlineStr">
        <is>
          <t>HOFORS</t>
        </is>
      </c>
      <c r="F7036" t="inlineStr">
        <is>
          <t>Sveaskog</t>
        </is>
      </c>
      <c r="G7036" t="n">
        <v>3.7</v>
      </c>
      <c r="H7036" t="n">
        <v>0</v>
      </c>
      <c r="I7036" t="n">
        <v>0</v>
      </c>
      <c r="J7036" t="n">
        <v>0</v>
      </c>
      <c r="K7036" t="n">
        <v>0</v>
      </c>
      <c r="L7036" t="n">
        <v>0</v>
      </c>
      <c r="M7036" t="n">
        <v>0</v>
      </c>
      <c r="N7036" t="n">
        <v>0</v>
      </c>
      <c r="O7036" t="n">
        <v>0</v>
      </c>
      <c r="P7036" t="n">
        <v>0</v>
      </c>
      <c r="Q7036" t="n">
        <v>0</v>
      </c>
      <c r="R7036" s="2" t="inlineStr"/>
    </row>
    <row r="7037" ht="15" customHeight="1">
      <c r="A7037" t="inlineStr">
        <is>
          <t>A 70258-2021</t>
        </is>
      </c>
      <c r="B7037" s="1" t="n">
        <v>44536.33039351852</v>
      </c>
      <c r="C7037" s="1" t="n">
        <v>45883</v>
      </c>
      <c r="D7037" t="inlineStr">
        <is>
          <t>GÄVLEBORGS LÄN</t>
        </is>
      </c>
      <c r="E7037" t="inlineStr">
        <is>
          <t>HUDIKSVALL</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15883-2023</t>
        </is>
      </c>
      <c r="B7038" s="1" t="n">
        <v>45022</v>
      </c>
      <c r="C7038" s="1" t="n">
        <v>45883</v>
      </c>
      <c r="D7038" t="inlineStr">
        <is>
          <t>GÄVLEBORGS LÄN</t>
        </is>
      </c>
      <c r="E7038" t="inlineStr">
        <is>
          <t>HUDIKSVALL</t>
        </is>
      </c>
      <c r="G7038" t="n">
        <v>9.6</v>
      </c>
      <c r="H7038" t="n">
        <v>0</v>
      </c>
      <c r="I7038" t="n">
        <v>0</v>
      </c>
      <c r="J7038" t="n">
        <v>0</v>
      </c>
      <c r="K7038" t="n">
        <v>0</v>
      </c>
      <c r="L7038" t="n">
        <v>0</v>
      </c>
      <c r="M7038" t="n">
        <v>0</v>
      </c>
      <c r="N7038" t="n">
        <v>0</v>
      </c>
      <c r="O7038" t="n">
        <v>0</v>
      </c>
      <c r="P7038" t="n">
        <v>0</v>
      </c>
      <c r="Q7038" t="n">
        <v>0</v>
      </c>
      <c r="R7038" s="2" t="inlineStr"/>
      <c r="U7038">
        <f>HYPERLINK("https://klasma.github.io/Logging_2184/knärot/A 15883-2023 karta knärot.png", "A 15883-2023")</f>
        <v/>
      </c>
      <c r="V7038">
        <f>HYPERLINK("https://klasma.github.io/Logging_2184/klagomål/A 15883-2023 FSC-klagomål.docx", "A 15883-2023")</f>
        <v/>
      </c>
      <c r="W7038">
        <f>HYPERLINK("https://klasma.github.io/Logging_2184/klagomålsmail/A 15883-2023 FSC-klagomål mail.docx", "A 15883-2023")</f>
        <v/>
      </c>
      <c r="X7038">
        <f>HYPERLINK("https://klasma.github.io/Logging_2184/tillsyn/A 15883-2023 tillsynsbegäran.docx", "A 15883-2023")</f>
        <v/>
      </c>
      <c r="Y7038">
        <f>HYPERLINK("https://klasma.github.io/Logging_2184/tillsynsmail/A 15883-2023 tillsynsbegäran mail.docx", "A 15883-2023")</f>
        <v/>
      </c>
    </row>
    <row r="7039" ht="15" customHeight="1">
      <c r="A7039" t="inlineStr">
        <is>
          <t>A 30798-2025</t>
        </is>
      </c>
      <c r="B7039" s="1" t="n">
        <v>45831.65035879629</v>
      </c>
      <c r="C7039" s="1" t="n">
        <v>45883</v>
      </c>
      <c r="D7039" t="inlineStr">
        <is>
          <t>GÄVLEBORGS LÄN</t>
        </is>
      </c>
      <c r="E7039" t="inlineStr">
        <is>
          <t>SÖDERHAMN</t>
        </is>
      </c>
      <c r="G7039" t="n">
        <v>3.8</v>
      </c>
      <c r="H7039" t="n">
        <v>0</v>
      </c>
      <c r="I7039" t="n">
        <v>0</v>
      </c>
      <c r="J7039" t="n">
        <v>0</v>
      </c>
      <c r="K7039" t="n">
        <v>0</v>
      </c>
      <c r="L7039" t="n">
        <v>0</v>
      </c>
      <c r="M7039" t="n">
        <v>0</v>
      </c>
      <c r="N7039" t="n">
        <v>0</v>
      </c>
      <c r="O7039" t="n">
        <v>0</v>
      </c>
      <c r="P7039" t="n">
        <v>0</v>
      </c>
      <c r="Q7039" t="n">
        <v>0</v>
      </c>
      <c r="R7039" s="2" t="inlineStr"/>
    </row>
    <row r="7040" ht="15" customHeight="1">
      <c r="A7040" t="inlineStr">
        <is>
          <t>A 36931-2025</t>
        </is>
      </c>
      <c r="B7040" s="1" t="n">
        <v>45874.55706018519</v>
      </c>
      <c r="C7040" s="1" t="n">
        <v>45883</v>
      </c>
      <c r="D7040" t="inlineStr">
        <is>
          <t>GÄVLEBORGS LÄN</t>
        </is>
      </c>
      <c r="E7040" t="inlineStr">
        <is>
          <t>HUDIKSVALL</t>
        </is>
      </c>
      <c r="G7040" t="n">
        <v>3.2</v>
      </c>
      <c r="H7040" t="n">
        <v>0</v>
      </c>
      <c r="I7040" t="n">
        <v>0</v>
      </c>
      <c r="J7040" t="n">
        <v>0</v>
      </c>
      <c r="K7040" t="n">
        <v>0</v>
      </c>
      <c r="L7040" t="n">
        <v>0</v>
      </c>
      <c r="M7040" t="n">
        <v>0</v>
      </c>
      <c r="N7040" t="n">
        <v>0</v>
      </c>
      <c r="O7040" t="n">
        <v>0</v>
      </c>
      <c r="P7040" t="n">
        <v>0</v>
      </c>
      <c r="Q7040" t="n">
        <v>0</v>
      </c>
      <c r="R7040" s="2" t="inlineStr"/>
    </row>
    <row r="7041" ht="15" customHeight="1">
      <c r="A7041" t="inlineStr">
        <is>
          <t>A 14629-2025</t>
        </is>
      </c>
      <c r="B7041" s="1" t="n">
        <v>45742.42773148148</v>
      </c>
      <c r="C7041" s="1" t="n">
        <v>45883</v>
      </c>
      <c r="D7041" t="inlineStr">
        <is>
          <t>GÄVLEBORGS LÄN</t>
        </is>
      </c>
      <c r="E7041" t="inlineStr">
        <is>
          <t>GÄVLE</t>
        </is>
      </c>
      <c r="F7041" t="inlineStr">
        <is>
          <t>Bergvik skog öst AB</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41962-2022</t>
        </is>
      </c>
      <c r="B7042" s="1" t="n">
        <v>44830</v>
      </c>
      <c r="C7042" s="1" t="n">
        <v>45883</v>
      </c>
      <c r="D7042" t="inlineStr">
        <is>
          <t>GÄVLEBORGS LÄN</t>
        </is>
      </c>
      <c r="E7042" t="inlineStr">
        <is>
          <t>BOLLNÄS</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14675-2025</t>
        </is>
      </c>
      <c r="B7043" s="1" t="n">
        <v>45742.55755787037</v>
      </c>
      <c r="C7043" s="1" t="n">
        <v>45883</v>
      </c>
      <c r="D7043" t="inlineStr">
        <is>
          <t>GÄVLEBORGS LÄN</t>
        </is>
      </c>
      <c r="E7043" t="inlineStr">
        <is>
          <t>GÄVLE</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30939-2025</t>
        </is>
      </c>
      <c r="B7044" s="1" t="n">
        <v>45832.40680555555</v>
      </c>
      <c r="C7044" s="1" t="n">
        <v>45883</v>
      </c>
      <c r="D7044" t="inlineStr">
        <is>
          <t>GÄVLEBORGS LÄN</t>
        </is>
      </c>
      <c r="E7044" t="inlineStr">
        <is>
          <t>HUDIKSVALL</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15144-2025</t>
        </is>
      </c>
      <c r="B7045" s="1" t="n">
        <v>45744.43273148148</v>
      </c>
      <c r="C7045" s="1" t="n">
        <v>45883</v>
      </c>
      <c r="D7045" t="inlineStr">
        <is>
          <t>GÄVLEBORGS LÄN</t>
        </is>
      </c>
      <c r="E7045" t="inlineStr">
        <is>
          <t>GÄVLE</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15146-2025</t>
        </is>
      </c>
      <c r="B7046" s="1" t="n">
        <v>45744.45096064815</v>
      </c>
      <c r="C7046" s="1" t="n">
        <v>45883</v>
      </c>
      <c r="D7046" t="inlineStr">
        <is>
          <t>GÄVLEBORGS LÄN</t>
        </is>
      </c>
      <c r="E7046" t="inlineStr">
        <is>
          <t>GÄVLE</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30961-2025</t>
        </is>
      </c>
      <c r="B7047" s="1" t="n">
        <v>45832.44423611111</v>
      </c>
      <c r="C7047" s="1" t="n">
        <v>45883</v>
      </c>
      <c r="D7047" t="inlineStr">
        <is>
          <t>GÄVLEBORGS LÄN</t>
        </is>
      </c>
      <c r="E7047" t="inlineStr">
        <is>
          <t>LJUSDAL</t>
        </is>
      </c>
      <c r="G7047" t="n">
        <v>3.2</v>
      </c>
      <c r="H7047" t="n">
        <v>0</v>
      </c>
      <c r="I7047" t="n">
        <v>0</v>
      </c>
      <c r="J7047" t="n">
        <v>0</v>
      </c>
      <c r="K7047" t="n">
        <v>0</v>
      </c>
      <c r="L7047" t="n">
        <v>0</v>
      </c>
      <c r="M7047" t="n">
        <v>0</v>
      </c>
      <c r="N7047" t="n">
        <v>0</v>
      </c>
      <c r="O7047" t="n">
        <v>0</v>
      </c>
      <c r="P7047" t="n">
        <v>0</v>
      </c>
      <c r="Q7047" t="n">
        <v>0</v>
      </c>
      <c r="R7047" s="2" t="inlineStr"/>
    </row>
    <row r="7048" ht="15" customHeight="1">
      <c r="A7048" t="inlineStr">
        <is>
          <t>A 31145-2025</t>
        </is>
      </c>
      <c r="B7048" s="1" t="n">
        <v>45832.63834490741</v>
      </c>
      <c r="C7048" s="1" t="n">
        <v>45883</v>
      </c>
      <c r="D7048" t="inlineStr">
        <is>
          <t>GÄVLEBORGS LÄN</t>
        </is>
      </c>
      <c r="E7048" t="inlineStr">
        <is>
          <t>SANDVIKEN</t>
        </is>
      </c>
      <c r="F7048" t="inlineStr">
        <is>
          <t>Bergvik skog öst AB</t>
        </is>
      </c>
      <c r="G7048" t="n">
        <v>5.8</v>
      </c>
      <c r="H7048" t="n">
        <v>0</v>
      </c>
      <c r="I7048" t="n">
        <v>0</v>
      </c>
      <c r="J7048" t="n">
        <v>0</v>
      </c>
      <c r="K7048" t="n">
        <v>0</v>
      </c>
      <c r="L7048" t="n">
        <v>0</v>
      </c>
      <c r="M7048" t="n">
        <v>0</v>
      </c>
      <c r="N7048" t="n">
        <v>0</v>
      </c>
      <c r="O7048" t="n">
        <v>0</v>
      </c>
      <c r="P7048" t="n">
        <v>0</v>
      </c>
      <c r="Q7048" t="n">
        <v>0</v>
      </c>
      <c r="R7048" s="2" t="inlineStr"/>
    </row>
    <row r="7049" ht="15" customHeight="1">
      <c r="A7049" t="inlineStr">
        <is>
          <t>A 32201-2022</t>
        </is>
      </c>
      <c r="B7049" s="1" t="n">
        <v>44781</v>
      </c>
      <c r="C7049" s="1" t="n">
        <v>45883</v>
      </c>
      <c r="D7049" t="inlineStr">
        <is>
          <t>GÄVLEBORGS LÄN</t>
        </is>
      </c>
      <c r="E7049" t="inlineStr">
        <is>
          <t>HUDIKSVALL</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31202-2025</t>
        </is>
      </c>
      <c r="B7050" s="1" t="n">
        <v>45832.69885416667</v>
      </c>
      <c r="C7050" s="1" t="n">
        <v>45883</v>
      </c>
      <c r="D7050" t="inlineStr">
        <is>
          <t>GÄVLEBORGS LÄN</t>
        </is>
      </c>
      <c r="E7050" t="inlineStr">
        <is>
          <t>SANDVIKEN</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14986-2025</t>
        </is>
      </c>
      <c r="B7051" s="1" t="n">
        <v>45743.60083333333</v>
      </c>
      <c r="C7051" s="1" t="n">
        <v>45883</v>
      </c>
      <c r="D7051" t="inlineStr">
        <is>
          <t>GÄVLEBORGS LÄN</t>
        </is>
      </c>
      <c r="E7051" t="inlineStr">
        <is>
          <t>BOLLNÄS</t>
        </is>
      </c>
      <c r="F7051" t="inlineStr">
        <is>
          <t>Bergvik skog väst AB</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30495-2025</t>
        </is>
      </c>
      <c r="B7052" s="1" t="n">
        <v>45830.63542824074</v>
      </c>
      <c r="C7052" s="1" t="n">
        <v>45883</v>
      </c>
      <c r="D7052" t="inlineStr">
        <is>
          <t>GÄVLEBORGS LÄN</t>
        </is>
      </c>
      <c r="E7052" t="inlineStr">
        <is>
          <t>HOFORS</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64801-2023</t>
        </is>
      </c>
      <c r="B7053" s="1" t="n">
        <v>45282.39997685186</v>
      </c>
      <c r="C7053" s="1" t="n">
        <v>45883</v>
      </c>
      <c r="D7053" t="inlineStr">
        <is>
          <t>GÄVLEBORGS LÄN</t>
        </is>
      </c>
      <c r="E7053" t="inlineStr">
        <is>
          <t>SANDVIKEN</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64868-2023</t>
        </is>
      </c>
      <c r="B7054" s="1" t="n">
        <v>45282</v>
      </c>
      <c r="C7054" s="1" t="n">
        <v>45883</v>
      </c>
      <c r="D7054" t="inlineStr">
        <is>
          <t>GÄVLEBORGS LÄN</t>
        </is>
      </c>
      <c r="E7054" t="inlineStr">
        <is>
          <t>GÄVLE</t>
        </is>
      </c>
      <c r="G7054" t="n">
        <v>0.2</v>
      </c>
      <c r="H7054" t="n">
        <v>0</v>
      </c>
      <c r="I7054" t="n">
        <v>0</v>
      </c>
      <c r="J7054" t="n">
        <v>0</v>
      </c>
      <c r="K7054" t="n">
        <v>0</v>
      </c>
      <c r="L7054" t="n">
        <v>0</v>
      </c>
      <c r="M7054" t="n">
        <v>0</v>
      </c>
      <c r="N7054" t="n">
        <v>0</v>
      </c>
      <c r="O7054" t="n">
        <v>0</v>
      </c>
      <c r="P7054" t="n">
        <v>0</v>
      </c>
      <c r="Q7054" t="n">
        <v>0</v>
      </c>
      <c r="R7054" s="2" t="inlineStr"/>
    </row>
    <row r="7055" ht="15" customHeight="1">
      <c r="A7055" t="inlineStr">
        <is>
          <t>A 30650-2025</t>
        </is>
      </c>
      <c r="B7055" s="1" t="n">
        <v>45831.50133101852</v>
      </c>
      <c r="C7055" s="1" t="n">
        <v>45883</v>
      </c>
      <c r="D7055" t="inlineStr">
        <is>
          <t>GÄVLEBORGS LÄN</t>
        </is>
      </c>
      <c r="E7055" t="inlineStr">
        <is>
          <t>BOLLNÄS</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64873-2023</t>
        </is>
      </c>
      <c r="B7056" s="1" t="n">
        <v>45282</v>
      </c>
      <c r="C7056" s="1" t="n">
        <v>45883</v>
      </c>
      <c r="D7056" t="inlineStr">
        <is>
          <t>GÄVLEBORGS LÄN</t>
        </is>
      </c>
      <c r="E7056" t="inlineStr">
        <is>
          <t>GÄVLE</t>
        </is>
      </c>
      <c r="G7056" t="n">
        <v>0.4</v>
      </c>
      <c r="H7056" t="n">
        <v>0</v>
      </c>
      <c r="I7056" t="n">
        <v>0</v>
      </c>
      <c r="J7056" t="n">
        <v>0</v>
      </c>
      <c r="K7056" t="n">
        <v>0</v>
      </c>
      <c r="L7056" t="n">
        <v>0</v>
      </c>
      <c r="M7056" t="n">
        <v>0</v>
      </c>
      <c r="N7056" t="n">
        <v>0</v>
      </c>
      <c r="O7056" t="n">
        <v>0</v>
      </c>
      <c r="P7056" t="n">
        <v>0</v>
      </c>
      <c r="Q7056" t="n">
        <v>0</v>
      </c>
      <c r="R7056" s="2" t="inlineStr"/>
    </row>
    <row r="7057" ht="15" customHeight="1">
      <c r="A7057" t="inlineStr">
        <is>
          <t>A 30915-2025</t>
        </is>
      </c>
      <c r="B7057" s="1" t="n">
        <v>45832.37814814815</v>
      </c>
      <c r="C7057" s="1" t="n">
        <v>45883</v>
      </c>
      <c r="D7057" t="inlineStr">
        <is>
          <t>GÄVLEBORGS LÄN</t>
        </is>
      </c>
      <c r="E7057" t="inlineStr">
        <is>
          <t>GÄVLE</t>
        </is>
      </c>
      <c r="G7057" t="n">
        <v>3.3</v>
      </c>
      <c r="H7057" t="n">
        <v>0</v>
      </c>
      <c r="I7057" t="n">
        <v>0</v>
      </c>
      <c r="J7057" t="n">
        <v>0</v>
      </c>
      <c r="K7057" t="n">
        <v>0</v>
      </c>
      <c r="L7057" t="n">
        <v>0</v>
      </c>
      <c r="M7057" t="n">
        <v>0</v>
      </c>
      <c r="N7057" t="n">
        <v>0</v>
      </c>
      <c r="O7057" t="n">
        <v>0</v>
      </c>
      <c r="P7057" t="n">
        <v>0</v>
      </c>
      <c r="Q7057" t="n">
        <v>0</v>
      </c>
      <c r="R7057" s="2" t="inlineStr"/>
    </row>
    <row r="7058" ht="15" customHeight="1">
      <c r="A7058" t="inlineStr">
        <is>
          <t>A 15101-2025</t>
        </is>
      </c>
      <c r="B7058" s="1" t="n">
        <v>45744.34550925926</v>
      </c>
      <c r="C7058" s="1" t="n">
        <v>45883</v>
      </c>
      <c r="D7058" t="inlineStr">
        <is>
          <t>GÄVLEBORGS LÄN</t>
        </is>
      </c>
      <c r="E7058" t="inlineStr">
        <is>
          <t>GÄVLE</t>
        </is>
      </c>
      <c r="F7058" t="inlineStr">
        <is>
          <t>Bergvik skog öst AB</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15126-2025</t>
        </is>
      </c>
      <c r="B7059" s="1" t="n">
        <v>45744.37953703704</v>
      </c>
      <c r="C7059" s="1" t="n">
        <v>45883</v>
      </c>
      <c r="D7059" t="inlineStr">
        <is>
          <t>GÄVLEBORGS LÄN</t>
        </is>
      </c>
      <c r="E7059" t="inlineStr">
        <is>
          <t>GÄVLE</t>
        </is>
      </c>
      <c r="F7059" t="inlineStr">
        <is>
          <t>Bergvik skog öst AB</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36680-2025</t>
        </is>
      </c>
      <c r="B7060" s="1" t="n">
        <v>45873.39840277778</v>
      </c>
      <c r="C7060" s="1" t="n">
        <v>45883</v>
      </c>
      <c r="D7060" t="inlineStr">
        <is>
          <t>GÄVLEBORGS LÄN</t>
        </is>
      </c>
      <c r="E7060" t="inlineStr">
        <is>
          <t>GÄVLE</t>
        </is>
      </c>
      <c r="F7060" t="inlineStr">
        <is>
          <t>Bergvik skog väst AB</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21061-2023</t>
        </is>
      </c>
      <c r="B7061" s="1" t="n">
        <v>45061</v>
      </c>
      <c r="C7061" s="1" t="n">
        <v>45883</v>
      </c>
      <c r="D7061" t="inlineStr">
        <is>
          <t>GÄVLEBORGS LÄN</t>
        </is>
      </c>
      <c r="E7061" t="inlineStr">
        <is>
          <t>BOLLNÄS</t>
        </is>
      </c>
      <c r="G7061" t="n">
        <v>2.6</v>
      </c>
      <c r="H7061" t="n">
        <v>0</v>
      </c>
      <c r="I7061" t="n">
        <v>0</v>
      </c>
      <c r="J7061" t="n">
        <v>0</v>
      </c>
      <c r="K7061" t="n">
        <v>0</v>
      </c>
      <c r="L7061" t="n">
        <v>0</v>
      </c>
      <c r="M7061" t="n">
        <v>0</v>
      </c>
      <c r="N7061" t="n">
        <v>0</v>
      </c>
      <c r="O7061" t="n">
        <v>0</v>
      </c>
      <c r="P7061" t="n">
        <v>0</v>
      </c>
      <c r="Q7061" t="n">
        <v>0</v>
      </c>
      <c r="R7061" s="2" t="inlineStr"/>
    </row>
    <row r="7062" ht="15" customHeight="1">
      <c r="A7062" t="inlineStr">
        <is>
          <t>A 63643-2023</t>
        </is>
      </c>
      <c r="B7062" s="1" t="n">
        <v>45275.5827662037</v>
      </c>
      <c r="C7062" s="1" t="n">
        <v>45883</v>
      </c>
      <c r="D7062" t="inlineStr">
        <is>
          <t>GÄVLEBORGS LÄN</t>
        </is>
      </c>
      <c r="E7062" t="inlineStr">
        <is>
          <t>HUDIKSVALL</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51922-2022</t>
        </is>
      </c>
      <c r="B7063" s="1" t="n">
        <v>44872</v>
      </c>
      <c r="C7063" s="1" t="n">
        <v>45883</v>
      </c>
      <c r="D7063" t="inlineStr">
        <is>
          <t>GÄVLEBORGS LÄN</t>
        </is>
      </c>
      <c r="E7063" t="inlineStr">
        <is>
          <t>LJUSDAL</t>
        </is>
      </c>
      <c r="F7063" t="inlineStr">
        <is>
          <t>Kommuner</t>
        </is>
      </c>
      <c r="G7063" t="n">
        <v>5</v>
      </c>
      <c r="H7063" t="n">
        <v>0</v>
      </c>
      <c r="I7063" t="n">
        <v>0</v>
      </c>
      <c r="J7063" t="n">
        <v>0</v>
      </c>
      <c r="K7063" t="n">
        <v>0</v>
      </c>
      <c r="L7063" t="n">
        <v>0</v>
      </c>
      <c r="M7063" t="n">
        <v>0</v>
      </c>
      <c r="N7063" t="n">
        <v>0</v>
      </c>
      <c r="O7063" t="n">
        <v>0</v>
      </c>
      <c r="P7063" t="n">
        <v>0</v>
      </c>
      <c r="Q7063" t="n">
        <v>0</v>
      </c>
      <c r="R7063" s="2" t="inlineStr"/>
    </row>
    <row r="7064" ht="15" customHeight="1">
      <c r="A7064" t="inlineStr">
        <is>
          <t>A 60098-2023</t>
        </is>
      </c>
      <c r="B7064" s="1" t="n">
        <v>45258.45493055556</v>
      </c>
      <c r="C7064" s="1" t="n">
        <v>45883</v>
      </c>
      <c r="D7064" t="inlineStr">
        <is>
          <t>GÄVLEBORGS LÄN</t>
        </is>
      </c>
      <c r="E7064" t="inlineStr">
        <is>
          <t>LJUSDAL</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36693-2025</t>
        </is>
      </c>
      <c r="B7065" s="1" t="n">
        <v>45873.43695601852</v>
      </c>
      <c r="C7065" s="1" t="n">
        <v>45883</v>
      </c>
      <c r="D7065" t="inlineStr">
        <is>
          <t>GÄVLEBORGS LÄN</t>
        </is>
      </c>
      <c r="E7065" t="inlineStr">
        <is>
          <t>SANDVIKEN</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13508-2025</t>
        </is>
      </c>
      <c r="B7066" s="1" t="n">
        <v>45736.46922453704</v>
      </c>
      <c r="C7066" s="1" t="n">
        <v>45883</v>
      </c>
      <c r="D7066" t="inlineStr">
        <is>
          <t>GÄVLEBORGS LÄN</t>
        </is>
      </c>
      <c r="E7066" t="inlineStr">
        <is>
          <t>LJUSDAL</t>
        </is>
      </c>
      <c r="G7066" t="n">
        <v>3.6</v>
      </c>
      <c r="H7066" t="n">
        <v>0</v>
      </c>
      <c r="I7066" t="n">
        <v>0</v>
      </c>
      <c r="J7066" t="n">
        <v>0</v>
      </c>
      <c r="K7066" t="n">
        <v>0</v>
      </c>
      <c r="L7066" t="n">
        <v>0</v>
      </c>
      <c r="M7066" t="n">
        <v>0</v>
      </c>
      <c r="N7066" t="n">
        <v>0</v>
      </c>
      <c r="O7066" t="n">
        <v>0</v>
      </c>
      <c r="P7066" t="n">
        <v>0</v>
      </c>
      <c r="Q7066" t="n">
        <v>0</v>
      </c>
      <c r="R7066" s="2" t="inlineStr"/>
    </row>
    <row r="7067" ht="15" customHeight="1">
      <c r="A7067" t="inlineStr">
        <is>
          <t>A 13557-2025</t>
        </is>
      </c>
      <c r="B7067" s="1" t="n">
        <v>45736.54907407407</v>
      </c>
      <c r="C7067" s="1" t="n">
        <v>45883</v>
      </c>
      <c r="D7067" t="inlineStr">
        <is>
          <t>GÄVLEBORGS LÄN</t>
        </is>
      </c>
      <c r="E7067" t="inlineStr">
        <is>
          <t>LJUSDAL</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30979-2025</t>
        </is>
      </c>
      <c r="B7068" s="1" t="n">
        <v>45832.4678587963</v>
      </c>
      <c r="C7068" s="1" t="n">
        <v>45883</v>
      </c>
      <c r="D7068" t="inlineStr">
        <is>
          <t>GÄVLEBORGS LÄN</t>
        </is>
      </c>
      <c r="E7068" t="inlineStr">
        <is>
          <t>LJUSDAL</t>
        </is>
      </c>
      <c r="F7068" t="inlineStr">
        <is>
          <t>Holmen skog AB</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15226-2023</t>
        </is>
      </c>
      <c r="B7069" s="1" t="n">
        <v>45019</v>
      </c>
      <c r="C7069" s="1" t="n">
        <v>45883</v>
      </c>
      <c r="D7069" t="inlineStr">
        <is>
          <t>GÄVLEBORGS LÄN</t>
        </is>
      </c>
      <c r="E7069" t="inlineStr">
        <is>
          <t>NORDANSTIG</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32062-2023</t>
        </is>
      </c>
      <c r="B7070" s="1" t="n">
        <v>45119.56549768519</v>
      </c>
      <c r="C7070" s="1" t="n">
        <v>45883</v>
      </c>
      <c r="D7070" t="inlineStr">
        <is>
          <t>GÄVLEBORGS LÄN</t>
        </is>
      </c>
      <c r="E7070" t="inlineStr">
        <is>
          <t>BOLLNÄS</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61363-2023</t>
        </is>
      </c>
      <c r="B7071" s="1" t="n">
        <v>45264.61790509259</v>
      </c>
      <c r="C7071" s="1" t="n">
        <v>45883</v>
      </c>
      <c r="D7071" t="inlineStr">
        <is>
          <t>GÄVLEBORGS LÄN</t>
        </is>
      </c>
      <c r="E7071" t="inlineStr">
        <is>
          <t>SANDVIKEN</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61431-2023</t>
        </is>
      </c>
      <c r="B7072" s="1" t="n">
        <v>45264</v>
      </c>
      <c r="C7072" s="1" t="n">
        <v>45883</v>
      </c>
      <c r="D7072" t="inlineStr">
        <is>
          <t>GÄVLEBORGS LÄN</t>
        </is>
      </c>
      <c r="E7072" t="inlineStr">
        <is>
          <t>LJUSDAL</t>
        </is>
      </c>
      <c r="G7072" t="n">
        <v>5.9</v>
      </c>
      <c r="H7072" t="n">
        <v>0</v>
      </c>
      <c r="I7072" t="n">
        <v>0</v>
      </c>
      <c r="J7072" t="n">
        <v>0</v>
      </c>
      <c r="K7072" t="n">
        <v>0</v>
      </c>
      <c r="L7072" t="n">
        <v>0</v>
      </c>
      <c r="M7072" t="n">
        <v>0</v>
      </c>
      <c r="N7072" t="n">
        <v>0</v>
      </c>
      <c r="O7072" t="n">
        <v>0</v>
      </c>
      <c r="P7072" t="n">
        <v>0</v>
      </c>
      <c r="Q7072" t="n">
        <v>0</v>
      </c>
      <c r="R7072" s="2" t="inlineStr"/>
    </row>
    <row r="7073" ht="15" customHeight="1">
      <c r="A7073" t="inlineStr">
        <is>
          <t>A 7436-2024</t>
        </is>
      </c>
      <c r="B7073" s="1" t="n">
        <v>45345</v>
      </c>
      <c r="C7073" s="1" t="n">
        <v>45883</v>
      </c>
      <c r="D7073" t="inlineStr">
        <is>
          <t>GÄVLEBORGS LÄN</t>
        </is>
      </c>
      <c r="E7073" t="inlineStr">
        <is>
          <t>NORDANSTIG</t>
        </is>
      </c>
      <c r="F7073" t="inlineStr">
        <is>
          <t>Holmen skog AB</t>
        </is>
      </c>
      <c r="G7073" t="n">
        <v>62.5</v>
      </c>
      <c r="H7073" t="n">
        <v>0</v>
      </c>
      <c r="I7073" t="n">
        <v>0</v>
      </c>
      <c r="J7073" t="n">
        <v>0</v>
      </c>
      <c r="K7073" t="n">
        <v>0</v>
      </c>
      <c r="L7073" t="n">
        <v>0</v>
      </c>
      <c r="M7073" t="n">
        <v>0</v>
      </c>
      <c r="N7073" t="n">
        <v>0</v>
      </c>
      <c r="O7073" t="n">
        <v>0</v>
      </c>
      <c r="P7073" t="n">
        <v>0</v>
      </c>
      <c r="Q7073" t="n">
        <v>0</v>
      </c>
      <c r="R7073" s="2" t="inlineStr"/>
    </row>
    <row r="7074" ht="15" customHeight="1">
      <c r="A7074" t="inlineStr">
        <is>
          <t>A 7460-2024</t>
        </is>
      </c>
      <c r="B7074" s="1" t="n">
        <v>45345.92609953704</v>
      </c>
      <c r="C7074" s="1" t="n">
        <v>45883</v>
      </c>
      <c r="D7074" t="inlineStr">
        <is>
          <t>GÄVLEBORGS LÄN</t>
        </is>
      </c>
      <c r="E7074" t="inlineStr">
        <is>
          <t>NORDANSTIG</t>
        </is>
      </c>
      <c r="G7074" t="n">
        <v>10.8</v>
      </c>
      <c r="H7074" t="n">
        <v>0</v>
      </c>
      <c r="I7074" t="n">
        <v>0</v>
      </c>
      <c r="J7074" t="n">
        <v>0</v>
      </c>
      <c r="K7074" t="n">
        <v>0</v>
      </c>
      <c r="L7074" t="n">
        <v>0</v>
      </c>
      <c r="M7074" t="n">
        <v>0</v>
      </c>
      <c r="N7074" t="n">
        <v>0</v>
      </c>
      <c r="O7074" t="n">
        <v>0</v>
      </c>
      <c r="P7074" t="n">
        <v>0</v>
      </c>
      <c r="Q7074" t="n">
        <v>0</v>
      </c>
      <c r="R7074" s="2" t="inlineStr"/>
    </row>
    <row r="7075" ht="15" customHeight="1">
      <c r="A7075" t="inlineStr">
        <is>
          <t>A 31072-2025</t>
        </is>
      </c>
      <c r="B7075" s="1" t="n">
        <v>45832.57938657407</v>
      </c>
      <c r="C7075" s="1" t="n">
        <v>45883</v>
      </c>
      <c r="D7075" t="inlineStr">
        <is>
          <t>GÄVLEBORGS LÄN</t>
        </is>
      </c>
      <c r="E7075" t="inlineStr">
        <is>
          <t>LJUSDAL</t>
        </is>
      </c>
      <c r="F7075" t="inlineStr">
        <is>
          <t>Holmen skog AB</t>
        </is>
      </c>
      <c r="G7075" t="n">
        <v>6.8</v>
      </c>
      <c r="H7075" t="n">
        <v>0</v>
      </c>
      <c r="I7075" t="n">
        <v>0</v>
      </c>
      <c r="J7075" t="n">
        <v>0</v>
      </c>
      <c r="K7075" t="n">
        <v>0</v>
      </c>
      <c r="L7075" t="n">
        <v>0</v>
      </c>
      <c r="M7075" t="n">
        <v>0</v>
      </c>
      <c r="N7075" t="n">
        <v>0</v>
      </c>
      <c r="O7075" t="n">
        <v>0</v>
      </c>
      <c r="P7075" t="n">
        <v>0</v>
      </c>
      <c r="Q7075" t="n">
        <v>0</v>
      </c>
      <c r="R7075" s="2" t="inlineStr"/>
    </row>
    <row r="7076" ht="15" customHeight="1">
      <c r="A7076" t="inlineStr">
        <is>
          <t>A 58053-2024</t>
        </is>
      </c>
      <c r="B7076" s="1" t="n">
        <v>45631.84011574074</v>
      </c>
      <c r="C7076" s="1" t="n">
        <v>45883</v>
      </c>
      <c r="D7076" t="inlineStr">
        <is>
          <t>GÄVLEBORGS LÄN</t>
        </is>
      </c>
      <c r="E7076" t="inlineStr">
        <is>
          <t>LJUSDAL</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30634-2025</t>
        </is>
      </c>
      <c r="B7077" s="1" t="n">
        <v>45831.48170138889</v>
      </c>
      <c r="C7077" s="1" t="n">
        <v>45883</v>
      </c>
      <c r="D7077" t="inlineStr">
        <is>
          <t>GÄVLEBORGS LÄN</t>
        </is>
      </c>
      <c r="E7077" t="inlineStr">
        <is>
          <t>HUDIKSVALL</t>
        </is>
      </c>
      <c r="F7077" t="inlineStr">
        <is>
          <t>Holmen skog AB</t>
        </is>
      </c>
      <c r="G7077" t="n">
        <v>5.7</v>
      </c>
      <c r="H7077" t="n">
        <v>0</v>
      </c>
      <c r="I7077" t="n">
        <v>0</v>
      </c>
      <c r="J7077" t="n">
        <v>0</v>
      </c>
      <c r="K7077" t="n">
        <v>0</v>
      </c>
      <c r="L7077" t="n">
        <v>0</v>
      </c>
      <c r="M7077" t="n">
        <v>0</v>
      </c>
      <c r="N7077" t="n">
        <v>0</v>
      </c>
      <c r="O7077" t="n">
        <v>0</v>
      </c>
      <c r="P7077" t="n">
        <v>0</v>
      </c>
      <c r="Q7077" t="n">
        <v>0</v>
      </c>
      <c r="R7077" s="2" t="inlineStr"/>
    </row>
    <row r="7078" ht="15" customHeight="1">
      <c r="A7078" t="inlineStr">
        <is>
          <t>A 30740-2024</t>
        </is>
      </c>
      <c r="B7078" s="1" t="n">
        <v>45496.64633101852</v>
      </c>
      <c r="C7078" s="1" t="n">
        <v>45883</v>
      </c>
      <c r="D7078" t="inlineStr">
        <is>
          <t>GÄVLEBORGS LÄN</t>
        </is>
      </c>
      <c r="E7078" t="inlineStr">
        <is>
          <t>SÖDERHAMN</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30794-2024</t>
        </is>
      </c>
      <c r="B7079" s="1" t="n">
        <v>45497.28417824074</v>
      </c>
      <c r="C7079" s="1" t="n">
        <v>45883</v>
      </c>
      <c r="D7079" t="inlineStr">
        <is>
          <t>GÄVLEBORGS LÄN</t>
        </is>
      </c>
      <c r="E7079" t="inlineStr">
        <is>
          <t>BOLLNÄS</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30653-2025</t>
        </is>
      </c>
      <c r="B7080" s="1" t="n">
        <v>45831.50354166667</v>
      </c>
      <c r="C7080" s="1" t="n">
        <v>45883</v>
      </c>
      <c r="D7080" t="inlineStr">
        <is>
          <t>GÄVLEBORGS LÄN</t>
        </is>
      </c>
      <c r="E7080" t="inlineStr">
        <is>
          <t>BOLLNÄS</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11940-2025</t>
        </is>
      </c>
      <c r="B7081" s="1" t="n">
        <v>45728.5352662037</v>
      </c>
      <c r="C7081" s="1" t="n">
        <v>45883</v>
      </c>
      <c r="D7081" t="inlineStr">
        <is>
          <t>GÄVLEBORGS LÄN</t>
        </is>
      </c>
      <c r="E7081" t="inlineStr">
        <is>
          <t>OVANÅKER</t>
        </is>
      </c>
      <c r="G7081" t="n">
        <v>4.7</v>
      </c>
      <c r="H7081" t="n">
        <v>0</v>
      </c>
      <c r="I7081" t="n">
        <v>0</v>
      </c>
      <c r="J7081" t="n">
        <v>0</v>
      </c>
      <c r="K7081" t="n">
        <v>0</v>
      </c>
      <c r="L7081" t="n">
        <v>0</v>
      </c>
      <c r="M7081" t="n">
        <v>0</v>
      </c>
      <c r="N7081" t="n">
        <v>0</v>
      </c>
      <c r="O7081" t="n">
        <v>0</v>
      </c>
      <c r="P7081" t="n">
        <v>0</v>
      </c>
      <c r="Q7081" t="n">
        <v>0</v>
      </c>
      <c r="R7081" s="2" t="inlineStr"/>
    </row>
    <row r="7082" ht="15" customHeight="1">
      <c r="A7082" t="inlineStr">
        <is>
          <t>A 11964-2025</t>
        </is>
      </c>
      <c r="B7082" s="1" t="n">
        <v>45728.57576388889</v>
      </c>
      <c r="C7082" s="1" t="n">
        <v>45883</v>
      </c>
      <c r="D7082" t="inlineStr">
        <is>
          <t>GÄVLEBORGS LÄN</t>
        </is>
      </c>
      <c r="E7082" t="inlineStr">
        <is>
          <t>OVANÅKER</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31031-2025</t>
        </is>
      </c>
      <c r="B7083" s="1" t="n">
        <v>45832.53875</v>
      </c>
      <c r="C7083" s="1" t="n">
        <v>45883</v>
      </c>
      <c r="D7083" t="inlineStr">
        <is>
          <t>GÄVLEBORGS LÄN</t>
        </is>
      </c>
      <c r="E7083" t="inlineStr">
        <is>
          <t>NORDANSTIG</t>
        </is>
      </c>
      <c r="F7083" t="inlineStr">
        <is>
          <t>Holmen skog AB</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31035-2025</t>
        </is>
      </c>
      <c r="B7084" s="1" t="n">
        <v>45832.544375</v>
      </c>
      <c r="C7084" s="1" t="n">
        <v>45883</v>
      </c>
      <c r="D7084" t="inlineStr">
        <is>
          <t>GÄVLEBORGS LÄN</t>
        </is>
      </c>
      <c r="E7084" t="inlineStr">
        <is>
          <t>LJUSDAL</t>
        </is>
      </c>
      <c r="G7084" t="n">
        <v>4.9</v>
      </c>
      <c r="H7084" t="n">
        <v>0</v>
      </c>
      <c r="I7084" t="n">
        <v>0</v>
      </c>
      <c r="J7084" t="n">
        <v>0</v>
      </c>
      <c r="K7084" t="n">
        <v>0</v>
      </c>
      <c r="L7084" t="n">
        <v>0</v>
      </c>
      <c r="M7084" t="n">
        <v>0</v>
      </c>
      <c r="N7084" t="n">
        <v>0</v>
      </c>
      <c r="O7084" t="n">
        <v>0</v>
      </c>
      <c r="P7084" t="n">
        <v>0</v>
      </c>
      <c r="Q7084" t="n">
        <v>0</v>
      </c>
      <c r="R7084" s="2" t="inlineStr"/>
    </row>
    <row r="7085" ht="15" customHeight="1">
      <c r="A7085" t="inlineStr">
        <is>
          <t>A 31126-2025</t>
        </is>
      </c>
      <c r="B7085" s="1" t="n">
        <v>45832.62875</v>
      </c>
      <c r="C7085" s="1" t="n">
        <v>45883</v>
      </c>
      <c r="D7085" t="inlineStr">
        <is>
          <t>GÄVLEBORGS LÄN</t>
        </is>
      </c>
      <c r="E7085" t="inlineStr">
        <is>
          <t>LJUSDAL</t>
        </is>
      </c>
      <c r="F7085" t="inlineStr">
        <is>
          <t>Sveaskog</t>
        </is>
      </c>
      <c r="G7085" t="n">
        <v>5</v>
      </c>
      <c r="H7085" t="n">
        <v>0</v>
      </c>
      <c r="I7085" t="n">
        <v>0</v>
      </c>
      <c r="J7085" t="n">
        <v>0</v>
      </c>
      <c r="K7085" t="n">
        <v>0</v>
      </c>
      <c r="L7085" t="n">
        <v>0</v>
      </c>
      <c r="M7085" t="n">
        <v>0</v>
      </c>
      <c r="N7085" t="n">
        <v>0</v>
      </c>
      <c r="O7085" t="n">
        <v>0</v>
      </c>
      <c r="P7085" t="n">
        <v>0</v>
      </c>
      <c r="Q7085" t="n">
        <v>0</v>
      </c>
      <c r="R7085" s="2" t="inlineStr"/>
    </row>
    <row r="7086" ht="15" customHeight="1">
      <c r="A7086" t="inlineStr">
        <is>
          <t>A 31130-2025</t>
        </is>
      </c>
      <c r="B7086" s="1" t="n">
        <v>45832.63040509259</v>
      </c>
      <c r="C7086" s="1" t="n">
        <v>45883</v>
      </c>
      <c r="D7086" t="inlineStr">
        <is>
          <t>GÄVLEBORGS LÄN</t>
        </is>
      </c>
      <c r="E7086" t="inlineStr">
        <is>
          <t>LJUSDAL</t>
        </is>
      </c>
      <c r="F7086" t="inlineStr">
        <is>
          <t>Sveaskog</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51867-2022</t>
        </is>
      </c>
      <c r="B7087" s="1" t="n">
        <v>44872.58997685185</v>
      </c>
      <c r="C7087" s="1" t="n">
        <v>45883</v>
      </c>
      <c r="D7087" t="inlineStr">
        <is>
          <t>GÄVLEBORGS LÄN</t>
        </is>
      </c>
      <c r="E7087" t="inlineStr">
        <is>
          <t>BOLLNÄS</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30757-2025</t>
        </is>
      </c>
      <c r="B7088" s="1" t="n">
        <v>45831.59650462963</v>
      </c>
      <c r="C7088" s="1" t="n">
        <v>45883</v>
      </c>
      <c r="D7088" t="inlineStr">
        <is>
          <t>GÄVLEBORGS LÄN</t>
        </is>
      </c>
      <c r="E7088" t="inlineStr">
        <is>
          <t>HUDIKSVALL</t>
        </is>
      </c>
      <c r="F7088" t="inlineStr">
        <is>
          <t>Holmen skog AB</t>
        </is>
      </c>
      <c r="G7088" t="n">
        <v>6.6</v>
      </c>
      <c r="H7088" t="n">
        <v>0</v>
      </c>
      <c r="I7088" t="n">
        <v>0</v>
      </c>
      <c r="J7088" t="n">
        <v>0</v>
      </c>
      <c r="K7088" t="n">
        <v>0</v>
      </c>
      <c r="L7088" t="n">
        <v>0</v>
      </c>
      <c r="M7088" t="n">
        <v>0</v>
      </c>
      <c r="N7088" t="n">
        <v>0</v>
      </c>
      <c r="O7088" t="n">
        <v>0</v>
      </c>
      <c r="P7088" t="n">
        <v>0</v>
      </c>
      <c r="Q7088" t="n">
        <v>0</v>
      </c>
      <c r="R7088" s="2" t="inlineStr"/>
    </row>
    <row r="7089" ht="15" customHeight="1">
      <c r="A7089" t="inlineStr">
        <is>
          <t>A 43517-2023</t>
        </is>
      </c>
      <c r="B7089" s="1" t="n">
        <v>45184.48697916666</v>
      </c>
      <c r="C7089" s="1" t="n">
        <v>45883</v>
      </c>
      <c r="D7089" t="inlineStr">
        <is>
          <t>GÄVLEBORGS LÄN</t>
        </is>
      </c>
      <c r="E7089" t="inlineStr">
        <is>
          <t>LJUSDAL</t>
        </is>
      </c>
      <c r="G7089" t="n">
        <v>23.5</v>
      </c>
      <c r="H7089" t="n">
        <v>0</v>
      </c>
      <c r="I7089" t="n">
        <v>0</v>
      </c>
      <c r="J7089" t="n">
        <v>0</v>
      </c>
      <c r="K7089" t="n">
        <v>0</v>
      </c>
      <c r="L7089" t="n">
        <v>0</v>
      </c>
      <c r="M7089" t="n">
        <v>0</v>
      </c>
      <c r="N7089" t="n">
        <v>0</v>
      </c>
      <c r="O7089" t="n">
        <v>0</v>
      </c>
      <c r="P7089" t="n">
        <v>0</v>
      </c>
      <c r="Q7089" t="n">
        <v>0</v>
      </c>
      <c r="R7089" s="2" t="inlineStr"/>
    </row>
    <row r="7090" ht="15" customHeight="1">
      <c r="A7090" t="inlineStr">
        <is>
          <t>A 36753-2025</t>
        </is>
      </c>
      <c r="B7090" s="1" t="n">
        <v>45873.55734953703</v>
      </c>
      <c r="C7090" s="1" t="n">
        <v>45883</v>
      </c>
      <c r="D7090" t="inlineStr">
        <is>
          <t>GÄVLEBORGS LÄN</t>
        </is>
      </c>
      <c r="E7090" t="inlineStr">
        <is>
          <t>OVANÅKER</t>
        </is>
      </c>
      <c r="F7090" t="inlineStr">
        <is>
          <t>Bergvik skog väst AB</t>
        </is>
      </c>
      <c r="G7090" t="n">
        <v>6</v>
      </c>
      <c r="H7090" t="n">
        <v>0</v>
      </c>
      <c r="I7090" t="n">
        <v>0</v>
      </c>
      <c r="J7090" t="n">
        <v>0</v>
      </c>
      <c r="K7090" t="n">
        <v>0</v>
      </c>
      <c r="L7090" t="n">
        <v>0</v>
      </c>
      <c r="M7090" t="n">
        <v>0</v>
      </c>
      <c r="N7090" t="n">
        <v>0</v>
      </c>
      <c r="O7090" t="n">
        <v>0</v>
      </c>
      <c r="P7090" t="n">
        <v>0</v>
      </c>
      <c r="Q7090" t="n">
        <v>0</v>
      </c>
      <c r="R7090" s="2" t="inlineStr"/>
    </row>
    <row r="7091" ht="15" customHeight="1">
      <c r="A7091" t="inlineStr">
        <is>
          <t>A 30841-2025</t>
        </is>
      </c>
      <c r="B7091" s="1" t="n">
        <v>45831.75489583334</v>
      </c>
      <c r="C7091" s="1" t="n">
        <v>45883</v>
      </c>
      <c r="D7091" t="inlineStr">
        <is>
          <t>GÄVLEBORGS LÄN</t>
        </is>
      </c>
      <c r="E7091" t="inlineStr">
        <is>
          <t>HUDIKSVALL</t>
        </is>
      </c>
      <c r="G7091" t="n">
        <v>5.2</v>
      </c>
      <c r="H7091" t="n">
        <v>0</v>
      </c>
      <c r="I7091" t="n">
        <v>0</v>
      </c>
      <c r="J7091" t="n">
        <v>0</v>
      </c>
      <c r="K7091" t="n">
        <v>0</v>
      </c>
      <c r="L7091" t="n">
        <v>0</v>
      </c>
      <c r="M7091" t="n">
        <v>0</v>
      </c>
      <c r="N7091" t="n">
        <v>0</v>
      </c>
      <c r="O7091" t="n">
        <v>0</v>
      </c>
      <c r="P7091" t="n">
        <v>0</v>
      </c>
      <c r="Q7091" t="n">
        <v>0</v>
      </c>
      <c r="R7091" s="2" t="inlineStr"/>
    </row>
    <row r="7092" ht="15" customHeight="1">
      <c r="A7092" t="inlineStr">
        <is>
          <t>A 30843-2025</t>
        </is>
      </c>
      <c r="B7092" s="1" t="n">
        <v>45831.75673611111</v>
      </c>
      <c r="C7092" s="1" t="n">
        <v>45883</v>
      </c>
      <c r="D7092" t="inlineStr">
        <is>
          <t>GÄVLEBORGS LÄN</t>
        </is>
      </c>
      <c r="E7092" t="inlineStr">
        <is>
          <t>SANDVIKEN</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31197-2025</t>
        </is>
      </c>
      <c r="B7093" s="1" t="n">
        <v>45832.69053240741</v>
      </c>
      <c r="C7093" s="1" t="n">
        <v>45883</v>
      </c>
      <c r="D7093" t="inlineStr">
        <is>
          <t>GÄVLEBORGS LÄN</t>
        </is>
      </c>
      <c r="E7093" t="inlineStr">
        <is>
          <t>NORDANSTIG</t>
        </is>
      </c>
      <c r="F7093" t="inlineStr">
        <is>
          <t>Holmen skog AB</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36793-2025</t>
        </is>
      </c>
      <c r="B7094" s="1" t="n">
        <v>45873.64081018518</v>
      </c>
      <c r="C7094" s="1" t="n">
        <v>45883</v>
      </c>
      <c r="D7094" t="inlineStr">
        <is>
          <t>GÄVLEBORGS LÄN</t>
        </is>
      </c>
      <c r="E7094" t="inlineStr">
        <is>
          <t>SANDVIKEN</t>
        </is>
      </c>
      <c r="G7094" t="n">
        <v>4.2</v>
      </c>
      <c r="H7094" t="n">
        <v>0</v>
      </c>
      <c r="I7094" t="n">
        <v>0</v>
      </c>
      <c r="J7094" t="n">
        <v>0</v>
      </c>
      <c r="K7094" t="n">
        <v>0</v>
      </c>
      <c r="L7094" t="n">
        <v>0</v>
      </c>
      <c r="M7094" t="n">
        <v>0</v>
      </c>
      <c r="N7094" t="n">
        <v>0</v>
      </c>
      <c r="O7094" t="n">
        <v>0</v>
      </c>
      <c r="P7094" t="n">
        <v>0</v>
      </c>
      <c r="Q7094" t="n">
        <v>0</v>
      </c>
      <c r="R7094" s="2" t="inlineStr"/>
    </row>
    <row r="7095" ht="15" customHeight="1">
      <c r="A7095" t="inlineStr">
        <is>
          <t>A 36795-2025</t>
        </is>
      </c>
      <c r="B7095" s="1" t="n">
        <v>45873.64255787037</v>
      </c>
      <c r="C7095" s="1" t="n">
        <v>45883</v>
      </c>
      <c r="D7095" t="inlineStr">
        <is>
          <t>GÄVLEBORGS LÄN</t>
        </is>
      </c>
      <c r="E7095" t="inlineStr">
        <is>
          <t>SANDVIKEN</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61526-2023</t>
        </is>
      </c>
      <c r="B7096" s="1" t="n">
        <v>45265.34644675926</v>
      </c>
      <c r="C7096" s="1" t="n">
        <v>45883</v>
      </c>
      <c r="D7096" t="inlineStr">
        <is>
          <t>GÄVLEBORGS LÄN</t>
        </is>
      </c>
      <c r="E7096" t="inlineStr">
        <is>
          <t>OVANÅKER</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61537-2023</t>
        </is>
      </c>
      <c r="B7097" s="1" t="n">
        <v>45265.37725694444</v>
      </c>
      <c r="C7097" s="1" t="n">
        <v>45883</v>
      </c>
      <c r="D7097" t="inlineStr">
        <is>
          <t>GÄVLEBORGS LÄN</t>
        </is>
      </c>
      <c r="E7097" t="inlineStr">
        <is>
          <t>SANDVIKEN</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45768-2024</t>
        </is>
      </c>
      <c r="B7098" s="1" t="n">
        <v>45579</v>
      </c>
      <c r="C7098" s="1" t="n">
        <v>45883</v>
      </c>
      <c r="D7098" t="inlineStr">
        <is>
          <t>GÄVLEBORGS LÄN</t>
        </is>
      </c>
      <c r="E7098" t="inlineStr">
        <is>
          <t>LJUSDAL</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24860-2025</t>
        </is>
      </c>
      <c r="B7099" s="1" t="n">
        <v>45799.47928240741</v>
      </c>
      <c r="C7099" s="1" t="n">
        <v>45883</v>
      </c>
      <c r="D7099" t="inlineStr">
        <is>
          <t>GÄVLEBORGS LÄN</t>
        </is>
      </c>
      <c r="E7099" t="inlineStr">
        <is>
          <t>OVANÅKER</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35025-2024</t>
        </is>
      </c>
      <c r="B7100" s="1" t="n">
        <v>45527.60422453703</v>
      </c>
      <c r="C7100" s="1" t="n">
        <v>45883</v>
      </c>
      <c r="D7100" t="inlineStr">
        <is>
          <t>GÄVLEBORGS LÄN</t>
        </is>
      </c>
      <c r="E7100" t="inlineStr">
        <is>
          <t>OVANÅKER</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35026-2024</t>
        </is>
      </c>
      <c r="B7101" s="1" t="n">
        <v>45527.6043287037</v>
      </c>
      <c r="C7101" s="1" t="n">
        <v>45883</v>
      </c>
      <c r="D7101" t="inlineStr">
        <is>
          <t>GÄVLEBORGS LÄN</t>
        </is>
      </c>
      <c r="E7101" t="inlineStr">
        <is>
          <t>HUDIKSVALL</t>
        </is>
      </c>
      <c r="F7101" t="inlineStr">
        <is>
          <t>Holmen skog AB</t>
        </is>
      </c>
      <c r="G7101" t="n">
        <v>3</v>
      </c>
      <c r="H7101" t="n">
        <v>0</v>
      </c>
      <c r="I7101" t="n">
        <v>0</v>
      </c>
      <c r="J7101" t="n">
        <v>0</v>
      </c>
      <c r="K7101" t="n">
        <v>0</v>
      </c>
      <c r="L7101" t="n">
        <v>0</v>
      </c>
      <c r="M7101" t="n">
        <v>0</v>
      </c>
      <c r="N7101" t="n">
        <v>0</v>
      </c>
      <c r="O7101" t="n">
        <v>0</v>
      </c>
      <c r="P7101" t="n">
        <v>0</v>
      </c>
      <c r="Q7101" t="n">
        <v>0</v>
      </c>
      <c r="R7101" s="2" t="inlineStr"/>
    </row>
    <row r="7102" ht="15" customHeight="1">
      <c r="A7102" t="inlineStr">
        <is>
          <t>A 36921-2025</t>
        </is>
      </c>
      <c r="B7102" s="1" t="n">
        <v>45874.53881944445</v>
      </c>
      <c r="C7102" s="1" t="n">
        <v>45883</v>
      </c>
      <c r="D7102" t="inlineStr">
        <is>
          <t>GÄVLEBORGS LÄN</t>
        </is>
      </c>
      <c r="E7102" t="inlineStr">
        <is>
          <t>HUDIKSVALL</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31064-2025</t>
        </is>
      </c>
      <c r="B7103" s="1" t="n">
        <v>45832.57532407407</v>
      </c>
      <c r="C7103" s="1" t="n">
        <v>45883</v>
      </c>
      <c r="D7103" t="inlineStr">
        <is>
          <t>GÄVLEBORGS LÄN</t>
        </is>
      </c>
      <c r="E7103" t="inlineStr">
        <is>
          <t>LJUSDAL</t>
        </is>
      </c>
      <c r="F7103" t="inlineStr">
        <is>
          <t>Allmännings- och besparingsskogar</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56586-2023</t>
        </is>
      </c>
      <c r="B7104" s="1" t="n">
        <v>45243.63503472223</v>
      </c>
      <c r="C7104" s="1" t="n">
        <v>45883</v>
      </c>
      <c r="D7104" t="inlineStr">
        <is>
          <t>GÄVLEBORGS LÄN</t>
        </is>
      </c>
      <c r="E7104" t="inlineStr">
        <is>
          <t>NORDANSTIG</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36734-2025</t>
        </is>
      </c>
      <c r="B7105" s="1" t="n">
        <v>45873.52091435185</v>
      </c>
      <c r="C7105" s="1" t="n">
        <v>45883</v>
      </c>
      <c r="D7105" t="inlineStr">
        <is>
          <t>GÄVLEBORGS LÄN</t>
        </is>
      </c>
      <c r="E7105" t="inlineStr">
        <is>
          <t>BOLLNÄS</t>
        </is>
      </c>
      <c r="G7105" t="n">
        <v>10.6</v>
      </c>
      <c r="H7105" t="n">
        <v>0</v>
      </c>
      <c r="I7105" t="n">
        <v>0</v>
      </c>
      <c r="J7105" t="n">
        <v>0</v>
      </c>
      <c r="K7105" t="n">
        <v>0</v>
      </c>
      <c r="L7105" t="n">
        <v>0</v>
      </c>
      <c r="M7105" t="n">
        <v>0</v>
      </c>
      <c r="N7105" t="n">
        <v>0</v>
      </c>
      <c r="O7105" t="n">
        <v>0</v>
      </c>
      <c r="P7105" t="n">
        <v>0</v>
      </c>
      <c r="Q7105" t="n">
        <v>0</v>
      </c>
      <c r="R7105" s="2" t="inlineStr"/>
    </row>
    <row r="7106" ht="15" customHeight="1">
      <c r="A7106" t="inlineStr">
        <is>
          <t>A 36744-2025</t>
        </is>
      </c>
      <c r="B7106" s="1" t="n">
        <v>45873.53833333333</v>
      </c>
      <c r="C7106" s="1" t="n">
        <v>45883</v>
      </c>
      <c r="D7106" t="inlineStr">
        <is>
          <t>GÄVLEBORGS LÄN</t>
        </is>
      </c>
      <c r="E7106" t="inlineStr">
        <is>
          <t>OVANÅKER</t>
        </is>
      </c>
      <c r="F7106" t="inlineStr">
        <is>
          <t>Bergvik skog väst AB</t>
        </is>
      </c>
      <c r="G7106" t="n">
        <v>18.7</v>
      </c>
      <c r="H7106" t="n">
        <v>0</v>
      </c>
      <c r="I7106" t="n">
        <v>0</v>
      </c>
      <c r="J7106" t="n">
        <v>0</v>
      </c>
      <c r="K7106" t="n">
        <v>0</v>
      </c>
      <c r="L7106" t="n">
        <v>0</v>
      </c>
      <c r="M7106" t="n">
        <v>0</v>
      </c>
      <c r="N7106" t="n">
        <v>0</v>
      </c>
      <c r="O7106" t="n">
        <v>0</v>
      </c>
      <c r="P7106" t="n">
        <v>0</v>
      </c>
      <c r="Q7106" t="n">
        <v>0</v>
      </c>
      <c r="R7106" s="2" t="inlineStr"/>
    </row>
    <row r="7107" ht="15" customHeight="1">
      <c r="A7107" t="inlineStr">
        <is>
          <t>A 31385-2023</t>
        </is>
      </c>
      <c r="B7107" s="1" t="n">
        <v>45114</v>
      </c>
      <c r="C7107" s="1" t="n">
        <v>45883</v>
      </c>
      <c r="D7107" t="inlineStr">
        <is>
          <t>GÄVLEBORGS LÄN</t>
        </is>
      </c>
      <c r="E7107" t="inlineStr">
        <is>
          <t>BOLLNÄS</t>
        </is>
      </c>
      <c r="G7107" t="n">
        <v>6.9</v>
      </c>
      <c r="H7107" t="n">
        <v>0</v>
      </c>
      <c r="I7107" t="n">
        <v>0</v>
      </c>
      <c r="J7107" t="n">
        <v>0</v>
      </c>
      <c r="K7107" t="n">
        <v>0</v>
      </c>
      <c r="L7107" t="n">
        <v>0</v>
      </c>
      <c r="M7107" t="n">
        <v>0</v>
      </c>
      <c r="N7107" t="n">
        <v>0</v>
      </c>
      <c r="O7107" t="n">
        <v>0</v>
      </c>
      <c r="P7107" t="n">
        <v>0</v>
      </c>
      <c r="Q7107" t="n">
        <v>0</v>
      </c>
      <c r="R7107" s="2" t="inlineStr"/>
    </row>
    <row r="7108" ht="15" customHeight="1">
      <c r="A7108" t="inlineStr">
        <is>
          <t>A 36745-2025</t>
        </is>
      </c>
      <c r="B7108" s="1" t="n">
        <v>45873.54413194444</v>
      </c>
      <c r="C7108" s="1" t="n">
        <v>45883</v>
      </c>
      <c r="D7108" t="inlineStr">
        <is>
          <t>GÄVLEBORGS LÄN</t>
        </is>
      </c>
      <c r="E7108" t="inlineStr">
        <is>
          <t>LJUSDAL</t>
        </is>
      </c>
      <c r="F7108" t="inlineStr">
        <is>
          <t>Bergvik skog väst AB</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36749-2025</t>
        </is>
      </c>
      <c r="B7109" s="1" t="n">
        <v>45873.55201388889</v>
      </c>
      <c r="C7109" s="1" t="n">
        <v>45883</v>
      </c>
      <c r="D7109" t="inlineStr">
        <is>
          <t>GÄVLEBORGS LÄN</t>
        </is>
      </c>
      <c r="E7109" t="inlineStr">
        <is>
          <t>HUDIKSVALL</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36732-2025</t>
        </is>
      </c>
      <c r="B7110" s="1" t="n">
        <v>45873.50310185185</v>
      </c>
      <c r="C7110" s="1" t="n">
        <v>45883</v>
      </c>
      <c r="D7110" t="inlineStr">
        <is>
          <t>GÄVLEBORGS LÄN</t>
        </is>
      </c>
      <c r="E7110" t="inlineStr">
        <is>
          <t>SANDVIKEN</t>
        </is>
      </c>
      <c r="G7110" t="n">
        <v>5.6</v>
      </c>
      <c r="H7110" t="n">
        <v>0</v>
      </c>
      <c r="I7110" t="n">
        <v>0</v>
      </c>
      <c r="J7110" t="n">
        <v>0</v>
      </c>
      <c r="K7110" t="n">
        <v>0</v>
      </c>
      <c r="L7110" t="n">
        <v>0</v>
      </c>
      <c r="M7110" t="n">
        <v>0</v>
      </c>
      <c r="N7110" t="n">
        <v>0</v>
      </c>
      <c r="O7110" t="n">
        <v>0</v>
      </c>
      <c r="P7110" t="n">
        <v>0</v>
      </c>
      <c r="Q7110" t="n">
        <v>0</v>
      </c>
      <c r="R7110" s="2" t="inlineStr"/>
    </row>
    <row r="7111" ht="15" customHeight="1">
      <c r="A7111" t="inlineStr">
        <is>
          <t>A 35714-2023</t>
        </is>
      </c>
      <c r="B7111" s="1" t="n">
        <v>45147.68084490741</v>
      </c>
      <c r="C7111" s="1" t="n">
        <v>45883</v>
      </c>
      <c r="D7111" t="inlineStr">
        <is>
          <t>GÄVLEBORGS LÄN</t>
        </is>
      </c>
      <c r="E7111" t="inlineStr">
        <is>
          <t>LJUSDAL</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14059-2025</t>
        </is>
      </c>
      <c r="B7112" s="1" t="n">
        <v>45740.40756944445</v>
      </c>
      <c r="C7112" s="1" t="n">
        <v>45883</v>
      </c>
      <c r="D7112" t="inlineStr">
        <is>
          <t>GÄVLEBORGS LÄN</t>
        </is>
      </c>
      <c r="E7112" t="inlineStr">
        <is>
          <t>HUDIKSVALL</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15616-2025</t>
        </is>
      </c>
      <c r="B7113" s="1" t="n">
        <v>45748</v>
      </c>
      <c r="C7113" s="1" t="n">
        <v>45883</v>
      </c>
      <c r="D7113" t="inlineStr">
        <is>
          <t>GÄVLEBORGS LÄN</t>
        </is>
      </c>
      <c r="E7113" t="inlineStr">
        <is>
          <t>SÖDERHAMN</t>
        </is>
      </c>
      <c r="F7113" t="inlineStr">
        <is>
          <t>Bergvik skog väst AB</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36658-2025</t>
        </is>
      </c>
      <c r="B7114" s="1" t="n">
        <v>45873.35398148148</v>
      </c>
      <c r="C7114" s="1" t="n">
        <v>45883</v>
      </c>
      <c r="D7114" t="inlineStr">
        <is>
          <t>GÄVLEBORGS LÄN</t>
        </is>
      </c>
      <c r="E7114" t="inlineStr">
        <is>
          <t>OVANÅKER</t>
        </is>
      </c>
      <c r="F7114" t="inlineStr">
        <is>
          <t>Bergvik skog väst AB</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36659-2025</t>
        </is>
      </c>
      <c r="B7115" s="1" t="n">
        <v>45873.35548611111</v>
      </c>
      <c r="C7115" s="1" t="n">
        <v>45883</v>
      </c>
      <c r="D7115" t="inlineStr">
        <is>
          <t>GÄVLEBORGS LÄN</t>
        </is>
      </c>
      <c r="E7115" t="inlineStr">
        <is>
          <t>OVANÅKER</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36660-2025</t>
        </is>
      </c>
      <c r="B7116" s="1" t="n">
        <v>45873.35680555556</v>
      </c>
      <c r="C7116" s="1" t="n">
        <v>45883</v>
      </c>
      <c r="D7116" t="inlineStr">
        <is>
          <t>GÄVLEBORGS LÄN</t>
        </is>
      </c>
      <c r="E7116" t="inlineStr">
        <is>
          <t>LJUSDAL</t>
        </is>
      </c>
      <c r="F7116" t="inlineStr">
        <is>
          <t>Bergvik skog väst AB</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4234-2024</t>
        </is>
      </c>
      <c r="B7117" s="1" t="n">
        <v>45324</v>
      </c>
      <c r="C7117" s="1" t="n">
        <v>45883</v>
      </c>
      <c r="D7117" t="inlineStr">
        <is>
          <t>GÄVLEBORGS LÄN</t>
        </is>
      </c>
      <c r="E7117" t="inlineStr">
        <is>
          <t>OVANÅKER</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36918-2025</t>
        </is>
      </c>
      <c r="B7118" s="1" t="n">
        <v>45874.51417824074</v>
      </c>
      <c r="C7118" s="1" t="n">
        <v>45883</v>
      </c>
      <c r="D7118" t="inlineStr">
        <is>
          <t>GÄVLEBORGS LÄN</t>
        </is>
      </c>
      <c r="E7118" t="inlineStr">
        <is>
          <t>HUDIKSVALL</t>
        </is>
      </c>
      <c r="G7118" t="n">
        <v>4</v>
      </c>
      <c r="H7118" t="n">
        <v>0</v>
      </c>
      <c r="I7118" t="n">
        <v>0</v>
      </c>
      <c r="J7118" t="n">
        <v>0</v>
      </c>
      <c r="K7118" t="n">
        <v>0</v>
      </c>
      <c r="L7118" t="n">
        <v>0</v>
      </c>
      <c r="M7118" t="n">
        <v>0</v>
      </c>
      <c r="N7118" t="n">
        <v>0</v>
      </c>
      <c r="O7118" t="n">
        <v>0</v>
      </c>
      <c r="P7118" t="n">
        <v>0</v>
      </c>
      <c r="Q7118" t="n">
        <v>0</v>
      </c>
      <c r="R7118" s="2" t="inlineStr"/>
    </row>
    <row r="7119" ht="15" customHeight="1">
      <c r="A7119" t="inlineStr">
        <is>
          <t>A 36957-2025</t>
        </is>
      </c>
      <c r="B7119" s="1" t="n">
        <v>45874.61475694444</v>
      </c>
      <c r="C7119" s="1" t="n">
        <v>45883</v>
      </c>
      <c r="D7119" t="inlineStr">
        <is>
          <t>GÄVLEBORGS LÄN</t>
        </is>
      </c>
      <c r="E7119" t="inlineStr">
        <is>
          <t>BOLLNÄS</t>
        </is>
      </c>
      <c r="F7119" t="inlineStr">
        <is>
          <t>Bergvik skog väst AB</t>
        </is>
      </c>
      <c r="G7119" t="n">
        <v>7.2</v>
      </c>
      <c r="H7119" t="n">
        <v>0</v>
      </c>
      <c r="I7119" t="n">
        <v>0</v>
      </c>
      <c r="J7119" t="n">
        <v>0</v>
      </c>
      <c r="K7119" t="n">
        <v>0</v>
      </c>
      <c r="L7119" t="n">
        <v>0</v>
      </c>
      <c r="M7119" t="n">
        <v>0</v>
      </c>
      <c r="N7119" t="n">
        <v>0</v>
      </c>
      <c r="O7119" t="n">
        <v>0</v>
      </c>
      <c r="P7119" t="n">
        <v>0</v>
      </c>
      <c r="Q7119" t="n">
        <v>0</v>
      </c>
      <c r="R7119" s="2" t="inlineStr"/>
    </row>
    <row r="7120" ht="15" customHeight="1">
      <c r="A7120" t="inlineStr">
        <is>
          <t>A 17461-2025</t>
        </is>
      </c>
      <c r="B7120" s="1" t="n">
        <v>45757.4566550926</v>
      </c>
      <c r="C7120" s="1" t="n">
        <v>45883</v>
      </c>
      <c r="D7120" t="inlineStr">
        <is>
          <t>GÄVLEBORGS LÄN</t>
        </is>
      </c>
      <c r="E7120" t="inlineStr">
        <is>
          <t>LJUSDAL</t>
        </is>
      </c>
      <c r="F7120" t="inlineStr">
        <is>
          <t>Bergvik skog väst AB</t>
        </is>
      </c>
      <c r="G7120" t="n">
        <v>3.7</v>
      </c>
      <c r="H7120" t="n">
        <v>0</v>
      </c>
      <c r="I7120" t="n">
        <v>0</v>
      </c>
      <c r="J7120" t="n">
        <v>0</v>
      </c>
      <c r="K7120" t="n">
        <v>0</v>
      </c>
      <c r="L7120" t="n">
        <v>0</v>
      </c>
      <c r="M7120" t="n">
        <v>0</v>
      </c>
      <c r="N7120" t="n">
        <v>0</v>
      </c>
      <c r="O7120" t="n">
        <v>0</v>
      </c>
      <c r="P7120" t="n">
        <v>0</v>
      </c>
      <c r="Q7120" t="n">
        <v>0</v>
      </c>
      <c r="R7120" s="2" t="inlineStr"/>
    </row>
    <row r="7121" ht="15" customHeight="1">
      <c r="A7121" t="inlineStr">
        <is>
          <t>A 32106-2025</t>
        </is>
      </c>
      <c r="B7121" s="1" t="n">
        <v>45835</v>
      </c>
      <c r="C7121" s="1" t="n">
        <v>45883</v>
      </c>
      <c r="D7121" t="inlineStr">
        <is>
          <t>GÄVLEBORGS LÄN</t>
        </is>
      </c>
      <c r="E7121" t="inlineStr">
        <is>
          <t>LJUSDAL</t>
        </is>
      </c>
      <c r="F7121" t="inlineStr">
        <is>
          <t>Allmännings- och besparingsskogar</t>
        </is>
      </c>
      <c r="G7121" t="n">
        <v>11.9</v>
      </c>
      <c r="H7121" t="n">
        <v>0</v>
      </c>
      <c r="I7121" t="n">
        <v>0</v>
      </c>
      <c r="J7121" t="n">
        <v>0</v>
      </c>
      <c r="K7121" t="n">
        <v>0</v>
      </c>
      <c r="L7121" t="n">
        <v>0</v>
      </c>
      <c r="M7121" t="n">
        <v>0</v>
      </c>
      <c r="N7121" t="n">
        <v>0</v>
      </c>
      <c r="O7121" t="n">
        <v>0</v>
      </c>
      <c r="P7121" t="n">
        <v>0</v>
      </c>
      <c r="Q7121" t="n">
        <v>0</v>
      </c>
      <c r="R7121" s="2" t="inlineStr"/>
    </row>
    <row r="7122" ht="15" customHeight="1">
      <c r="A7122" t="inlineStr">
        <is>
          <t>A 31595-2025</t>
        </is>
      </c>
      <c r="B7122" s="1" t="n">
        <v>45833.7067824074</v>
      </c>
      <c r="C7122" s="1" t="n">
        <v>45883</v>
      </c>
      <c r="D7122" t="inlineStr">
        <is>
          <t>GÄVLEBORGS LÄN</t>
        </is>
      </c>
      <c r="E7122" t="inlineStr">
        <is>
          <t>GÄVLE</t>
        </is>
      </c>
      <c r="G7122" t="n">
        <v>2.9</v>
      </c>
      <c r="H7122" t="n">
        <v>0</v>
      </c>
      <c r="I7122" t="n">
        <v>0</v>
      </c>
      <c r="J7122" t="n">
        <v>0</v>
      </c>
      <c r="K7122" t="n">
        <v>0</v>
      </c>
      <c r="L7122" t="n">
        <v>0</v>
      </c>
      <c r="M7122" t="n">
        <v>0</v>
      </c>
      <c r="N7122" t="n">
        <v>0</v>
      </c>
      <c r="O7122" t="n">
        <v>0</v>
      </c>
      <c r="P7122" t="n">
        <v>0</v>
      </c>
      <c r="Q7122" t="n">
        <v>0</v>
      </c>
      <c r="R7122" s="2" t="inlineStr"/>
    </row>
    <row r="7123" ht="15" customHeight="1">
      <c r="A7123" t="inlineStr">
        <is>
          <t>A 37055-2025</t>
        </is>
      </c>
      <c r="B7123" s="1" t="n">
        <v>45875.37060185185</v>
      </c>
      <c r="C7123" s="1" t="n">
        <v>45883</v>
      </c>
      <c r="D7123" t="inlineStr">
        <is>
          <t>GÄVLEBORGS LÄN</t>
        </is>
      </c>
      <c r="E7123" t="inlineStr">
        <is>
          <t>SÖDERHAMN</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63703-2023</t>
        </is>
      </c>
      <c r="B7124" s="1" t="n">
        <v>45275.92704861111</v>
      </c>
      <c r="C7124" s="1" t="n">
        <v>45883</v>
      </c>
      <c r="D7124" t="inlineStr">
        <is>
          <t>GÄVLEBORGS LÄN</t>
        </is>
      </c>
      <c r="E7124" t="inlineStr">
        <is>
          <t>OVANÅKER</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43282-2021</t>
        </is>
      </c>
      <c r="B7125" s="1" t="n">
        <v>44432.39119212963</v>
      </c>
      <c r="C7125" s="1" t="n">
        <v>45883</v>
      </c>
      <c r="D7125" t="inlineStr">
        <is>
          <t>GÄVLEBORGS LÄN</t>
        </is>
      </c>
      <c r="E7125" t="inlineStr">
        <is>
          <t>HOFORS</t>
        </is>
      </c>
      <c r="F7125" t="inlineStr">
        <is>
          <t>Sveaskog</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52090-2023</t>
        </is>
      </c>
      <c r="B7126" s="1" t="n">
        <v>45223.77371527778</v>
      </c>
      <c r="C7126" s="1" t="n">
        <v>45883</v>
      </c>
      <c r="D7126" t="inlineStr">
        <is>
          <t>GÄVLEBORGS LÄN</t>
        </is>
      </c>
      <c r="E7126" t="inlineStr">
        <is>
          <t>SÖDERHAMN</t>
        </is>
      </c>
      <c r="G7126" t="n">
        <v>2.7</v>
      </c>
      <c r="H7126" t="n">
        <v>0</v>
      </c>
      <c r="I7126" t="n">
        <v>0</v>
      </c>
      <c r="J7126" t="n">
        <v>0</v>
      </c>
      <c r="K7126" t="n">
        <v>0</v>
      </c>
      <c r="L7126" t="n">
        <v>0</v>
      </c>
      <c r="M7126" t="n">
        <v>0</v>
      </c>
      <c r="N7126" t="n">
        <v>0</v>
      </c>
      <c r="O7126" t="n">
        <v>0</v>
      </c>
      <c r="P7126" t="n">
        <v>0</v>
      </c>
      <c r="Q7126" t="n">
        <v>0</v>
      </c>
      <c r="R7126" s="2" t="inlineStr"/>
    </row>
    <row r="7127" ht="15" customHeight="1">
      <c r="A7127" t="inlineStr">
        <is>
          <t>A 52092-2023</t>
        </is>
      </c>
      <c r="B7127" s="1" t="n">
        <v>45223.79653935185</v>
      </c>
      <c r="C7127" s="1" t="n">
        <v>45883</v>
      </c>
      <c r="D7127" t="inlineStr">
        <is>
          <t>GÄVLEBORGS LÄN</t>
        </is>
      </c>
      <c r="E7127" t="inlineStr">
        <is>
          <t>SÖDERHAMN</t>
        </is>
      </c>
      <c r="G7127" t="n">
        <v>3.6</v>
      </c>
      <c r="H7127" t="n">
        <v>0</v>
      </c>
      <c r="I7127" t="n">
        <v>0</v>
      </c>
      <c r="J7127" t="n">
        <v>0</v>
      </c>
      <c r="K7127" t="n">
        <v>0</v>
      </c>
      <c r="L7127" t="n">
        <v>0</v>
      </c>
      <c r="M7127" t="n">
        <v>0</v>
      </c>
      <c r="N7127" t="n">
        <v>0</v>
      </c>
      <c r="O7127" t="n">
        <v>0</v>
      </c>
      <c r="P7127" t="n">
        <v>0</v>
      </c>
      <c r="Q7127" t="n">
        <v>0</v>
      </c>
      <c r="R7127" s="2" t="inlineStr"/>
    </row>
    <row r="7128" ht="15" customHeight="1">
      <c r="A7128" t="inlineStr">
        <is>
          <t>A 31679-2025</t>
        </is>
      </c>
      <c r="B7128" s="1" t="n">
        <v>45834.38021990741</v>
      </c>
      <c r="C7128" s="1" t="n">
        <v>45883</v>
      </c>
      <c r="D7128" t="inlineStr">
        <is>
          <t>GÄVLEBORGS LÄN</t>
        </is>
      </c>
      <c r="E7128" t="inlineStr">
        <is>
          <t>LJUSDAL</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54772-2022</t>
        </is>
      </c>
      <c r="B7129" s="1" t="n">
        <v>44883</v>
      </c>
      <c r="C7129" s="1" t="n">
        <v>45883</v>
      </c>
      <c r="D7129" t="inlineStr">
        <is>
          <t>GÄVLEBORGS LÄN</t>
        </is>
      </c>
      <c r="E7129" t="inlineStr">
        <is>
          <t>BOLLNÄS</t>
        </is>
      </c>
      <c r="G7129" t="n">
        <v>12.5</v>
      </c>
      <c r="H7129" t="n">
        <v>0</v>
      </c>
      <c r="I7129" t="n">
        <v>0</v>
      </c>
      <c r="J7129" t="n">
        <v>0</v>
      </c>
      <c r="K7129" t="n">
        <v>0</v>
      </c>
      <c r="L7129" t="n">
        <v>0</v>
      </c>
      <c r="M7129" t="n">
        <v>0</v>
      </c>
      <c r="N7129" t="n">
        <v>0</v>
      </c>
      <c r="O7129" t="n">
        <v>0</v>
      </c>
      <c r="P7129" t="n">
        <v>0</v>
      </c>
      <c r="Q7129" t="n">
        <v>0</v>
      </c>
      <c r="R7129" s="2" t="inlineStr"/>
    </row>
    <row r="7130" ht="15" customHeight="1">
      <c r="A7130" t="inlineStr">
        <is>
          <t>A 18681-2022</t>
        </is>
      </c>
      <c r="B7130" s="1" t="n">
        <v>44687.5766087963</v>
      </c>
      <c r="C7130" s="1" t="n">
        <v>45883</v>
      </c>
      <c r="D7130" t="inlineStr">
        <is>
          <t>GÄVLEBORGS LÄN</t>
        </is>
      </c>
      <c r="E7130" t="inlineStr">
        <is>
          <t>LJUSDAL</t>
        </is>
      </c>
      <c r="F7130" t="inlineStr">
        <is>
          <t>Bergvik skog väst AB</t>
        </is>
      </c>
      <c r="G7130" t="n">
        <v>2.9</v>
      </c>
      <c r="H7130" t="n">
        <v>0</v>
      </c>
      <c r="I7130" t="n">
        <v>0</v>
      </c>
      <c r="J7130" t="n">
        <v>0</v>
      </c>
      <c r="K7130" t="n">
        <v>0</v>
      </c>
      <c r="L7130" t="n">
        <v>0</v>
      </c>
      <c r="M7130" t="n">
        <v>0</v>
      </c>
      <c r="N7130" t="n">
        <v>0</v>
      </c>
      <c r="O7130" t="n">
        <v>0</v>
      </c>
      <c r="P7130" t="n">
        <v>0</v>
      </c>
      <c r="Q7130" t="n">
        <v>0</v>
      </c>
      <c r="R7130" s="2" t="inlineStr"/>
    </row>
    <row r="7131" ht="15" customHeight="1">
      <c r="A7131" t="inlineStr">
        <is>
          <t>A 52881-2024</t>
        </is>
      </c>
      <c r="B7131" s="1" t="n">
        <v>45610.64039351852</v>
      </c>
      <c r="C7131" s="1" t="n">
        <v>45883</v>
      </c>
      <c r="D7131" t="inlineStr">
        <is>
          <t>GÄVLEBORGS LÄN</t>
        </is>
      </c>
      <c r="E7131" t="inlineStr">
        <is>
          <t>NORDANSTIG</t>
        </is>
      </c>
      <c r="F7131" t="inlineStr">
        <is>
          <t>Holmen skog AB</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33968-2024</t>
        </is>
      </c>
      <c r="B7132" s="1" t="n">
        <v>45523.49373842592</v>
      </c>
      <c r="C7132" s="1" t="n">
        <v>45883</v>
      </c>
      <c r="D7132" t="inlineStr">
        <is>
          <t>GÄVLEBORGS LÄN</t>
        </is>
      </c>
      <c r="E7132" t="inlineStr">
        <is>
          <t>HUDIKSVALL</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31851-2025</t>
        </is>
      </c>
      <c r="B7133" s="1" t="n">
        <v>45834.60839120371</v>
      </c>
      <c r="C7133" s="1" t="n">
        <v>45883</v>
      </c>
      <c r="D7133" t="inlineStr">
        <is>
          <t>GÄVLEBORGS LÄN</t>
        </is>
      </c>
      <c r="E7133" t="inlineStr">
        <is>
          <t>BOLLNÄS</t>
        </is>
      </c>
      <c r="G7133" t="n">
        <v>10.2</v>
      </c>
      <c r="H7133" t="n">
        <v>0</v>
      </c>
      <c r="I7133" t="n">
        <v>0</v>
      </c>
      <c r="J7133" t="n">
        <v>0</v>
      </c>
      <c r="K7133" t="n">
        <v>0</v>
      </c>
      <c r="L7133" t="n">
        <v>0</v>
      </c>
      <c r="M7133" t="n">
        <v>0</v>
      </c>
      <c r="N7133" t="n">
        <v>0</v>
      </c>
      <c r="O7133" t="n">
        <v>0</v>
      </c>
      <c r="P7133" t="n">
        <v>0</v>
      </c>
      <c r="Q7133" t="n">
        <v>0</v>
      </c>
      <c r="R7133" s="2" t="inlineStr"/>
    </row>
    <row r="7134" ht="15" customHeight="1">
      <c r="A7134" t="inlineStr">
        <is>
          <t>A 15932-2025</t>
        </is>
      </c>
      <c r="B7134" s="1" t="n">
        <v>45749.47115740741</v>
      </c>
      <c r="C7134" s="1" t="n">
        <v>45883</v>
      </c>
      <c r="D7134" t="inlineStr">
        <is>
          <t>GÄVLEBORGS LÄN</t>
        </is>
      </c>
      <c r="E7134" t="inlineStr">
        <is>
          <t>GÄVLE</t>
        </is>
      </c>
      <c r="F7134" t="inlineStr">
        <is>
          <t>Bergvik skog öst AB</t>
        </is>
      </c>
      <c r="G7134" t="n">
        <v>5.2</v>
      </c>
      <c r="H7134" t="n">
        <v>0</v>
      </c>
      <c r="I7134" t="n">
        <v>0</v>
      </c>
      <c r="J7134" t="n">
        <v>0</v>
      </c>
      <c r="K7134" t="n">
        <v>0</v>
      </c>
      <c r="L7134" t="n">
        <v>0</v>
      </c>
      <c r="M7134" t="n">
        <v>0</v>
      </c>
      <c r="N7134" t="n">
        <v>0</v>
      </c>
      <c r="O7134" t="n">
        <v>0</v>
      </c>
      <c r="P7134" t="n">
        <v>0</v>
      </c>
      <c r="Q7134" t="n">
        <v>0</v>
      </c>
      <c r="R7134" s="2" t="inlineStr"/>
    </row>
    <row r="7135" ht="15" customHeight="1">
      <c r="A7135" t="inlineStr">
        <is>
          <t>A 31798-2025</t>
        </is>
      </c>
      <c r="B7135" s="1" t="n">
        <v>45834.5515162037</v>
      </c>
      <c r="C7135" s="1" t="n">
        <v>45883</v>
      </c>
      <c r="D7135" t="inlineStr">
        <is>
          <t>GÄVLEBORGS LÄN</t>
        </is>
      </c>
      <c r="E7135" t="inlineStr">
        <is>
          <t>HUDIKSVALL</t>
        </is>
      </c>
      <c r="G7135" t="n">
        <v>4.4</v>
      </c>
      <c r="H7135" t="n">
        <v>0</v>
      </c>
      <c r="I7135" t="n">
        <v>0</v>
      </c>
      <c r="J7135" t="n">
        <v>0</v>
      </c>
      <c r="K7135" t="n">
        <v>0</v>
      </c>
      <c r="L7135" t="n">
        <v>0</v>
      </c>
      <c r="M7135" t="n">
        <v>0</v>
      </c>
      <c r="N7135" t="n">
        <v>0</v>
      </c>
      <c r="O7135" t="n">
        <v>0</v>
      </c>
      <c r="P7135" t="n">
        <v>0</v>
      </c>
      <c r="Q7135" t="n">
        <v>0</v>
      </c>
      <c r="R7135" s="2" t="inlineStr"/>
    </row>
    <row r="7136" ht="15" customHeight="1">
      <c r="A7136" t="inlineStr">
        <is>
          <t>A 31500-2025</t>
        </is>
      </c>
      <c r="B7136" s="1" t="n">
        <v>45833.58673611111</v>
      </c>
      <c r="C7136" s="1" t="n">
        <v>45883</v>
      </c>
      <c r="D7136" t="inlineStr">
        <is>
          <t>GÄVLEBORGS LÄN</t>
        </is>
      </c>
      <c r="E7136" t="inlineStr">
        <is>
          <t>LJUSDAL</t>
        </is>
      </c>
      <c r="G7136" t="n">
        <v>5.7</v>
      </c>
      <c r="H7136" t="n">
        <v>0</v>
      </c>
      <c r="I7136" t="n">
        <v>0</v>
      </c>
      <c r="J7136" t="n">
        <v>0</v>
      </c>
      <c r="K7136" t="n">
        <v>0</v>
      </c>
      <c r="L7136" t="n">
        <v>0</v>
      </c>
      <c r="M7136" t="n">
        <v>0</v>
      </c>
      <c r="N7136" t="n">
        <v>0</v>
      </c>
      <c r="O7136" t="n">
        <v>0</v>
      </c>
      <c r="P7136" t="n">
        <v>0</v>
      </c>
      <c r="Q7136" t="n">
        <v>0</v>
      </c>
      <c r="R7136" s="2" t="inlineStr"/>
    </row>
    <row r="7137" ht="15" customHeight="1">
      <c r="A7137" t="inlineStr">
        <is>
          <t>A 13961-2024</t>
        </is>
      </c>
      <c r="B7137" s="1" t="n">
        <v>45392.3412962963</v>
      </c>
      <c r="C7137" s="1" t="n">
        <v>45883</v>
      </c>
      <c r="D7137" t="inlineStr">
        <is>
          <t>GÄVLEBORGS LÄN</t>
        </is>
      </c>
      <c r="E7137" t="inlineStr">
        <is>
          <t>GÄVLE</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37317-2025</t>
        </is>
      </c>
      <c r="B7138" s="1" t="n">
        <v>45876.61798611111</v>
      </c>
      <c r="C7138" s="1" t="n">
        <v>45883</v>
      </c>
      <c r="D7138" t="inlineStr">
        <is>
          <t>GÄVLEBORGS LÄN</t>
        </is>
      </c>
      <c r="E7138" t="inlineStr">
        <is>
          <t>LJUSDAL</t>
        </is>
      </c>
      <c r="G7138" t="n">
        <v>5.7</v>
      </c>
      <c r="H7138" t="n">
        <v>0</v>
      </c>
      <c r="I7138" t="n">
        <v>0</v>
      </c>
      <c r="J7138" t="n">
        <v>0</v>
      </c>
      <c r="K7138" t="n">
        <v>0</v>
      </c>
      <c r="L7138" t="n">
        <v>0</v>
      </c>
      <c r="M7138" t="n">
        <v>0</v>
      </c>
      <c r="N7138" t="n">
        <v>0</v>
      </c>
      <c r="O7138" t="n">
        <v>0</v>
      </c>
      <c r="P7138" t="n">
        <v>0</v>
      </c>
      <c r="Q7138" t="n">
        <v>0</v>
      </c>
      <c r="R7138" s="2" t="inlineStr"/>
    </row>
    <row r="7139" ht="15" customHeight="1">
      <c r="A7139" t="inlineStr">
        <is>
          <t>A 37338-2025</t>
        </is>
      </c>
      <c r="B7139" s="1" t="n">
        <v>45876.68149305556</v>
      </c>
      <c r="C7139" s="1" t="n">
        <v>45883</v>
      </c>
      <c r="D7139" t="inlineStr">
        <is>
          <t>GÄVLEBORGS LÄN</t>
        </is>
      </c>
      <c r="E7139" t="inlineStr">
        <is>
          <t>SÖDERHAMN</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31298-2025</t>
        </is>
      </c>
      <c r="B7140" s="1" t="n">
        <v>45833.37363425926</v>
      </c>
      <c r="C7140" s="1" t="n">
        <v>45883</v>
      </c>
      <c r="D7140" t="inlineStr">
        <is>
          <t>GÄVLEBORGS LÄN</t>
        </is>
      </c>
      <c r="E7140" t="inlineStr">
        <is>
          <t>OCKELBO</t>
        </is>
      </c>
      <c r="G7140" t="n">
        <v>2.8</v>
      </c>
      <c r="H7140" t="n">
        <v>0</v>
      </c>
      <c r="I7140" t="n">
        <v>0</v>
      </c>
      <c r="J7140" t="n">
        <v>0</v>
      </c>
      <c r="K7140" t="n">
        <v>0</v>
      </c>
      <c r="L7140" t="n">
        <v>0</v>
      </c>
      <c r="M7140" t="n">
        <v>0</v>
      </c>
      <c r="N7140" t="n">
        <v>0</v>
      </c>
      <c r="O7140" t="n">
        <v>0</v>
      </c>
      <c r="P7140" t="n">
        <v>0</v>
      </c>
      <c r="Q7140" t="n">
        <v>0</v>
      </c>
      <c r="R7140" s="2" t="inlineStr"/>
    </row>
    <row r="7141" ht="15" customHeight="1">
      <c r="A7141" t="inlineStr">
        <is>
          <t>A 37326-2025</t>
        </is>
      </c>
      <c r="B7141" s="1" t="n">
        <v>45876.64011574074</v>
      </c>
      <c r="C7141" s="1" t="n">
        <v>45883</v>
      </c>
      <c r="D7141" t="inlineStr">
        <is>
          <t>GÄVLEBORGS LÄN</t>
        </is>
      </c>
      <c r="E7141" t="inlineStr">
        <is>
          <t>GÄVLE</t>
        </is>
      </c>
      <c r="F7141" t="inlineStr">
        <is>
          <t>Bergvik skog väst AB</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37355-2025</t>
        </is>
      </c>
      <c r="B7142" s="1" t="n">
        <v>45876.7824537037</v>
      </c>
      <c r="C7142" s="1" t="n">
        <v>45883</v>
      </c>
      <c r="D7142" t="inlineStr">
        <is>
          <t>GÄVLEBORGS LÄN</t>
        </is>
      </c>
      <c r="E7142" t="inlineStr">
        <is>
          <t>HUDIKSVALL</t>
        </is>
      </c>
      <c r="F7142" t="inlineStr">
        <is>
          <t>Holmen skog AB</t>
        </is>
      </c>
      <c r="G7142" t="n">
        <v>14.6</v>
      </c>
      <c r="H7142" t="n">
        <v>0</v>
      </c>
      <c r="I7142" t="n">
        <v>0</v>
      </c>
      <c r="J7142" t="n">
        <v>0</v>
      </c>
      <c r="K7142" t="n">
        <v>0</v>
      </c>
      <c r="L7142" t="n">
        <v>0</v>
      </c>
      <c r="M7142" t="n">
        <v>0</v>
      </c>
      <c r="N7142" t="n">
        <v>0</v>
      </c>
      <c r="O7142" t="n">
        <v>0</v>
      </c>
      <c r="P7142" t="n">
        <v>0</v>
      </c>
      <c r="Q7142" t="n">
        <v>0</v>
      </c>
      <c r="R7142" s="2" t="inlineStr"/>
    </row>
    <row r="7143" ht="15" customHeight="1">
      <c r="A7143" t="inlineStr">
        <is>
          <t>A 15444-2024</t>
        </is>
      </c>
      <c r="B7143" s="1" t="n">
        <v>45401</v>
      </c>
      <c r="C7143" s="1" t="n">
        <v>45883</v>
      </c>
      <c r="D7143" t="inlineStr">
        <is>
          <t>GÄVLEBORGS LÄN</t>
        </is>
      </c>
      <c r="E7143" t="inlineStr">
        <is>
          <t>GÄVLE</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521-2024</t>
        </is>
      </c>
      <c r="B7144" s="1" t="n">
        <v>45299.4562037037</v>
      </c>
      <c r="C7144" s="1" t="n">
        <v>45883</v>
      </c>
      <c r="D7144" t="inlineStr">
        <is>
          <t>GÄVLEBORGS LÄN</t>
        </is>
      </c>
      <c r="E7144" t="inlineStr">
        <is>
          <t>BOLLNÄS</t>
        </is>
      </c>
      <c r="G7144" t="n">
        <v>4.8</v>
      </c>
      <c r="H7144" t="n">
        <v>0</v>
      </c>
      <c r="I7144" t="n">
        <v>0</v>
      </c>
      <c r="J7144" t="n">
        <v>0</v>
      </c>
      <c r="K7144" t="n">
        <v>0</v>
      </c>
      <c r="L7144" t="n">
        <v>0</v>
      </c>
      <c r="M7144" t="n">
        <v>0</v>
      </c>
      <c r="N7144" t="n">
        <v>0</v>
      </c>
      <c r="O7144" t="n">
        <v>0</v>
      </c>
      <c r="P7144" t="n">
        <v>0</v>
      </c>
      <c r="Q7144" t="n">
        <v>0</v>
      </c>
      <c r="R7144" s="2" t="inlineStr"/>
    </row>
    <row r="7145" ht="15" customHeight="1">
      <c r="A7145" t="inlineStr">
        <is>
          <t>A 51250-2022</t>
        </is>
      </c>
      <c r="B7145" s="1" t="n">
        <v>44868.66506944445</v>
      </c>
      <c r="C7145" s="1" t="n">
        <v>45883</v>
      </c>
      <c r="D7145" t="inlineStr">
        <is>
          <t>GÄVLEBORGS LÄN</t>
        </is>
      </c>
      <c r="E7145" t="inlineStr">
        <is>
          <t>NORDANSTIG</t>
        </is>
      </c>
      <c r="F7145" t="inlineStr">
        <is>
          <t>Holmen skog AB</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48904-2023</t>
        </is>
      </c>
      <c r="B7146" s="1" t="n">
        <v>45209.53090277778</v>
      </c>
      <c r="C7146" s="1" t="n">
        <v>45883</v>
      </c>
      <c r="D7146" t="inlineStr">
        <is>
          <t>GÄVLEBORGS LÄN</t>
        </is>
      </c>
      <c r="E7146" t="inlineStr">
        <is>
          <t>LJUSDAL</t>
        </is>
      </c>
      <c r="F7146" t="inlineStr">
        <is>
          <t>Bergvik skog väst AB</t>
        </is>
      </c>
      <c r="G7146" t="n">
        <v>4.9</v>
      </c>
      <c r="H7146" t="n">
        <v>0</v>
      </c>
      <c r="I7146" t="n">
        <v>0</v>
      </c>
      <c r="J7146" t="n">
        <v>0</v>
      </c>
      <c r="K7146" t="n">
        <v>0</v>
      </c>
      <c r="L7146" t="n">
        <v>0</v>
      </c>
      <c r="M7146" t="n">
        <v>0</v>
      </c>
      <c r="N7146" t="n">
        <v>0</v>
      </c>
      <c r="O7146" t="n">
        <v>0</v>
      </c>
      <c r="P7146" t="n">
        <v>0</v>
      </c>
      <c r="Q7146" t="n">
        <v>0</v>
      </c>
      <c r="R7146" s="2" t="inlineStr"/>
    </row>
    <row r="7147" ht="15" customHeight="1">
      <c r="A7147" t="inlineStr">
        <is>
          <t>A 54976-2024</t>
        </is>
      </c>
      <c r="B7147" s="1" t="n">
        <v>45620.6840162037</v>
      </c>
      <c r="C7147" s="1" t="n">
        <v>45883</v>
      </c>
      <c r="D7147" t="inlineStr">
        <is>
          <t>GÄVLEBORGS LÄN</t>
        </is>
      </c>
      <c r="E7147" t="inlineStr">
        <is>
          <t>OCKELBO</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31685-2025</t>
        </is>
      </c>
      <c r="B7148" s="1" t="n">
        <v>45834.39266203704</v>
      </c>
      <c r="C7148" s="1" t="n">
        <v>45883</v>
      </c>
      <c r="D7148" t="inlineStr">
        <is>
          <t>GÄVLEBORGS LÄN</t>
        </is>
      </c>
      <c r="E7148" t="inlineStr">
        <is>
          <t>GÄVLE</t>
        </is>
      </c>
      <c r="G7148" t="n">
        <v>11.8</v>
      </c>
      <c r="H7148" t="n">
        <v>0</v>
      </c>
      <c r="I7148" t="n">
        <v>0</v>
      </c>
      <c r="J7148" t="n">
        <v>0</v>
      </c>
      <c r="K7148" t="n">
        <v>0</v>
      </c>
      <c r="L7148" t="n">
        <v>0</v>
      </c>
      <c r="M7148" t="n">
        <v>0</v>
      </c>
      <c r="N7148" t="n">
        <v>0</v>
      </c>
      <c r="O7148" t="n">
        <v>0</v>
      </c>
      <c r="P7148" t="n">
        <v>0</v>
      </c>
      <c r="Q7148" t="n">
        <v>0</v>
      </c>
      <c r="R7148" s="2" t="inlineStr"/>
    </row>
    <row r="7149" ht="15" customHeight="1">
      <c r="A7149" t="inlineStr">
        <is>
          <t>A 34668-2024</t>
        </is>
      </c>
      <c r="B7149" s="1" t="n">
        <v>45526.51855324074</v>
      </c>
      <c r="C7149" s="1" t="n">
        <v>45883</v>
      </c>
      <c r="D7149" t="inlineStr">
        <is>
          <t>GÄVLEBORGS LÄN</t>
        </is>
      </c>
      <c r="E7149" t="inlineStr">
        <is>
          <t>GÄVLE</t>
        </is>
      </c>
      <c r="F7149" t="inlineStr">
        <is>
          <t>Bergvik skog väst AB</t>
        </is>
      </c>
      <c r="G7149" t="n">
        <v>0.4</v>
      </c>
      <c r="H7149" t="n">
        <v>0</v>
      </c>
      <c r="I7149" t="n">
        <v>0</v>
      </c>
      <c r="J7149" t="n">
        <v>0</v>
      </c>
      <c r="K7149" t="n">
        <v>0</v>
      </c>
      <c r="L7149" t="n">
        <v>0</v>
      </c>
      <c r="M7149" t="n">
        <v>0</v>
      </c>
      <c r="N7149" t="n">
        <v>0</v>
      </c>
      <c r="O7149" t="n">
        <v>0</v>
      </c>
      <c r="P7149" t="n">
        <v>0</v>
      </c>
      <c r="Q7149" t="n">
        <v>0</v>
      </c>
      <c r="R7149" s="2" t="inlineStr"/>
    </row>
    <row r="7150" ht="15" customHeight="1">
      <c r="A7150" t="inlineStr">
        <is>
          <t>A 26539-2023</t>
        </is>
      </c>
      <c r="B7150" s="1" t="n">
        <v>45092</v>
      </c>
      <c r="C7150" s="1" t="n">
        <v>45883</v>
      </c>
      <c r="D7150" t="inlineStr">
        <is>
          <t>GÄVLEBORGS LÄN</t>
        </is>
      </c>
      <c r="E7150" t="inlineStr">
        <is>
          <t>LJUSDAL</t>
        </is>
      </c>
      <c r="F7150" t="inlineStr">
        <is>
          <t>Sveaskog</t>
        </is>
      </c>
      <c r="G7150" t="n">
        <v>11.4</v>
      </c>
      <c r="H7150" t="n">
        <v>0</v>
      </c>
      <c r="I7150" t="n">
        <v>0</v>
      </c>
      <c r="J7150" t="n">
        <v>0</v>
      </c>
      <c r="K7150" t="n">
        <v>0</v>
      </c>
      <c r="L7150" t="n">
        <v>0</v>
      </c>
      <c r="M7150" t="n">
        <v>0</v>
      </c>
      <c r="N7150" t="n">
        <v>0</v>
      </c>
      <c r="O7150" t="n">
        <v>0</v>
      </c>
      <c r="P7150" t="n">
        <v>0</v>
      </c>
      <c r="Q7150" t="n">
        <v>0</v>
      </c>
      <c r="R7150" s="2" t="inlineStr"/>
    </row>
    <row r="7151" ht="15" customHeight="1">
      <c r="A7151" t="inlineStr">
        <is>
          <t>A 37082-2025</t>
        </is>
      </c>
      <c r="B7151" s="1" t="n">
        <v>45875.44046296296</v>
      </c>
      <c r="C7151" s="1" t="n">
        <v>45883</v>
      </c>
      <c r="D7151" t="inlineStr">
        <is>
          <t>GÄVLEBORGS LÄN</t>
        </is>
      </c>
      <c r="E7151" t="inlineStr">
        <is>
          <t>HUDIKSVALL</t>
        </is>
      </c>
      <c r="F7151" t="inlineStr">
        <is>
          <t>Holmen skog AB</t>
        </is>
      </c>
      <c r="G7151" t="n">
        <v>10.8</v>
      </c>
      <c r="H7151" t="n">
        <v>0</v>
      </c>
      <c r="I7151" t="n">
        <v>0</v>
      </c>
      <c r="J7151" t="n">
        <v>0</v>
      </c>
      <c r="K7151" t="n">
        <v>0</v>
      </c>
      <c r="L7151" t="n">
        <v>0</v>
      </c>
      <c r="M7151" t="n">
        <v>0</v>
      </c>
      <c r="N7151" t="n">
        <v>0</v>
      </c>
      <c r="O7151" t="n">
        <v>0</v>
      </c>
      <c r="P7151" t="n">
        <v>0</v>
      </c>
      <c r="Q7151" t="n">
        <v>0</v>
      </c>
      <c r="R7151" s="2" t="inlineStr"/>
    </row>
    <row r="7152" ht="15" customHeight="1">
      <c r="A7152" t="inlineStr">
        <is>
          <t>A 31302-2025</t>
        </is>
      </c>
      <c r="B7152" s="1" t="n">
        <v>45833.38398148148</v>
      </c>
      <c r="C7152" s="1" t="n">
        <v>45883</v>
      </c>
      <c r="D7152" t="inlineStr">
        <is>
          <t>GÄVLEBORGS LÄN</t>
        </is>
      </c>
      <c r="E7152" t="inlineStr">
        <is>
          <t>OCKELBO</t>
        </is>
      </c>
      <c r="G7152" t="n">
        <v>4.2</v>
      </c>
      <c r="H7152" t="n">
        <v>0</v>
      </c>
      <c r="I7152" t="n">
        <v>0</v>
      </c>
      <c r="J7152" t="n">
        <v>0</v>
      </c>
      <c r="K7152" t="n">
        <v>0</v>
      </c>
      <c r="L7152" t="n">
        <v>0</v>
      </c>
      <c r="M7152" t="n">
        <v>0</v>
      </c>
      <c r="N7152" t="n">
        <v>0</v>
      </c>
      <c r="O7152" t="n">
        <v>0</v>
      </c>
      <c r="P7152" t="n">
        <v>0</v>
      </c>
      <c r="Q7152" t="n">
        <v>0</v>
      </c>
      <c r="R7152" s="2" t="inlineStr"/>
    </row>
    <row r="7153" ht="15" customHeight="1">
      <c r="A7153" t="inlineStr">
        <is>
          <t>A 37099-2025</t>
        </is>
      </c>
      <c r="B7153" s="1" t="n">
        <v>45875.47131944444</v>
      </c>
      <c r="C7153" s="1" t="n">
        <v>45883</v>
      </c>
      <c r="D7153" t="inlineStr">
        <is>
          <t>GÄVLEBORGS LÄN</t>
        </is>
      </c>
      <c r="E7153" t="inlineStr">
        <is>
          <t>BOLLNÄS</t>
        </is>
      </c>
      <c r="F7153" t="inlineStr">
        <is>
          <t>Bergvik skog väst AB</t>
        </is>
      </c>
      <c r="G7153" t="n">
        <v>5</v>
      </c>
      <c r="H7153" t="n">
        <v>0</v>
      </c>
      <c r="I7153" t="n">
        <v>0</v>
      </c>
      <c r="J7153" t="n">
        <v>0</v>
      </c>
      <c r="K7153" t="n">
        <v>0</v>
      </c>
      <c r="L7153" t="n">
        <v>0</v>
      </c>
      <c r="M7153" t="n">
        <v>0</v>
      </c>
      <c r="N7153" t="n">
        <v>0</v>
      </c>
      <c r="O7153" t="n">
        <v>0</v>
      </c>
      <c r="P7153" t="n">
        <v>0</v>
      </c>
      <c r="Q7153" t="n">
        <v>0</v>
      </c>
      <c r="R7153" s="2" t="inlineStr"/>
    </row>
    <row r="7154" ht="15" customHeight="1">
      <c r="A7154" t="inlineStr">
        <is>
          <t>A 37115-2025</t>
        </is>
      </c>
      <c r="B7154" s="1" t="n">
        <v>45875.51137731481</v>
      </c>
      <c r="C7154" s="1" t="n">
        <v>45883</v>
      </c>
      <c r="D7154" t="inlineStr">
        <is>
          <t>GÄVLEBORGS LÄN</t>
        </is>
      </c>
      <c r="E7154" t="inlineStr">
        <is>
          <t>LJUSDAL</t>
        </is>
      </c>
      <c r="F7154" t="inlineStr">
        <is>
          <t>SCA</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31822-2025</t>
        </is>
      </c>
      <c r="B7155" s="1" t="n">
        <v>45834.58130787037</v>
      </c>
      <c r="C7155" s="1" t="n">
        <v>45883</v>
      </c>
      <c r="D7155" t="inlineStr">
        <is>
          <t>GÄVLEBORGS LÄN</t>
        </is>
      </c>
      <c r="E7155" t="inlineStr">
        <is>
          <t>OCKELBO</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37146-2025</t>
        </is>
      </c>
      <c r="B7156" s="1" t="n">
        <v>45875.57041666667</v>
      </c>
      <c r="C7156" s="1" t="n">
        <v>45883</v>
      </c>
      <c r="D7156" t="inlineStr">
        <is>
          <t>GÄVLEBORGS LÄN</t>
        </is>
      </c>
      <c r="E7156" t="inlineStr">
        <is>
          <t>GÄVLE</t>
        </is>
      </c>
      <c r="F7156" t="inlineStr">
        <is>
          <t>Bergvik skog väst AB</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15088-2024</t>
        </is>
      </c>
      <c r="B7157" s="1" t="n">
        <v>45399.64290509259</v>
      </c>
      <c r="C7157" s="1" t="n">
        <v>45883</v>
      </c>
      <c r="D7157" t="inlineStr">
        <is>
          <t>GÄVLEBORGS LÄN</t>
        </is>
      </c>
      <c r="E7157" t="inlineStr">
        <is>
          <t>NORDANSTIG</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31845-2025</t>
        </is>
      </c>
      <c r="B7158" s="1" t="n">
        <v>45834.60199074074</v>
      </c>
      <c r="C7158" s="1" t="n">
        <v>45883</v>
      </c>
      <c r="D7158" t="inlineStr">
        <is>
          <t>GÄVLEBORGS LÄN</t>
        </is>
      </c>
      <c r="E7158" t="inlineStr">
        <is>
          <t>NORDANSTIG</t>
        </is>
      </c>
      <c r="F7158" t="inlineStr">
        <is>
          <t>Holmen skog AB</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31907-2025</t>
        </is>
      </c>
      <c r="B7159" s="1" t="n">
        <v>45834.69116898148</v>
      </c>
      <c r="C7159" s="1" t="n">
        <v>45883</v>
      </c>
      <c r="D7159" t="inlineStr">
        <is>
          <t>GÄVLEBORGS LÄN</t>
        </is>
      </c>
      <c r="E7159" t="inlineStr">
        <is>
          <t>HUDIKSVALL</t>
        </is>
      </c>
      <c r="G7159" t="n">
        <v>8.9</v>
      </c>
      <c r="H7159" t="n">
        <v>0</v>
      </c>
      <c r="I7159" t="n">
        <v>0</v>
      </c>
      <c r="J7159" t="n">
        <v>0</v>
      </c>
      <c r="K7159" t="n">
        <v>0</v>
      </c>
      <c r="L7159" t="n">
        <v>0</v>
      </c>
      <c r="M7159" t="n">
        <v>0</v>
      </c>
      <c r="N7159" t="n">
        <v>0</v>
      </c>
      <c r="O7159" t="n">
        <v>0</v>
      </c>
      <c r="P7159" t="n">
        <v>0</v>
      </c>
      <c r="Q7159" t="n">
        <v>0</v>
      </c>
      <c r="R7159" s="2" t="inlineStr"/>
    </row>
    <row r="7160" ht="15" customHeight="1">
      <c r="A7160" t="inlineStr">
        <is>
          <t>A 37213-2025</t>
        </is>
      </c>
      <c r="B7160" s="1" t="n">
        <v>45875.80773148148</v>
      </c>
      <c r="C7160" s="1" t="n">
        <v>45883</v>
      </c>
      <c r="D7160" t="inlineStr">
        <is>
          <t>GÄVLEBORGS LÄN</t>
        </is>
      </c>
      <c r="E7160" t="inlineStr">
        <is>
          <t>HUDIKSVALL</t>
        </is>
      </c>
      <c r="F7160" t="inlineStr">
        <is>
          <t>Holmen skog AB</t>
        </is>
      </c>
      <c r="G7160" t="n">
        <v>7.8</v>
      </c>
      <c r="H7160" t="n">
        <v>0</v>
      </c>
      <c r="I7160" t="n">
        <v>0</v>
      </c>
      <c r="J7160" t="n">
        <v>0</v>
      </c>
      <c r="K7160" t="n">
        <v>0</v>
      </c>
      <c r="L7160" t="n">
        <v>0</v>
      </c>
      <c r="M7160" t="n">
        <v>0</v>
      </c>
      <c r="N7160" t="n">
        <v>0</v>
      </c>
      <c r="O7160" t="n">
        <v>0</v>
      </c>
      <c r="P7160" t="n">
        <v>0</v>
      </c>
      <c r="Q7160" t="n">
        <v>0</v>
      </c>
      <c r="R7160" s="2" t="inlineStr"/>
    </row>
    <row r="7161" ht="15" customHeight="1">
      <c r="A7161" t="inlineStr">
        <is>
          <t>A 37207-2025</t>
        </is>
      </c>
      <c r="B7161" s="1" t="n">
        <v>45875.70487268519</v>
      </c>
      <c r="C7161" s="1" t="n">
        <v>45883</v>
      </c>
      <c r="D7161" t="inlineStr">
        <is>
          <t>GÄVLEBORGS LÄN</t>
        </is>
      </c>
      <c r="E7161" t="inlineStr">
        <is>
          <t>HUDIKSVALL</t>
        </is>
      </c>
      <c r="G7161" t="n">
        <v>5</v>
      </c>
      <c r="H7161" t="n">
        <v>0</v>
      </c>
      <c r="I7161" t="n">
        <v>0</v>
      </c>
      <c r="J7161" t="n">
        <v>0</v>
      </c>
      <c r="K7161" t="n">
        <v>0</v>
      </c>
      <c r="L7161" t="n">
        <v>0</v>
      </c>
      <c r="M7161" t="n">
        <v>0</v>
      </c>
      <c r="N7161" t="n">
        <v>0</v>
      </c>
      <c r="O7161" t="n">
        <v>0</v>
      </c>
      <c r="P7161" t="n">
        <v>0</v>
      </c>
      <c r="Q7161" t="n">
        <v>0</v>
      </c>
      <c r="R7161" s="2" t="inlineStr"/>
    </row>
    <row r="7162" ht="15" customHeight="1">
      <c r="A7162" t="inlineStr">
        <is>
          <t>A 31720-2025</t>
        </is>
      </c>
      <c r="B7162" s="1" t="n">
        <v>45834</v>
      </c>
      <c r="C7162" s="1" t="n">
        <v>45883</v>
      </c>
      <c r="D7162" t="inlineStr">
        <is>
          <t>GÄVLEBORGS LÄN</t>
        </is>
      </c>
      <c r="E7162" t="inlineStr">
        <is>
          <t>HUDIKSVALL</t>
        </is>
      </c>
      <c r="G7162" t="n">
        <v>31.2</v>
      </c>
      <c r="H7162" t="n">
        <v>0</v>
      </c>
      <c r="I7162" t="n">
        <v>0</v>
      </c>
      <c r="J7162" t="n">
        <v>0</v>
      </c>
      <c r="K7162" t="n">
        <v>0</v>
      </c>
      <c r="L7162" t="n">
        <v>0</v>
      </c>
      <c r="M7162" t="n">
        <v>0</v>
      </c>
      <c r="N7162" t="n">
        <v>0</v>
      </c>
      <c r="O7162" t="n">
        <v>0</v>
      </c>
      <c r="P7162" t="n">
        <v>0</v>
      </c>
      <c r="Q7162" t="n">
        <v>0</v>
      </c>
      <c r="R7162" s="2" t="inlineStr"/>
    </row>
    <row r="7163" ht="15" customHeight="1">
      <c r="A7163" t="inlineStr">
        <is>
          <t>A 37056-2025</t>
        </is>
      </c>
      <c r="B7163" s="1" t="n">
        <v>45875.37350694444</v>
      </c>
      <c r="C7163" s="1" t="n">
        <v>45883</v>
      </c>
      <c r="D7163" t="inlineStr">
        <is>
          <t>GÄVLEBORGS LÄN</t>
        </is>
      </c>
      <c r="E7163" t="inlineStr">
        <is>
          <t>SÖDERHAMN</t>
        </is>
      </c>
      <c r="G7163" t="n">
        <v>2.9</v>
      </c>
      <c r="H7163" t="n">
        <v>0</v>
      </c>
      <c r="I7163" t="n">
        <v>0</v>
      </c>
      <c r="J7163" t="n">
        <v>0</v>
      </c>
      <c r="K7163" t="n">
        <v>0</v>
      </c>
      <c r="L7163" t="n">
        <v>0</v>
      </c>
      <c r="M7163" t="n">
        <v>0</v>
      </c>
      <c r="N7163" t="n">
        <v>0</v>
      </c>
      <c r="O7163" t="n">
        <v>0</v>
      </c>
      <c r="P7163" t="n">
        <v>0</v>
      </c>
      <c r="Q7163" t="n">
        <v>0</v>
      </c>
      <c r="R7163" s="2" t="inlineStr"/>
    </row>
    <row r="7164" ht="15" customHeight="1">
      <c r="A7164" t="inlineStr">
        <is>
          <t>A 37064-2025</t>
        </is>
      </c>
      <c r="B7164" s="1" t="n">
        <v>45875.38607638889</v>
      </c>
      <c r="C7164" s="1" t="n">
        <v>45883</v>
      </c>
      <c r="D7164" t="inlineStr">
        <is>
          <t>GÄVLEBORGS LÄN</t>
        </is>
      </c>
      <c r="E7164" t="inlineStr">
        <is>
          <t>LJUSDAL</t>
        </is>
      </c>
      <c r="F7164" t="inlineStr">
        <is>
          <t>SCA</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31460-2025</t>
        </is>
      </c>
      <c r="B7165" s="1" t="n">
        <v>45833.5490162037</v>
      </c>
      <c r="C7165" s="1" t="n">
        <v>45883</v>
      </c>
      <c r="D7165" t="inlineStr">
        <is>
          <t>GÄVLEBORGS LÄN</t>
        </is>
      </c>
      <c r="E7165" t="inlineStr">
        <is>
          <t>SANDVIKEN</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31471-2025</t>
        </is>
      </c>
      <c r="B7166" s="1" t="n">
        <v>45833.56436342592</v>
      </c>
      <c r="C7166" s="1" t="n">
        <v>45883</v>
      </c>
      <c r="D7166" t="inlineStr">
        <is>
          <t>GÄVLEBORGS LÄN</t>
        </is>
      </c>
      <c r="E7166" t="inlineStr">
        <is>
          <t>HOFORS</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31477-2025</t>
        </is>
      </c>
      <c r="B7167" s="1" t="n">
        <v>45833.5702662037</v>
      </c>
      <c r="C7167" s="1" t="n">
        <v>45883</v>
      </c>
      <c r="D7167" t="inlineStr">
        <is>
          <t>GÄVLEBORGS LÄN</t>
        </is>
      </c>
      <c r="E7167" t="inlineStr">
        <is>
          <t>HUDIKSVALL</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31511-2025</t>
        </is>
      </c>
      <c r="B7168" s="1" t="n">
        <v>45833.59689814815</v>
      </c>
      <c r="C7168" s="1" t="n">
        <v>45883</v>
      </c>
      <c r="D7168" t="inlineStr">
        <is>
          <t>GÄVLEBORGS LÄN</t>
        </is>
      </c>
      <c r="E7168" t="inlineStr">
        <is>
          <t>LJUSDAL</t>
        </is>
      </c>
      <c r="G7168" t="n">
        <v>7.7</v>
      </c>
      <c r="H7168" t="n">
        <v>0</v>
      </c>
      <c r="I7168" t="n">
        <v>0</v>
      </c>
      <c r="J7168" t="n">
        <v>0</v>
      </c>
      <c r="K7168" t="n">
        <v>0</v>
      </c>
      <c r="L7168" t="n">
        <v>0</v>
      </c>
      <c r="M7168" t="n">
        <v>0</v>
      </c>
      <c r="N7168" t="n">
        <v>0</v>
      </c>
      <c r="O7168" t="n">
        <v>0</v>
      </c>
      <c r="P7168" t="n">
        <v>0</v>
      </c>
      <c r="Q7168" t="n">
        <v>0</v>
      </c>
      <c r="R7168" s="2" t="inlineStr"/>
    </row>
    <row r="7169" ht="15" customHeight="1">
      <c r="A7169" t="inlineStr">
        <is>
          <t>A 31518-2025</t>
        </is>
      </c>
      <c r="B7169" s="1" t="n">
        <v>45833.60696759259</v>
      </c>
      <c r="C7169" s="1" t="n">
        <v>45883</v>
      </c>
      <c r="D7169" t="inlineStr">
        <is>
          <t>GÄVLEBORGS LÄN</t>
        </is>
      </c>
      <c r="E7169" t="inlineStr">
        <is>
          <t>HUDIKSVALL</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1327-2024</t>
        </is>
      </c>
      <c r="B7170" s="1" t="n">
        <v>45303.42979166667</v>
      </c>
      <c r="C7170" s="1" t="n">
        <v>45883</v>
      </c>
      <c r="D7170" t="inlineStr">
        <is>
          <t>GÄVLEBORGS LÄN</t>
        </is>
      </c>
      <c r="E7170" t="inlineStr">
        <is>
          <t>NORDANSTIG</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41512-2023</t>
        </is>
      </c>
      <c r="B7171" s="1" t="n">
        <v>45175</v>
      </c>
      <c r="C7171" s="1" t="n">
        <v>45883</v>
      </c>
      <c r="D7171" t="inlineStr">
        <is>
          <t>GÄVLEBORGS LÄN</t>
        </is>
      </c>
      <c r="E7171" t="inlineStr">
        <is>
          <t>OVANÅKER</t>
        </is>
      </c>
      <c r="G7171" t="n">
        <v>7.7</v>
      </c>
      <c r="H7171" t="n">
        <v>0</v>
      </c>
      <c r="I7171" t="n">
        <v>0</v>
      </c>
      <c r="J7171" t="n">
        <v>0</v>
      </c>
      <c r="K7171" t="n">
        <v>0</v>
      </c>
      <c r="L7171" t="n">
        <v>0</v>
      </c>
      <c r="M7171" t="n">
        <v>0</v>
      </c>
      <c r="N7171" t="n">
        <v>0</v>
      </c>
      <c r="O7171" t="n">
        <v>0</v>
      </c>
      <c r="P7171" t="n">
        <v>0</v>
      </c>
      <c r="Q7171" t="n">
        <v>0</v>
      </c>
      <c r="R7171" s="2" t="inlineStr"/>
    </row>
    <row r="7172" ht="15" customHeight="1">
      <c r="A7172" t="inlineStr">
        <is>
          <t>A 61301-2024</t>
        </is>
      </c>
      <c r="B7172" s="1" t="n">
        <v>45645.9084375</v>
      </c>
      <c r="C7172" s="1" t="n">
        <v>45883</v>
      </c>
      <c r="D7172" t="inlineStr">
        <is>
          <t>GÄVLEBORGS LÄN</t>
        </is>
      </c>
      <c r="E7172" t="inlineStr">
        <is>
          <t>GÄVLE</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55370-2023</t>
        </is>
      </c>
      <c r="B7173" s="1" t="n">
        <v>45238</v>
      </c>
      <c r="C7173" s="1" t="n">
        <v>45883</v>
      </c>
      <c r="D7173" t="inlineStr">
        <is>
          <t>GÄVLEBORGS LÄN</t>
        </is>
      </c>
      <c r="E7173" t="inlineStr">
        <is>
          <t>LJUSDAL</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37-2024</t>
        </is>
      </c>
      <c r="B7174" s="1" t="n">
        <v>45293</v>
      </c>
      <c r="C7174" s="1" t="n">
        <v>45883</v>
      </c>
      <c r="D7174" t="inlineStr">
        <is>
          <t>GÄVLEBORGS LÄN</t>
        </is>
      </c>
      <c r="E7174" t="inlineStr">
        <is>
          <t>SANDVIKEN</t>
        </is>
      </c>
      <c r="G7174" t="n">
        <v>2.8</v>
      </c>
      <c r="H7174" t="n">
        <v>0</v>
      </c>
      <c r="I7174" t="n">
        <v>0</v>
      </c>
      <c r="J7174" t="n">
        <v>0</v>
      </c>
      <c r="K7174" t="n">
        <v>0</v>
      </c>
      <c r="L7174" t="n">
        <v>0</v>
      </c>
      <c r="M7174" t="n">
        <v>0</v>
      </c>
      <c r="N7174" t="n">
        <v>0</v>
      </c>
      <c r="O7174" t="n">
        <v>0</v>
      </c>
      <c r="P7174" t="n">
        <v>0</v>
      </c>
      <c r="Q7174" t="n">
        <v>0</v>
      </c>
      <c r="R7174" s="2" t="inlineStr"/>
    </row>
    <row r="7175" ht="15" customHeight="1">
      <c r="A7175" t="inlineStr">
        <is>
          <t>A 39-2024</t>
        </is>
      </c>
      <c r="B7175" s="1" t="n">
        <v>45293.50021990741</v>
      </c>
      <c r="C7175" s="1" t="n">
        <v>45883</v>
      </c>
      <c r="D7175" t="inlineStr">
        <is>
          <t>GÄVLEBORGS LÄN</t>
        </is>
      </c>
      <c r="E7175" t="inlineStr">
        <is>
          <t>SANDVIKEN</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921-2024</t>
        </is>
      </c>
      <c r="B7176" s="1" t="n">
        <v>45301</v>
      </c>
      <c r="C7176" s="1" t="n">
        <v>45883</v>
      </c>
      <c r="D7176" t="inlineStr">
        <is>
          <t>GÄVLEBORGS LÄN</t>
        </is>
      </c>
      <c r="E7176" t="inlineStr">
        <is>
          <t>OCKELBO</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58723-2022</t>
        </is>
      </c>
      <c r="B7177" s="1" t="n">
        <v>44902.92579861111</v>
      </c>
      <c r="C7177" s="1" t="n">
        <v>45883</v>
      </c>
      <c r="D7177" t="inlineStr">
        <is>
          <t>GÄVLEBORGS LÄN</t>
        </is>
      </c>
      <c r="E7177" t="inlineStr">
        <is>
          <t>HUDIKSVALL</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58113-2022</t>
        </is>
      </c>
      <c r="B7178" s="1" t="n">
        <v>44900.65167824074</v>
      </c>
      <c r="C7178" s="1" t="n">
        <v>45883</v>
      </c>
      <c r="D7178" t="inlineStr">
        <is>
          <t>GÄVLEBORGS LÄN</t>
        </is>
      </c>
      <c r="E7178" t="inlineStr">
        <is>
          <t>LJUSDAL</t>
        </is>
      </c>
      <c r="F7178" t="inlineStr">
        <is>
          <t>Sveaskog</t>
        </is>
      </c>
      <c r="G7178" t="n">
        <v>3.1</v>
      </c>
      <c r="H7178" t="n">
        <v>0</v>
      </c>
      <c r="I7178" t="n">
        <v>0</v>
      </c>
      <c r="J7178" t="n">
        <v>0</v>
      </c>
      <c r="K7178" t="n">
        <v>0</v>
      </c>
      <c r="L7178" t="n">
        <v>0</v>
      </c>
      <c r="M7178" t="n">
        <v>0</v>
      </c>
      <c r="N7178" t="n">
        <v>0</v>
      </c>
      <c r="O7178" t="n">
        <v>0</v>
      </c>
      <c r="P7178" t="n">
        <v>0</v>
      </c>
      <c r="Q7178" t="n">
        <v>0</v>
      </c>
      <c r="R7178" s="2" t="inlineStr"/>
    </row>
    <row r="7179" ht="15" customHeight="1">
      <c r="A7179" t="inlineStr">
        <is>
          <t>A 10858-2025</t>
        </is>
      </c>
      <c r="B7179" s="1" t="n">
        <v>45722.59630787037</v>
      </c>
      <c r="C7179" s="1" t="n">
        <v>45883</v>
      </c>
      <c r="D7179" t="inlineStr">
        <is>
          <t>GÄVLEBORGS LÄN</t>
        </is>
      </c>
      <c r="E7179" t="inlineStr">
        <is>
          <t>HUDIKSVALL</t>
        </is>
      </c>
      <c r="F7179" t="inlineStr">
        <is>
          <t>Holmen skog AB</t>
        </is>
      </c>
      <c r="G7179" t="n">
        <v>13.4</v>
      </c>
      <c r="H7179" t="n">
        <v>0</v>
      </c>
      <c r="I7179" t="n">
        <v>0</v>
      </c>
      <c r="J7179" t="n">
        <v>0</v>
      </c>
      <c r="K7179" t="n">
        <v>0</v>
      </c>
      <c r="L7179" t="n">
        <v>0</v>
      </c>
      <c r="M7179" t="n">
        <v>0</v>
      </c>
      <c r="N7179" t="n">
        <v>0</v>
      </c>
      <c r="O7179" t="n">
        <v>0</v>
      </c>
      <c r="P7179" t="n">
        <v>0</v>
      </c>
      <c r="Q7179" t="n">
        <v>0</v>
      </c>
      <c r="R7179" s="2" t="inlineStr"/>
    </row>
    <row r="7180" ht="15" customHeight="1">
      <c r="A7180" t="inlineStr">
        <is>
          <t>A 34846-2024</t>
        </is>
      </c>
      <c r="B7180" s="1" t="n">
        <v>45527.30645833333</v>
      </c>
      <c r="C7180" s="1" t="n">
        <v>45883</v>
      </c>
      <c r="D7180" t="inlineStr">
        <is>
          <t>GÄVLEBORGS LÄN</t>
        </is>
      </c>
      <c r="E7180" t="inlineStr">
        <is>
          <t>BOLLNÄS</t>
        </is>
      </c>
      <c r="F7180" t="inlineStr">
        <is>
          <t>Bergvik skog väst AB</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26440-2024</t>
        </is>
      </c>
      <c r="B7181" s="1" t="n">
        <v>45469.49199074074</v>
      </c>
      <c r="C7181" s="1" t="n">
        <v>45883</v>
      </c>
      <c r="D7181" t="inlineStr">
        <is>
          <t>GÄVLEBORGS LÄN</t>
        </is>
      </c>
      <c r="E7181" t="inlineStr">
        <is>
          <t>BOLLNÄS</t>
        </is>
      </c>
      <c r="F7181" t="inlineStr">
        <is>
          <t>Bergvik skog väst AB</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61827-2022</t>
        </is>
      </c>
      <c r="B7182" s="1" t="n">
        <v>44917</v>
      </c>
      <c r="C7182" s="1" t="n">
        <v>45883</v>
      </c>
      <c r="D7182" t="inlineStr">
        <is>
          <t>GÄVLEBORGS LÄN</t>
        </is>
      </c>
      <c r="E7182" t="inlineStr">
        <is>
          <t>OVANÅKER</t>
        </is>
      </c>
      <c r="G7182" t="n">
        <v>15.9</v>
      </c>
      <c r="H7182" t="n">
        <v>0</v>
      </c>
      <c r="I7182" t="n">
        <v>0</v>
      </c>
      <c r="J7182" t="n">
        <v>0</v>
      </c>
      <c r="K7182" t="n">
        <v>0</v>
      </c>
      <c r="L7182" t="n">
        <v>0</v>
      </c>
      <c r="M7182" t="n">
        <v>0</v>
      </c>
      <c r="N7182" t="n">
        <v>0</v>
      </c>
      <c r="O7182" t="n">
        <v>0</v>
      </c>
      <c r="P7182" t="n">
        <v>0</v>
      </c>
      <c r="Q7182" t="n">
        <v>0</v>
      </c>
      <c r="R7182" s="2" t="inlineStr"/>
    </row>
    <row r="7183" ht="15" customHeight="1">
      <c r="A7183" t="inlineStr">
        <is>
          <t>A 14296-2024</t>
        </is>
      </c>
      <c r="B7183" s="1" t="n">
        <v>45393</v>
      </c>
      <c r="C7183" s="1" t="n">
        <v>45883</v>
      </c>
      <c r="D7183" t="inlineStr">
        <is>
          <t>GÄVLEBORGS LÄN</t>
        </is>
      </c>
      <c r="E7183" t="inlineStr">
        <is>
          <t>LJUSDAL</t>
        </is>
      </c>
      <c r="F7183" t="inlineStr">
        <is>
          <t>Bergvik skog väst AB</t>
        </is>
      </c>
      <c r="G7183" t="n">
        <v>0.4</v>
      </c>
      <c r="H7183" t="n">
        <v>0</v>
      </c>
      <c r="I7183" t="n">
        <v>0</v>
      </c>
      <c r="J7183" t="n">
        <v>0</v>
      </c>
      <c r="K7183" t="n">
        <v>0</v>
      </c>
      <c r="L7183" t="n">
        <v>0</v>
      </c>
      <c r="M7183" t="n">
        <v>0</v>
      </c>
      <c r="N7183" t="n">
        <v>0</v>
      </c>
      <c r="O7183" t="n">
        <v>0</v>
      </c>
      <c r="P7183" t="n">
        <v>0</v>
      </c>
      <c r="Q7183" t="n">
        <v>0</v>
      </c>
      <c r="R7183" s="2" t="inlineStr"/>
    </row>
    <row r="7184" ht="15" customHeight="1">
      <c r="A7184" t="inlineStr">
        <is>
          <t>A 35201-2024</t>
        </is>
      </c>
      <c r="B7184" s="1" t="n">
        <v>45530</v>
      </c>
      <c r="C7184" s="1" t="n">
        <v>45883</v>
      </c>
      <c r="D7184" t="inlineStr">
        <is>
          <t>GÄVLEBORGS LÄN</t>
        </is>
      </c>
      <c r="E7184" t="inlineStr">
        <is>
          <t>HUDIKSVALL</t>
        </is>
      </c>
      <c r="F7184" t="inlineStr">
        <is>
          <t>Holmen skog AB</t>
        </is>
      </c>
      <c r="G7184" t="n">
        <v>7.3</v>
      </c>
      <c r="H7184" t="n">
        <v>0</v>
      </c>
      <c r="I7184" t="n">
        <v>0</v>
      </c>
      <c r="J7184" t="n">
        <v>0</v>
      </c>
      <c r="K7184" t="n">
        <v>0</v>
      </c>
      <c r="L7184" t="n">
        <v>0</v>
      </c>
      <c r="M7184" t="n">
        <v>0</v>
      </c>
      <c r="N7184" t="n">
        <v>0</v>
      </c>
      <c r="O7184" t="n">
        <v>0</v>
      </c>
      <c r="P7184" t="n">
        <v>0</v>
      </c>
      <c r="Q7184" t="n">
        <v>0</v>
      </c>
      <c r="R7184" s="2" t="inlineStr"/>
    </row>
    <row r="7185" ht="15" customHeight="1">
      <c r="A7185" t="inlineStr">
        <is>
          <t>A 44806-2024</t>
        </is>
      </c>
      <c r="B7185" s="1" t="n">
        <v>45574.65305555556</v>
      </c>
      <c r="C7185" s="1" t="n">
        <v>45883</v>
      </c>
      <c r="D7185" t="inlineStr">
        <is>
          <t>GÄVLEBORGS LÄN</t>
        </is>
      </c>
      <c r="E7185" t="inlineStr">
        <is>
          <t>GÄVLE</t>
        </is>
      </c>
      <c r="F7185" t="inlineStr">
        <is>
          <t>Bergvik skog öst AB</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50809-2024</t>
        </is>
      </c>
      <c r="B7186" s="1" t="n">
        <v>45602.53582175926</v>
      </c>
      <c r="C7186" s="1" t="n">
        <v>45883</v>
      </c>
      <c r="D7186" t="inlineStr">
        <is>
          <t>GÄVLEBORGS LÄN</t>
        </is>
      </c>
      <c r="E7186" t="inlineStr">
        <is>
          <t>SÖDERHAMN</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2739-2025</t>
        </is>
      </c>
      <c r="B7187" s="1" t="n">
        <v>45677.45535879629</v>
      </c>
      <c r="C7187" s="1" t="n">
        <v>45883</v>
      </c>
      <c r="D7187" t="inlineStr">
        <is>
          <t>GÄVLEBORGS LÄN</t>
        </is>
      </c>
      <c r="E7187" t="inlineStr">
        <is>
          <t>HUDIKSVALL</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2744-2025</t>
        </is>
      </c>
      <c r="B7188" s="1" t="n">
        <v>45677.460625</v>
      </c>
      <c r="C7188" s="1" t="n">
        <v>45883</v>
      </c>
      <c r="D7188" t="inlineStr">
        <is>
          <t>GÄVLEBORGS LÄN</t>
        </is>
      </c>
      <c r="E7188" t="inlineStr">
        <is>
          <t>HUDIKSVALL</t>
        </is>
      </c>
      <c r="G7188" t="n">
        <v>2.2</v>
      </c>
      <c r="H7188" t="n">
        <v>0</v>
      </c>
      <c r="I7188" t="n">
        <v>0</v>
      </c>
      <c r="J7188" t="n">
        <v>0</v>
      </c>
      <c r="K7188" t="n">
        <v>0</v>
      </c>
      <c r="L7188" t="n">
        <v>0</v>
      </c>
      <c r="M7188" t="n">
        <v>0</v>
      </c>
      <c r="N7188" t="n">
        <v>0</v>
      </c>
      <c r="O7188" t="n">
        <v>0</v>
      </c>
      <c r="P7188" t="n">
        <v>0</v>
      </c>
      <c r="Q7188" t="n">
        <v>0</v>
      </c>
      <c r="R7188" s="2" t="inlineStr"/>
    </row>
    <row r="7189" ht="15" customHeight="1">
      <c r="A7189" t="inlineStr">
        <is>
          <t>A 19569-2024</t>
        </is>
      </c>
      <c r="B7189" s="1" t="n">
        <v>45429.92331018519</v>
      </c>
      <c r="C7189" s="1" t="n">
        <v>45883</v>
      </c>
      <c r="D7189" t="inlineStr">
        <is>
          <t>GÄVLEBORGS LÄN</t>
        </is>
      </c>
      <c r="E7189" t="inlineStr">
        <is>
          <t>NORDANSTIG</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31878-2025</t>
        </is>
      </c>
      <c r="B7190" s="1" t="n">
        <v>45834</v>
      </c>
      <c r="C7190" s="1" t="n">
        <v>45883</v>
      </c>
      <c r="D7190" t="inlineStr">
        <is>
          <t>GÄVLEBORGS LÄN</t>
        </is>
      </c>
      <c r="E7190" t="inlineStr">
        <is>
          <t>OVANÅKER</t>
        </is>
      </c>
      <c r="G7190" t="n">
        <v>3.4</v>
      </c>
      <c r="H7190" t="n">
        <v>0</v>
      </c>
      <c r="I7190" t="n">
        <v>0</v>
      </c>
      <c r="J7190" t="n">
        <v>0</v>
      </c>
      <c r="K7190" t="n">
        <v>0</v>
      </c>
      <c r="L7190" t="n">
        <v>0</v>
      </c>
      <c r="M7190" t="n">
        <v>0</v>
      </c>
      <c r="N7190" t="n">
        <v>0</v>
      </c>
      <c r="O7190" t="n">
        <v>0</v>
      </c>
      <c r="P7190" t="n">
        <v>0</v>
      </c>
      <c r="Q7190" t="n">
        <v>0</v>
      </c>
      <c r="R7190" s="2" t="inlineStr"/>
    </row>
    <row r="7191" ht="15" customHeight="1">
      <c r="A7191" t="inlineStr">
        <is>
          <t>A 245-2025</t>
        </is>
      </c>
      <c r="B7191" s="1" t="n">
        <v>45660.41813657407</v>
      </c>
      <c r="C7191" s="1" t="n">
        <v>45883</v>
      </c>
      <c r="D7191" t="inlineStr">
        <is>
          <t>GÄVLEBORGS LÄN</t>
        </is>
      </c>
      <c r="E7191" t="inlineStr">
        <is>
          <t>SANDVIKEN</t>
        </is>
      </c>
      <c r="G7191" t="n">
        <v>2.9</v>
      </c>
      <c r="H7191" t="n">
        <v>0</v>
      </c>
      <c r="I7191" t="n">
        <v>0</v>
      </c>
      <c r="J7191" t="n">
        <v>0</v>
      </c>
      <c r="K7191" t="n">
        <v>0</v>
      </c>
      <c r="L7191" t="n">
        <v>0</v>
      </c>
      <c r="M7191" t="n">
        <v>0</v>
      </c>
      <c r="N7191" t="n">
        <v>0</v>
      </c>
      <c r="O7191" t="n">
        <v>0</v>
      </c>
      <c r="P7191" t="n">
        <v>0</v>
      </c>
      <c r="Q7191" t="n">
        <v>0</v>
      </c>
      <c r="R7191" s="2" t="inlineStr"/>
    </row>
    <row r="7192" ht="15" customHeight="1">
      <c r="A7192" t="inlineStr">
        <is>
          <t>A 11932-2025</t>
        </is>
      </c>
      <c r="B7192" s="1" t="n">
        <v>45728.52451388889</v>
      </c>
      <c r="C7192" s="1" t="n">
        <v>45883</v>
      </c>
      <c r="D7192" t="inlineStr">
        <is>
          <t>GÄVLEBORGS LÄN</t>
        </is>
      </c>
      <c r="E7192" t="inlineStr">
        <is>
          <t>OVANÅKER</t>
        </is>
      </c>
      <c r="G7192" t="n">
        <v>3.1</v>
      </c>
      <c r="H7192" t="n">
        <v>0</v>
      </c>
      <c r="I7192" t="n">
        <v>0</v>
      </c>
      <c r="J7192" t="n">
        <v>0</v>
      </c>
      <c r="K7192" t="n">
        <v>0</v>
      </c>
      <c r="L7192" t="n">
        <v>0</v>
      </c>
      <c r="M7192" t="n">
        <v>0</v>
      </c>
      <c r="N7192" t="n">
        <v>0</v>
      </c>
      <c r="O7192" t="n">
        <v>0</v>
      </c>
      <c r="P7192" t="n">
        <v>0</v>
      </c>
      <c r="Q7192" t="n">
        <v>0</v>
      </c>
      <c r="R7192" s="2" t="inlineStr"/>
    </row>
    <row r="7193" ht="15" customHeight="1">
      <c r="A7193" t="inlineStr">
        <is>
          <t>A 25631-2022</t>
        </is>
      </c>
      <c r="B7193" s="1" t="n">
        <v>44732</v>
      </c>
      <c r="C7193" s="1" t="n">
        <v>45883</v>
      </c>
      <c r="D7193" t="inlineStr">
        <is>
          <t>GÄVLEBORGS LÄN</t>
        </is>
      </c>
      <c r="E7193" t="inlineStr">
        <is>
          <t>BOLLNÄS</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31458-2025</t>
        </is>
      </c>
      <c r="B7194" s="1" t="n">
        <v>45833.54105324074</v>
      </c>
      <c r="C7194" s="1" t="n">
        <v>45883</v>
      </c>
      <c r="D7194" t="inlineStr">
        <is>
          <t>GÄVLEBORGS LÄN</t>
        </is>
      </c>
      <c r="E7194" t="inlineStr">
        <is>
          <t>OVANÅKER</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31497-2025</t>
        </is>
      </c>
      <c r="B7195" s="1" t="n">
        <v>45833.58438657408</v>
      </c>
      <c r="C7195" s="1" t="n">
        <v>45883</v>
      </c>
      <c r="D7195" t="inlineStr">
        <is>
          <t>GÄVLEBORGS LÄN</t>
        </is>
      </c>
      <c r="E7195" t="inlineStr">
        <is>
          <t>OCKELBO</t>
        </is>
      </c>
      <c r="F7195" t="inlineStr">
        <is>
          <t>Bergvik skog väst AB</t>
        </is>
      </c>
      <c r="G7195" t="n">
        <v>22.6</v>
      </c>
      <c r="H7195" t="n">
        <v>0</v>
      </c>
      <c r="I7195" t="n">
        <v>0</v>
      </c>
      <c r="J7195" t="n">
        <v>0</v>
      </c>
      <c r="K7195" t="n">
        <v>0</v>
      </c>
      <c r="L7195" t="n">
        <v>0</v>
      </c>
      <c r="M7195" t="n">
        <v>0</v>
      </c>
      <c r="N7195" t="n">
        <v>0</v>
      </c>
      <c r="O7195" t="n">
        <v>0</v>
      </c>
      <c r="P7195" t="n">
        <v>0</v>
      </c>
      <c r="Q7195" t="n">
        <v>0</v>
      </c>
      <c r="R7195" s="2" t="inlineStr"/>
    </row>
    <row r="7196" ht="15" customHeight="1">
      <c r="A7196" t="inlineStr">
        <is>
          <t>A 35765-2024</t>
        </is>
      </c>
      <c r="B7196" s="1" t="n">
        <v>45532.57923611111</v>
      </c>
      <c r="C7196" s="1" t="n">
        <v>45883</v>
      </c>
      <c r="D7196" t="inlineStr">
        <is>
          <t>GÄVLEBORGS LÄN</t>
        </is>
      </c>
      <c r="E7196" t="inlineStr">
        <is>
          <t>NORDANSTIG</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62096-2024</t>
        </is>
      </c>
      <c r="B7197" s="1" t="n">
        <v>45656.49635416667</v>
      </c>
      <c r="C7197" s="1" t="n">
        <v>45883</v>
      </c>
      <c r="D7197" t="inlineStr">
        <is>
          <t>GÄVLEBORGS LÄN</t>
        </is>
      </c>
      <c r="E7197" t="inlineStr">
        <is>
          <t>OCKELBO</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37083-2025</t>
        </is>
      </c>
      <c r="B7198" s="1" t="n">
        <v>45875.44768518519</v>
      </c>
      <c r="C7198" s="1" t="n">
        <v>45883</v>
      </c>
      <c r="D7198" t="inlineStr">
        <is>
          <t>GÄVLEBORGS LÄN</t>
        </is>
      </c>
      <c r="E7198" t="inlineStr">
        <is>
          <t>HUDIKSVALL</t>
        </is>
      </c>
      <c r="F7198" t="inlineStr">
        <is>
          <t>Holmen skog AB</t>
        </is>
      </c>
      <c r="G7198" t="n">
        <v>6.4</v>
      </c>
      <c r="H7198" t="n">
        <v>0</v>
      </c>
      <c r="I7198" t="n">
        <v>0</v>
      </c>
      <c r="J7198" t="n">
        <v>0</v>
      </c>
      <c r="K7198" t="n">
        <v>0</v>
      </c>
      <c r="L7198" t="n">
        <v>0</v>
      </c>
      <c r="M7198" t="n">
        <v>0</v>
      </c>
      <c r="N7198" t="n">
        <v>0</v>
      </c>
      <c r="O7198" t="n">
        <v>0</v>
      </c>
      <c r="P7198" t="n">
        <v>0</v>
      </c>
      <c r="Q7198" t="n">
        <v>0</v>
      </c>
      <c r="R7198" s="2" t="inlineStr"/>
    </row>
    <row r="7199" ht="15" customHeight="1">
      <c r="A7199" t="inlineStr">
        <is>
          <t>A 36657-2025</t>
        </is>
      </c>
      <c r="B7199" s="1" t="n">
        <v>45873</v>
      </c>
      <c r="C7199" s="1" t="n">
        <v>45883</v>
      </c>
      <c r="D7199" t="inlineStr">
        <is>
          <t>GÄVLEBORGS LÄN</t>
        </is>
      </c>
      <c r="E7199" t="inlineStr">
        <is>
          <t>LJUSDAL</t>
        </is>
      </c>
      <c r="F7199" t="inlineStr">
        <is>
          <t>Bergvik skog väst AB</t>
        </is>
      </c>
      <c r="G7199" t="n">
        <v>3.8</v>
      </c>
      <c r="H7199" t="n">
        <v>0</v>
      </c>
      <c r="I7199" t="n">
        <v>0</v>
      </c>
      <c r="J7199" t="n">
        <v>0</v>
      </c>
      <c r="K7199" t="n">
        <v>0</v>
      </c>
      <c r="L7199" t="n">
        <v>0</v>
      </c>
      <c r="M7199" t="n">
        <v>0</v>
      </c>
      <c r="N7199" t="n">
        <v>0</v>
      </c>
      <c r="O7199" t="n">
        <v>0</v>
      </c>
      <c r="P7199" t="n">
        <v>0</v>
      </c>
      <c r="Q7199" t="n">
        <v>0</v>
      </c>
      <c r="R7199" s="2" t="inlineStr"/>
    </row>
    <row r="7200" ht="15" customHeight="1">
      <c r="A7200" t="inlineStr">
        <is>
          <t>A 63798-2021</t>
        </is>
      </c>
      <c r="B7200" s="1" t="n">
        <v>44509</v>
      </c>
      <c r="C7200" s="1" t="n">
        <v>45883</v>
      </c>
      <c r="D7200" t="inlineStr">
        <is>
          <t>GÄVLEBORGS LÄN</t>
        </is>
      </c>
      <c r="E7200" t="inlineStr">
        <is>
          <t>HUDIKSVALL</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37095-2025</t>
        </is>
      </c>
      <c r="B7201" s="1" t="n">
        <v>45875.46927083333</v>
      </c>
      <c r="C7201" s="1" t="n">
        <v>45883</v>
      </c>
      <c r="D7201" t="inlineStr">
        <is>
          <t>GÄVLEBORGS LÄN</t>
        </is>
      </c>
      <c r="E7201" t="inlineStr">
        <is>
          <t>LJUSDAL</t>
        </is>
      </c>
      <c r="F7201" t="inlineStr">
        <is>
          <t>SCA</t>
        </is>
      </c>
      <c r="G7201" t="n">
        <v>4.2</v>
      </c>
      <c r="H7201" t="n">
        <v>0</v>
      </c>
      <c r="I7201" t="n">
        <v>0</v>
      </c>
      <c r="J7201" t="n">
        <v>0</v>
      </c>
      <c r="K7201" t="n">
        <v>0</v>
      </c>
      <c r="L7201" t="n">
        <v>0</v>
      </c>
      <c r="M7201" t="n">
        <v>0</v>
      </c>
      <c r="N7201" t="n">
        <v>0</v>
      </c>
      <c r="O7201" t="n">
        <v>0</v>
      </c>
      <c r="P7201" t="n">
        <v>0</v>
      </c>
      <c r="Q7201" t="n">
        <v>0</v>
      </c>
      <c r="R7201" s="2" t="inlineStr"/>
    </row>
    <row r="7202" ht="15" customHeight="1">
      <c r="A7202" t="inlineStr">
        <is>
          <t>A 37112-2025</t>
        </is>
      </c>
      <c r="B7202" s="1" t="n">
        <v>45875.51082175926</v>
      </c>
      <c r="C7202" s="1" t="n">
        <v>45883</v>
      </c>
      <c r="D7202" t="inlineStr">
        <is>
          <t>GÄVLEBORGS LÄN</t>
        </is>
      </c>
      <c r="E7202" t="inlineStr">
        <is>
          <t>LJUSDAL</t>
        </is>
      </c>
      <c r="F7202" t="inlineStr">
        <is>
          <t>SCA</t>
        </is>
      </c>
      <c r="G7202" t="n">
        <v>4.9</v>
      </c>
      <c r="H7202" t="n">
        <v>0</v>
      </c>
      <c r="I7202" t="n">
        <v>0</v>
      </c>
      <c r="J7202" t="n">
        <v>0</v>
      </c>
      <c r="K7202" t="n">
        <v>0</v>
      </c>
      <c r="L7202" t="n">
        <v>0</v>
      </c>
      <c r="M7202" t="n">
        <v>0</v>
      </c>
      <c r="N7202" t="n">
        <v>0</v>
      </c>
      <c r="O7202" t="n">
        <v>0</v>
      </c>
      <c r="P7202" t="n">
        <v>0</v>
      </c>
      <c r="Q7202" t="n">
        <v>0</v>
      </c>
      <c r="R7202" s="2" t="inlineStr"/>
    </row>
    <row r="7203" ht="15" customHeight="1">
      <c r="A7203" t="inlineStr">
        <is>
          <t>A 59586-2024</t>
        </is>
      </c>
      <c r="B7203" s="1" t="n">
        <v>45638.68046296296</v>
      </c>
      <c r="C7203" s="1" t="n">
        <v>45883</v>
      </c>
      <c r="D7203" t="inlineStr">
        <is>
          <t>GÄVLEBORGS LÄN</t>
        </is>
      </c>
      <c r="E7203" t="inlineStr">
        <is>
          <t>SÖDERHAMN</t>
        </is>
      </c>
      <c r="G7203" t="n">
        <v>6.3</v>
      </c>
      <c r="H7203" t="n">
        <v>0</v>
      </c>
      <c r="I7203" t="n">
        <v>0</v>
      </c>
      <c r="J7203" t="n">
        <v>0</v>
      </c>
      <c r="K7203" t="n">
        <v>0</v>
      </c>
      <c r="L7203" t="n">
        <v>0</v>
      </c>
      <c r="M7203" t="n">
        <v>0</v>
      </c>
      <c r="N7203" t="n">
        <v>0</v>
      </c>
      <c r="O7203" t="n">
        <v>0</v>
      </c>
      <c r="P7203" t="n">
        <v>0</v>
      </c>
      <c r="Q7203" t="n">
        <v>0</v>
      </c>
      <c r="R7203" s="2" t="inlineStr"/>
    </row>
    <row r="7204" ht="15" customHeight="1">
      <c r="A7204" t="inlineStr">
        <is>
          <t>A 31766-2025</t>
        </is>
      </c>
      <c r="B7204" s="1" t="n">
        <v>45834.4962962963</v>
      </c>
      <c r="C7204" s="1" t="n">
        <v>45883</v>
      </c>
      <c r="D7204" t="inlineStr">
        <is>
          <t>GÄVLEBORGS LÄN</t>
        </is>
      </c>
      <c r="E7204" t="inlineStr">
        <is>
          <t>HUDIKSVALL</t>
        </is>
      </c>
      <c r="F7204" t="inlineStr">
        <is>
          <t>Holmen skog AB</t>
        </is>
      </c>
      <c r="G7204" t="n">
        <v>3.6</v>
      </c>
      <c r="H7204" t="n">
        <v>0</v>
      </c>
      <c r="I7204" t="n">
        <v>0</v>
      </c>
      <c r="J7204" t="n">
        <v>0</v>
      </c>
      <c r="K7204" t="n">
        <v>0</v>
      </c>
      <c r="L7204" t="n">
        <v>0</v>
      </c>
      <c r="M7204" t="n">
        <v>0</v>
      </c>
      <c r="N7204" t="n">
        <v>0</v>
      </c>
      <c r="O7204" t="n">
        <v>0</v>
      </c>
      <c r="P7204" t="n">
        <v>0</v>
      </c>
      <c r="Q7204" t="n">
        <v>0</v>
      </c>
      <c r="R7204" s="2" t="inlineStr"/>
    </row>
    <row r="7205" ht="15" customHeight="1">
      <c r="A7205" t="inlineStr">
        <is>
          <t>A 26246-2024</t>
        </is>
      </c>
      <c r="B7205" s="1" t="n">
        <v>45468.63453703704</v>
      </c>
      <c r="C7205" s="1" t="n">
        <v>45883</v>
      </c>
      <c r="D7205" t="inlineStr">
        <is>
          <t>GÄVLEBORGS LÄN</t>
        </is>
      </c>
      <c r="E7205" t="inlineStr">
        <is>
          <t>BOLLNÄS</t>
        </is>
      </c>
      <c r="G7205" t="n">
        <v>3</v>
      </c>
      <c r="H7205" t="n">
        <v>0</v>
      </c>
      <c r="I7205" t="n">
        <v>0</v>
      </c>
      <c r="J7205" t="n">
        <v>0</v>
      </c>
      <c r="K7205" t="n">
        <v>0</v>
      </c>
      <c r="L7205" t="n">
        <v>0</v>
      </c>
      <c r="M7205" t="n">
        <v>0</v>
      </c>
      <c r="N7205" t="n">
        <v>0</v>
      </c>
      <c r="O7205" t="n">
        <v>0</v>
      </c>
      <c r="P7205" t="n">
        <v>0</v>
      </c>
      <c r="Q7205" t="n">
        <v>0</v>
      </c>
      <c r="R7205" s="2" t="inlineStr"/>
    </row>
    <row r="7206" ht="15" customHeight="1">
      <c r="A7206" t="inlineStr">
        <is>
          <t>A 31269-2025</t>
        </is>
      </c>
      <c r="B7206" s="1" t="n">
        <v>45833.33678240741</v>
      </c>
      <c r="C7206" s="1" t="n">
        <v>45883</v>
      </c>
      <c r="D7206" t="inlineStr">
        <is>
          <t>GÄVLEBORGS LÄN</t>
        </is>
      </c>
      <c r="E7206" t="inlineStr">
        <is>
          <t>OVANÅKER</t>
        </is>
      </c>
      <c r="G7206" t="n">
        <v>3.7</v>
      </c>
      <c r="H7206" t="n">
        <v>0</v>
      </c>
      <c r="I7206" t="n">
        <v>0</v>
      </c>
      <c r="J7206" t="n">
        <v>0</v>
      </c>
      <c r="K7206" t="n">
        <v>0</v>
      </c>
      <c r="L7206" t="n">
        <v>0</v>
      </c>
      <c r="M7206" t="n">
        <v>0</v>
      </c>
      <c r="N7206" t="n">
        <v>0</v>
      </c>
      <c r="O7206" t="n">
        <v>0</v>
      </c>
      <c r="P7206" t="n">
        <v>0</v>
      </c>
      <c r="Q7206" t="n">
        <v>0</v>
      </c>
      <c r="R7206" s="2" t="inlineStr"/>
    </row>
    <row r="7207" ht="15" customHeight="1">
      <c r="A7207" t="inlineStr">
        <is>
          <t>A 46022-2020</t>
        </is>
      </c>
      <c r="B7207" s="1" t="n">
        <v>44091</v>
      </c>
      <c r="C7207" s="1" t="n">
        <v>45883</v>
      </c>
      <c r="D7207" t="inlineStr">
        <is>
          <t>GÄVLEBORGS LÄN</t>
        </is>
      </c>
      <c r="E7207" t="inlineStr">
        <is>
          <t>HUDIKSVALL</t>
        </is>
      </c>
      <c r="G7207" t="n">
        <v>8</v>
      </c>
      <c r="H7207" t="n">
        <v>0</v>
      </c>
      <c r="I7207" t="n">
        <v>0</v>
      </c>
      <c r="J7207" t="n">
        <v>0</v>
      </c>
      <c r="K7207" t="n">
        <v>0</v>
      </c>
      <c r="L7207" t="n">
        <v>0</v>
      </c>
      <c r="M7207" t="n">
        <v>0</v>
      </c>
      <c r="N7207" t="n">
        <v>0</v>
      </c>
      <c r="O7207" t="n">
        <v>0</v>
      </c>
      <c r="P7207" t="n">
        <v>0</v>
      </c>
      <c r="Q7207" t="n">
        <v>0</v>
      </c>
      <c r="R7207" s="2" t="inlineStr"/>
    </row>
    <row r="7208" ht="15" customHeight="1">
      <c r="A7208" t="inlineStr">
        <is>
          <t>A 31786-2025</t>
        </is>
      </c>
      <c r="B7208" s="1" t="n">
        <v>45834.53503472222</v>
      </c>
      <c r="C7208" s="1" t="n">
        <v>45883</v>
      </c>
      <c r="D7208" t="inlineStr">
        <is>
          <t>GÄVLEBORGS LÄN</t>
        </is>
      </c>
      <c r="E7208" t="inlineStr">
        <is>
          <t>HUDIKSVALL</t>
        </is>
      </c>
      <c r="G7208" t="n">
        <v>8.300000000000001</v>
      </c>
      <c r="H7208" t="n">
        <v>0</v>
      </c>
      <c r="I7208" t="n">
        <v>0</v>
      </c>
      <c r="J7208" t="n">
        <v>0</v>
      </c>
      <c r="K7208" t="n">
        <v>0</v>
      </c>
      <c r="L7208" t="n">
        <v>0</v>
      </c>
      <c r="M7208" t="n">
        <v>0</v>
      </c>
      <c r="N7208" t="n">
        <v>0</v>
      </c>
      <c r="O7208" t="n">
        <v>0</v>
      </c>
      <c r="P7208" t="n">
        <v>0</v>
      </c>
      <c r="Q7208" t="n">
        <v>0</v>
      </c>
      <c r="R7208" s="2" t="inlineStr"/>
    </row>
    <row r="7209" ht="15" customHeight="1">
      <c r="A7209" t="inlineStr">
        <is>
          <t>A 31467-2025</t>
        </is>
      </c>
      <c r="B7209" s="1" t="n">
        <v>45833</v>
      </c>
      <c r="C7209" s="1" t="n">
        <v>45883</v>
      </c>
      <c r="D7209" t="inlineStr">
        <is>
          <t>GÄVLEBORGS LÄN</t>
        </is>
      </c>
      <c r="E7209" t="inlineStr">
        <is>
          <t>GÄVLE</t>
        </is>
      </c>
      <c r="F7209" t="inlineStr">
        <is>
          <t>Bergvik skog väst AB</t>
        </is>
      </c>
      <c r="G7209" t="n">
        <v>6.3</v>
      </c>
      <c r="H7209" t="n">
        <v>0</v>
      </c>
      <c r="I7209" t="n">
        <v>0</v>
      </c>
      <c r="J7209" t="n">
        <v>0</v>
      </c>
      <c r="K7209" t="n">
        <v>0</v>
      </c>
      <c r="L7209" t="n">
        <v>0</v>
      </c>
      <c r="M7209" t="n">
        <v>0</v>
      </c>
      <c r="N7209" t="n">
        <v>0</v>
      </c>
      <c r="O7209" t="n">
        <v>0</v>
      </c>
      <c r="P7209" t="n">
        <v>0</v>
      </c>
      <c r="Q7209" t="n">
        <v>0</v>
      </c>
      <c r="R7209" s="2" t="inlineStr"/>
    </row>
    <row r="7210" ht="15" customHeight="1">
      <c r="A7210" t="inlineStr">
        <is>
          <t>A 42324-2024</t>
        </is>
      </c>
      <c r="B7210" s="1" t="n">
        <v>45562.6505787037</v>
      </c>
      <c r="C7210" s="1" t="n">
        <v>45883</v>
      </c>
      <c r="D7210" t="inlineStr">
        <is>
          <t>GÄVLEBORGS LÄN</t>
        </is>
      </c>
      <c r="E7210" t="inlineStr">
        <is>
          <t>OVANÅKER</t>
        </is>
      </c>
      <c r="G7210" t="n">
        <v>0.4</v>
      </c>
      <c r="H7210" t="n">
        <v>0</v>
      </c>
      <c r="I7210" t="n">
        <v>0</v>
      </c>
      <c r="J7210" t="n">
        <v>0</v>
      </c>
      <c r="K7210" t="n">
        <v>0</v>
      </c>
      <c r="L7210" t="n">
        <v>0</v>
      </c>
      <c r="M7210" t="n">
        <v>0</v>
      </c>
      <c r="N7210" t="n">
        <v>0</v>
      </c>
      <c r="O7210" t="n">
        <v>0</v>
      </c>
      <c r="P7210" t="n">
        <v>0</v>
      </c>
      <c r="Q7210" t="n">
        <v>0</v>
      </c>
      <c r="R7210" s="2" t="inlineStr"/>
    </row>
    <row r="7211" ht="15" customHeight="1">
      <c r="A7211" t="inlineStr">
        <is>
          <t>A 31402-2025</t>
        </is>
      </c>
      <c r="B7211" s="1" t="n">
        <v>45833.47171296296</v>
      </c>
      <c r="C7211" s="1" t="n">
        <v>45883</v>
      </c>
      <c r="D7211" t="inlineStr">
        <is>
          <t>GÄVLEBORGS LÄN</t>
        </is>
      </c>
      <c r="E7211" t="inlineStr">
        <is>
          <t>OCKELBO</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10118-2025</t>
        </is>
      </c>
      <c r="B7212" s="1" t="n">
        <v>45719</v>
      </c>
      <c r="C7212" s="1" t="n">
        <v>45883</v>
      </c>
      <c r="D7212" t="inlineStr">
        <is>
          <t>GÄVLEBORGS LÄN</t>
        </is>
      </c>
      <c r="E7212" t="inlineStr">
        <is>
          <t>GÄVLE</t>
        </is>
      </c>
      <c r="F7212" t="inlineStr">
        <is>
          <t>Bergvik skog öst AB</t>
        </is>
      </c>
      <c r="G7212" t="n">
        <v>5.4</v>
      </c>
      <c r="H7212" t="n">
        <v>0</v>
      </c>
      <c r="I7212" t="n">
        <v>0</v>
      </c>
      <c r="J7212" t="n">
        <v>0</v>
      </c>
      <c r="K7212" t="n">
        <v>0</v>
      </c>
      <c r="L7212" t="n">
        <v>0</v>
      </c>
      <c r="M7212" t="n">
        <v>0</v>
      </c>
      <c r="N7212" t="n">
        <v>0</v>
      </c>
      <c r="O7212" t="n">
        <v>0</v>
      </c>
      <c r="P7212" t="n">
        <v>0</v>
      </c>
      <c r="Q7212" t="n">
        <v>0</v>
      </c>
      <c r="R7212" s="2" t="inlineStr"/>
    </row>
    <row r="7213" ht="15" customHeight="1">
      <c r="A7213" t="inlineStr">
        <is>
          <t>A 37208-2025</t>
        </is>
      </c>
      <c r="B7213" s="1" t="n">
        <v>45875.70944444444</v>
      </c>
      <c r="C7213" s="1" t="n">
        <v>45883</v>
      </c>
      <c r="D7213" t="inlineStr">
        <is>
          <t>GÄVLEBORGS LÄN</t>
        </is>
      </c>
      <c r="E7213" t="inlineStr">
        <is>
          <t>HUDIKSVALL</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61881-2024</t>
        </is>
      </c>
      <c r="B7214" s="1" t="n">
        <v>45652</v>
      </c>
      <c r="C7214" s="1" t="n">
        <v>45883</v>
      </c>
      <c r="D7214" t="inlineStr">
        <is>
          <t>GÄVLEBORGS LÄN</t>
        </is>
      </c>
      <c r="E7214" t="inlineStr">
        <is>
          <t>SÖDERHAMN</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35348-2022</t>
        </is>
      </c>
      <c r="B7215" s="1" t="n">
        <v>44798</v>
      </c>
      <c r="C7215" s="1" t="n">
        <v>45883</v>
      </c>
      <c r="D7215" t="inlineStr">
        <is>
          <t>GÄVLEBORGS LÄN</t>
        </is>
      </c>
      <c r="E7215" t="inlineStr">
        <is>
          <t>OVANÅKER</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37094-2025</t>
        </is>
      </c>
      <c r="B7216" s="1" t="n">
        <v>45875.46909722222</v>
      </c>
      <c r="C7216" s="1" t="n">
        <v>45883</v>
      </c>
      <c r="D7216" t="inlineStr">
        <is>
          <t>GÄVLEBORGS LÄN</t>
        </is>
      </c>
      <c r="E7216" t="inlineStr">
        <is>
          <t>BOLLNÄS</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47458-2022</t>
        </is>
      </c>
      <c r="B7217" s="1" t="n">
        <v>44853</v>
      </c>
      <c r="C7217" s="1" t="n">
        <v>45883</v>
      </c>
      <c r="D7217" t="inlineStr">
        <is>
          <t>GÄVLEBORGS LÄN</t>
        </is>
      </c>
      <c r="E7217" t="inlineStr">
        <is>
          <t>GÄVLE</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50066-2022</t>
        </is>
      </c>
      <c r="B7218" s="1" t="n">
        <v>44865.47965277778</v>
      </c>
      <c r="C7218" s="1" t="n">
        <v>45883</v>
      </c>
      <c r="D7218" t="inlineStr">
        <is>
          <t>GÄVLEBORGS LÄN</t>
        </is>
      </c>
      <c r="E7218" t="inlineStr">
        <is>
          <t>BOLLNÄS</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31875-2023</t>
        </is>
      </c>
      <c r="B7219" s="1" t="n">
        <v>45118</v>
      </c>
      <c r="C7219" s="1" t="n">
        <v>45883</v>
      </c>
      <c r="D7219" t="inlineStr">
        <is>
          <t>GÄVLEBORGS LÄN</t>
        </is>
      </c>
      <c r="E7219" t="inlineStr">
        <is>
          <t>OVANÅKER</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19179-2025</t>
        </is>
      </c>
      <c r="B7220" s="1" t="n">
        <v>45767</v>
      </c>
      <c r="C7220" s="1" t="n">
        <v>45883</v>
      </c>
      <c r="D7220" t="inlineStr">
        <is>
          <t>GÄVLEBORGS LÄN</t>
        </is>
      </c>
      <c r="E7220" t="inlineStr">
        <is>
          <t>HUDIKSVALL</t>
        </is>
      </c>
      <c r="G7220" t="n">
        <v>2.9</v>
      </c>
      <c r="H7220" t="n">
        <v>0</v>
      </c>
      <c r="I7220" t="n">
        <v>0</v>
      </c>
      <c r="J7220" t="n">
        <v>0</v>
      </c>
      <c r="K7220" t="n">
        <v>0</v>
      </c>
      <c r="L7220" t="n">
        <v>0</v>
      </c>
      <c r="M7220" t="n">
        <v>0</v>
      </c>
      <c r="N7220" t="n">
        <v>0</v>
      </c>
      <c r="O7220" t="n">
        <v>0</v>
      </c>
      <c r="P7220" t="n">
        <v>0</v>
      </c>
      <c r="Q7220" t="n">
        <v>0</v>
      </c>
      <c r="R7220" s="2" t="inlineStr"/>
    </row>
    <row r="7221" ht="15" customHeight="1">
      <c r="A7221" t="inlineStr">
        <is>
          <t>A 56704-2023</t>
        </is>
      </c>
      <c r="B7221" s="1" t="n">
        <v>45244</v>
      </c>
      <c r="C7221" s="1" t="n">
        <v>45883</v>
      </c>
      <c r="D7221" t="inlineStr">
        <is>
          <t>GÄVLEBORGS LÄN</t>
        </is>
      </c>
      <c r="E7221" t="inlineStr">
        <is>
          <t>BOLLNÄS</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18939-2025</t>
        </is>
      </c>
      <c r="B7222" s="1" t="n">
        <v>45764.49194444445</v>
      </c>
      <c r="C7222" s="1" t="n">
        <v>45883</v>
      </c>
      <c r="D7222" t="inlineStr">
        <is>
          <t>GÄVLEBORGS LÄN</t>
        </is>
      </c>
      <c r="E7222" t="inlineStr">
        <is>
          <t>HUDIKSVALL</t>
        </is>
      </c>
      <c r="G7222" t="n">
        <v>10.4</v>
      </c>
      <c r="H7222" t="n">
        <v>0</v>
      </c>
      <c r="I7222" t="n">
        <v>0</v>
      </c>
      <c r="J7222" t="n">
        <v>0</v>
      </c>
      <c r="K7222" t="n">
        <v>0</v>
      </c>
      <c r="L7222" t="n">
        <v>0</v>
      </c>
      <c r="M7222" t="n">
        <v>0</v>
      </c>
      <c r="N7222" t="n">
        <v>0</v>
      </c>
      <c r="O7222" t="n">
        <v>0</v>
      </c>
      <c r="P7222" t="n">
        <v>0</v>
      </c>
      <c r="Q7222" t="n">
        <v>0</v>
      </c>
      <c r="R7222" s="2" t="inlineStr"/>
    </row>
    <row r="7223" ht="15" customHeight="1">
      <c r="A7223" t="inlineStr">
        <is>
          <t>A 29881-2024</t>
        </is>
      </c>
      <c r="B7223" s="1" t="n">
        <v>45486.76454861111</v>
      </c>
      <c r="C7223" s="1" t="n">
        <v>45883</v>
      </c>
      <c r="D7223" t="inlineStr">
        <is>
          <t>GÄVLEBORGS LÄN</t>
        </is>
      </c>
      <c r="E7223" t="inlineStr">
        <is>
          <t>BOLLNÄS</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15195-2025</t>
        </is>
      </c>
      <c r="B7224" s="1" t="n">
        <v>45744.56231481482</v>
      </c>
      <c r="C7224" s="1" t="n">
        <v>45883</v>
      </c>
      <c r="D7224" t="inlineStr">
        <is>
          <t>GÄVLEBORGS LÄN</t>
        </is>
      </c>
      <c r="E7224" t="inlineStr">
        <is>
          <t>OCKELBO</t>
        </is>
      </c>
      <c r="F7224" t="inlineStr">
        <is>
          <t>Bergvik skog väst AB</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20165-2025</t>
        </is>
      </c>
      <c r="B7225" s="1" t="n">
        <v>45772.57445601852</v>
      </c>
      <c r="C7225" s="1" t="n">
        <v>45883</v>
      </c>
      <c r="D7225" t="inlineStr">
        <is>
          <t>GÄVLEBORGS LÄN</t>
        </is>
      </c>
      <c r="E7225" t="inlineStr">
        <is>
          <t>BOLLNÄS</t>
        </is>
      </c>
      <c r="G7225" t="n">
        <v>2.9</v>
      </c>
      <c r="H7225" t="n">
        <v>0</v>
      </c>
      <c r="I7225" t="n">
        <v>0</v>
      </c>
      <c r="J7225" t="n">
        <v>0</v>
      </c>
      <c r="K7225" t="n">
        <v>0</v>
      </c>
      <c r="L7225" t="n">
        <v>0</v>
      </c>
      <c r="M7225" t="n">
        <v>0</v>
      </c>
      <c r="N7225" t="n">
        <v>0</v>
      </c>
      <c r="O7225" t="n">
        <v>0</v>
      </c>
      <c r="P7225" t="n">
        <v>0</v>
      </c>
      <c r="Q7225" t="n">
        <v>0</v>
      </c>
      <c r="R7225" s="2" t="inlineStr"/>
    </row>
    <row r="7226" ht="15" customHeight="1">
      <c r="A7226" t="inlineStr">
        <is>
          <t>A 14321-2024</t>
        </is>
      </c>
      <c r="B7226" s="1" t="n">
        <v>45393.69122685185</v>
      </c>
      <c r="C7226" s="1" t="n">
        <v>45883</v>
      </c>
      <c r="D7226" t="inlineStr">
        <is>
          <t>GÄVLEBORGS LÄN</t>
        </is>
      </c>
      <c r="E7226" t="inlineStr">
        <is>
          <t>SÖDERHAMN</t>
        </is>
      </c>
      <c r="G7226" t="n">
        <v>3</v>
      </c>
      <c r="H7226" t="n">
        <v>0</v>
      </c>
      <c r="I7226" t="n">
        <v>0</v>
      </c>
      <c r="J7226" t="n">
        <v>0</v>
      </c>
      <c r="K7226" t="n">
        <v>0</v>
      </c>
      <c r="L7226" t="n">
        <v>0</v>
      </c>
      <c r="M7226" t="n">
        <v>0</v>
      </c>
      <c r="N7226" t="n">
        <v>0</v>
      </c>
      <c r="O7226" t="n">
        <v>0</v>
      </c>
      <c r="P7226" t="n">
        <v>0</v>
      </c>
      <c r="Q7226" t="n">
        <v>0</v>
      </c>
      <c r="R7226" s="2" t="inlineStr"/>
    </row>
    <row r="7227" ht="15" customHeight="1">
      <c r="A7227" t="inlineStr">
        <is>
          <t>A 64589-2023</t>
        </is>
      </c>
      <c r="B7227" s="1" t="n">
        <v>45281</v>
      </c>
      <c r="C7227" s="1" t="n">
        <v>45883</v>
      </c>
      <c r="D7227" t="inlineStr">
        <is>
          <t>GÄVLEBORGS LÄN</t>
        </is>
      </c>
      <c r="E7227" t="inlineStr">
        <is>
          <t>SANDVIKEN</t>
        </is>
      </c>
      <c r="G7227" t="n">
        <v>3.1</v>
      </c>
      <c r="H7227" t="n">
        <v>0</v>
      </c>
      <c r="I7227" t="n">
        <v>0</v>
      </c>
      <c r="J7227" t="n">
        <v>0</v>
      </c>
      <c r="K7227" t="n">
        <v>0</v>
      </c>
      <c r="L7227" t="n">
        <v>0</v>
      </c>
      <c r="M7227" t="n">
        <v>0</v>
      </c>
      <c r="N7227" t="n">
        <v>0</v>
      </c>
      <c r="O7227" t="n">
        <v>0</v>
      </c>
      <c r="P7227" t="n">
        <v>0</v>
      </c>
      <c r="Q7227" t="n">
        <v>0</v>
      </c>
      <c r="R7227" s="2" t="inlineStr"/>
    </row>
    <row r="7228" ht="15" customHeight="1">
      <c r="A7228" t="inlineStr">
        <is>
          <t>A 28206-2024</t>
        </is>
      </c>
      <c r="B7228" s="1" t="n">
        <v>45477.34099537037</v>
      </c>
      <c r="C7228" s="1" t="n">
        <v>45883</v>
      </c>
      <c r="D7228" t="inlineStr">
        <is>
          <t>GÄVLEBORGS LÄN</t>
        </is>
      </c>
      <c r="E7228" t="inlineStr">
        <is>
          <t>SANDVIKEN</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27037-2024</t>
        </is>
      </c>
      <c r="B7229" s="1" t="n">
        <v>45471.43636574074</v>
      </c>
      <c r="C7229" s="1" t="n">
        <v>45883</v>
      </c>
      <c r="D7229" t="inlineStr">
        <is>
          <t>GÄVLEBORGS LÄN</t>
        </is>
      </c>
      <c r="E7229" t="inlineStr">
        <is>
          <t>BOLLNÄS</t>
        </is>
      </c>
      <c r="F7229" t="inlineStr">
        <is>
          <t>Sveaskog</t>
        </is>
      </c>
      <c r="G7229" t="n">
        <v>6.3</v>
      </c>
      <c r="H7229" t="n">
        <v>0</v>
      </c>
      <c r="I7229" t="n">
        <v>0</v>
      </c>
      <c r="J7229" t="n">
        <v>0</v>
      </c>
      <c r="K7229" t="n">
        <v>0</v>
      </c>
      <c r="L7229" t="n">
        <v>0</v>
      </c>
      <c r="M7229" t="n">
        <v>0</v>
      </c>
      <c r="N7229" t="n">
        <v>0</v>
      </c>
      <c r="O7229" t="n">
        <v>0</v>
      </c>
      <c r="P7229" t="n">
        <v>0</v>
      </c>
      <c r="Q7229" t="n">
        <v>0</v>
      </c>
      <c r="R7229" s="2" t="inlineStr"/>
    </row>
    <row r="7230" ht="15" customHeight="1">
      <c r="A7230" t="inlineStr">
        <is>
          <t>A 68079-2021</t>
        </is>
      </c>
      <c r="B7230" s="1" t="n">
        <v>44526.31943287037</v>
      </c>
      <c r="C7230" s="1" t="n">
        <v>45883</v>
      </c>
      <c r="D7230" t="inlineStr">
        <is>
          <t>GÄVLEBORGS LÄN</t>
        </is>
      </c>
      <c r="E7230" t="inlineStr">
        <is>
          <t>HOFORS</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68112-2021</t>
        </is>
      </c>
      <c r="B7231" s="1" t="n">
        <v>44526.37672453704</v>
      </c>
      <c r="C7231" s="1" t="n">
        <v>45883</v>
      </c>
      <c r="D7231" t="inlineStr">
        <is>
          <t>GÄVLEBORGS LÄN</t>
        </is>
      </c>
      <c r="E7231" t="inlineStr">
        <is>
          <t>BOLLNÄS</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44633-2024</t>
        </is>
      </c>
      <c r="B7232" s="1" t="n">
        <v>45574</v>
      </c>
      <c r="C7232" s="1" t="n">
        <v>45883</v>
      </c>
      <c r="D7232" t="inlineStr">
        <is>
          <t>GÄVLEBORGS LÄN</t>
        </is>
      </c>
      <c r="E7232" t="inlineStr">
        <is>
          <t>LJUSDAL</t>
        </is>
      </c>
      <c r="F7232" t="inlineStr">
        <is>
          <t>SCA</t>
        </is>
      </c>
      <c r="G7232" t="n">
        <v>5.2</v>
      </c>
      <c r="H7232" t="n">
        <v>0</v>
      </c>
      <c r="I7232" t="n">
        <v>0</v>
      </c>
      <c r="J7232" t="n">
        <v>0</v>
      </c>
      <c r="K7232" t="n">
        <v>0</v>
      </c>
      <c r="L7232" t="n">
        <v>0</v>
      </c>
      <c r="M7232" t="n">
        <v>0</v>
      </c>
      <c r="N7232" t="n">
        <v>0</v>
      </c>
      <c r="O7232" t="n">
        <v>0</v>
      </c>
      <c r="P7232" t="n">
        <v>0</v>
      </c>
      <c r="Q7232" t="n">
        <v>0</v>
      </c>
      <c r="R7232" s="2" t="inlineStr"/>
    </row>
    <row r="7233" ht="15" customHeight="1">
      <c r="A7233" t="inlineStr">
        <is>
          <t>A 31515-2025</t>
        </is>
      </c>
      <c r="B7233" s="1" t="n">
        <v>45833.60422453703</v>
      </c>
      <c r="C7233" s="1" t="n">
        <v>45883</v>
      </c>
      <c r="D7233" t="inlineStr">
        <is>
          <t>GÄVLEBORGS LÄN</t>
        </is>
      </c>
      <c r="E7233" t="inlineStr">
        <is>
          <t>LJUSDAL</t>
        </is>
      </c>
      <c r="G7233" t="n">
        <v>4.6</v>
      </c>
      <c r="H7233" t="n">
        <v>0</v>
      </c>
      <c r="I7233" t="n">
        <v>0</v>
      </c>
      <c r="J7233" t="n">
        <v>0</v>
      </c>
      <c r="K7233" t="n">
        <v>0</v>
      </c>
      <c r="L7233" t="n">
        <v>0</v>
      </c>
      <c r="M7233" t="n">
        <v>0</v>
      </c>
      <c r="N7233" t="n">
        <v>0</v>
      </c>
      <c r="O7233" t="n">
        <v>0</v>
      </c>
      <c r="P7233" t="n">
        <v>0</v>
      </c>
      <c r="Q7233" t="n">
        <v>0</v>
      </c>
      <c r="R7233" s="2" t="inlineStr"/>
    </row>
    <row r="7234" ht="15" customHeight="1">
      <c r="A7234" t="inlineStr">
        <is>
          <t>A 31517-2025</t>
        </is>
      </c>
      <c r="B7234" s="1" t="n">
        <v>45833.60619212963</v>
      </c>
      <c r="C7234" s="1" t="n">
        <v>45883</v>
      </c>
      <c r="D7234" t="inlineStr">
        <is>
          <t>GÄVLEBORGS LÄN</t>
        </is>
      </c>
      <c r="E7234" t="inlineStr">
        <is>
          <t>GÄVLE</t>
        </is>
      </c>
      <c r="F7234" t="inlineStr">
        <is>
          <t>Bergvik skog väst AB</t>
        </is>
      </c>
      <c r="G7234" t="n">
        <v>4.9</v>
      </c>
      <c r="H7234" t="n">
        <v>0</v>
      </c>
      <c r="I7234" t="n">
        <v>0</v>
      </c>
      <c r="J7234" t="n">
        <v>0</v>
      </c>
      <c r="K7234" t="n">
        <v>0</v>
      </c>
      <c r="L7234" t="n">
        <v>0</v>
      </c>
      <c r="M7234" t="n">
        <v>0</v>
      </c>
      <c r="N7234" t="n">
        <v>0</v>
      </c>
      <c r="O7234" t="n">
        <v>0</v>
      </c>
      <c r="P7234" t="n">
        <v>0</v>
      </c>
      <c r="Q7234" t="n">
        <v>0</v>
      </c>
      <c r="R7234" s="2" t="inlineStr"/>
    </row>
    <row r="7235" ht="15" customHeight="1">
      <c r="A7235" t="inlineStr">
        <is>
          <t>A 44687-2024</t>
        </is>
      </c>
      <c r="B7235" s="1" t="n">
        <v>45574.55350694444</v>
      </c>
      <c r="C7235" s="1" t="n">
        <v>45883</v>
      </c>
      <c r="D7235" t="inlineStr">
        <is>
          <t>GÄVLEBORGS LÄN</t>
        </is>
      </c>
      <c r="E7235" t="inlineStr">
        <is>
          <t>HUDIKSVALL</t>
        </is>
      </c>
      <c r="G7235" t="n">
        <v>17.3</v>
      </c>
      <c r="H7235" t="n">
        <v>0</v>
      </c>
      <c r="I7235" t="n">
        <v>0</v>
      </c>
      <c r="J7235" t="n">
        <v>0</v>
      </c>
      <c r="K7235" t="n">
        <v>0</v>
      </c>
      <c r="L7235" t="n">
        <v>0</v>
      </c>
      <c r="M7235" t="n">
        <v>0</v>
      </c>
      <c r="N7235" t="n">
        <v>0</v>
      </c>
      <c r="O7235" t="n">
        <v>0</v>
      </c>
      <c r="P7235" t="n">
        <v>0</v>
      </c>
      <c r="Q7235" t="n">
        <v>0</v>
      </c>
      <c r="R7235" s="2" t="inlineStr"/>
    </row>
    <row r="7236" ht="15" customHeight="1">
      <c r="A7236" t="inlineStr">
        <is>
          <t>A 44688-2024</t>
        </is>
      </c>
      <c r="B7236" s="1" t="n">
        <v>45574.55434027778</v>
      </c>
      <c r="C7236" s="1" t="n">
        <v>45883</v>
      </c>
      <c r="D7236" t="inlineStr">
        <is>
          <t>GÄVLEBORGS LÄN</t>
        </is>
      </c>
      <c r="E7236" t="inlineStr">
        <is>
          <t>HUDIKSVALL</t>
        </is>
      </c>
      <c r="G7236" t="n">
        <v>66.59999999999999</v>
      </c>
      <c r="H7236" t="n">
        <v>0</v>
      </c>
      <c r="I7236" t="n">
        <v>0</v>
      </c>
      <c r="J7236" t="n">
        <v>0</v>
      </c>
      <c r="K7236" t="n">
        <v>0</v>
      </c>
      <c r="L7236" t="n">
        <v>0</v>
      </c>
      <c r="M7236" t="n">
        <v>0</v>
      </c>
      <c r="N7236" t="n">
        <v>0</v>
      </c>
      <c r="O7236" t="n">
        <v>0</v>
      </c>
      <c r="P7236" t="n">
        <v>0</v>
      </c>
      <c r="Q7236" t="n">
        <v>0</v>
      </c>
      <c r="R7236" s="2" t="inlineStr"/>
    </row>
    <row r="7237" ht="15" customHeight="1">
      <c r="A7237" t="inlineStr">
        <is>
          <t>A 4069-2024</t>
        </is>
      </c>
      <c r="B7237" s="1" t="n">
        <v>45323.56510416666</v>
      </c>
      <c r="C7237" s="1" t="n">
        <v>45883</v>
      </c>
      <c r="D7237" t="inlineStr">
        <is>
          <t>GÄVLEBORGS LÄN</t>
        </is>
      </c>
      <c r="E7237" t="inlineStr">
        <is>
          <t>OCKELBO</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33634-2024</t>
        </is>
      </c>
      <c r="B7238" s="1" t="n">
        <v>45520.43453703704</v>
      </c>
      <c r="C7238" s="1" t="n">
        <v>45883</v>
      </c>
      <c r="D7238" t="inlineStr">
        <is>
          <t>GÄVLEBORGS LÄN</t>
        </is>
      </c>
      <c r="E7238" t="inlineStr">
        <is>
          <t>OVANÅKER</t>
        </is>
      </c>
      <c r="F7238" t="inlineStr">
        <is>
          <t>Bergvik skog öst AB</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33635-2024</t>
        </is>
      </c>
      <c r="B7239" s="1" t="n">
        <v>45520.4345949074</v>
      </c>
      <c r="C7239" s="1" t="n">
        <v>45883</v>
      </c>
      <c r="D7239" t="inlineStr">
        <is>
          <t>GÄVLEBORGS LÄN</t>
        </is>
      </c>
      <c r="E7239" t="inlineStr">
        <is>
          <t>GÄVLE</t>
        </is>
      </c>
      <c r="G7239" t="n">
        <v>3.9</v>
      </c>
      <c r="H7239" t="n">
        <v>0</v>
      </c>
      <c r="I7239" t="n">
        <v>0</v>
      </c>
      <c r="J7239" t="n">
        <v>0</v>
      </c>
      <c r="K7239" t="n">
        <v>0</v>
      </c>
      <c r="L7239" t="n">
        <v>0</v>
      </c>
      <c r="M7239" t="n">
        <v>0</v>
      </c>
      <c r="N7239" t="n">
        <v>0</v>
      </c>
      <c r="O7239" t="n">
        <v>0</v>
      </c>
      <c r="P7239" t="n">
        <v>0</v>
      </c>
      <c r="Q7239" t="n">
        <v>0</v>
      </c>
      <c r="R7239" s="2" t="inlineStr"/>
    </row>
    <row r="7240" ht="15" customHeight="1">
      <c r="A7240" t="inlineStr">
        <is>
          <t>A 31885-2025</t>
        </is>
      </c>
      <c r="B7240" s="1" t="n">
        <v>45834</v>
      </c>
      <c r="C7240" s="1" t="n">
        <v>45883</v>
      </c>
      <c r="D7240" t="inlineStr">
        <is>
          <t>GÄVLEBORGS LÄN</t>
        </is>
      </c>
      <c r="E7240" t="inlineStr">
        <is>
          <t>OVANÅKER</t>
        </is>
      </c>
      <c r="G7240" t="n">
        <v>3.5</v>
      </c>
      <c r="H7240" t="n">
        <v>0</v>
      </c>
      <c r="I7240" t="n">
        <v>0</v>
      </c>
      <c r="J7240" t="n">
        <v>0</v>
      </c>
      <c r="K7240" t="n">
        <v>0</v>
      </c>
      <c r="L7240" t="n">
        <v>0</v>
      </c>
      <c r="M7240" t="n">
        <v>0</v>
      </c>
      <c r="N7240" t="n">
        <v>0</v>
      </c>
      <c r="O7240" t="n">
        <v>0</v>
      </c>
      <c r="P7240" t="n">
        <v>0</v>
      </c>
      <c r="Q7240" t="n">
        <v>0</v>
      </c>
      <c r="R7240" s="2" t="inlineStr"/>
    </row>
    <row r="7241" ht="15" customHeight="1">
      <c r="A7241" t="inlineStr">
        <is>
          <t>A 31891-2025</t>
        </is>
      </c>
      <c r="B7241" s="1" t="n">
        <v>45834.66365740741</v>
      </c>
      <c r="C7241" s="1" t="n">
        <v>45883</v>
      </c>
      <c r="D7241" t="inlineStr">
        <is>
          <t>GÄVLEBORGS LÄN</t>
        </is>
      </c>
      <c r="E7241" t="inlineStr">
        <is>
          <t>OVANÅKER</t>
        </is>
      </c>
      <c r="G7241" t="n">
        <v>2.9</v>
      </c>
      <c r="H7241" t="n">
        <v>0</v>
      </c>
      <c r="I7241" t="n">
        <v>0</v>
      </c>
      <c r="J7241" t="n">
        <v>0</v>
      </c>
      <c r="K7241" t="n">
        <v>0</v>
      </c>
      <c r="L7241" t="n">
        <v>0</v>
      </c>
      <c r="M7241" t="n">
        <v>0</v>
      </c>
      <c r="N7241" t="n">
        <v>0</v>
      </c>
      <c r="O7241" t="n">
        <v>0</v>
      </c>
      <c r="P7241" t="n">
        <v>0</v>
      </c>
      <c r="Q7241" t="n">
        <v>0</v>
      </c>
      <c r="R7241" s="2" t="inlineStr"/>
    </row>
    <row r="7242" ht="15" customHeight="1">
      <c r="A7242" t="inlineStr">
        <is>
          <t>A 33637-2024</t>
        </is>
      </c>
      <c r="B7242" s="1" t="n">
        <v>45520.44162037037</v>
      </c>
      <c r="C7242" s="1" t="n">
        <v>45883</v>
      </c>
      <c r="D7242" t="inlineStr">
        <is>
          <t>GÄVLEBORGS LÄN</t>
        </is>
      </c>
      <c r="E7242" t="inlineStr">
        <is>
          <t>GÄVLE</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31598-2025</t>
        </is>
      </c>
      <c r="B7243" s="1" t="n">
        <v>45833.7103125</v>
      </c>
      <c r="C7243" s="1" t="n">
        <v>45883</v>
      </c>
      <c r="D7243" t="inlineStr">
        <is>
          <t>GÄVLEBORGS LÄN</t>
        </is>
      </c>
      <c r="E7243" t="inlineStr">
        <is>
          <t>GÄVLE</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31719-2025</t>
        </is>
      </c>
      <c r="B7244" s="1" t="n">
        <v>45834.46130787037</v>
      </c>
      <c r="C7244" s="1" t="n">
        <v>45883</v>
      </c>
      <c r="D7244" t="inlineStr">
        <is>
          <t>GÄVLEBORGS LÄN</t>
        </is>
      </c>
      <c r="E7244" t="inlineStr">
        <is>
          <t>BOLLNÄS</t>
        </is>
      </c>
      <c r="G7244" t="n">
        <v>2.7</v>
      </c>
      <c r="H7244" t="n">
        <v>0</v>
      </c>
      <c r="I7244" t="n">
        <v>0</v>
      </c>
      <c r="J7244" t="n">
        <v>0</v>
      </c>
      <c r="K7244" t="n">
        <v>0</v>
      </c>
      <c r="L7244" t="n">
        <v>0</v>
      </c>
      <c r="M7244" t="n">
        <v>0</v>
      </c>
      <c r="N7244" t="n">
        <v>0</v>
      </c>
      <c r="O7244" t="n">
        <v>0</v>
      </c>
      <c r="P7244" t="n">
        <v>0</v>
      </c>
      <c r="Q7244" t="n">
        <v>0</v>
      </c>
      <c r="R7244" s="2" t="inlineStr"/>
    </row>
    <row r="7245" ht="15" customHeight="1">
      <c r="A7245" t="inlineStr">
        <is>
          <t>A 55811-2023</t>
        </is>
      </c>
      <c r="B7245" s="1" t="n">
        <v>45239</v>
      </c>
      <c r="C7245" s="1" t="n">
        <v>45883</v>
      </c>
      <c r="D7245" t="inlineStr">
        <is>
          <t>GÄVLEBORGS LÄN</t>
        </is>
      </c>
      <c r="E7245" t="inlineStr">
        <is>
          <t>OVANÅKER</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37458-2024</t>
        </is>
      </c>
      <c r="B7246" s="1" t="n">
        <v>45540.71457175926</v>
      </c>
      <c r="C7246" s="1" t="n">
        <v>45883</v>
      </c>
      <c r="D7246" t="inlineStr">
        <is>
          <t>GÄVLEBORGS LÄN</t>
        </is>
      </c>
      <c r="E7246" t="inlineStr">
        <is>
          <t>SANDVIKEN</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41775-2020</t>
        </is>
      </c>
      <c r="B7247" s="1" t="n">
        <v>44074</v>
      </c>
      <c r="C7247" s="1" t="n">
        <v>45883</v>
      </c>
      <c r="D7247" t="inlineStr">
        <is>
          <t>GÄVLEBORGS LÄN</t>
        </is>
      </c>
      <c r="E7247" t="inlineStr">
        <is>
          <t>OCKELBO</t>
        </is>
      </c>
      <c r="G7247" t="n">
        <v>5.2</v>
      </c>
      <c r="H7247" t="n">
        <v>0</v>
      </c>
      <c r="I7247" t="n">
        <v>0</v>
      </c>
      <c r="J7247" t="n">
        <v>0</v>
      </c>
      <c r="K7247" t="n">
        <v>0</v>
      </c>
      <c r="L7247" t="n">
        <v>0</v>
      </c>
      <c r="M7247" t="n">
        <v>0</v>
      </c>
      <c r="N7247" t="n">
        <v>0</v>
      </c>
      <c r="O7247" t="n">
        <v>0</v>
      </c>
      <c r="P7247" t="n">
        <v>0</v>
      </c>
      <c r="Q7247" t="n">
        <v>0</v>
      </c>
      <c r="R7247" s="2" t="inlineStr"/>
    </row>
    <row r="7248" ht="15" customHeight="1">
      <c r="A7248" t="inlineStr">
        <is>
          <t>A 34941-2024</t>
        </is>
      </c>
      <c r="B7248" s="1" t="n">
        <v>45527.46644675926</v>
      </c>
      <c r="C7248" s="1" t="n">
        <v>45883</v>
      </c>
      <c r="D7248" t="inlineStr">
        <is>
          <t>GÄVLEBORGS LÄN</t>
        </is>
      </c>
      <c r="E7248" t="inlineStr">
        <is>
          <t>BOLLNÄS</t>
        </is>
      </c>
      <c r="F7248" t="inlineStr">
        <is>
          <t>Bergvik skog väst AB</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31735-2024</t>
        </is>
      </c>
      <c r="B7249" s="1" t="n">
        <v>45509.37269675926</v>
      </c>
      <c r="C7249" s="1" t="n">
        <v>45883</v>
      </c>
      <c r="D7249" t="inlineStr">
        <is>
          <t>GÄVLEBORGS LÄN</t>
        </is>
      </c>
      <c r="E7249" t="inlineStr">
        <is>
          <t>GÄVLE</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31374-2025</t>
        </is>
      </c>
      <c r="B7250" s="1" t="n">
        <v>45833.44599537037</v>
      </c>
      <c r="C7250" s="1" t="n">
        <v>45883</v>
      </c>
      <c r="D7250" t="inlineStr">
        <is>
          <t>GÄVLEBORGS LÄN</t>
        </is>
      </c>
      <c r="E7250" t="inlineStr">
        <is>
          <t>BOLLNÄS</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31916-2024</t>
        </is>
      </c>
      <c r="B7251" s="1" t="n">
        <v>45510.39054398148</v>
      </c>
      <c r="C7251" s="1" t="n">
        <v>45883</v>
      </c>
      <c r="D7251" t="inlineStr">
        <is>
          <t>GÄVLEBORGS LÄN</t>
        </is>
      </c>
      <c r="E7251" t="inlineStr">
        <is>
          <t>SÖDERHAMN</t>
        </is>
      </c>
      <c r="F7251" t="inlineStr">
        <is>
          <t>Bergvik skog väst AB</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37050-2025</t>
        </is>
      </c>
      <c r="B7252" s="1" t="n">
        <v>45875.36291666667</v>
      </c>
      <c r="C7252" s="1" t="n">
        <v>45883</v>
      </c>
      <c r="D7252" t="inlineStr">
        <is>
          <t>GÄVLEBORGS LÄN</t>
        </is>
      </c>
      <c r="E7252" t="inlineStr">
        <is>
          <t>SÖDERHAMN</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48291-2024</t>
        </is>
      </c>
      <c r="B7253" s="1" t="n">
        <v>45590.45619212963</v>
      </c>
      <c r="C7253" s="1" t="n">
        <v>45883</v>
      </c>
      <c r="D7253" t="inlineStr">
        <is>
          <t>GÄVLEBORGS LÄN</t>
        </is>
      </c>
      <c r="E7253" t="inlineStr">
        <is>
          <t>GÄVLE</t>
        </is>
      </c>
      <c r="F7253" t="inlineStr">
        <is>
          <t>Bergvik skog väst AB</t>
        </is>
      </c>
      <c r="G7253" t="n">
        <v>10.3</v>
      </c>
      <c r="H7253" t="n">
        <v>0</v>
      </c>
      <c r="I7253" t="n">
        <v>0</v>
      </c>
      <c r="J7253" t="n">
        <v>0</v>
      </c>
      <c r="K7253" t="n">
        <v>0</v>
      </c>
      <c r="L7253" t="n">
        <v>0</v>
      </c>
      <c r="M7253" t="n">
        <v>0</v>
      </c>
      <c r="N7253" t="n">
        <v>0</v>
      </c>
      <c r="O7253" t="n">
        <v>0</v>
      </c>
      <c r="P7253" t="n">
        <v>0</v>
      </c>
      <c r="Q7253" t="n">
        <v>0</v>
      </c>
      <c r="R7253" s="2" t="inlineStr"/>
    </row>
    <row r="7254" ht="15" customHeight="1">
      <c r="A7254" t="inlineStr">
        <is>
          <t>A 31674-2025</t>
        </is>
      </c>
      <c r="B7254" s="1" t="n">
        <v>45834.37255787037</v>
      </c>
      <c r="C7254" s="1" t="n">
        <v>45883</v>
      </c>
      <c r="D7254" t="inlineStr">
        <is>
          <t>GÄVLEBORGS LÄN</t>
        </is>
      </c>
      <c r="E7254" t="inlineStr">
        <is>
          <t>SANDVIKEN</t>
        </is>
      </c>
      <c r="G7254" t="n">
        <v>4</v>
      </c>
      <c r="H7254" t="n">
        <v>0</v>
      </c>
      <c r="I7254" t="n">
        <v>0</v>
      </c>
      <c r="J7254" t="n">
        <v>0</v>
      </c>
      <c r="K7254" t="n">
        <v>0</v>
      </c>
      <c r="L7254" t="n">
        <v>0</v>
      </c>
      <c r="M7254" t="n">
        <v>0</v>
      </c>
      <c r="N7254" t="n">
        <v>0</v>
      </c>
      <c r="O7254" t="n">
        <v>0</v>
      </c>
      <c r="P7254" t="n">
        <v>0</v>
      </c>
      <c r="Q7254" t="n">
        <v>0</v>
      </c>
      <c r="R7254" s="2" t="inlineStr"/>
    </row>
    <row r="7255" ht="15" customHeight="1">
      <c r="A7255" t="inlineStr">
        <is>
          <t>A 24834-2024</t>
        </is>
      </c>
      <c r="B7255" s="1" t="n">
        <v>45461.39347222223</v>
      </c>
      <c r="C7255" s="1" t="n">
        <v>45883</v>
      </c>
      <c r="D7255" t="inlineStr">
        <is>
          <t>GÄVLEBORGS LÄN</t>
        </is>
      </c>
      <c r="E7255" t="inlineStr">
        <is>
          <t>HUDIKSVALL</t>
        </is>
      </c>
      <c r="F7255" t="inlineStr">
        <is>
          <t>Holmen skog AB</t>
        </is>
      </c>
      <c r="G7255" t="n">
        <v>3.4</v>
      </c>
      <c r="H7255" t="n">
        <v>0</v>
      </c>
      <c r="I7255" t="n">
        <v>0</v>
      </c>
      <c r="J7255" t="n">
        <v>0</v>
      </c>
      <c r="K7255" t="n">
        <v>0</v>
      </c>
      <c r="L7255" t="n">
        <v>0</v>
      </c>
      <c r="M7255" t="n">
        <v>0</v>
      </c>
      <c r="N7255" t="n">
        <v>0</v>
      </c>
      <c r="O7255" t="n">
        <v>0</v>
      </c>
      <c r="P7255" t="n">
        <v>0</v>
      </c>
      <c r="Q7255" t="n">
        <v>0</v>
      </c>
      <c r="R7255" s="2" t="inlineStr"/>
    </row>
    <row r="7256" ht="15" customHeight="1">
      <c r="A7256" t="inlineStr">
        <is>
          <t>A 31711-2025</t>
        </is>
      </c>
      <c r="B7256" s="1" t="n">
        <v>45834.44530092592</v>
      </c>
      <c r="C7256" s="1" t="n">
        <v>45883</v>
      </c>
      <c r="D7256" t="inlineStr">
        <is>
          <t>GÄVLEBORGS LÄN</t>
        </is>
      </c>
      <c r="E7256" t="inlineStr">
        <is>
          <t>BOLLNÄS</t>
        </is>
      </c>
      <c r="G7256" t="n">
        <v>5.2</v>
      </c>
      <c r="H7256" t="n">
        <v>0</v>
      </c>
      <c r="I7256" t="n">
        <v>0</v>
      </c>
      <c r="J7256" t="n">
        <v>0</v>
      </c>
      <c r="K7256" t="n">
        <v>0</v>
      </c>
      <c r="L7256" t="n">
        <v>0</v>
      </c>
      <c r="M7256" t="n">
        <v>0</v>
      </c>
      <c r="N7256" t="n">
        <v>0</v>
      </c>
      <c r="O7256" t="n">
        <v>0</v>
      </c>
      <c r="P7256" t="n">
        <v>0</v>
      </c>
      <c r="Q7256" t="n">
        <v>0</v>
      </c>
      <c r="R7256" s="2" t="inlineStr"/>
    </row>
    <row r="7257" ht="15" customHeight="1">
      <c r="A7257" t="inlineStr">
        <is>
          <t>A 40929-2020</t>
        </is>
      </c>
      <c r="B7257" s="1" t="n">
        <v>44070</v>
      </c>
      <c r="C7257" s="1" t="n">
        <v>45883</v>
      </c>
      <c r="D7257" t="inlineStr">
        <is>
          <t>GÄVLEBORGS LÄN</t>
        </is>
      </c>
      <c r="E7257" t="inlineStr">
        <is>
          <t>BOLLNÄS</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43310-2024</t>
        </is>
      </c>
      <c r="B7258" s="1" t="n">
        <v>45568.44828703703</v>
      </c>
      <c r="C7258" s="1" t="n">
        <v>45883</v>
      </c>
      <c r="D7258" t="inlineStr">
        <is>
          <t>GÄVLEBORGS LÄN</t>
        </is>
      </c>
      <c r="E7258" t="inlineStr">
        <is>
          <t>BOLLNÄS</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31810-2025</t>
        </is>
      </c>
      <c r="B7259" s="1" t="n">
        <v>45834.55946759259</v>
      </c>
      <c r="C7259" s="1" t="n">
        <v>45883</v>
      </c>
      <c r="D7259" t="inlineStr">
        <is>
          <t>GÄVLEBORGS LÄN</t>
        </is>
      </c>
      <c r="E7259" t="inlineStr">
        <is>
          <t>LJUSDAL</t>
        </is>
      </c>
      <c r="G7259" t="n">
        <v>17.2</v>
      </c>
      <c r="H7259" t="n">
        <v>0</v>
      </c>
      <c r="I7259" t="n">
        <v>0</v>
      </c>
      <c r="J7259" t="n">
        <v>0</v>
      </c>
      <c r="K7259" t="n">
        <v>0</v>
      </c>
      <c r="L7259" t="n">
        <v>0</v>
      </c>
      <c r="M7259" t="n">
        <v>0</v>
      </c>
      <c r="N7259" t="n">
        <v>0</v>
      </c>
      <c r="O7259" t="n">
        <v>0</v>
      </c>
      <c r="P7259" t="n">
        <v>0</v>
      </c>
      <c r="Q7259" t="n">
        <v>0</v>
      </c>
      <c r="R7259" s="2" t="inlineStr"/>
    </row>
    <row r="7260" ht="15" customHeight="1">
      <c r="A7260" t="inlineStr">
        <is>
          <t>A 24910-2024</t>
        </is>
      </c>
      <c r="B7260" s="1" t="n">
        <v>45461.59956018518</v>
      </c>
      <c r="C7260" s="1" t="n">
        <v>45883</v>
      </c>
      <c r="D7260" t="inlineStr">
        <is>
          <t>GÄVLEBORGS LÄN</t>
        </is>
      </c>
      <c r="E7260" t="inlineStr">
        <is>
          <t>SÖDERHAMN</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24911-2024</t>
        </is>
      </c>
      <c r="B7261" s="1" t="n">
        <v>45461.60027777778</v>
      </c>
      <c r="C7261" s="1" t="n">
        <v>45883</v>
      </c>
      <c r="D7261" t="inlineStr">
        <is>
          <t>GÄVLEBORGS LÄN</t>
        </is>
      </c>
      <c r="E7261" t="inlineStr">
        <is>
          <t>LJUSDAL</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55446-2021</t>
        </is>
      </c>
      <c r="B7262" s="1" t="n">
        <v>44475.57178240741</v>
      </c>
      <c r="C7262" s="1" t="n">
        <v>45883</v>
      </c>
      <c r="D7262" t="inlineStr">
        <is>
          <t>GÄVLEBORGS LÄN</t>
        </is>
      </c>
      <c r="E7262" t="inlineStr">
        <is>
          <t>LJUSDAL</t>
        </is>
      </c>
      <c r="F7262" t="inlineStr">
        <is>
          <t>Holmen skog AB</t>
        </is>
      </c>
      <c r="G7262" t="n">
        <v>4.9</v>
      </c>
      <c r="H7262" t="n">
        <v>0</v>
      </c>
      <c r="I7262" t="n">
        <v>0</v>
      </c>
      <c r="J7262" t="n">
        <v>0</v>
      </c>
      <c r="K7262" t="n">
        <v>0</v>
      </c>
      <c r="L7262" t="n">
        <v>0</v>
      </c>
      <c r="M7262" t="n">
        <v>0</v>
      </c>
      <c r="N7262" t="n">
        <v>0</v>
      </c>
      <c r="O7262" t="n">
        <v>0</v>
      </c>
      <c r="P7262" t="n">
        <v>0</v>
      </c>
      <c r="Q7262" t="n">
        <v>0</v>
      </c>
      <c r="R7262" s="2" t="inlineStr"/>
    </row>
    <row r="7263" ht="15" customHeight="1">
      <c r="A7263" t="inlineStr">
        <is>
          <t>A 32089-2025</t>
        </is>
      </c>
      <c r="B7263" s="1" t="n">
        <v>45835.45751157407</v>
      </c>
      <c r="C7263" s="1" t="n">
        <v>45883</v>
      </c>
      <c r="D7263" t="inlineStr">
        <is>
          <t>GÄVLEBORGS LÄN</t>
        </is>
      </c>
      <c r="E7263" t="inlineStr">
        <is>
          <t>OCKELBO</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32420-2021</t>
        </is>
      </c>
      <c r="B7264" s="1" t="n">
        <v>44371.69201388889</v>
      </c>
      <c r="C7264" s="1" t="n">
        <v>45883</v>
      </c>
      <c r="D7264" t="inlineStr">
        <is>
          <t>GÄVLEBORGS LÄN</t>
        </is>
      </c>
      <c r="E7264" t="inlineStr">
        <is>
          <t>OVANÅKER</t>
        </is>
      </c>
      <c r="F7264" t="inlineStr">
        <is>
          <t>Bergvik skog väst AB</t>
        </is>
      </c>
      <c r="G7264" t="n">
        <v>3.2</v>
      </c>
      <c r="H7264" t="n">
        <v>0</v>
      </c>
      <c r="I7264" t="n">
        <v>0</v>
      </c>
      <c r="J7264" t="n">
        <v>0</v>
      </c>
      <c r="K7264" t="n">
        <v>0</v>
      </c>
      <c r="L7264" t="n">
        <v>0</v>
      </c>
      <c r="M7264" t="n">
        <v>0</v>
      </c>
      <c r="N7264" t="n">
        <v>0</v>
      </c>
      <c r="O7264" t="n">
        <v>0</v>
      </c>
      <c r="P7264" t="n">
        <v>0</v>
      </c>
      <c r="Q7264" t="n">
        <v>0</v>
      </c>
      <c r="R7264" s="2" t="inlineStr"/>
    </row>
    <row r="7265" ht="15" customHeight="1">
      <c r="A7265" t="inlineStr">
        <is>
          <t>A 32177-2025</t>
        </is>
      </c>
      <c r="B7265" s="1" t="n">
        <v>45835.55826388889</v>
      </c>
      <c r="C7265" s="1" t="n">
        <v>45883</v>
      </c>
      <c r="D7265" t="inlineStr">
        <is>
          <t>GÄVLEBORGS LÄN</t>
        </is>
      </c>
      <c r="E7265" t="inlineStr">
        <is>
          <t>OVANÅKER</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32189-2025</t>
        </is>
      </c>
      <c r="B7266" s="1" t="n">
        <v>45835.57047453704</v>
      </c>
      <c r="C7266" s="1" t="n">
        <v>45883</v>
      </c>
      <c r="D7266" t="inlineStr">
        <is>
          <t>GÄVLEBORGS LÄN</t>
        </is>
      </c>
      <c r="E7266" t="inlineStr">
        <is>
          <t>BOLLNÄS</t>
        </is>
      </c>
      <c r="G7266" t="n">
        <v>6.7</v>
      </c>
      <c r="H7266" t="n">
        <v>0</v>
      </c>
      <c r="I7266" t="n">
        <v>0</v>
      </c>
      <c r="J7266" t="n">
        <v>0</v>
      </c>
      <c r="K7266" t="n">
        <v>0</v>
      </c>
      <c r="L7266" t="n">
        <v>0</v>
      </c>
      <c r="M7266" t="n">
        <v>0</v>
      </c>
      <c r="N7266" t="n">
        <v>0</v>
      </c>
      <c r="O7266" t="n">
        <v>0</v>
      </c>
      <c r="P7266" t="n">
        <v>0</v>
      </c>
      <c r="Q7266" t="n">
        <v>0</v>
      </c>
      <c r="R7266" s="2" t="inlineStr"/>
    </row>
    <row r="7267" ht="15" customHeight="1">
      <c r="A7267" t="inlineStr">
        <is>
          <t>A 19700-2023</t>
        </is>
      </c>
      <c r="B7267" s="1" t="n">
        <v>45051.44525462963</v>
      </c>
      <c r="C7267" s="1" t="n">
        <v>45883</v>
      </c>
      <c r="D7267" t="inlineStr">
        <is>
          <t>GÄVLEBORGS LÄN</t>
        </is>
      </c>
      <c r="E7267" t="inlineStr">
        <is>
          <t>SÖDERHAMN</t>
        </is>
      </c>
      <c r="F7267" t="inlineStr">
        <is>
          <t>Bergvik skog väst AB</t>
        </is>
      </c>
      <c r="G7267" t="n">
        <v>4.1</v>
      </c>
      <c r="H7267" t="n">
        <v>0</v>
      </c>
      <c r="I7267" t="n">
        <v>0</v>
      </c>
      <c r="J7267" t="n">
        <v>0</v>
      </c>
      <c r="K7267" t="n">
        <v>0</v>
      </c>
      <c r="L7267" t="n">
        <v>0</v>
      </c>
      <c r="M7267" t="n">
        <v>0</v>
      </c>
      <c r="N7267" t="n">
        <v>0</v>
      </c>
      <c r="O7267" t="n">
        <v>0</v>
      </c>
      <c r="P7267" t="n">
        <v>0</v>
      </c>
      <c r="Q7267" t="n">
        <v>0</v>
      </c>
      <c r="R7267" s="2" t="inlineStr"/>
    </row>
    <row r="7268" ht="15" customHeight="1">
      <c r="A7268" t="inlineStr">
        <is>
          <t>A 37701-2025</t>
        </is>
      </c>
      <c r="B7268" s="1" t="n">
        <v>45880.58092592593</v>
      </c>
      <c r="C7268" s="1" t="n">
        <v>45883</v>
      </c>
      <c r="D7268" t="inlineStr">
        <is>
          <t>GÄVLEBORGS LÄN</t>
        </is>
      </c>
      <c r="E7268" t="inlineStr">
        <is>
          <t>HUDIKSVALL</t>
        </is>
      </c>
      <c r="G7268" t="n">
        <v>0.4</v>
      </c>
      <c r="H7268" t="n">
        <v>0</v>
      </c>
      <c r="I7268" t="n">
        <v>0</v>
      </c>
      <c r="J7268" t="n">
        <v>0</v>
      </c>
      <c r="K7268" t="n">
        <v>0</v>
      </c>
      <c r="L7268" t="n">
        <v>0</v>
      </c>
      <c r="M7268" t="n">
        <v>0</v>
      </c>
      <c r="N7268" t="n">
        <v>0</v>
      </c>
      <c r="O7268" t="n">
        <v>0</v>
      </c>
      <c r="P7268" t="n">
        <v>0</v>
      </c>
      <c r="Q7268" t="n">
        <v>0</v>
      </c>
      <c r="R7268" s="2" t="inlineStr"/>
    </row>
    <row r="7269" ht="15" customHeight="1">
      <c r="A7269" t="inlineStr">
        <is>
          <t>A 60602-2024</t>
        </is>
      </c>
      <c r="B7269" s="1" t="n">
        <v>45644.37484953704</v>
      </c>
      <c r="C7269" s="1" t="n">
        <v>45883</v>
      </c>
      <c r="D7269" t="inlineStr">
        <is>
          <t>GÄVLEBORGS LÄN</t>
        </is>
      </c>
      <c r="E7269" t="inlineStr">
        <is>
          <t>GÄVLE</t>
        </is>
      </c>
      <c r="G7269" t="n">
        <v>4</v>
      </c>
      <c r="H7269" t="n">
        <v>0</v>
      </c>
      <c r="I7269" t="n">
        <v>0</v>
      </c>
      <c r="J7269" t="n">
        <v>0</v>
      </c>
      <c r="K7269" t="n">
        <v>0</v>
      </c>
      <c r="L7269" t="n">
        <v>0</v>
      </c>
      <c r="M7269" t="n">
        <v>0</v>
      </c>
      <c r="N7269" t="n">
        <v>0</v>
      </c>
      <c r="O7269" t="n">
        <v>0</v>
      </c>
      <c r="P7269" t="n">
        <v>0</v>
      </c>
      <c r="Q7269" t="n">
        <v>0</v>
      </c>
      <c r="R7269" s="2" t="inlineStr"/>
    </row>
    <row r="7270" ht="15" customHeight="1">
      <c r="A7270" t="inlineStr">
        <is>
          <t>A 24238-2025</t>
        </is>
      </c>
      <c r="B7270" s="1" t="n">
        <v>45797</v>
      </c>
      <c r="C7270" s="1" t="n">
        <v>45883</v>
      </c>
      <c r="D7270" t="inlineStr">
        <is>
          <t>GÄVLEBORGS LÄN</t>
        </is>
      </c>
      <c r="E7270" t="inlineStr">
        <is>
          <t>HUDIKSVALL</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31920-2025</t>
        </is>
      </c>
      <c r="B7271" s="1" t="n">
        <v>45834.79965277778</v>
      </c>
      <c r="C7271" s="1" t="n">
        <v>45883</v>
      </c>
      <c r="D7271" t="inlineStr">
        <is>
          <t>GÄVLEBORGS LÄN</t>
        </is>
      </c>
      <c r="E7271" t="inlineStr">
        <is>
          <t>GÄVLE</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32121-2025</t>
        </is>
      </c>
      <c r="B7272" s="1" t="n">
        <v>45835.49260416667</v>
      </c>
      <c r="C7272" s="1" t="n">
        <v>45883</v>
      </c>
      <c r="D7272" t="inlineStr">
        <is>
          <t>GÄVLEBORGS LÄN</t>
        </is>
      </c>
      <c r="E7272" t="inlineStr">
        <is>
          <t>LJUSDAL</t>
        </is>
      </c>
      <c r="F7272" t="inlineStr">
        <is>
          <t>Sveaskog</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31919-2025</t>
        </is>
      </c>
      <c r="B7273" s="1" t="n">
        <v>45834.79741898148</v>
      </c>
      <c r="C7273" s="1" t="n">
        <v>45883</v>
      </c>
      <c r="D7273" t="inlineStr">
        <is>
          <t>GÄVLEBORGS LÄN</t>
        </is>
      </c>
      <c r="E7273" t="inlineStr">
        <is>
          <t>GÄVLE</t>
        </is>
      </c>
      <c r="G7273" t="n">
        <v>3.2</v>
      </c>
      <c r="H7273" t="n">
        <v>0</v>
      </c>
      <c r="I7273" t="n">
        <v>0</v>
      </c>
      <c r="J7273" t="n">
        <v>0</v>
      </c>
      <c r="K7273" t="n">
        <v>0</v>
      </c>
      <c r="L7273" t="n">
        <v>0</v>
      </c>
      <c r="M7273" t="n">
        <v>0</v>
      </c>
      <c r="N7273" t="n">
        <v>0</v>
      </c>
      <c r="O7273" t="n">
        <v>0</v>
      </c>
      <c r="P7273" t="n">
        <v>0</v>
      </c>
      <c r="Q7273" t="n">
        <v>0</v>
      </c>
      <c r="R7273" s="2" t="inlineStr"/>
    </row>
    <row r="7274" ht="15" customHeight="1">
      <c r="A7274" t="inlineStr">
        <is>
          <t>A 37392-2025</t>
        </is>
      </c>
      <c r="B7274" s="1" t="n">
        <v>45877.41195601852</v>
      </c>
      <c r="C7274" s="1" t="n">
        <v>45883</v>
      </c>
      <c r="D7274" t="inlineStr">
        <is>
          <t>GÄVLEBORGS LÄN</t>
        </is>
      </c>
      <c r="E7274" t="inlineStr">
        <is>
          <t>OVANÅKER</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32044-2025</t>
        </is>
      </c>
      <c r="B7275" s="1" t="n">
        <v>45835.43945601852</v>
      </c>
      <c r="C7275" s="1" t="n">
        <v>45883</v>
      </c>
      <c r="D7275" t="inlineStr">
        <is>
          <t>GÄVLEBORGS LÄN</t>
        </is>
      </c>
      <c r="E7275" t="inlineStr">
        <is>
          <t>GÄVLE</t>
        </is>
      </c>
      <c r="G7275" t="n">
        <v>3.8</v>
      </c>
      <c r="H7275" t="n">
        <v>0</v>
      </c>
      <c r="I7275" t="n">
        <v>0</v>
      </c>
      <c r="J7275" t="n">
        <v>0</v>
      </c>
      <c r="K7275" t="n">
        <v>0</v>
      </c>
      <c r="L7275" t="n">
        <v>0</v>
      </c>
      <c r="M7275" t="n">
        <v>0</v>
      </c>
      <c r="N7275" t="n">
        <v>0</v>
      </c>
      <c r="O7275" t="n">
        <v>0</v>
      </c>
      <c r="P7275" t="n">
        <v>0</v>
      </c>
      <c r="Q7275" t="n">
        <v>0</v>
      </c>
      <c r="R7275" s="2" t="inlineStr"/>
    </row>
    <row r="7276" ht="15" customHeight="1">
      <c r="A7276" t="inlineStr">
        <is>
          <t>A 32056-2025</t>
        </is>
      </c>
      <c r="B7276" s="1" t="n">
        <v>45835.44370370371</v>
      </c>
      <c r="C7276" s="1" t="n">
        <v>45883</v>
      </c>
      <c r="D7276" t="inlineStr">
        <is>
          <t>GÄVLEBORGS LÄN</t>
        </is>
      </c>
      <c r="E7276" t="inlineStr">
        <is>
          <t>NORDANSTIG</t>
        </is>
      </c>
      <c r="F7276" t="inlineStr">
        <is>
          <t>Holmen skog AB</t>
        </is>
      </c>
      <c r="G7276" t="n">
        <v>3.8</v>
      </c>
      <c r="H7276" t="n">
        <v>0</v>
      </c>
      <c r="I7276" t="n">
        <v>0</v>
      </c>
      <c r="J7276" t="n">
        <v>0</v>
      </c>
      <c r="K7276" t="n">
        <v>0</v>
      </c>
      <c r="L7276" t="n">
        <v>0</v>
      </c>
      <c r="M7276" t="n">
        <v>0</v>
      </c>
      <c r="N7276" t="n">
        <v>0</v>
      </c>
      <c r="O7276" t="n">
        <v>0</v>
      </c>
      <c r="P7276" t="n">
        <v>0</v>
      </c>
      <c r="Q7276" t="n">
        <v>0</v>
      </c>
      <c r="R7276" s="2" t="inlineStr"/>
    </row>
    <row r="7277" ht="15" customHeight="1">
      <c r="A7277" t="inlineStr">
        <is>
          <t>A 35208-2025</t>
        </is>
      </c>
      <c r="B7277" s="1" t="n">
        <v>45853</v>
      </c>
      <c r="C7277" s="1" t="n">
        <v>45883</v>
      </c>
      <c r="D7277" t="inlineStr">
        <is>
          <t>GÄVLEBORGS LÄN</t>
        </is>
      </c>
      <c r="E7277" t="inlineStr">
        <is>
          <t>BOLLNÄS</t>
        </is>
      </c>
      <c r="F7277" t="inlineStr">
        <is>
          <t>Bergvik skog väst AB</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26205-2025</t>
        </is>
      </c>
      <c r="B7278" s="1" t="n">
        <v>45805.51078703703</v>
      </c>
      <c r="C7278" s="1" t="n">
        <v>45883</v>
      </c>
      <c r="D7278" t="inlineStr">
        <is>
          <t>GÄVLEBORGS LÄN</t>
        </is>
      </c>
      <c r="E7278" t="inlineStr">
        <is>
          <t>HUDIKSVALL</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37728-2025</t>
        </is>
      </c>
      <c r="B7279" s="1" t="n">
        <v>45880.62158564815</v>
      </c>
      <c r="C7279" s="1" t="n">
        <v>45883</v>
      </c>
      <c r="D7279" t="inlineStr">
        <is>
          <t>GÄVLEBORGS LÄN</t>
        </is>
      </c>
      <c r="E7279" t="inlineStr">
        <is>
          <t>NORDANSTIG</t>
        </is>
      </c>
      <c r="F7279" t="inlineStr">
        <is>
          <t>Holmen skog AB</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37671-2025</t>
        </is>
      </c>
      <c r="B7280" s="1" t="n">
        <v>45880.52561342593</v>
      </c>
      <c r="C7280" s="1" t="n">
        <v>45883</v>
      </c>
      <c r="D7280" t="inlineStr">
        <is>
          <t>GÄVLEBORGS LÄN</t>
        </is>
      </c>
      <c r="E7280" t="inlineStr">
        <is>
          <t>NORDANSTIG</t>
        </is>
      </c>
      <c r="G7280" t="n">
        <v>3.9</v>
      </c>
      <c r="H7280" t="n">
        <v>0</v>
      </c>
      <c r="I7280" t="n">
        <v>0</v>
      </c>
      <c r="J7280" t="n">
        <v>0</v>
      </c>
      <c r="K7280" t="n">
        <v>0</v>
      </c>
      <c r="L7280" t="n">
        <v>0</v>
      </c>
      <c r="M7280" t="n">
        <v>0</v>
      </c>
      <c r="N7280" t="n">
        <v>0</v>
      </c>
      <c r="O7280" t="n">
        <v>0</v>
      </c>
      <c r="P7280" t="n">
        <v>0</v>
      </c>
      <c r="Q7280" t="n">
        <v>0</v>
      </c>
      <c r="R7280" s="2" t="inlineStr"/>
    </row>
    <row r="7281" ht="15" customHeight="1">
      <c r="A7281" t="inlineStr">
        <is>
          <t>A 31971-2025</t>
        </is>
      </c>
      <c r="B7281" s="1" t="n">
        <v>45835.34876157407</v>
      </c>
      <c r="C7281" s="1" t="n">
        <v>45883</v>
      </c>
      <c r="D7281" t="inlineStr">
        <is>
          <t>GÄVLEBORGS LÄN</t>
        </is>
      </c>
      <c r="E7281" t="inlineStr">
        <is>
          <t>BOLLNÄS</t>
        </is>
      </c>
      <c r="F7281" t="inlineStr">
        <is>
          <t>Bergvik skog väst AB</t>
        </is>
      </c>
      <c r="G7281" t="n">
        <v>3.2</v>
      </c>
      <c r="H7281" t="n">
        <v>0</v>
      </c>
      <c r="I7281" t="n">
        <v>0</v>
      </c>
      <c r="J7281" t="n">
        <v>0</v>
      </c>
      <c r="K7281" t="n">
        <v>0</v>
      </c>
      <c r="L7281" t="n">
        <v>0</v>
      </c>
      <c r="M7281" t="n">
        <v>0</v>
      </c>
      <c r="N7281" t="n">
        <v>0</v>
      </c>
      <c r="O7281" t="n">
        <v>0</v>
      </c>
      <c r="P7281" t="n">
        <v>0</v>
      </c>
      <c r="Q7281" t="n">
        <v>0</v>
      </c>
      <c r="R7281" s="2" t="inlineStr"/>
    </row>
    <row r="7282" ht="15" customHeight="1">
      <c r="A7282" t="inlineStr">
        <is>
          <t>A 37605-2025</t>
        </is>
      </c>
      <c r="B7282" s="1" t="n">
        <v>45880.42741898148</v>
      </c>
      <c r="C7282" s="1" t="n">
        <v>45883</v>
      </c>
      <c r="D7282" t="inlineStr">
        <is>
          <t>GÄVLEBORGS LÄN</t>
        </is>
      </c>
      <c r="E7282" t="inlineStr">
        <is>
          <t>HUDIKSVALL</t>
        </is>
      </c>
      <c r="G7282" t="n">
        <v>2.9</v>
      </c>
      <c r="H7282" t="n">
        <v>0</v>
      </c>
      <c r="I7282" t="n">
        <v>0</v>
      </c>
      <c r="J7282" t="n">
        <v>0</v>
      </c>
      <c r="K7282" t="n">
        <v>0</v>
      </c>
      <c r="L7282" t="n">
        <v>0</v>
      </c>
      <c r="M7282" t="n">
        <v>0</v>
      </c>
      <c r="N7282" t="n">
        <v>0</v>
      </c>
      <c r="O7282" t="n">
        <v>0</v>
      </c>
      <c r="P7282" t="n">
        <v>0</v>
      </c>
      <c r="Q7282" t="n">
        <v>0</v>
      </c>
      <c r="R7282" s="2" t="inlineStr"/>
    </row>
    <row r="7283" ht="15" customHeight="1">
      <c r="A7283" t="inlineStr">
        <is>
          <t>A 32200-2025</t>
        </is>
      </c>
      <c r="B7283" s="1" t="n">
        <v>45835.57697916667</v>
      </c>
      <c r="C7283" s="1" t="n">
        <v>45883</v>
      </c>
      <c r="D7283" t="inlineStr">
        <is>
          <t>GÄVLEBORGS LÄN</t>
        </is>
      </c>
      <c r="E7283" t="inlineStr">
        <is>
          <t>LJUSDAL</t>
        </is>
      </c>
      <c r="F7283" t="inlineStr">
        <is>
          <t>Bergvik skog väst AB</t>
        </is>
      </c>
      <c r="G7283" t="n">
        <v>8.300000000000001</v>
      </c>
      <c r="H7283" t="n">
        <v>0</v>
      </c>
      <c r="I7283" t="n">
        <v>0</v>
      </c>
      <c r="J7283" t="n">
        <v>0</v>
      </c>
      <c r="K7283" t="n">
        <v>0</v>
      </c>
      <c r="L7283" t="n">
        <v>0</v>
      </c>
      <c r="M7283" t="n">
        <v>0</v>
      </c>
      <c r="N7283" t="n">
        <v>0</v>
      </c>
      <c r="O7283" t="n">
        <v>0</v>
      </c>
      <c r="P7283" t="n">
        <v>0</v>
      </c>
      <c r="Q7283" t="n">
        <v>0</v>
      </c>
      <c r="R7283" s="2" t="inlineStr"/>
    </row>
    <row r="7284" ht="15" customHeight="1">
      <c r="A7284" t="inlineStr">
        <is>
          <t>A 32248-2025</t>
        </is>
      </c>
      <c r="B7284" s="1" t="n">
        <v>45835.61905092592</v>
      </c>
      <c r="C7284" s="1" t="n">
        <v>45883</v>
      </c>
      <c r="D7284" t="inlineStr">
        <is>
          <t>GÄVLEBORGS LÄN</t>
        </is>
      </c>
      <c r="E7284" t="inlineStr">
        <is>
          <t>HUDIKSVALL</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37485-2025</t>
        </is>
      </c>
      <c r="B7285" s="1" t="n">
        <v>45877.62313657408</v>
      </c>
      <c r="C7285" s="1" t="n">
        <v>45883</v>
      </c>
      <c r="D7285" t="inlineStr">
        <is>
          <t>GÄVLEBORGS LÄN</t>
        </is>
      </c>
      <c r="E7285" t="inlineStr">
        <is>
          <t>HUDIKSVALL</t>
        </is>
      </c>
      <c r="F7285" t="inlineStr">
        <is>
          <t>Holmen skog AB</t>
        </is>
      </c>
      <c r="G7285" t="n">
        <v>12.9</v>
      </c>
      <c r="H7285" t="n">
        <v>0</v>
      </c>
      <c r="I7285" t="n">
        <v>0</v>
      </c>
      <c r="J7285" t="n">
        <v>0</v>
      </c>
      <c r="K7285" t="n">
        <v>0</v>
      </c>
      <c r="L7285" t="n">
        <v>0</v>
      </c>
      <c r="M7285" t="n">
        <v>0</v>
      </c>
      <c r="N7285" t="n">
        <v>0</v>
      </c>
      <c r="O7285" t="n">
        <v>0</v>
      </c>
      <c r="P7285" t="n">
        <v>0</v>
      </c>
      <c r="Q7285" t="n">
        <v>0</v>
      </c>
      <c r="R7285" s="2" t="inlineStr"/>
    </row>
    <row r="7286" ht="15" customHeight="1">
      <c r="A7286" t="inlineStr">
        <is>
          <t>A 32449-2025</t>
        </is>
      </c>
      <c r="B7286" s="1" t="n">
        <v>45838.38739583334</v>
      </c>
      <c r="C7286" s="1" t="n">
        <v>45883</v>
      </c>
      <c r="D7286" t="inlineStr">
        <is>
          <t>GÄVLEBORGS LÄN</t>
        </is>
      </c>
      <c r="E7286" t="inlineStr">
        <is>
          <t>OCKELBO</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32265-2025</t>
        </is>
      </c>
      <c r="B7287" s="1" t="n">
        <v>45835.65190972222</v>
      </c>
      <c r="C7287" s="1" t="n">
        <v>45883</v>
      </c>
      <c r="D7287" t="inlineStr">
        <is>
          <t>GÄVLEBORGS LÄN</t>
        </is>
      </c>
      <c r="E7287" t="inlineStr">
        <is>
          <t>HUDIKSVALL</t>
        </is>
      </c>
      <c r="F7287" t="inlineStr">
        <is>
          <t>Holmen skog AB</t>
        </is>
      </c>
      <c r="G7287" t="n">
        <v>4.3</v>
      </c>
      <c r="H7287" t="n">
        <v>0</v>
      </c>
      <c r="I7287" t="n">
        <v>0</v>
      </c>
      <c r="J7287" t="n">
        <v>0</v>
      </c>
      <c r="K7287" t="n">
        <v>0</v>
      </c>
      <c r="L7287" t="n">
        <v>0</v>
      </c>
      <c r="M7287" t="n">
        <v>0</v>
      </c>
      <c r="N7287" t="n">
        <v>0</v>
      </c>
      <c r="O7287" t="n">
        <v>0</v>
      </c>
      <c r="P7287" t="n">
        <v>0</v>
      </c>
      <c r="Q7287" t="n">
        <v>0</v>
      </c>
      <c r="R7287" s="2" t="inlineStr"/>
    </row>
    <row r="7288" ht="15" customHeight="1">
      <c r="A7288" t="inlineStr">
        <is>
          <t>A 32611-2025</t>
        </is>
      </c>
      <c r="B7288" s="1" t="n">
        <v>45838.63525462963</v>
      </c>
      <c r="C7288" s="1" t="n">
        <v>45883</v>
      </c>
      <c r="D7288" t="inlineStr">
        <is>
          <t>GÄVLEBORGS LÄN</t>
        </is>
      </c>
      <c r="E7288" t="inlineStr">
        <is>
          <t>OVANÅKER</t>
        </is>
      </c>
      <c r="F7288" t="inlineStr">
        <is>
          <t>Bergvik skog öst AB</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33344-2025</t>
        </is>
      </c>
      <c r="B7289" s="1" t="n">
        <v>45841</v>
      </c>
      <c r="C7289" s="1" t="n">
        <v>45883</v>
      </c>
      <c r="D7289" t="inlineStr">
        <is>
          <t>GÄVLEBORGS LÄN</t>
        </is>
      </c>
      <c r="E7289" t="inlineStr">
        <is>
          <t>LJUSDAL</t>
        </is>
      </c>
      <c r="G7289" t="n">
        <v>9.699999999999999</v>
      </c>
      <c r="H7289" t="n">
        <v>0</v>
      </c>
      <c r="I7289" t="n">
        <v>0</v>
      </c>
      <c r="J7289" t="n">
        <v>0</v>
      </c>
      <c r="K7289" t="n">
        <v>0</v>
      </c>
      <c r="L7289" t="n">
        <v>0</v>
      </c>
      <c r="M7289" t="n">
        <v>0</v>
      </c>
      <c r="N7289" t="n">
        <v>0</v>
      </c>
      <c r="O7289" t="n">
        <v>0</v>
      </c>
      <c r="P7289" t="n">
        <v>0</v>
      </c>
      <c r="Q7289" t="n">
        <v>0</v>
      </c>
      <c r="R7289" s="2" t="inlineStr"/>
    </row>
    <row r="7290" ht="15" customHeight="1">
      <c r="A7290" t="inlineStr">
        <is>
          <t>A 36084-2024</t>
        </is>
      </c>
      <c r="B7290" s="1" t="n">
        <v>45533.67208333333</v>
      </c>
      <c r="C7290" s="1" t="n">
        <v>45883</v>
      </c>
      <c r="D7290" t="inlineStr">
        <is>
          <t>GÄVLEBORGS LÄN</t>
        </is>
      </c>
      <c r="E7290" t="inlineStr">
        <is>
          <t>HUDIKSVALL</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32685-2025</t>
        </is>
      </c>
      <c r="B7291" s="1" t="n">
        <v>45838</v>
      </c>
      <c r="C7291" s="1" t="n">
        <v>45883</v>
      </c>
      <c r="D7291" t="inlineStr">
        <is>
          <t>GÄVLEBORGS LÄN</t>
        </is>
      </c>
      <c r="E7291" t="inlineStr">
        <is>
          <t>HUDIKSVALL</t>
        </is>
      </c>
      <c r="F7291" t="inlineStr">
        <is>
          <t>Holmen skog AB</t>
        </is>
      </c>
      <c r="G7291" t="n">
        <v>3.7</v>
      </c>
      <c r="H7291" t="n">
        <v>0</v>
      </c>
      <c r="I7291" t="n">
        <v>0</v>
      </c>
      <c r="J7291" t="n">
        <v>0</v>
      </c>
      <c r="K7291" t="n">
        <v>0</v>
      </c>
      <c r="L7291" t="n">
        <v>0</v>
      </c>
      <c r="M7291" t="n">
        <v>0</v>
      </c>
      <c r="N7291" t="n">
        <v>0</v>
      </c>
      <c r="O7291" t="n">
        <v>0</v>
      </c>
      <c r="P7291" t="n">
        <v>0</v>
      </c>
      <c r="Q7291" t="n">
        <v>0</v>
      </c>
      <c r="R7291" s="2" t="inlineStr"/>
    </row>
    <row r="7292" ht="15" customHeight="1">
      <c r="A7292" t="inlineStr">
        <is>
          <t>A 18479-2024</t>
        </is>
      </c>
      <c r="B7292" s="1" t="n">
        <v>45425.5177662037</v>
      </c>
      <c r="C7292" s="1" t="n">
        <v>45883</v>
      </c>
      <c r="D7292" t="inlineStr">
        <is>
          <t>GÄVLEBORGS LÄN</t>
        </is>
      </c>
      <c r="E7292" t="inlineStr">
        <is>
          <t>NORDANSTIG</t>
        </is>
      </c>
      <c r="G7292" t="n">
        <v>7.6</v>
      </c>
      <c r="H7292" t="n">
        <v>0</v>
      </c>
      <c r="I7292" t="n">
        <v>0</v>
      </c>
      <c r="J7292" t="n">
        <v>0</v>
      </c>
      <c r="K7292" t="n">
        <v>0</v>
      </c>
      <c r="L7292" t="n">
        <v>0</v>
      </c>
      <c r="M7292" t="n">
        <v>0</v>
      </c>
      <c r="N7292" t="n">
        <v>0</v>
      </c>
      <c r="O7292" t="n">
        <v>0</v>
      </c>
      <c r="P7292" t="n">
        <v>0</v>
      </c>
      <c r="Q7292" t="n">
        <v>0</v>
      </c>
      <c r="R7292" s="2" t="inlineStr"/>
    </row>
    <row r="7293" ht="15" customHeight="1">
      <c r="A7293" t="inlineStr">
        <is>
          <t>A 18492-2024</t>
        </is>
      </c>
      <c r="B7293" s="1" t="n">
        <v>45425</v>
      </c>
      <c r="C7293" s="1" t="n">
        <v>45883</v>
      </c>
      <c r="D7293" t="inlineStr">
        <is>
          <t>GÄVLEBORGS LÄN</t>
        </is>
      </c>
      <c r="E7293" t="inlineStr">
        <is>
          <t>SÖDERHAMN</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37538-2025</t>
        </is>
      </c>
      <c r="B7294" s="1" t="n">
        <v>45879.42443287037</v>
      </c>
      <c r="C7294" s="1" t="n">
        <v>45883</v>
      </c>
      <c r="D7294" t="inlineStr">
        <is>
          <t>GÄVLEBORGS LÄN</t>
        </is>
      </c>
      <c r="E7294" t="inlineStr">
        <is>
          <t>SÖDERHAMN</t>
        </is>
      </c>
      <c r="G7294" t="n">
        <v>3.3</v>
      </c>
      <c r="H7294" t="n">
        <v>0</v>
      </c>
      <c r="I7294" t="n">
        <v>0</v>
      </c>
      <c r="J7294" t="n">
        <v>0</v>
      </c>
      <c r="K7294" t="n">
        <v>0</v>
      </c>
      <c r="L7294" t="n">
        <v>0</v>
      </c>
      <c r="M7294" t="n">
        <v>0</v>
      </c>
      <c r="N7294" t="n">
        <v>0</v>
      </c>
      <c r="O7294" t="n">
        <v>0</v>
      </c>
      <c r="P7294" t="n">
        <v>0</v>
      </c>
      <c r="Q7294" t="n">
        <v>0</v>
      </c>
      <c r="R7294" s="2" t="inlineStr"/>
    </row>
    <row r="7295" ht="15" customHeight="1">
      <c r="A7295" t="inlineStr">
        <is>
          <t>A 37580-2025</t>
        </is>
      </c>
      <c r="B7295" s="1" t="n">
        <v>45880.38586805556</v>
      </c>
      <c r="C7295" s="1" t="n">
        <v>45883</v>
      </c>
      <c r="D7295" t="inlineStr">
        <is>
          <t>GÄVLEBORGS LÄN</t>
        </is>
      </c>
      <c r="E7295" t="inlineStr">
        <is>
          <t>OCKELBO</t>
        </is>
      </c>
      <c r="G7295" t="n">
        <v>4.4</v>
      </c>
      <c r="H7295" t="n">
        <v>0</v>
      </c>
      <c r="I7295" t="n">
        <v>0</v>
      </c>
      <c r="J7295" t="n">
        <v>0</v>
      </c>
      <c r="K7295" t="n">
        <v>0</v>
      </c>
      <c r="L7295" t="n">
        <v>0</v>
      </c>
      <c r="M7295" t="n">
        <v>0</v>
      </c>
      <c r="N7295" t="n">
        <v>0</v>
      </c>
      <c r="O7295" t="n">
        <v>0</v>
      </c>
      <c r="P7295" t="n">
        <v>0</v>
      </c>
      <c r="Q7295" t="n">
        <v>0</v>
      </c>
      <c r="R7295" s="2" t="inlineStr"/>
    </row>
    <row r="7296" ht="15" customHeight="1">
      <c r="A7296" t="inlineStr">
        <is>
          <t>A 37608-2025</t>
        </is>
      </c>
      <c r="B7296" s="1" t="n">
        <v>45880.43055555555</v>
      </c>
      <c r="C7296" s="1" t="n">
        <v>45883</v>
      </c>
      <c r="D7296" t="inlineStr">
        <is>
          <t>GÄVLEBORGS LÄN</t>
        </is>
      </c>
      <c r="E7296" t="inlineStr">
        <is>
          <t>HUDIKSVALL</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32603-2025</t>
        </is>
      </c>
      <c r="B7297" s="1" t="n">
        <v>45838.62444444445</v>
      </c>
      <c r="C7297" s="1" t="n">
        <v>45883</v>
      </c>
      <c r="D7297" t="inlineStr">
        <is>
          <t>GÄVLEBORGS LÄN</t>
        </is>
      </c>
      <c r="E7297" t="inlineStr">
        <is>
          <t>BOLLNÄS</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18493-2024</t>
        </is>
      </c>
      <c r="B7298" s="1" t="n">
        <v>45425.56045138889</v>
      </c>
      <c r="C7298" s="1" t="n">
        <v>45883</v>
      </c>
      <c r="D7298" t="inlineStr">
        <is>
          <t>GÄVLEBORGS LÄN</t>
        </is>
      </c>
      <c r="E7298" t="inlineStr">
        <is>
          <t>HUDIKSVALL</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37472-2025</t>
        </is>
      </c>
      <c r="B7299" s="1" t="n">
        <v>45877.59339120371</v>
      </c>
      <c r="C7299" s="1" t="n">
        <v>45883</v>
      </c>
      <c r="D7299" t="inlineStr">
        <is>
          <t>GÄVLEBORGS LÄN</t>
        </is>
      </c>
      <c r="E7299" t="inlineStr">
        <is>
          <t>OVANÅKER</t>
        </is>
      </c>
      <c r="G7299" t="n">
        <v>5.8</v>
      </c>
      <c r="H7299" t="n">
        <v>0</v>
      </c>
      <c r="I7299" t="n">
        <v>0</v>
      </c>
      <c r="J7299" t="n">
        <v>0</v>
      </c>
      <c r="K7299" t="n">
        <v>0</v>
      </c>
      <c r="L7299" t="n">
        <v>0</v>
      </c>
      <c r="M7299" t="n">
        <v>0</v>
      </c>
      <c r="N7299" t="n">
        <v>0</v>
      </c>
      <c r="O7299" t="n">
        <v>0</v>
      </c>
      <c r="P7299" t="n">
        <v>0</v>
      </c>
      <c r="Q7299" t="n">
        <v>0</v>
      </c>
      <c r="R7299" s="2" t="inlineStr"/>
    </row>
    <row r="7300" ht="15" customHeight="1">
      <c r="A7300" t="inlineStr">
        <is>
          <t>A 11410-2025</t>
        </is>
      </c>
      <c r="B7300" s="1" t="n">
        <v>45726.59032407407</v>
      </c>
      <c r="C7300" s="1" t="n">
        <v>45883</v>
      </c>
      <c r="D7300" t="inlineStr">
        <is>
          <t>GÄVLEBORGS LÄN</t>
        </is>
      </c>
      <c r="E7300" t="inlineStr">
        <is>
          <t>GÄVLE</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11417-2025</t>
        </is>
      </c>
      <c r="B7301" s="1" t="n">
        <v>45726.59607638889</v>
      </c>
      <c r="C7301" s="1" t="n">
        <v>45883</v>
      </c>
      <c r="D7301" t="inlineStr">
        <is>
          <t>GÄVLEBORGS LÄN</t>
        </is>
      </c>
      <c r="E7301" t="inlineStr">
        <is>
          <t>GÄVLE</t>
        </is>
      </c>
      <c r="F7301" t="inlineStr">
        <is>
          <t>Bergvik skog öst AB</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39710-2023</t>
        </is>
      </c>
      <c r="B7302" s="1" t="n">
        <v>45167.61197916666</v>
      </c>
      <c r="C7302" s="1" t="n">
        <v>45883</v>
      </c>
      <c r="D7302" t="inlineStr">
        <is>
          <t>GÄVLEBORGS LÄN</t>
        </is>
      </c>
      <c r="E7302" t="inlineStr">
        <is>
          <t>OCKELBO</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37616-2025</t>
        </is>
      </c>
      <c r="B7303" s="1" t="n">
        <v>45880.43641203704</v>
      </c>
      <c r="C7303" s="1" t="n">
        <v>45883</v>
      </c>
      <c r="D7303" t="inlineStr">
        <is>
          <t>GÄVLEBORGS LÄN</t>
        </is>
      </c>
      <c r="E7303" t="inlineStr">
        <is>
          <t>HUDIKSVALL</t>
        </is>
      </c>
      <c r="G7303" t="n">
        <v>6.9</v>
      </c>
      <c r="H7303" t="n">
        <v>0</v>
      </c>
      <c r="I7303" t="n">
        <v>0</v>
      </c>
      <c r="J7303" t="n">
        <v>0</v>
      </c>
      <c r="K7303" t="n">
        <v>0</v>
      </c>
      <c r="L7303" t="n">
        <v>0</v>
      </c>
      <c r="M7303" t="n">
        <v>0</v>
      </c>
      <c r="N7303" t="n">
        <v>0</v>
      </c>
      <c r="O7303" t="n">
        <v>0</v>
      </c>
      <c r="P7303" t="n">
        <v>0</v>
      </c>
      <c r="Q7303" t="n">
        <v>0</v>
      </c>
      <c r="R7303" s="2" t="inlineStr"/>
    </row>
    <row r="7304" ht="15" customHeight="1">
      <c r="A7304" t="inlineStr">
        <is>
          <t>A 32587-2025</t>
        </is>
      </c>
      <c r="B7304" s="1" t="n">
        <v>45838.60077546296</v>
      </c>
      <c r="C7304" s="1" t="n">
        <v>45883</v>
      </c>
      <c r="D7304" t="inlineStr">
        <is>
          <t>GÄVLEBORGS LÄN</t>
        </is>
      </c>
      <c r="E7304" t="inlineStr">
        <is>
          <t>BOLLNÄS</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32588-2025</t>
        </is>
      </c>
      <c r="B7305" s="1" t="n">
        <v>45838.60314814815</v>
      </c>
      <c r="C7305" s="1" t="n">
        <v>45883</v>
      </c>
      <c r="D7305" t="inlineStr">
        <is>
          <t>GÄVLEBORGS LÄN</t>
        </is>
      </c>
      <c r="E7305" t="inlineStr">
        <is>
          <t>BOLLNÄS</t>
        </is>
      </c>
      <c r="G7305" t="n">
        <v>3</v>
      </c>
      <c r="H7305" t="n">
        <v>0</v>
      </c>
      <c r="I7305" t="n">
        <v>0</v>
      </c>
      <c r="J7305" t="n">
        <v>0</v>
      </c>
      <c r="K7305" t="n">
        <v>0</v>
      </c>
      <c r="L7305" t="n">
        <v>0</v>
      </c>
      <c r="M7305" t="n">
        <v>0</v>
      </c>
      <c r="N7305" t="n">
        <v>0</v>
      </c>
      <c r="O7305" t="n">
        <v>0</v>
      </c>
      <c r="P7305" t="n">
        <v>0</v>
      </c>
      <c r="Q7305" t="n">
        <v>0</v>
      </c>
      <c r="R7305" s="2" t="inlineStr"/>
    </row>
    <row r="7306" ht="15" customHeight="1">
      <c r="A7306" t="inlineStr">
        <is>
          <t>A 37541-2025</t>
        </is>
      </c>
      <c r="B7306" s="1" t="n">
        <v>45879.45802083334</v>
      </c>
      <c r="C7306" s="1" t="n">
        <v>45883</v>
      </c>
      <c r="D7306" t="inlineStr">
        <is>
          <t>GÄVLEBORGS LÄN</t>
        </is>
      </c>
      <c r="E7306" t="inlineStr">
        <is>
          <t>SÖDERHAMN</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32022-2025</t>
        </is>
      </c>
      <c r="B7307" s="1" t="n">
        <v>45835.40670138889</v>
      </c>
      <c r="C7307" s="1" t="n">
        <v>45883</v>
      </c>
      <c r="D7307" t="inlineStr">
        <is>
          <t>GÄVLEBORGS LÄN</t>
        </is>
      </c>
      <c r="E7307" t="inlineStr">
        <is>
          <t>GÄVLE</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32036-2025</t>
        </is>
      </c>
      <c r="B7308" s="1" t="n">
        <v>45835.42611111111</v>
      </c>
      <c r="C7308" s="1" t="n">
        <v>45883</v>
      </c>
      <c r="D7308" t="inlineStr">
        <is>
          <t>GÄVLEBORGS LÄN</t>
        </is>
      </c>
      <c r="E7308" t="inlineStr">
        <is>
          <t>OCKELBO</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32179-2025</t>
        </is>
      </c>
      <c r="B7309" s="1" t="n">
        <v>45835.55981481481</v>
      </c>
      <c r="C7309" s="1" t="n">
        <v>45883</v>
      </c>
      <c r="D7309" t="inlineStr">
        <is>
          <t>GÄVLEBORGS LÄN</t>
        </is>
      </c>
      <c r="E7309" t="inlineStr">
        <is>
          <t>LJUSDAL</t>
        </is>
      </c>
      <c r="F7309" t="inlineStr">
        <is>
          <t>Bergvik skog väst AB</t>
        </is>
      </c>
      <c r="G7309" t="n">
        <v>7</v>
      </c>
      <c r="H7309" t="n">
        <v>0</v>
      </c>
      <c r="I7309" t="n">
        <v>0</v>
      </c>
      <c r="J7309" t="n">
        <v>0</v>
      </c>
      <c r="K7309" t="n">
        <v>0</v>
      </c>
      <c r="L7309" t="n">
        <v>0</v>
      </c>
      <c r="M7309" t="n">
        <v>0</v>
      </c>
      <c r="N7309" t="n">
        <v>0</v>
      </c>
      <c r="O7309" t="n">
        <v>0</v>
      </c>
      <c r="P7309" t="n">
        <v>0</v>
      </c>
      <c r="Q7309" t="n">
        <v>0</v>
      </c>
      <c r="R7309" s="2" t="inlineStr"/>
    </row>
    <row r="7310" ht="15" customHeight="1">
      <c r="A7310" t="inlineStr">
        <is>
          <t>A 37631-2025</t>
        </is>
      </c>
      <c r="B7310" s="1" t="n">
        <v>45880.46456018519</v>
      </c>
      <c r="C7310" s="1" t="n">
        <v>45883</v>
      </c>
      <c r="D7310" t="inlineStr">
        <is>
          <t>GÄVLEBORGS LÄN</t>
        </is>
      </c>
      <c r="E7310" t="inlineStr">
        <is>
          <t>BOLLNÄS</t>
        </is>
      </c>
      <c r="G7310" t="n">
        <v>8.699999999999999</v>
      </c>
      <c r="H7310" t="n">
        <v>0</v>
      </c>
      <c r="I7310" t="n">
        <v>0</v>
      </c>
      <c r="J7310" t="n">
        <v>0</v>
      </c>
      <c r="K7310" t="n">
        <v>0</v>
      </c>
      <c r="L7310" t="n">
        <v>0</v>
      </c>
      <c r="M7310" t="n">
        <v>0</v>
      </c>
      <c r="N7310" t="n">
        <v>0</v>
      </c>
      <c r="O7310" t="n">
        <v>0</v>
      </c>
      <c r="P7310" t="n">
        <v>0</v>
      </c>
      <c r="Q7310" t="n">
        <v>0</v>
      </c>
      <c r="R7310" s="2" t="inlineStr"/>
    </row>
    <row r="7311" ht="15" customHeight="1">
      <c r="A7311" t="inlineStr">
        <is>
          <t>A 37725-2025</t>
        </is>
      </c>
      <c r="B7311" s="1" t="n">
        <v>45880.61875</v>
      </c>
      <c r="C7311" s="1" t="n">
        <v>45883</v>
      </c>
      <c r="D7311" t="inlineStr">
        <is>
          <t>GÄVLEBORGS LÄN</t>
        </is>
      </c>
      <c r="E7311" t="inlineStr">
        <is>
          <t>HUDIKSVALL</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61492-2024</t>
        </is>
      </c>
      <c r="B7312" s="1" t="n">
        <v>45646.55134259259</v>
      </c>
      <c r="C7312" s="1" t="n">
        <v>45883</v>
      </c>
      <c r="D7312" t="inlineStr">
        <is>
          <t>GÄVLEBORGS LÄN</t>
        </is>
      </c>
      <c r="E7312" t="inlineStr">
        <is>
          <t>GÄVLE</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59912-2024</t>
        </is>
      </c>
      <c r="B7313" s="1" t="n">
        <v>45641</v>
      </c>
      <c r="C7313" s="1" t="n">
        <v>45883</v>
      </c>
      <c r="D7313" t="inlineStr">
        <is>
          <t>GÄVLEBORGS LÄN</t>
        </is>
      </c>
      <c r="E7313" t="inlineStr">
        <is>
          <t>NORDANSTIG</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55906-2024</t>
        </is>
      </c>
      <c r="B7314" s="1" t="n">
        <v>45623.58407407408</v>
      </c>
      <c r="C7314" s="1" t="n">
        <v>45883</v>
      </c>
      <c r="D7314" t="inlineStr">
        <is>
          <t>GÄVLEBORGS LÄN</t>
        </is>
      </c>
      <c r="E7314" t="inlineStr">
        <is>
          <t>OCKELBO</t>
        </is>
      </c>
      <c r="F7314" t="inlineStr">
        <is>
          <t>Bergvik skog väst AB</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32299-2025</t>
        </is>
      </c>
      <c r="B7315" s="1" t="n">
        <v>45835</v>
      </c>
      <c r="C7315" s="1" t="n">
        <v>45883</v>
      </c>
      <c r="D7315" t="inlineStr">
        <is>
          <t>GÄVLEBORGS LÄN</t>
        </is>
      </c>
      <c r="E7315" t="inlineStr">
        <is>
          <t>HOFORS</t>
        </is>
      </c>
      <c r="F7315" t="inlineStr">
        <is>
          <t>Bergvik skog väst AB</t>
        </is>
      </c>
      <c r="G7315" t="n">
        <v>12.8</v>
      </c>
      <c r="H7315" t="n">
        <v>0</v>
      </c>
      <c r="I7315" t="n">
        <v>0</v>
      </c>
      <c r="J7315" t="n">
        <v>0</v>
      </c>
      <c r="K7315" t="n">
        <v>0</v>
      </c>
      <c r="L7315" t="n">
        <v>0</v>
      </c>
      <c r="M7315" t="n">
        <v>0</v>
      </c>
      <c r="N7315" t="n">
        <v>0</v>
      </c>
      <c r="O7315" t="n">
        <v>0</v>
      </c>
      <c r="P7315" t="n">
        <v>0</v>
      </c>
      <c r="Q7315" t="n">
        <v>0</v>
      </c>
      <c r="R7315" s="2" t="inlineStr"/>
    </row>
    <row r="7316" ht="15" customHeight="1">
      <c r="A7316" t="inlineStr">
        <is>
          <t>A 32182-2025</t>
        </is>
      </c>
      <c r="B7316" s="1" t="n">
        <v>45835.56259259259</v>
      </c>
      <c r="C7316" s="1" t="n">
        <v>45883</v>
      </c>
      <c r="D7316" t="inlineStr">
        <is>
          <t>GÄVLEBORGS LÄN</t>
        </is>
      </c>
      <c r="E7316" t="inlineStr">
        <is>
          <t>OVANÅKER</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37645-2025</t>
        </is>
      </c>
      <c r="B7317" s="1" t="n">
        <v>45880.48578703704</v>
      </c>
      <c r="C7317" s="1" t="n">
        <v>45883</v>
      </c>
      <c r="D7317" t="inlineStr">
        <is>
          <t>GÄVLEBORGS LÄN</t>
        </is>
      </c>
      <c r="E7317" t="inlineStr">
        <is>
          <t>HUDIKSVALL</t>
        </is>
      </c>
      <c r="G7317" t="n">
        <v>3.4</v>
      </c>
      <c r="H7317" t="n">
        <v>0</v>
      </c>
      <c r="I7317" t="n">
        <v>0</v>
      </c>
      <c r="J7317" t="n">
        <v>0</v>
      </c>
      <c r="K7317" t="n">
        <v>0</v>
      </c>
      <c r="L7317" t="n">
        <v>0</v>
      </c>
      <c r="M7317" t="n">
        <v>0</v>
      </c>
      <c r="N7317" t="n">
        <v>0</v>
      </c>
      <c r="O7317" t="n">
        <v>0</v>
      </c>
      <c r="P7317" t="n">
        <v>0</v>
      </c>
      <c r="Q7317" t="n">
        <v>0</v>
      </c>
      <c r="R7317" s="2" t="inlineStr"/>
    </row>
    <row r="7318" ht="15" customHeight="1">
      <c r="A7318" t="inlineStr">
        <is>
          <t>A 61694-2020</t>
        </is>
      </c>
      <c r="B7318" s="1" t="n">
        <v>44158</v>
      </c>
      <c r="C7318" s="1" t="n">
        <v>45883</v>
      </c>
      <c r="D7318" t="inlineStr">
        <is>
          <t>GÄVLEBORGS LÄN</t>
        </is>
      </c>
      <c r="E7318" t="inlineStr">
        <is>
          <t>GÄVLE</t>
        </is>
      </c>
      <c r="G7318" t="n">
        <v>11.8</v>
      </c>
      <c r="H7318" t="n">
        <v>0</v>
      </c>
      <c r="I7318" t="n">
        <v>0</v>
      </c>
      <c r="J7318" t="n">
        <v>0</v>
      </c>
      <c r="K7318" t="n">
        <v>0</v>
      </c>
      <c r="L7318" t="n">
        <v>0</v>
      </c>
      <c r="M7318" t="n">
        <v>0</v>
      </c>
      <c r="N7318" t="n">
        <v>0</v>
      </c>
      <c r="O7318" t="n">
        <v>0</v>
      </c>
      <c r="P7318" t="n">
        <v>0</v>
      </c>
      <c r="Q7318" t="n">
        <v>0</v>
      </c>
      <c r="R7318" s="2" t="inlineStr"/>
    </row>
    <row r="7319" ht="15" customHeight="1">
      <c r="A7319" t="inlineStr">
        <is>
          <t>A 32249-2025</t>
        </is>
      </c>
      <c r="B7319" s="1" t="n">
        <v>45835.62361111111</v>
      </c>
      <c r="C7319" s="1" t="n">
        <v>45883</v>
      </c>
      <c r="D7319" t="inlineStr">
        <is>
          <t>GÄVLEBORGS LÄN</t>
        </is>
      </c>
      <c r="E7319" t="inlineStr">
        <is>
          <t>OCKELBO</t>
        </is>
      </c>
      <c r="F7319" t="inlineStr">
        <is>
          <t>Bergvik skog väst AB</t>
        </is>
      </c>
      <c r="G7319" t="n">
        <v>8.699999999999999</v>
      </c>
      <c r="H7319" t="n">
        <v>0</v>
      </c>
      <c r="I7319" t="n">
        <v>0</v>
      </c>
      <c r="J7319" t="n">
        <v>0</v>
      </c>
      <c r="K7319" t="n">
        <v>0</v>
      </c>
      <c r="L7319" t="n">
        <v>0</v>
      </c>
      <c r="M7319" t="n">
        <v>0</v>
      </c>
      <c r="N7319" t="n">
        <v>0</v>
      </c>
      <c r="O7319" t="n">
        <v>0</v>
      </c>
      <c r="P7319" t="n">
        <v>0</v>
      </c>
      <c r="Q7319" t="n">
        <v>0</v>
      </c>
      <c r="R7319" s="2" t="inlineStr"/>
    </row>
    <row r="7320" ht="15" customHeight="1">
      <c r="A7320" t="inlineStr">
        <is>
          <t>A 32250-2025</t>
        </is>
      </c>
      <c r="B7320" s="1" t="n">
        <v>45835.62608796296</v>
      </c>
      <c r="C7320" s="1" t="n">
        <v>45883</v>
      </c>
      <c r="D7320" t="inlineStr">
        <is>
          <t>GÄVLEBORGS LÄN</t>
        </is>
      </c>
      <c r="E7320" t="inlineStr">
        <is>
          <t>HUDIKSVALL</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32258-2025</t>
        </is>
      </c>
      <c r="B7321" s="1" t="n">
        <v>45835.64104166667</v>
      </c>
      <c r="C7321" s="1" t="n">
        <v>45883</v>
      </c>
      <c r="D7321" t="inlineStr">
        <is>
          <t>GÄVLEBORGS LÄN</t>
        </is>
      </c>
      <c r="E7321" t="inlineStr">
        <is>
          <t>OVANÅKER</t>
        </is>
      </c>
      <c r="F7321" t="inlineStr">
        <is>
          <t>Bergvik skog öst AB</t>
        </is>
      </c>
      <c r="G7321" t="n">
        <v>6.8</v>
      </c>
      <c r="H7321" t="n">
        <v>0</v>
      </c>
      <c r="I7321" t="n">
        <v>0</v>
      </c>
      <c r="J7321" t="n">
        <v>0</v>
      </c>
      <c r="K7321" t="n">
        <v>0</v>
      </c>
      <c r="L7321" t="n">
        <v>0</v>
      </c>
      <c r="M7321" t="n">
        <v>0</v>
      </c>
      <c r="N7321" t="n">
        <v>0</v>
      </c>
      <c r="O7321" t="n">
        <v>0</v>
      </c>
      <c r="P7321" t="n">
        <v>0</v>
      </c>
      <c r="Q7321" t="n">
        <v>0</v>
      </c>
      <c r="R7321" s="2" t="inlineStr"/>
    </row>
    <row r="7322" ht="15" customHeight="1">
      <c r="A7322" t="inlineStr">
        <is>
          <t>A 57970-2022</t>
        </is>
      </c>
      <c r="B7322" s="1" t="n">
        <v>44900</v>
      </c>
      <c r="C7322" s="1" t="n">
        <v>45883</v>
      </c>
      <c r="D7322" t="inlineStr">
        <is>
          <t>GÄVLEBORGS LÄN</t>
        </is>
      </c>
      <c r="E7322" t="inlineStr">
        <is>
          <t>NORDANSTIG</t>
        </is>
      </c>
      <c r="G7322" t="n">
        <v>5</v>
      </c>
      <c r="H7322" t="n">
        <v>0</v>
      </c>
      <c r="I7322" t="n">
        <v>0</v>
      </c>
      <c r="J7322" t="n">
        <v>0</v>
      </c>
      <c r="K7322" t="n">
        <v>0</v>
      </c>
      <c r="L7322" t="n">
        <v>0</v>
      </c>
      <c r="M7322" t="n">
        <v>0</v>
      </c>
      <c r="N7322" t="n">
        <v>0</v>
      </c>
      <c r="O7322" t="n">
        <v>0</v>
      </c>
      <c r="P7322" t="n">
        <v>0</v>
      </c>
      <c r="Q7322" t="n">
        <v>0</v>
      </c>
      <c r="R7322" s="2" t="inlineStr"/>
    </row>
    <row r="7323" ht="15" customHeight="1">
      <c r="A7323" t="inlineStr">
        <is>
          <t>A 13897-2025</t>
        </is>
      </c>
      <c r="B7323" s="1" t="n">
        <v>45737</v>
      </c>
      <c r="C7323" s="1" t="n">
        <v>45883</v>
      </c>
      <c r="D7323" t="inlineStr">
        <is>
          <t>GÄVLEBORGS LÄN</t>
        </is>
      </c>
      <c r="E7323" t="inlineStr">
        <is>
          <t>BOLLNÄS</t>
        </is>
      </c>
      <c r="G7323" t="n">
        <v>7.2</v>
      </c>
      <c r="H7323" t="n">
        <v>0</v>
      </c>
      <c r="I7323" t="n">
        <v>0</v>
      </c>
      <c r="J7323" t="n">
        <v>0</v>
      </c>
      <c r="K7323" t="n">
        <v>0</v>
      </c>
      <c r="L7323" t="n">
        <v>0</v>
      </c>
      <c r="M7323" t="n">
        <v>0</v>
      </c>
      <c r="N7323" t="n">
        <v>0</v>
      </c>
      <c r="O7323" t="n">
        <v>0</v>
      </c>
      <c r="P7323" t="n">
        <v>0</v>
      </c>
      <c r="Q7323" t="n">
        <v>0</v>
      </c>
      <c r="R7323" s="2" t="inlineStr"/>
    </row>
    <row r="7324" ht="15" customHeight="1">
      <c r="A7324" t="inlineStr">
        <is>
          <t>A 27969-2024</t>
        </is>
      </c>
      <c r="B7324" s="1" t="n">
        <v>45476.38328703704</v>
      </c>
      <c r="C7324" s="1" t="n">
        <v>45883</v>
      </c>
      <c r="D7324" t="inlineStr">
        <is>
          <t>GÄVLEBORGS LÄN</t>
        </is>
      </c>
      <c r="E7324" t="inlineStr">
        <is>
          <t>SANDVIKEN</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7979-2025</t>
        </is>
      </c>
      <c r="B7325" s="1" t="n">
        <v>45707</v>
      </c>
      <c r="C7325" s="1" t="n">
        <v>45883</v>
      </c>
      <c r="D7325" t="inlineStr">
        <is>
          <t>GÄVLEBORGS LÄN</t>
        </is>
      </c>
      <c r="E7325" t="inlineStr">
        <is>
          <t>SÖDERHAMN</t>
        </is>
      </c>
      <c r="G7325" t="n">
        <v>6.6</v>
      </c>
      <c r="H7325" t="n">
        <v>0</v>
      </c>
      <c r="I7325" t="n">
        <v>0</v>
      </c>
      <c r="J7325" t="n">
        <v>0</v>
      </c>
      <c r="K7325" t="n">
        <v>0</v>
      </c>
      <c r="L7325" t="n">
        <v>0</v>
      </c>
      <c r="M7325" t="n">
        <v>0</v>
      </c>
      <c r="N7325" t="n">
        <v>0</v>
      </c>
      <c r="O7325" t="n">
        <v>0</v>
      </c>
      <c r="P7325" t="n">
        <v>0</v>
      </c>
      <c r="Q7325" t="n">
        <v>0</v>
      </c>
      <c r="R7325" s="2" t="inlineStr"/>
    </row>
    <row r="7326" ht="15" customHeight="1">
      <c r="A7326" t="inlineStr">
        <is>
          <t>A 34312-2021</t>
        </is>
      </c>
      <c r="B7326" s="1" t="n">
        <v>44379</v>
      </c>
      <c r="C7326" s="1" t="n">
        <v>45883</v>
      </c>
      <c r="D7326" t="inlineStr">
        <is>
          <t>GÄVLEBORGS LÄN</t>
        </is>
      </c>
      <c r="E7326" t="inlineStr">
        <is>
          <t>SANDVIKEN</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53138-2024</t>
        </is>
      </c>
      <c r="B7327" s="1" t="n">
        <v>45611.59840277778</v>
      </c>
      <c r="C7327" s="1" t="n">
        <v>45883</v>
      </c>
      <c r="D7327" t="inlineStr">
        <is>
          <t>GÄVLEBORGS LÄN</t>
        </is>
      </c>
      <c r="E7327" t="inlineStr">
        <is>
          <t>GÄVLE</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31948-2025</t>
        </is>
      </c>
      <c r="B7328" s="1" t="n">
        <v>45835.32489583334</v>
      </c>
      <c r="C7328" s="1" t="n">
        <v>45883</v>
      </c>
      <c r="D7328" t="inlineStr">
        <is>
          <t>GÄVLEBORGS LÄN</t>
        </is>
      </c>
      <c r="E7328" t="inlineStr">
        <is>
          <t>BOLLNÄS</t>
        </is>
      </c>
      <c r="F7328" t="inlineStr">
        <is>
          <t>Bergvik skog väst AB</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32165-2025</t>
        </is>
      </c>
      <c r="B7329" s="1" t="n">
        <v>45835.54614583333</v>
      </c>
      <c r="C7329" s="1" t="n">
        <v>45883</v>
      </c>
      <c r="D7329" t="inlineStr">
        <is>
          <t>GÄVLEBORGS LÄN</t>
        </is>
      </c>
      <c r="E7329" t="inlineStr">
        <is>
          <t>BOLLNÄS</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32169-2025</t>
        </is>
      </c>
      <c r="B7330" s="1" t="n">
        <v>45835.55002314815</v>
      </c>
      <c r="C7330" s="1" t="n">
        <v>45883</v>
      </c>
      <c r="D7330" t="inlineStr">
        <is>
          <t>GÄVLEBORGS LÄN</t>
        </is>
      </c>
      <c r="E7330" t="inlineStr">
        <is>
          <t>OVANÅKER</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32058-2025</t>
        </is>
      </c>
      <c r="B7331" s="1" t="n">
        <v>45835.44465277778</v>
      </c>
      <c r="C7331" s="1" t="n">
        <v>45883</v>
      </c>
      <c r="D7331" t="inlineStr">
        <is>
          <t>GÄVLEBORGS LÄN</t>
        </is>
      </c>
      <c r="E7331" t="inlineStr">
        <is>
          <t>GÄVLE</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6734-2025</t>
        </is>
      </c>
      <c r="B7332" s="1" t="n">
        <v>45700</v>
      </c>
      <c r="C7332" s="1" t="n">
        <v>45883</v>
      </c>
      <c r="D7332" t="inlineStr">
        <is>
          <t>GÄVLEBORGS LÄN</t>
        </is>
      </c>
      <c r="E7332" t="inlineStr">
        <is>
          <t>LJUSDAL</t>
        </is>
      </c>
      <c r="G7332" t="n">
        <v>26.1</v>
      </c>
      <c r="H7332" t="n">
        <v>0</v>
      </c>
      <c r="I7332" t="n">
        <v>0</v>
      </c>
      <c r="J7332" t="n">
        <v>0</v>
      </c>
      <c r="K7332" t="n">
        <v>0</v>
      </c>
      <c r="L7332" t="n">
        <v>0</v>
      </c>
      <c r="M7332" t="n">
        <v>0</v>
      </c>
      <c r="N7332" t="n">
        <v>0</v>
      </c>
      <c r="O7332" t="n">
        <v>0</v>
      </c>
      <c r="P7332" t="n">
        <v>0</v>
      </c>
      <c r="Q7332" t="n">
        <v>0</v>
      </c>
      <c r="R7332" s="2" t="inlineStr"/>
    </row>
    <row r="7333" ht="15" customHeight="1">
      <c r="A7333" t="inlineStr">
        <is>
          <t>A 9595-2025</t>
        </is>
      </c>
      <c r="B7333" s="1" t="n">
        <v>45715</v>
      </c>
      <c r="C7333" s="1" t="n">
        <v>45883</v>
      </c>
      <c r="D7333" t="inlineStr">
        <is>
          <t>GÄVLEBORGS LÄN</t>
        </is>
      </c>
      <c r="E7333" t="inlineStr">
        <is>
          <t>OCKELBO</t>
        </is>
      </c>
      <c r="F7333" t="inlineStr">
        <is>
          <t>Bergvik skog öst AB</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32087-2025</t>
        </is>
      </c>
      <c r="B7334" s="1" t="n">
        <v>45835.45553240741</v>
      </c>
      <c r="C7334" s="1" t="n">
        <v>45883</v>
      </c>
      <c r="D7334" t="inlineStr">
        <is>
          <t>GÄVLEBORGS LÄN</t>
        </is>
      </c>
      <c r="E7334" t="inlineStr">
        <is>
          <t>OCKELBO</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32411-2025</t>
        </is>
      </c>
      <c r="B7335" s="1" t="n">
        <v>45838.33667824074</v>
      </c>
      <c r="C7335" s="1" t="n">
        <v>45883</v>
      </c>
      <c r="D7335" t="inlineStr">
        <is>
          <t>GÄVLEBORGS LÄN</t>
        </is>
      </c>
      <c r="E7335" t="inlineStr">
        <is>
          <t>BOLLNÄS</t>
        </is>
      </c>
      <c r="F7335" t="inlineStr">
        <is>
          <t>Bergvik skog väst AB</t>
        </is>
      </c>
      <c r="G7335" t="n">
        <v>2.9</v>
      </c>
      <c r="H7335" t="n">
        <v>0</v>
      </c>
      <c r="I7335" t="n">
        <v>0</v>
      </c>
      <c r="J7335" t="n">
        <v>0</v>
      </c>
      <c r="K7335" t="n">
        <v>0</v>
      </c>
      <c r="L7335" t="n">
        <v>0</v>
      </c>
      <c r="M7335" t="n">
        <v>0</v>
      </c>
      <c r="N7335" t="n">
        <v>0</v>
      </c>
      <c r="O7335" t="n">
        <v>0</v>
      </c>
      <c r="P7335" t="n">
        <v>0</v>
      </c>
      <c r="Q7335" t="n">
        <v>0</v>
      </c>
      <c r="R7335" s="2" t="inlineStr"/>
    </row>
    <row r="7336" ht="15" customHeight="1">
      <c r="A7336" t="inlineStr">
        <is>
          <t>A 34449-2023</t>
        </is>
      </c>
      <c r="B7336" s="1" t="n">
        <v>45139.67980324074</v>
      </c>
      <c r="C7336" s="1" t="n">
        <v>45883</v>
      </c>
      <c r="D7336" t="inlineStr">
        <is>
          <t>GÄVLEBORGS LÄN</t>
        </is>
      </c>
      <c r="E7336" t="inlineStr">
        <is>
          <t>OCKELBO</t>
        </is>
      </c>
      <c r="G7336" t="n">
        <v>3.4</v>
      </c>
      <c r="H7336" t="n">
        <v>0</v>
      </c>
      <c r="I7336" t="n">
        <v>0</v>
      </c>
      <c r="J7336" t="n">
        <v>0</v>
      </c>
      <c r="K7336" t="n">
        <v>0</v>
      </c>
      <c r="L7336" t="n">
        <v>0</v>
      </c>
      <c r="M7336" t="n">
        <v>0</v>
      </c>
      <c r="N7336" t="n">
        <v>0</v>
      </c>
      <c r="O7336" t="n">
        <v>0</v>
      </c>
      <c r="P7336" t="n">
        <v>0</v>
      </c>
      <c r="Q7336" t="n">
        <v>0</v>
      </c>
      <c r="R7336" s="2" t="inlineStr"/>
    </row>
    <row r="7337" ht="15" customHeight="1">
      <c r="A7337" t="inlineStr">
        <is>
          <t>A 37444-2025</t>
        </is>
      </c>
      <c r="B7337" s="1" t="n">
        <v>45877.54305555556</v>
      </c>
      <c r="C7337" s="1" t="n">
        <v>45883</v>
      </c>
      <c r="D7337" t="inlineStr">
        <is>
          <t>GÄVLEBORGS LÄN</t>
        </is>
      </c>
      <c r="E7337" t="inlineStr">
        <is>
          <t>HOFORS</t>
        </is>
      </c>
      <c r="F7337" t="inlineStr">
        <is>
          <t>Sveaskog</t>
        </is>
      </c>
      <c r="G7337" t="n">
        <v>4.8</v>
      </c>
      <c r="H7337" t="n">
        <v>0</v>
      </c>
      <c r="I7337" t="n">
        <v>0</v>
      </c>
      <c r="J7337" t="n">
        <v>0</v>
      </c>
      <c r="K7337" t="n">
        <v>0</v>
      </c>
      <c r="L7337" t="n">
        <v>0</v>
      </c>
      <c r="M7337" t="n">
        <v>0</v>
      </c>
      <c r="N7337" t="n">
        <v>0</v>
      </c>
      <c r="O7337" t="n">
        <v>0</v>
      </c>
      <c r="P7337" t="n">
        <v>0</v>
      </c>
      <c r="Q7337" t="n">
        <v>0</v>
      </c>
      <c r="R7337" s="2" t="inlineStr"/>
    </row>
    <row r="7338" ht="15" customHeight="1">
      <c r="A7338" t="inlineStr">
        <is>
          <t>A 31936-2025</t>
        </is>
      </c>
      <c r="B7338" s="1" t="n">
        <v>45834.98055555556</v>
      </c>
      <c r="C7338" s="1" t="n">
        <v>45883</v>
      </c>
      <c r="D7338" t="inlineStr">
        <is>
          <t>GÄVLEBORGS LÄN</t>
        </is>
      </c>
      <c r="E7338" t="inlineStr">
        <is>
          <t>HUDIKSVALL</t>
        </is>
      </c>
      <c r="G7338" t="n">
        <v>3.8</v>
      </c>
      <c r="H7338" t="n">
        <v>0</v>
      </c>
      <c r="I7338" t="n">
        <v>0</v>
      </c>
      <c r="J7338" t="n">
        <v>0</v>
      </c>
      <c r="K7338" t="n">
        <v>0</v>
      </c>
      <c r="L7338" t="n">
        <v>0</v>
      </c>
      <c r="M7338" t="n">
        <v>0</v>
      </c>
      <c r="N7338" t="n">
        <v>0</v>
      </c>
      <c r="O7338" t="n">
        <v>0</v>
      </c>
      <c r="P7338" t="n">
        <v>0</v>
      </c>
      <c r="Q7338" t="n">
        <v>0</v>
      </c>
      <c r="R7338" s="2" t="inlineStr"/>
    </row>
    <row r="7339" ht="15" customHeight="1">
      <c r="A7339" t="inlineStr">
        <is>
          <t>A 31954-2025</t>
        </is>
      </c>
      <c r="B7339" s="1" t="n">
        <v>45835.34113425926</v>
      </c>
      <c r="C7339" s="1" t="n">
        <v>45883</v>
      </c>
      <c r="D7339" t="inlineStr">
        <is>
          <t>GÄVLEBORGS LÄN</t>
        </is>
      </c>
      <c r="E7339" t="inlineStr">
        <is>
          <t>BOLLNÄS</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32141-2025</t>
        </is>
      </c>
      <c r="B7340" s="1" t="n">
        <v>45835.52337962963</v>
      </c>
      <c r="C7340" s="1" t="n">
        <v>45883</v>
      </c>
      <c r="D7340" t="inlineStr">
        <is>
          <t>GÄVLEBORGS LÄN</t>
        </is>
      </c>
      <c r="E7340" t="inlineStr">
        <is>
          <t>HUDIKSVALL</t>
        </is>
      </c>
      <c r="G7340" t="n">
        <v>3.8</v>
      </c>
      <c r="H7340" t="n">
        <v>0</v>
      </c>
      <c r="I7340" t="n">
        <v>0</v>
      </c>
      <c r="J7340" t="n">
        <v>0</v>
      </c>
      <c r="K7340" t="n">
        <v>0</v>
      </c>
      <c r="L7340" t="n">
        <v>0</v>
      </c>
      <c r="M7340" t="n">
        <v>0</v>
      </c>
      <c r="N7340" t="n">
        <v>0</v>
      </c>
      <c r="O7340" t="n">
        <v>0</v>
      </c>
      <c r="P7340" t="n">
        <v>0</v>
      </c>
      <c r="Q7340" t="n">
        <v>0</v>
      </c>
      <c r="R7340" s="2" t="inlineStr"/>
    </row>
    <row r="7341" ht="15" customHeight="1">
      <c r="A7341" t="inlineStr">
        <is>
          <t>A 45221-2021</t>
        </is>
      </c>
      <c r="B7341" s="1" t="n">
        <v>44439.57211805556</v>
      </c>
      <c r="C7341" s="1" t="n">
        <v>45883</v>
      </c>
      <c r="D7341" t="inlineStr">
        <is>
          <t>GÄVLEBORGS LÄN</t>
        </is>
      </c>
      <c r="E7341" t="inlineStr">
        <is>
          <t>SANDVIKEN</t>
        </is>
      </c>
      <c r="F7341" t="inlineStr">
        <is>
          <t>Bergvik skog öst AB</t>
        </is>
      </c>
      <c r="G7341" t="n">
        <v>7.6</v>
      </c>
      <c r="H7341" t="n">
        <v>0</v>
      </c>
      <c r="I7341" t="n">
        <v>0</v>
      </c>
      <c r="J7341" t="n">
        <v>0</v>
      </c>
      <c r="K7341" t="n">
        <v>0</v>
      </c>
      <c r="L7341" t="n">
        <v>0</v>
      </c>
      <c r="M7341" t="n">
        <v>0</v>
      </c>
      <c r="N7341" t="n">
        <v>0</v>
      </c>
      <c r="O7341" t="n">
        <v>0</v>
      </c>
      <c r="P7341" t="n">
        <v>0</v>
      </c>
      <c r="Q7341" t="n">
        <v>0</v>
      </c>
      <c r="R7341" s="2" t="inlineStr"/>
    </row>
    <row r="7342" ht="15" customHeight="1">
      <c r="A7342" t="inlineStr">
        <is>
          <t>A 32034-2025</t>
        </is>
      </c>
      <c r="B7342" s="1" t="n">
        <v>45835.42241898148</v>
      </c>
      <c r="C7342" s="1" t="n">
        <v>45883</v>
      </c>
      <c r="D7342" t="inlineStr">
        <is>
          <t>GÄVLEBORGS LÄN</t>
        </is>
      </c>
      <c r="E7342" t="inlineStr">
        <is>
          <t>NORDANSTIG</t>
        </is>
      </c>
      <c r="F7342" t="inlineStr">
        <is>
          <t>Holmen skog AB</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32049-2025</t>
        </is>
      </c>
      <c r="B7343" s="1" t="n">
        <v>45835.44109953703</v>
      </c>
      <c r="C7343" s="1" t="n">
        <v>45883</v>
      </c>
      <c r="D7343" t="inlineStr">
        <is>
          <t>GÄVLEBORGS LÄN</t>
        </is>
      </c>
      <c r="E7343" t="inlineStr">
        <is>
          <t>GÄVLE</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32050-2025</t>
        </is>
      </c>
      <c r="B7344" s="1" t="n">
        <v>45835.44179398148</v>
      </c>
      <c r="C7344" s="1" t="n">
        <v>45883</v>
      </c>
      <c r="D7344" t="inlineStr">
        <is>
          <t>GÄVLEBORGS LÄN</t>
        </is>
      </c>
      <c r="E7344" t="inlineStr">
        <is>
          <t>SÖDERHAMN</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32167-2025</t>
        </is>
      </c>
      <c r="B7345" s="1" t="n">
        <v>45835.54738425926</v>
      </c>
      <c r="C7345" s="1" t="n">
        <v>45883</v>
      </c>
      <c r="D7345" t="inlineStr">
        <is>
          <t>GÄVLEBORGS LÄN</t>
        </is>
      </c>
      <c r="E7345" t="inlineStr">
        <is>
          <t>HUDIKSVALL</t>
        </is>
      </c>
      <c r="F7345" t="inlineStr">
        <is>
          <t>Holmen skog AB</t>
        </is>
      </c>
      <c r="G7345" t="n">
        <v>13.7</v>
      </c>
      <c r="H7345" t="n">
        <v>0</v>
      </c>
      <c r="I7345" t="n">
        <v>0</v>
      </c>
      <c r="J7345" t="n">
        <v>0</v>
      </c>
      <c r="K7345" t="n">
        <v>0</v>
      </c>
      <c r="L7345" t="n">
        <v>0</v>
      </c>
      <c r="M7345" t="n">
        <v>0</v>
      </c>
      <c r="N7345" t="n">
        <v>0</v>
      </c>
      <c r="O7345" t="n">
        <v>0</v>
      </c>
      <c r="P7345" t="n">
        <v>0</v>
      </c>
      <c r="Q7345" t="n">
        <v>0</v>
      </c>
      <c r="R7345" s="2" t="inlineStr"/>
    </row>
    <row r="7346" ht="15" customHeight="1">
      <c r="A7346" t="inlineStr">
        <is>
          <t>A 32092-2025</t>
        </is>
      </c>
      <c r="B7346" s="1" t="n">
        <v>45835.45920138889</v>
      </c>
      <c r="C7346" s="1" t="n">
        <v>45883</v>
      </c>
      <c r="D7346" t="inlineStr">
        <is>
          <t>GÄVLEBORGS LÄN</t>
        </is>
      </c>
      <c r="E7346" t="inlineStr">
        <is>
          <t>NORDANSTIG</t>
        </is>
      </c>
      <c r="F7346" t="inlineStr">
        <is>
          <t>Holmen skog AB</t>
        </is>
      </c>
      <c r="G7346" t="n">
        <v>6</v>
      </c>
      <c r="H7346" t="n">
        <v>0</v>
      </c>
      <c r="I7346" t="n">
        <v>0</v>
      </c>
      <c r="J7346" t="n">
        <v>0</v>
      </c>
      <c r="K7346" t="n">
        <v>0</v>
      </c>
      <c r="L7346" t="n">
        <v>0</v>
      </c>
      <c r="M7346" t="n">
        <v>0</v>
      </c>
      <c r="N7346" t="n">
        <v>0</v>
      </c>
      <c r="O7346" t="n">
        <v>0</v>
      </c>
      <c r="P7346" t="n">
        <v>0</v>
      </c>
      <c r="Q7346" t="n">
        <v>0</v>
      </c>
      <c r="R7346" s="2" t="inlineStr"/>
    </row>
    <row r="7347" ht="15" customHeight="1">
      <c r="A7347" t="inlineStr">
        <is>
          <t>A 32105-2025</t>
        </is>
      </c>
      <c r="B7347" s="1" t="n">
        <v>45835.47226851852</v>
      </c>
      <c r="C7347" s="1" t="n">
        <v>45883</v>
      </c>
      <c r="D7347" t="inlineStr">
        <is>
          <t>GÄVLEBORGS LÄN</t>
        </is>
      </c>
      <c r="E7347" t="inlineStr">
        <is>
          <t>NORDANSTIG</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6324-2023</t>
        </is>
      </c>
      <c r="B7348" s="1" t="n">
        <v>44965.48253472222</v>
      </c>
      <c r="C7348" s="1" t="n">
        <v>45883</v>
      </c>
      <c r="D7348" t="inlineStr">
        <is>
          <t>GÄVLEBORGS LÄN</t>
        </is>
      </c>
      <c r="E7348" t="inlineStr">
        <is>
          <t>NORDANSTIG</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6432-2023</t>
        </is>
      </c>
      <c r="B7349" s="1" t="n">
        <v>44965.82097222222</v>
      </c>
      <c r="C7349" s="1" t="n">
        <v>45883</v>
      </c>
      <c r="D7349" t="inlineStr">
        <is>
          <t>GÄVLEBORGS LÄN</t>
        </is>
      </c>
      <c r="E7349" t="inlineStr">
        <is>
          <t>LJUSDAL</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37366-2025</t>
        </is>
      </c>
      <c r="B7350" s="1" t="n">
        <v>45877.32983796296</v>
      </c>
      <c r="C7350" s="1" t="n">
        <v>45883</v>
      </c>
      <c r="D7350" t="inlineStr">
        <is>
          <t>GÄVLEBORGS LÄN</t>
        </is>
      </c>
      <c r="E7350" t="inlineStr">
        <is>
          <t>OVANÅKER</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32082-2025</t>
        </is>
      </c>
      <c r="B7351" s="1" t="n">
        <v>45835.45228009259</v>
      </c>
      <c r="C7351" s="1" t="n">
        <v>45883</v>
      </c>
      <c r="D7351" t="inlineStr">
        <is>
          <t>GÄVLEBORGS LÄN</t>
        </is>
      </c>
      <c r="E7351" t="inlineStr">
        <is>
          <t>NORDANSTIG</t>
        </is>
      </c>
      <c r="G7351" t="n">
        <v>3.2</v>
      </c>
      <c r="H7351" t="n">
        <v>0</v>
      </c>
      <c r="I7351" t="n">
        <v>0</v>
      </c>
      <c r="J7351" t="n">
        <v>0</v>
      </c>
      <c r="K7351" t="n">
        <v>0</v>
      </c>
      <c r="L7351" t="n">
        <v>0</v>
      </c>
      <c r="M7351" t="n">
        <v>0</v>
      </c>
      <c r="N7351" t="n">
        <v>0</v>
      </c>
      <c r="O7351" t="n">
        <v>0</v>
      </c>
      <c r="P7351" t="n">
        <v>0</v>
      </c>
      <c r="Q7351" t="n">
        <v>0</v>
      </c>
      <c r="R7351" s="2" t="inlineStr"/>
    </row>
    <row r="7352" ht="15" customHeight="1">
      <c r="A7352" t="inlineStr">
        <is>
          <t>A 32412-2025</t>
        </is>
      </c>
      <c r="B7352" s="1" t="n">
        <v>45838</v>
      </c>
      <c r="C7352" s="1" t="n">
        <v>45883</v>
      </c>
      <c r="D7352" t="inlineStr">
        <is>
          <t>GÄVLEBORGS LÄN</t>
        </is>
      </c>
      <c r="E7352" t="inlineStr">
        <is>
          <t>LJUSDAL</t>
        </is>
      </c>
      <c r="G7352" t="n">
        <v>5.4</v>
      </c>
      <c r="H7352" t="n">
        <v>0</v>
      </c>
      <c r="I7352" t="n">
        <v>0</v>
      </c>
      <c r="J7352" t="n">
        <v>0</v>
      </c>
      <c r="K7352" t="n">
        <v>0</v>
      </c>
      <c r="L7352" t="n">
        <v>0</v>
      </c>
      <c r="M7352" t="n">
        <v>0</v>
      </c>
      <c r="N7352" t="n">
        <v>0</v>
      </c>
      <c r="O7352" t="n">
        <v>0</v>
      </c>
      <c r="P7352" t="n">
        <v>0</v>
      </c>
      <c r="Q7352" t="n">
        <v>0</v>
      </c>
      <c r="R7352" s="2" t="inlineStr"/>
    </row>
    <row r="7353" ht="15" customHeight="1">
      <c r="A7353" t="inlineStr">
        <is>
          <t>A 37504-2025</t>
        </is>
      </c>
      <c r="B7353" s="1" t="n">
        <v>45877.65131944444</v>
      </c>
      <c r="C7353" s="1" t="n">
        <v>45883</v>
      </c>
      <c r="D7353" t="inlineStr">
        <is>
          <t>GÄVLEBORGS LÄN</t>
        </is>
      </c>
      <c r="E7353" t="inlineStr">
        <is>
          <t>HUDIKSVALL</t>
        </is>
      </c>
      <c r="F7353" t="inlineStr">
        <is>
          <t>Holmen skog AB</t>
        </is>
      </c>
      <c r="G7353" t="n">
        <v>10.8</v>
      </c>
      <c r="H7353" t="n">
        <v>0</v>
      </c>
      <c r="I7353" t="n">
        <v>0</v>
      </c>
      <c r="J7353" t="n">
        <v>0</v>
      </c>
      <c r="K7353" t="n">
        <v>0</v>
      </c>
      <c r="L7353" t="n">
        <v>0</v>
      </c>
      <c r="M7353" t="n">
        <v>0</v>
      </c>
      <c r="N7353" t="n">
        <v>0</v>
      </c>
      <c r="O7353" t="n">
        <v>0</v>
      </c>
      <c r="P7353" t="n">
        <v>0</v>
      </c>
      <c r="Q7353" t="n">
        <v>0</v>
      </c>
      <c r="R7353" s="2" t="inlineStr"/>
    </row>
    <row r="7354" ht="15" customHeight="1">
      <c r="A7354" t="inlineStr">
        <is>
          <t>A 50898-2023</t>
        </is>
      </c>
      <c r="B7354" s="1" t="n">
        <v>45218.40636574074</v>
      </c>
      <c r="C7354" s="1" t="n">
        <v>45883</v>
      </c>
      <c r="D7354" t="inlineStr">
        <is>
          <t>GÄVLEBORGS LÄN</t>
        </is>
      </c>
      <c r="E7354" t="inlineStr">
        <is>
          <t>HUDIKSVALL</t>
        </is>
      </c>
      <c r="F7354" t="inlineStr">
        <is>
          <t>Holmen skog AB</t>
        </is>
      </c>
      <c r="G7354" t="n">
        <v>6.5</v>
      </c>
      <c r="H7354" t="n">
        <v>0</v>
      </c>
      <c r="I7354" t="n">
        <v>0</v>
      </c>
      <c r="J7354" t="n">
        <v>0</v>
      </c>
      <c r="K7354" t="n">
        <v>0</v>
      </c>
      <c r="L7354" t="n">
        <v>0</v>
      </c>
      <c r="M7354" t="n">
        <v>0</v>
      </c>
      <c r="N7354" t="n">
        <v>0</v>
      </c>
      <c r="O7354" t="n">
        <v>0</v>
      </c>
      <c r="P7354" t="n">
        <v>0</v>
      </c>
      <c r="Q7354" t="n">
        <v>0</v>
      </c>
      <c r="R7354" s="2" t="inlineStr"/>
    </row>
    <row r="7355" ht="15" customHeight="1">
      <c r="A7355" t="inlineStr">
        <is>
          <t>A 37531-2025</t>
        </is>
      </c>
      <c r="B7355" s="1" t="n">
        <v>45878.34459490741</v>
      </c>
      <c r="C7355" s="1" t="n">
        <v>45883</v>
      </c>
      <c r="D7355" t="inlineStr">
        <is>
          <t>GÄVLEBORGS LÄN</t>
        </is>
      </c>
      <c r="E7355" t="inlineStr">
        <is>
          <t>OVANÅKER</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60796-2023</t>
        </is>
      </c>
      <c r="B7356" s="1" t="n">
        <v>45260.65974537037</v>
      </c>
      <c r="C7356" s="1" t="n">
        <v>45883</v>
      </c>
      <c r="D7356" t="inlineStr">
        <is>
          <t>GÄVLEBORGS LÄN</t>
        </is>
      </c>
      <c r="E7356" t="inlineStr">
        <is>
          <t>HUDIKSVALL</t>
        </is>
      </c>
      <c r="F7356" t="inlineStr">
        <is>
          <t>Holmen skog AB</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60798-2023</t>
        </is>
      </c>
      <c r="B7357" s="1" t="n">
        <v>45260</v>
      </c>
      <c r="C7357" s="1" t="n">
        <v>45883</v>
      </c>
      <c r="D7357" t="inlineStr">
        <is>
          <t>GÄVLEBORGS LÄN</t>
        </is>
      </c>
      <c r="E7357" t="inlineStr">
        <is>
          <t>SANDVIKEN</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60801-2023</t>
        </is>
      </c>
      <c r="B7358" s="1" t="n">
        <v>45260</v>
      </c>
      <c r="C7358" s="1" t="n">
        <v>45883</v>
      </c>
      <c r="D7358" t="inlineStr">
        <is>
          <t>GÄVLEBORGS LÄN</t>
        </is>
      </c>
      <c r="E7358" t="inlineStr">
        <is>
          <t>HUDIKSVALL</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71995-2021</t>
        </is>
      </c>
      <c r="B7359" s="1" t="n">
        <v>44544.38899305555</v>
      </c>
      <c r="C7359" s="1" t="n">
        <v>45883</v>
      </c>
      <c r="D7359" t="inlineStr">
        <is>
          <t>GÄVLEBORGS LÄN</t>
        </is>
      </c>
      <c r="E7359" t="inlineStr">
        <is>
          <t>SANDVIKEN</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3877-2024</t>
        </is>
      </c>
      <c r="B7360" s="1" t="n">
        <v>45322</v>
      </c>
      <c r="C7360" s="1" t="n">
        <v>45883</v>
      </c>
      <c r="D7360" t="inlineStr">
        <is>
          <t>GÄVLEBORGS LÄN</t>
        </is>
      </c>
      <c r="E7360" t="inlineStr">
        <is>
          <t>OVANÅKER</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37540-2025</t>
        </is>
      </c>
      <c r="B7361" s="1" t="n">
        <v>45879.455625</v>
      </c>
      <c r="C7361" s="1" t="n">
        <v>45883</v>
      </c>
      <c r="D7361" t="inlineStr">
        <is>
          <t>GÄVLEBORGS LÄN</t>
        </is>
      </c>
      <c r="E7361" t="inlineStr">
        <is>
          <t>OVANÅKER</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37563-2025</t>
        </is>
      </c>
      <c r="B7362" s="1" t="n">
        <v>45880.35030092593</v>
      </c>
      <c r="C7362" s="1" t="n">
        <v>45883</v>
      </c>
      <c r="D7362" t="inlineStr">
        <is>
          <t>GÄVLEBORGS LÄN</t>
        </is>
      </c>
      <c r="E7362" t="inlineStr">
        <is>
          <t>NORDANSTIG</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12236-2025</t>
        </is>
      </c>
      <c r="B7363" s="1" t="n">
        <v>45729.58193287037</v>
      </c>
      <c r="C7363" s="1" t="n">
        <v>45883</v>
      </c>
      <c r="D7363" t="inlineStr">
        <is>
          <t>GÄVLEBORGS LÄN</t>
        </is>
      </c>
      <c r="E7363" t="inlineStr">
        <is>
          <t>SANDVIKEN</t>
        </is>
      </c>
      <c r="F7363" t="inlineStr">
        <is>
          <t>Bergvik skog öst AB</t>
        </is>
      </c>
      <c r="G7363" t="n">
        <v>5.7</v>
      </c>
      <c r="H7363" t="n">
        <v>0</v>
      </c>
      <c r="I7363" t="n">
        <v>0</v>
      </c>
      <c r="J7363" t="n">
        <v>0</v>
      </c>
      <c r="K7363" t="n">
        <v>0</v>
      </c>
      <c r="L7363" t="n">
        <v>0</v>
      </c>
      <c r="M7363" t="n">
        <v>0</v>
      </c>
      <c r="N7363" t="n">
        <v>0</v>
      </c>
      <c r="O7363" t="n">
        <v>0</v>
      </c>
      <c r="P7363" t="n">
        <v>0</v>
      </c>
      <c r="Q7363" t="n">
        <v>0</v>
      </c>
      <c r="R7363" s="2" t="inlineStr"/>
    </row>
    <row r="7364" ht="15" customHeight="1">
      <c r="A7364" t="inlineStr">
        <is>
          <t>A 37640-2025</t>
        </is>
      </c>
      <c r="B7364" s="1" t="n">
        <v>45880.47621527778</v>
      </c>
      <c r="C7364" s="1" t="n">
        <v>45883</v>
      </c>
      <c r="D7364" t="inlineStr">
        <is>
          <t>GÄVLEBORGS LÄN</t>
        </is>
      </c>
      <c r="E7364" t="inlineStr">
        <is>
          <t>NORDANSTIG</t>
        </is>
      </c>
      <c r="F7364" t="inlineStr">
        <is>
          <t>Holmen skog AB</t>
        </is>
      </c>
      <c r="G7364" t="n">
        <v>6.8</v>
      </c>
      <c r="H7364" t="n">
        <v>0</v>
      </c>
      <c r="I7364" t="n">
        <v>0</v>
      </c>
      <c r="J7364" t="n">
        <v>0</v>
      </c>
      <c r="K7364" t="n">
        <v>0</v>
      </c>
      <c r="L7364" t="n">
        <v>0</v>
      </c>
      <c r="M7364" t="n">
        <v>0</v>
      </c>
      <c r="N7364" t="n">
        <v>0</v>
      </c>
      <c r="O7364" t="n">
        <v>0</v>
      </c>
      <c r="P7364" t="n">
        <v>0</v>
      </c>
      <c r="Q7364" t="n">
        <v>0</v>
      </c>
      <c r="R7364" s="2" t="inlineStr"/>
    </row>
    <row r="7365" ht="15" customHeight="1">
      <c r="A7365" t="inlineStr">
        <is>
          <t>A 17411-2025</t>
        </is>
      </c>
      <c r="B7365" s="1" t="n">
        <v>45757.37238425926</v>
      </c>
      <c r="C7365" s="1" t="n">
        <v>45883</v>
      </c>
      <c r="D7365" t="inlineStr">
        <is>
          <t>GÄVLEBORGS LÄN</t>
        </is>
      </c>
      <c r="E7365" t="inlineStr">
        <is>
          <t>SANDVIKEN</t>
        </is>
      </c>
      <c r="F7365" t="inlineStr">
        <is>
          <t>Bergvik skog öst AB</t>
        </is>
      </c>
      <c r="G7365" t="n">
        <v>9.6</v>
      </c>
      <c r="H7365" t="n">
        <v>0</v>
      </c>
      <c r="I7365" t="n">
        <v>0</v>
      </c>
      <c r="J7365" t="n">
        <v>0</v>
      </c>
      <c r="K7365" t="n">
        <v>0</v>
      </c>
      <c r="L7365" t="n">
        <v>0</v>
      </c>
      <c r="M7365" t="n">
        <v>0</v>
      </c>
      <c r="N7365" t="n">
        <v>0</v>
      </c>
      <c r="O7365" t="n">
        <v>0</v>
      </c>
      <c r="P7365" t="n">
        <v>0</v>
      </c>
      <c r="Q7365" t="n">
        <v>0</v>
      </c>
      <c r="R7365" s="2" t="inlineStr"/>
    </row>
    <row r="7366" ht="15" customHeight="1">
      <c r="A7366" t="inlineStr">
        <is>
          <t>A 12815-2025</t>
        </is>
      </c>
      <c r="B7366" s="1" t="n">
        <v>45733.62225694444</v>
      </c>
      <c r="C7366" s="1" t="n">
        <v>45883</v>
      </c>
      <c r="D7366" t="inlineStr">
        <is>
          <t>GÄVLEBORGS LÄN</t>
        </is>
      </c>
      <c r="E7366" t="inlineStr">
        <is>
          <t>BOLLNÄS</t>
        </is>
      </c>
      <c r="G7366" t="n">
        <v>2.9</v>
      </c>
      <c r="H7366" t="n">
        <v>0</v>
      </c>
      <c r="I7366" t="n">
        <v>0</v>
      </c>
      <c r="J7366" t="n">
        <v>0</v>
      </c>
      <c r="K7366" t="n">
        <v>0</v>
      </c>
      <c r="L7366" t="n">
        <v>0</v>
      </c>
      <c r="M7366" t="n">
        <v>0</v>
      </c>
      <c r="N7366" t="n">
        <v>0</v>
      </c>
      <c r="O7366" t="n">
        <v>0</v>
      </c>
      <c r="P7366" t="n">
        <v>0</v>
      </c>
      <c r="Q7366" t="n">
        <v>0</v>
      </c>
      <c r="R7366" s="2" t="inlineStr"/>
    </row>
    <row r="7367" ht="15" customHeight="1">
      <c r="A7367" t="inlineStr">
        <is>
          <t>A 32282-2025</t>
        </is>
      </c>
      <c r="B7367" s="1" t="n">
        <v>45835.67854166667</v>
      </c>
      <c r="C7367" s="1" t="n">
        <v>45883</v>
      </c>
      <c r="D7367" t="inlineStr">
        <is>
          <t>GÄVLEBORGS LÄN</t>
        </is>
      </c>
      <c r="E7367" t="inlineStr">
        <is>
          <t>LJUSDAL</t>
        </is>
      </c>
      <c r="F7367" t="inlineStr">
        <is>
          <t>Allmännings- och besparingsskogar</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18438-2024</t>
        </is>
      </c>
      <c r="B7368" s="1" t="n">
        <v>45425.44804398148</v>
      </c>
      <c r="C7368" s="1" t="n">
        <v>45883</v>
      </c>
      <c r="D7368" t="inlineStr">
        <is>
          <t>GÄVLEBORGS LÄN</t>
        </is>
      </c>
      <c r="E7368" t="inlineStr">
        <is>
          <t>BOLLNÄS</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57905-2022</t>
        </is>
      </c>
      <c r="B7369" s="1" t="n">
        <v>44900</v>
      </c>
      <c r="C7369" s="1" t="n">
        <v>45883</v>
      </c>
      <c r="D7369" t="inlineStr">
        <is>
          <t>GÄVLEBORGS LÄN</t>
        </is>
      </c>
      <c r="E7369" t="inlineStr">
        <is>
          <t>LJUSDAL</t>
        </is>
      </c>
      <c r="F7369" t="inlineStr">
        <is>
          <t>Allmännings- och besparingsskogar</t>
        </is>
      </c>
      <c r="G7369" t="n">
        <v>11.5</v>
      </c>
      <c r="H7369" t="n">
        <v>0</v>
      </c>
      <c r="I7369" t="n">
        <v>0</v>
      </c>
      <c r="J7369" t="n">
        <v>0</v>
      </c>
      <c r="K7369" t="n">
        <v>0</v>
      </c>
      <c r="L7369" t="n">
        <v>0</v>
      </c>
      <c r="M7369" t="n">
        <v>0</v>
      </c>
      <c r="N7369" t="n">
        <v>0</v>
      </c>
      <c r="O7369" t="n">
        <v>0</v>
      </c>
      <c r="P7369" t="n">
        <v>0</v>
      </c>
      <c r="Q7369" t="n">
        <v>0</v>
      </c>
      <c r="R7369" s="2" t="inlineStr"/>
    </row>
    <row r="7370" ht="15" customHeight="1">
      <c r="A7370" t="inlineStr">
        <is>
          <t>A 17375-2024</t>
        </is>
      </c>
      <c r="B7370" s="1" t="n">
        <v>45414.63744212963</v>
      </c>
      <c r="C7370" s="1" t="n">
        <v>45883</v>
      </c>
      <c r="D7370" t="inlineStr">
        <is>
          <t>GÄVLEBORGS LÄN</t>
        </is>
      </c>
      <c r="E7370" t="inlineStr">
        <is>
          <t>BOLLNÄS</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32507-2025</t>
        </is>
      </c>
      <c r="B7371" s="1" t="n">
        <v>45838.4712037037</v>
      </c>
      <c r="C7371" s="1" t="n">
        <v>45883</v>
      </c>
      <c r="D7371" t="inlineStr">
        <is>
          <t>GÄVLEBORGS LÄN</t>
        </is>
      </c>
      <c r="E7371" t="inlineStr">
        <is>
          <t>NORDANSTIG</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32533-2025</t>
        </is>
      </c>
      <c r="B7372" s="1" t="n">
        <v>45838.49317129629</v>
      </c>
      <c r="C7372" s="1" t="n">
        <v>45883</v>
      </c>
      <c r="D7372" t="inlineStr">
        <is>
          <t>GÄVLEBORGS LÄN</t>
        </is>
      </c>
      <c r="E7372" t="inlineStr">
        <is>
          <t>LJUSDAL</t>
        </is>
      </c>
      <c r="F7372" t="inlineStr">
        <is>
          <t>Sveaskog</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14961-2025</t>
        </is>
      </c>
      <c r="B7373" s="1" t="n">
        <v>45743.58578703704</v>
      </c>
      <c r="C7373" s="1" t="n">
        <v>45883</v>
      </c>
      <c r="D7373" t="inlineStr">
        <is>
          <t>GÄVLEBORGS LÄN</t>
        </is>
      </c>
      <c r="E7373" t="inlineStr">
        <is>
          <t>NORDANSTIG</t>
        </is>
      </c>
      <c r="F7373" t="inlineStr">
        <is>
          <t>Holmen skog AB</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33157-2025</t>
        </is>
      </c>
      <c r="B7374" s="1" t="n">
        <v>45840</v>
      </c>
      <c r="C7374" s="1" t="n">
        <v>45883</v>
      </c>
      <c r="D7374" t="inlineStr">
        <is>
          <t>GÄVLEBORGS LÄN</t>
        </is>
      </c>
      <c r="E7374" t="inlineStr">
        <is>
          <t>HUDIKSVALL</t>
        </is>
      </c>
      <c r="F7374" t="inlineStr">
        <is>
          <t>Holmen skog AB</t>
        </is>
      </c>
      <c r="G7374" t="n">
        <v>5.8</v>
      </c>
      <c r="H7374" t="n">
        <v>0</v>
      </c>
      <c r="I7374" t="n">
        <v>0</v>
      </c>
      <c r="J7374" t="n">
        <v>0</v>
      </c>
      <c r="K7374" t="n">
        <v>0</v>
      </c>
      <c r="L7374" t="n">
        <v>0</v>
      </c>
      <c r="M7374" t="n">
        <v>0</v>
      </c>
      <c r="N7374" t="n">
        <v>0</v>
      </c>
      <c r="O7374" t="n">
        <v>0</v>
      </c>
      <c r="P7374" t="n">
        <v>0</v>
      </c>
      <c r="Q7374" t="n">
        <v>0</v>
      </c>
      <c r="R7374" s="2" t="inlineStr"/>
    </row>
    <row r="7375" ht="15" customHeight="1">
      <c r="A7375" t="inlineStr">
        <is>
          <t>A 32742-2025</t>
        </is>
      </c>
      <c r="B7375" s="1" t="n">
        <v>45839</v>
      </c>
      <c r="C7375" s="1" t="n">
        <v>45883</v>
      </c>
      <c r="D7375" t="inlineStr">
        <is>
          <t>GÄVLEBORGS LÄN</t>
        </is>
      </c>
      <c r="E7375" t="inlineStr">
        <is>
          <t>SANDVIKEN</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14871-2025</t>
        </is>
      </c>
      <c r="B7376" s="1" t="n">
        <v>45743</v>
      </c>
      <c r="C7376" s="1" t="n">
        <v>45883</v>
      </c>
      <c r="D7376" t="inlineStr">
        <is>
          <t>GÄVLEBORGS LÄN</t>
        </is>
      </c>
      <c r="E7376" t="inlineStr">
        <is>
          <t>LJUSDAL</t>
        </is>
      </c>
      <c r="G7376" t="n">
        <v>10.9</v>
      </c>
      <c r="H7376" t="n">
        <v>0</v>
      </c>
      <c r="I7376" t="n">
        <v>0</v>
      </c>
      <c r="J7376" t="n">
        <v>0</v>
      </c>
      <c r="K7376" t="n">
        <v>0</v>
      </c>
      <c r="L7376" t="n">
        <v>0</v>
      </c>
      <c r="M7376" t="n">
        <v>0</v>
      </c>
      <c r="N7376" t="n">
        <v>0</v>
      </c>
      <c r="O7376" t="n">
        <v>0</v>
      </c>
      <c r="P7376" t="n">
        <v>0</v>
      </c>
      <c r="Q7376" t="n">
        <v>0</v>
      </c>
      <c r="R7376" s="2" t="inlineStr"/>
    </row>
    <row r="7377" ht="15" customHeight="1">
      <c r="A7377" t="inlineStr">
        <is>
          <t>A 33137-2025</t>
        </is>
      </c>
      <c r="B7377" s="1" t="n">
        <v>45840.5125</v>
      </c>
      <c r="C7377" s="1" t="n">
        <v>45883</v>
      </c>
      <c r="D7377" t="inlineStr">
        <is>
          <t>GÄVLEBORGS LÄN</t>
        </is>
      </c>
      <c r="E7377" t="inlineStr">
        <is>
          <t>BOLLNÄS</t>
        </is>
      </c>
      <c r="F7377" t="inlineStr">
        <is>
          <t>Bergvik skog väst AB</t>
        </is>
      </c>
      <c r="G7377" t="n">
        <v>3.8</v>
      </c>
      <c r="H7377" t="n">
        <v>0</v>
      </c>
      <c r="I7377" t="n">
        <v>0</v>
      </c>
      <c r="J7377" t="n">
        <v>0</v>
      </c>
      <c r="K7377" t="n">
        <v>0</v>
      </c>
      <c r="L7377" t="n">
        <v>0</v>
      </c>
      <c r="M7377" t="n">
        <v>0</v>
      </c>
      <c r="N7377" t="n">
        <v>0</v>
      </c>
      <c r="O7377" t="n">
        <v>0</v>
      </c>
      <c r="P7377" t="n">
        <v>0</v>
      </c>
      <c r="Q7377" t="n">
        <v>0</v>
      </c>
      <c r="R7377" s="2" t="inlineStr"/>
    </row>
    <row r="7378" ht="15" customHeight="1">
      <c r="A7378" t="inlineStr">
        <is>
          <t>A 33153-2025</t>
        </is>
      </c>
      <c r="B7378" s="1" t="n">
        <v>45840.55234953704</v>
      </c>
      <c r="C7378" s="1" t="n">
        <v>45883</v>
      </c>
      <c r="D7378" t="inlineStr">
        <is>
          <t>GÄVLEBORGS LÄN</t>
        </is>
      </c>
      <c r="E7378" t="inlineStr">
        <is>
          <t>BOLLNÄS</t>
        </is>
      </c>
      <c r="F7378" t="inlineStr">
        <is>
          <t>Bergvik skog väst AB</t>
        </is>
      </c>
      <c r="G7378" t="n">
        <v>6.1</v>
      </c>
      <c r="H7378" t="n">
        <v>0</v>
      </c>
      <c r="I7378" t="n">
        <v>0</v>
      </c>
      <c r="J7378" t="n">
        <v>0</v>
      </c>
      <c r="K7378" t="n">
        <v>0</v>
      </c>
      <c r="L7378" t="n">
        <v>0</v>
      </c>
      <c r="M7378" t="n">
        <v>0</v>
      </c>
      <c r="N7378" t="n">
        <v>0</v>
      </c>
      <c r="O7378" t="n">
        <v>0</v>
      </c>
      <c r="P7378" t="n">
        <v>0</v>
      </c>
      <c r="Q7378" t="n">
        <v>0</v>
      </c>
      <c r="R7378" s="2" t="inlineStr"/>
    </row>
    <row r="7379" ht="15" customHeight="1">
      <c r="A7379" t="inlineStr">
        <is>
          <t>A 33228-2025</t>
        </is>
      </c>
      <c r="B7379" s="1" t="n">
        <v>45840.63861111111</v>
      </c>
      <c r="C7379" s="1" t="n">
        <v>45883</v>
      </c>
      <c r="D7379" t="inlineStr">
        <is>
          <t>GÄVLEBORGS LÄN</t>
        </is>
      </c>
      <c r="E7379" t="inlineStr">
        <is>
          <t>OCKELBO</t>
        </is>
      </c>
      <c r="F7379" t="inlineStr">
        <is>
          <t>Bergvik skog väst AB</t>
        </is>
      </c>
      <c r="G7379" t="n">
        <v>3.9</v>
      </c>
      <c r="H7379" t="n">
        <v>0</v>
      </c>
      <c r="I7379" t="n">
        <v>0</v>
      </c>
      <c r="J7379" t="n">
        <v>0</v>
      </c>
      <c r="K7379" t="n">
        <v>0</v>
      </c>
      <c r="L7379" t="n">
        <v>0</v>
      </c>
      <c r="M7379" t="n">
        <v>0</v>
      </c>
      <c r="N7379" t="n">
        <v>0</v>
      </c>
      <c r="O7379" t="n">
        <v>0</v>
      </c>
      <c r="P7379" t="n">
        <v>0</v>
      </c>
      <c r="Q7379" t="n">
        <v>0</v>
      </c>
      <c r="R7379" s="2" t="inlineStr"/>
    </row>
    <row r="7380" ht="15" customHeight="1">
      <c r="A7380" t="inlineStr">
        <is>
          <t>A 32926-2025</t>
        </is>
      </c>
      <c r="B7380" s="1" t="n">
        <v>45839.6599074074</v>
      </c>
      <c r="C7380" s="1" t="n">
        <v>45883</v>
      </c>
      <c r="D7380" t="inlineStr">
        <is>
          <t>GÄVLEBORGS LÄN</t>
        </is>
      </c>
      <c r="E7380" t="inlineStr">
        <is>
          <t>OVANÅKER</t>
        </is>
      </c>
      <c r="F7380" t="inlineStr">
        <is>
          <t>Bergvik skog öst AB</t>
        </is>
      </c>
      <c r="G7380" t="n">
        <v>2.6</v>
      </c>
      <c r="H7380" t="n">
        <v>0</v>
      </c>
      <c r="I7380" t="n">
        <v>0</v>
      </c>
      <c r="J7380" t="n">
        <v>0</v>
      </c>
      <c r="K7380" t="n">
        <v>0</v>
      </c>
      <c r="L7380" t="n">
        <v>0</v>
      </c>
      <c r="M7380" t="n">
        <v>0</v>
      </c>
      <c r="N7380" t="n">
        <v>0</v>
      </c>
      <c r="O7380" t="n">
        <v>0</v>
      </c>
      <c r="P7380" t="n">
        <v>0</v>
      </c>
      <c r="Q7380" t="n">
        <v>0</v>
      </c>
      <c r="R7380" s="2" t="inlineStr"/>
    </row>
    <row r="7381" ht="15" customHeight="1">
      <c r="A7381" t="inlineStr">
        <is>
          <t>A 33079-2025</t>
        </is>
      </c>
      <c r="B7381" s="1" t="n">
        <v>45840.46055555555</v>
      </c>
      <c r="C7381" s="1" t="n">
        <v>45883</v>
      </c>
      <c r="D7381" t="inlineStr">
        <is>
          <t>GÄVLEBORGS LÄN</t>
        </is>
      </c>
      <c r="E7381" t="inlineStr">
        <is>
          <t>OCKELBO</t>
        </is>
      </c>
      <c r="F7381" t="inlineStr">
        <is>
          <t>Bergvik skog väst AB</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33097-2025</t>
        </is>
      </c>
      <c r="B7382" s="1" t="n">
        <v>45840.47582175926</v>
      </c>
      <c r="C7382" s="1" t="n">
        <v>45883</v>
      </c>
      <c r="D7382" t="inlineStr">
        <is>
          <t>GÄVLEBORGS LÄN</t>
        </is>
      </c>
      <c r="E7382" t="inlineStr">
        <is>
          <t>NORDANSTIG</t>
        </is>
      </c>
      <c r="F7382" t="inlineStr">
        <is>
          <t>Holmen skog AB</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38934-2024</t>
        </is>
      </c>
      <c r="B7383" s="1" t="n">
        <v>45548</v>
      </c>
      <c r="C7383" s="1" t="n">
        <v>45883</v>
      </c>
      <c r="D7383" t="inlineStr">
        <is>
          <t>GÄVLEBORGS LÄN</t>
        </is>
      </c>
      <c r="E7383" t="inlineStr">
        <is>
          <t>BOLLNÄS</t>
        </is>
      </c>
      <c r="F7383" t="inlineStr">
        <is>
          <t>Sveaskog</t>
        </is>
      </c>
      <c r="G7383" t="n">
        <v>7.4</v>
      </c>
      <c r="H7383" t="n">
        <v>0</v>
      </c>
      <c r="I7383" t="n">
        <v>0</v>
      </c>
      <c r="J7383" t="n">
        <v>0</v>
      </c>
      <c r="K7383" t="n">
        <v>0</v>
      </c>
      <c r="L7383" t="n">
        <v>0</v>
      </c>
      <c r="M7383" t="n">
        <v>0</v>
      </c>
      <c r="N7383" t="n">
        <v>0</v>
      </c>
      <c r="O7383" t="n">
        <v>0</v>
      </c>
      <c r="P7383" t="n">
        <v>0</v>
      </c>
      <c r="Q7383" t="n">
        <v>0</v>
      </c>
      <c r="R7383" s="2" t="inlineStr"/>
    </row>
    <row r="7384" ht="15" customHeight="1">
      <c r="A7384" t="inlineStr">
        <is>
          <t>A 38132-2025</t>
        </is>
      </c>
      <c r="B7384" s="1" t="n">
        <v>45882.561875</v>
      </c>
      <c r="C7384" s="1" t="n">
        <v>45883</v>
      </c>
      <c r="D7384" t="inlineStr">
        <is>
          <t>GÄVLEBORGS LÄN</t>
        </is>
      </c>
      <c r="E7384" t="inlineStr">
        <is>
          <t>GÄVLE</t>
        </is>
      </c>
      <c r="F7384" t="inlineStr">
        <is>
          <t>Bergvik skog väst AB</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39597-2024</t>
        </is>
      </c>
      <c r="B7385" s="1" t="n">
        <v>45552.37586805555</v>
      </c>
      <c r="C7385" s="1" t="n">
        <v>45883</v>
      </c>
      <c r="D7385" t="inlineStr">
        <is>
          <t>GÄVLEBORGS LÄN</t>
        </is>
      </c>
      <c r="E7385" t="inlineStr">
        <is>
          <t>LJUSDAL</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23848-2025</t>
        </is>
      </c>
      <c r="B7386" s="1" t="n">
        <v>45793</v>
      </c>
      <c r="C7386" s="1" t="n">
        <v>45883</v>
      </c>
      <c r="D7386" t="inlineStr">
        <is>
          <t>GÄVLEBORGS LÄN</t>
        </is>
      </c>
      <c r="E7386" t="inlineStr">
        <is>
          <t>BOLLNÄS</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37848-2025</t>
        </is>
      </c>
      <c r="B7387" s="1" t="n">
        <v>45881.44760416666</v>
      </c>
      <c r="C7387" s="1" t="n">
        <v>45883</v>
      </c>
      <c r="D7387" t="inlineStr">
        <is>
          <t>GÄVLEBORGS LÄN</t>
        </is>
      </c>
      <c r="E7387" t="inlineStr">
        <is>
          <t>NORDANSTIG</t>
        </is>
      </c>
      <c r="G7387" t="n">
        <v>0.3</v>
      </c>
      <c r="H7387" t="n">
        <v>0</v>
      </c>
      <c r="I7387" t="n">
        <v>0</v>
      </c>
      <c r="J7387" t="n">
        <v>0</v>
      </c>
      <c r="K7387" t="n">
        <v>0</v>
      </c>
      <c r="L7387" t="n">
        <v>0</v>
      </c>
      <c r="M7387" t="n">
        <v>0</v>
      </c>
      <c r="N7387" t="n">
        <v>0</v>
      </c>
      <c r="O7387" t="n">
        <v>0</v>
      </c>
      <c r="P7387" t="n">
        <v>0</v>
      </c>
      <c r="Q7387" t="n">
        <v>0</v>
      </c>
      <c r="R7387" s="2" t="inlineStr"/>
    </row>
    <row r="7388" ht="15" customHeight="1">
      <c r="A7388" t="inlineStr">
        <is>
          <t>A 37862-2025</t>
        </is>
      </c>
      <c r="B7388" s="1" t="n">
        <v>45881.46546296297</v>
      </c>
      <c r="C7388" s="1" t="n">
        <v>45883</v>
      </c>
      <c r="D7388" t="inlineStr">
        <is>
          <t>GÄVLEBORGS LÄN</t>
        </is>
      </c>
      <c r="E7388" t="inlineStr">
        <is>
          <t>HUDIKSVALL</t>
        </is>
      </c>
      <c r="F7388" t="inlineStr">
        <is>
          <t>Holmen skog AB</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9540-2021</t>
        </is>
      </c>
      <c r="B7389" s="1" t="n">
        <v>44251</v>
      </c>
      <c r="C7389" s="1" t="n">
        <v>45883</v>
      </c>
      <c r="D7389" t="inlineStr">
        <is>
          <t>GÄVLEBORGS LÄN</t>
        </is>
      </c>
      <c r="E7389" t="inlineStr">
        <is>
          <t>LJUSDAL</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32737-2025</t>
        </is>
      </c>
      <c r="B7390" s="1" t="n">
        <v>45839</v>
      </c>
      <c r="C7390" s="1" t="n">
        <v>45883</v>
      </c>
      <c r="D7390" t="inlineStr">
        <is>
          <t>GÄVLEBORGS LÄN</t>
        </is>
      </c>
      <c r="E7390" t="inlineStr">
        <is>
          <t>SANDVIKEN</t>
        </is>
      </c>
      <c r="F7390" t="inlineStr">
        <is>
          <t>Bergvik skog öst AB</t>
        </is>
      </c>
      <c r="G7390" t="n">
        <v>5.9</v>
      </c>
      <c r="H7390" t="n">
        <v>0</v>
      </c>
      <c r="I7390" t="n">
        <v>0</v>
      </c>
      <c r="J7390" t="n">
        <v>0</v>
      </c>
      <c r="K7390" t="n">
        <v>0</v>
      </c>
      <c r="L7390" t="n">
        <v>0</v>
      </c>
      <c r="M7390" t="n">
        <v>0</v>
      </c>
      <c r="N7390" t="n">
        <v>0</v>
      </c>
      <c r="O7390" t="n">
        <v>0</v>
      </c>
      <c r="P7390" t="n">
        <v>0</v>
      </c>
      <c r="Q7390" t="n">
        <v>0</v>
      </c>
      <c r="R7390" s="2" t="inlineStr"/>
    </row>
    <row r="7391" ht="15" customHeight="1">
      <c r="A7391" t="inlineStr">
        <is>
          <t>A 33714-2025</t>
        </is>
      </c>
      <c r="B7391" s="1" t="n">
        <v>45841</v>
      </c>
      <c r="C7391" s="1" t="n">
        <v>45883</v>
      </c>
      <c r="D7391" t="inlineStr">
        <is>
          <t>GÄVLEBORGS LÄN</t>
        </is>
      </c>
      <c r="E7391" t="inlineStr">
        <is>
          <t>HUDIKSVALL</t>
        </is>
      </c>
      <c r="F7391" t="inlineStr">
        <is>
          <t>Holmen skog AB</t>
        </is>
      </c>
      <c r="G7391" t="n">
        <v>3.8</v>
      </c>
      <c r="H7391" t="n">
        <v>0</v>
      </c>
      <c r="I7391" t="n">
        <v>0</v>
      </c>
      <c r="J7391" t="n">
        <v>0</v>
      </c>
      <c r="K7391" t="n">
        <v>0</v>
      </c>
      <c r="L7391" t="n">
        <v>0</v>
      </c>
      <c r="M7391" t="n">
        <v>0</v>
      </c>
      <c r="N7391" t="n">
        <v>0</v>
      </c>
      <c r="O7391" t="n">
        <v>0</v>
      </c>
      <c r="P7391" t="n">
        <v>0</v>
      </c>
      <c r="Q7391" t="n">
        <v>0</v>
      </c>
      <c r="R7391" s="2" t="inlineStr"/>
    </row>
    <row r="7392" ht="15" customHeight="1">
      <c r="A7392" t="inlineStr">
        <is>
          <t>A 33179-2025</t>
        </is>
      </c>
      <c r="B7392" s="1" t="n">
        <v>45840</v>
      </c>
      <c r="C7392" s="1" t="n">
        <v>45883</v>
      </c>
      <c r="D7392" t="inlineStr">
        <is>
          <t>GÄVLEBORGS LÄN</t>
        </is>
      </c>
      <c r="E7392" t="inlineStr">
        <is>
          <t>BOLLNÄS</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33197-2025</t>
        </is>
      </c>
      <c r="B7393" s="1" t="n">
        <v>45840.60472222222</v>
      </c>
      <c r="C7393" s="1" t="n">
        <v>45883</v>
      </c>
      <c r="D7393" t="inlineStr">
        <is>
          <t>GÄVLEBORGS LÄN</t>
        </is>
      </c>
      <c r="E7393" t="inlineStr">
        <is>
          <t>HUDIKSVALL</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33231-2025</t>
        </is>
      </c>
      <c r="B7394" s="1" t="n">
        <v>45840.64146990741</v>
      </c>
      <c r="C7394" s="1" t="n">
        <v>45883</v>
      </c>
      <c r="D7394" t="inlineStr">
        <is>
          <t>GÄVLEBORGS LÄN</t>
        </is>
      </c>
      <c r="E7394" t="inlineStr">
        <is>
          <t>OCKELBO</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32816-2025</t>
        </is>
      </c>
      <c r="B7395" s="1" t="n">
        <v>45839</v>
      </c>
      <c r="C7395" s="1" t="n">
        <v>45883</v>
      </c>
      <c r="D7395" t="inlineStr">
        <is>
          <t>GÄVLEBORGS LÄN</t>
        </is>
      </c>
      <c r="E7395" t="inlineStr">
        <is>
          <t>OCKELBO</t>
        </is>
      </c>
      <c r="F7395" t="inlineStr">
        <is>
          <t>Bergvik skog väst AB</t>
        </is>
      </c>
      <c r="G7395" t="n">
        <v>6.5</v>
      </c>
      <c r="H7395" t="n">
        <v>0</v>
      </c>
      <c r="I7395" t="n">
        <v>0</v>
      </c>
      <c r="J7395" t="n">
        <v>0</v>
      </c>
      <c r="K7395" t="n">
        <v>0</v>
      </c>
      <c r="L7395" t="n">
        <v>0</v>
      </c>
      <c r="M7395" t="n">
        <v>0</v>
      </c>
      <c r="N7395" t="n">
        <v>0</v>
      </c>
      <c r="O7395" t="n">
        <v>0</v>
      </c>
      <c r="P7395" t="n">
        <v>0</v>
      </c>
      <c r="Q7395" t="n">
        <v>0</v>
      </c>
      <c r="R7395" s="2" t="inlineStr"/>
    </row>
    <row r="7396" ht="15" customHeight="1">
      <c r="A7396" t="inlineStr">
        <is>
          <t>A 38089-2025</t>
        </is>
      </c>
      <c r="B7396" s="1" t="n">
        <v>45882.48065972222</v>
      </c>
      <c r="C7396" s="1" t="n">
        <v>45883</v>
      </c>
      <c r="D7396" t="inlineStr">
        <is>
          <t>GÄVLEBORGS LÄN</t>
        </is>
      </c>
      <c r="E7396" t="inlineStr">
        <is>
          <t>LJUSDAL</t>
        </is>
      </c>
      <c r="G7396" t="n">
        <v>5.4</v>
      </c>
      <c r="H7396" t="n">
        <v>0</v>
      </c>
      <c r="I7396" t="n">
        <v>0</v>
      </c>
      <c r="J7396" t="n">
        <v>0</v>
      </c>
      <c r="K7396" t="n">
        <v>0</v>
      </c>
      <c r="L7396" t="n">
        <v>0</v>
      </c>
      <c r="M7396" t="n">
        <v>0</v>
      </c>
      <c r="N7396" t="n">
        <v>0</v>
      </c>
      <c r="O7396" t="n">
        <v>0</v>
      </c>
      <c r="P7396" t="n">
        <v>0</v>
      </c>
      <c r="Q7396" t="n">
        <v>0</v>
      </c>
      <c r="R7396" s="2" t="inlineStr"/>
    </row>
    <row r="7397" ht="15" customHeight="1">
      <c r="A7397" t="inlineStr">
        <is>
          <t>A 32914-2025</t>
        </is>
      </c>
      <c r="B7397" s="1" t="n">
        <v>45839.63633101852</v>
      </c>
      <c r="C7397" s="1" t="n">
        <v>45883</v>
      </c>
      <c r="D7397" t="inlineStr">
        <is>
          <t>GÄVLEBORGS LÄN</t>
        </is>
      </c>
      <c r="E7397" t="inlineStr">
        <is>
          <t>OVANÅKER</t>
        </is>
      </c>
      <c r="F7397" t="inlineStr">
        <is>
          <t>Bergvik skog öst AB</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32815-2025</t>
        </is>
      </c>
      <c r="B7398" s="1" t="n">
        <v>45839.53114583333</v>
      </c>
      <c r="C7398" s="1" t="n">
        <v>45883</v>
      </c>
      <c r="D7398" t="inlineStr">
        <is>
          <t>GÄVLEBORGS LÄN</t>
        </is>
      </c>
      <c r="E7398" t="inlineStr">
        <is>
          <t>LJUSDAL</t>
        </is>
      </c>
      <c r="F7398" t="inlineStr">
        <is>
          <t>Sveaskog</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33051-2025</t>
        </is>
      </c>
      <c r="B7399" s="1" t="n">
        <v>45840.42487268519</v>
      </c>
      <c r="C7399" s="1" t="n">
        <v>45883</v>
      </c>
      <c r="D7399" t="inlineStr">
        <is>
          <t>GÄVLEBORGS LÄN</t>
        </is>
      </c>
      <c r="E7399" t="inlineStr">
        <is>
          <t>LJUSDAL</t>
        </is>
      </c>
      <c r="F7399" t="inlineStr">
        <is>
          <t>Allmännings- och besparingsskogar</t>
        </is>
      </c>
      <c r="G7399" t="n">
        <v>9.1</v>
      </c>
      <c r="H7399" t="n">
        <v>0</v>
      </c>
      <c r="I7399" t="n">
        <v>0</v>
      </c>
      <c r="J7399" t="n">
        <v>0</v>
      </c>
      <c r="K7399" t="n">
        <v>0</v>
      </c>
      <c r="L7399" t="n">
        <v>0</v>
      </c>
      <c r="M7399" t="n">
        <v>0</v>
      </c>
      <c r="N7399" t="n">
        <v>0</v>
      </c>
      <c r="O7399" t="n">
        <v>0</v>
      </c>
      <c r="P7399" t="n">
        <v>0</v>
      </c>
      <c r="Q7399" t="n">
        <v>0</v>
      </c>
      <c r="R7399" s="2" t="inlineStr"/>
    </row>
    <row r="7400" ht="15" customHeight="1">
      <c r="A7400" t="inlineStr">
        <is>
          <t>A 33124-2025</t>
        </is>
      </c>
      <c r="B7400" s="1" t="n">
        <v>45840.4965162037</v>
      </c>
      <c r="C7400" s="1" t="n">
        <v>45883</v>
      </c>
      <c r="D7400" t="inlineStr">
        <is>
          <t>GÄVLEBORGS LÄN</t>
        </is>
      </c>
      <c r="E7400" t="inlineStr">
        <is>
          <t>OCKELBO</t>
        </is>
      </c>
      <c r="G7400" t="n">
        <v>3.3</v>
      </c>
      <c r="H7400" t="n">
        <v>0</v>
      </c>
      <c r="I7400" t="n">
        <v>0</v>
      </c>
      <c r="J7400" t="n">
        <v>0</v>
      </c>
      <c r="K7400" t="n">
        <v>0</v>
      </c>
      <c r="L7400" t="n">
        <v>0</v>
      </c>
      <c r="M7400" t="n">
        <v>0</v>
      </c>
      <c r="N7400" t="n">
        <v>0</v>
      </c>
      <c r="O7400" t="n">
        <v>0</v>
      </c>
      <c r="P7400" t="n">
        <v>0</v>
      </c>
      <c r="Q7400" t="n">
        <v>0</v>
      </c>
      <c r="R7400" s="2" t="inlineStr"/>
    </row>
    <row r="7401" ht="15" customHeight="1">
      <c r="A7401" t="inlineStr">
        <is>
          <t>A 32831-2025</t>
        </is>
      </c>
      <c r="B7401" s="1" t="n">
        <v>45839.55167824074</v>
      </c>
      <c r="C7401" s="1" t="n">
        <v>45883</v>
      </c>
      <c r="D7401" t="inlineStr">
        <is>
          <t>GÄVLEBORGS LÄN</t>
        </is>
      </c>
      <c r="E7401" t="inlineStr">
        <is>
          <t>OVANÅKER</t>
        </is>
      </c>
      <c r="F7401" t="inlineStr">
        <is>
          <t>Bergvik skog väst AB</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37391-2025</t>
        </is>
      </c>
      <c r="B7402" s="1" t="n">
        <v>45877.40203703703</v>
      </c>
      <c r="C7402" s="1" t="n">
        <v>45883</v>
      </c>
      <c r="D7402" t="inlineStr">
        <is>
          <t>GÄVLEBORGS LÄN</t>
        </is>
      </c>
      <c r="E7402" t="inlineStr">
        <is>
          <t>OVANÅKER</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36418-2025</t>
        </is>
      </c>
      <c r="B7403" s="1" t="n">
        <v>45868</v>
      </c>
      <c r="C7403" s="1" t="n">
        <v>45883</v>
      </c>
      <c r="D7403" t="inlineStr">
        <is>
          <t>GÄVLEBORGS LÄN</t>
        </is>
      </c>
      <c r="E7403" t="inlineStr">
        <is>
          <t>HUDIKSVALL</t>
        </is>
      </c>
      <c r="G7403" t="n">
        <v>6.1</v>
      </c>
      <c r="H7403" t="n">
        <v>0</v>
      </c>
      <c r="I7403" t="n">
        <v>0</v>
      </c>
      <c r="J7403" t="n">
        <v>0</v>
      </c>
      <c r="K7403" t="n">
        <v>0</v>
      </c>
      <c r="L7403" t="n">
        <v>0</v>
      </c>
      <c r="M7403" t="n">
        <v>0</v>
      </c>
      <c r="N7403" t="n">
        <v>0</v>
      </c>
      <c r="O7403" t="n">
        <v>0</v>
      </c>
      <c r="P7403" t="n">
        <v>0</v>
      </c>
      <c r="Q7403" t="n">
        <v>0</v>
      </c>
      <c r="R7403" s="2" t="inlineStr"/>
    </row>
    <row r="7404" ht="15" customHeight="1">
      <c r="A7404" t="inlineStr">
        <is>
          <t>A 32694-2025</t>
        </is>
      </c>
      <c r="B7404" s="1" t="n">
        <v>45839.30681712963</v>
      </c>
      <c r="C7404" s="1" t="n">
        <v>45883</v>
      </c>
      <c r="D7404" t="inlineStr">
        <is>
          <t>GÄVLEBORGS LÄN</t>
        </is>
      </c>
      <c r="E7404" t="inlineStr">
        <is>
          <t>LJUSDAL</t>
        </is>
      </c>
      <c r="F7404" t="inlineStr">
        <is>
          <t>Sveaskog</t>
        </is>
      </c>
      <c r="G7404" t="n">
        <v>4.2</v>
      </c>
      <c r="H7404" t="n">
        <v>0</v>
      </c>
      <c r="I7404" t="n">
        <v>0</v>
      </c>
      <c r="J7404" t="n">
        <v>0</v>
      </c>
      <c r="K7404" t="n">
        <v>0</v>
      </c>
      <c r="L7404" t="n">
        <v>0</v>
      </c>
      <c r="M7404" t="n">
        <v>0</v>
      </c>
      <c r="N7404" t="n">
        <v>0</v>
      </c>
      <c r="O7404" t="n">
        <v>0</v>
      </c>
      <c r="P7404" t="n">
        <v>0</v>
      </c>
      <c r="Q7404" t="n">
        <v>0</v>
      </c>
      <c r="R7404" s="2" t="inlineStr"/>
    </row>
    <row r="7405" ht="15" customHeight="1">
      <c r="A7405" t="inlineStr">
        <is>
          <t>A 37811-2025</t>
        </is>
      </c>
      <c r="B7405" s="1" t="n">
        <v>45881.3714699074</v>
      </c>
      <c r="C7405" s="1" t="n">
        <v>45883</v>
      </c>
      <c r="D7405" t="inlineStr">
        <is>
          <t>GÄVLEBORGS LÄN</t>
        </is>
      </c>
      <c r="E7405" t="inlineStr">
        <is>
          <t>HUDIKSVALL</t>
        </is>
      </c>
      <c r="F7405" t="inlineStr">
        <is>
          <t>Holmen skog AB</t>
        </is>
      </c>
      <c r="G7405" t="n">
        <v>7.8</v>
      </c>
      <c r="H7405" t="n">
        <v>0</v>
      </c>
      <c r="I7405" t="n">
        <v>0</v>
      </c>
      <c r="J7405" t="n">
        <v>0</v>
      </c>
      <c r="K7405" t="n">
        <v>0</v>
      </c>
      <c r="L7405" t="n">
        <v>0</v>
      </c>
      <c r="M7405" t="n">
        <v>0</v>
      </c>
      <c r="N7405" t="n">
        <v>0</v>
      </c>
      <c r="O7405" t="n">
        <v>0</v>
      </c>
      <c r="P7405" t="n">
        <v>0</v>
      </c>
      <c r="Q7405" t="n">
        <v>0</v>
      </c>
      <c r="R7405" s="2" t="inlineStr"/>
    </row>
    <row r="7406" ht="15" customHeight="1">
      <c r="A7406" t="inlineStr">
        <is>
          <t>A 32729-2025</t>
        </is>
      </c>
      <c r="B7406" s="1" t="n">
        <v>45839</v>
      </c>
      <c r="C7406" s="1" t="n">
        <v>45883</v>
      </c>
      <c r="D7406" t="inlineStr">
        <is>
          <t>GÄVLEBORGS LÄN</t>
        </is>
      </c>
      <c r="E7406" t="inlineStr">
        <is>
          <t>SÖDERHAMN</t>
        </is>
      </c>
      <c r="G7406" t="n">
        <v>3.3</v>
      </c>
      <c r="H7406" t="n">
        <v>0</v>
      </c>
      <c r="I7406" t="n">
        <v>0</v>
      </c>
      <c r="J7406" t="n">
        <v>0</v>
      </c>
      <c r="K7406" t="n">
        <v>0</v>
      </c>
      <c r="L7406" t="n">
        <v>0</v>
      </c>
      <c r="M7406" t="n">
        <v>0</v>
      </c>
      <c r="N7406" t="n">
        <v>0</v>
      </c>
      <c r="O7406" t="n">
        <v>0</v>
      </c>
      <c r="P7406" t="n">
        <v>0</v>
      </c>
      <c r="Q7406" t="n">
        <v>0</v>
      </c>
      <c r="R7406" s="2" t="inlineStr"/>
    </row>
    <row r="7407" ht="15" customHeight="1">
      <c r="A7407" t="inlineStr">
        <is>
          <t>A 32907-2025</t>
        </is>
      </c>
      <c r="B7407" s="1" t="n">
        <v>45839.62800925926</v>
      </c>
      <c r="C7407" s="1" t="n">
        <v>45883</v>
      </c>
      <c r="D7407" t="inlineStr">
        <is>
          <t>GÄVLEBORGS LÄN</t>
        </is>
      </c>
      <c r="E7407" t="inlineStr">
        <is>
          <t>SANDVIKEN</t>
        </is>
      </c>
      <c r="F7407" t="inlineStr">
        <is>
          <t>Naturvårdsverket</t>
        </is>
      </c>
      <c r="G7407" t="n">
        <v>10.4</v>
      </c>
      <c r="H7407" t="n">
        <v>0</v>
      </c>
      <c r="I7407" t="n">
        <v>0</v>
      </c>
      <c r="J7407" t="n">
        <v>0</v>
      </c>
      <c r="K7407" t="n">
        <v>0</v>
      </c>
      <c r="L7407" t="n">
        <v>0</v>
      </c>
      <c r="M7407" t="n">
        <v>0</v>
      </c>
      <c r="N7407" t="n">
        <v>0</v>
      </c>
      <c r="O7407" t="n">
        <v>0</v>
      </c>
      <c r="P7407" t="n">
        <v>0</v>
      </c>
      <c r="Q7407" t="n">
        <v>0</v>
      </c>
      <c r="R7407" s="2" t="inlineStr"/>
    </row>
    <row r="7408" ht="15" customHeight="1">
      <c r="A7408" t="inlineStr">
        <is>
          <t>A 66493-2021</t>
        </is>
      </c>
      <c r="B7408" s="1" t="n">
        <v>44519.03226851852</v>
      </c>
      <c r="C7408" s="1" t="n">
        <v>45883</v>
      </c>
      <c r="D7408" t="inlineStr">
        <is>
          <t>GÄVLEBORGS LÄN</t>
        </is>
      </c>
      <c r="E7408" t="inlineStr">
        <is>
          <t>GÄVLE</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38007-2025</t>
        </is>
      </c>
      <c r="B7409" s="1" t="n">
        <v>45882</v>
      </c>
      <c r="C7409" s="1" t="n">
        <v>45883</v>
      </c>
      <c r="D7409" t="inlineStr">
        <is>
          <t>GÄVLEBORGS LÄN</t>
        </is>
      </c>
      <c r="E7409" t="inlineStr">
        <is>
          <t>LJUSDAL</t>
        </is>
      </c>
      <c r="F7409" t="inlineStr">
        <is>
          <t>Naturvårdsverket</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32824-2025</t>
        </is>
      </c>
      <c r="B7410" s="1" t="n">
        <v>45839</v>
      </c>
      <c r="C7410" s="1" t="n">
        <v>45883</v>
      </c>
      <c r="D7410" t="inlineStr">
        <is>
          <t>GÄVLEBORGS LÄN</t>
        </is>
      </c>
      <c r="E7410" t="inlineStr">
        <is>
          <t>OCKELBO</t>
        </is>
      </c>
      <c r="F7410" t="inlineStr">
        <is>
          <t>Bergvik skog väst AB</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38043-2025</t>
        </is>
      </c>
      <c r="B7411" s="1" t="n">
        <v>45882.39199074074</v>
      </c>
      <c r="C7411" s="1" t="n">
        <v>45883</v>
      </c>
      <c r="D7411" t="inlineStr">
        <is>
          <t>GÄVLEBORGS LÄN</t>
        </is>
      </c>
      <c r="E7411" t="inlineStr">
        <is>
          <t>NORDANSTIG</t>
        </is>
      </c>
      <c r="F7411" t="inlineStr">
        <is>
          <t>Holmen skog AB</t>
        </is>
      </c>
      <c r="G7411" t="n">
        <v>10.1</v>
      </c>
      <c r="H7411" t="n">
        <v>0</v>
      </c>
      <c r="I7411" t="n">
        <v>0</v>
      </c>
      <c r="J7411" t="n">
        <v>0</v>
      </c>
      <c r="K7411" t="n">
        <v>0</v>
      </c>
      <c r="L7411" t="n">
        <v>0</v>
      </c>
      <c r="M7411" t="n">
        <v>0</v>
      </c>
      <c r="N7411" t="n">
        <v>0</v>
      </c>
      <c r="O7411" t="n">
        <v>0</v>
      </c>
      <c r="P7411" t="n">
        <v>0</v>
      </c>
      <c r="Q7411" t="n">
        <v>0</v>
      </c>
      <c r="R7411" s="2" t="inlineStr"/>
    </row>
    <row r="7412" ht="15" customHeight="1">
      <c r="A7412" t="inlineStr">
        <is>
          <t>A 38077-2025</t>
        </is>
      </c>
      <c r="B7412" s="1" t="n">
        <v>45882.4669212963</v>
      </c>
      <c r="C7412" s="1" t="n">
        <v>45883</v>
      </c>
      <c r="D7412" t="inlineStr">
        <is>
          <t>GÄVLEBORGS LÄN</t>
        </is>
      </c>
      <c r="E7412" t="inlineStr">
        <is>
          <t>HUDIKSVALL</t>
        </is>
      </c>
      <c r="G7412" t="n">
        <v>4.5</v>
      </c>
      <c r="H7412" t="n">
        <v>0</v>
      </c>
      <c r="I7412" t="n">
        <v>0</v>
      </c>
      <c r="J7412" t="n">
        <v>0</v>
      </c>
      <c r="K7412" t="n">
        <v>0</v>
      </c>
      <c r="L7412" t="n">
        <v>0</v>
      </c>
      <c r="M7412" t="n">
        <v>0</v>
      </c>
      <c r="N7412" t="n">
        <v>0</v>
      </c>
      <c r="O7412" t="n">
        <v>0</v>
      </c>
      <c r="P7412" t="n">
        <v>0</v>
      </c>
      <c r="Q7412" t="n">
        <v>0</v>
      </c>
      <c r="R7412" s="2" t="inlineStr"/>
    </row>
    <row r="7413" ht="15" customHeight="1">
      <c r="A7413" t="inlineStr">
        <is>
          <t>A 38088-2025</t>
        </is>
      </c>
      <c r="B7413" s="1" t="n">
        <v>45882.47858796296</v>
      </c>
      <c r="C7413" s="1" t="n">
        <v>45883</v>
      </c>
      <c r="D7413" t="inlineStr">
        <is>
          <t>GÄVLEBORGS LÄN</t>
        </is>
      </c>
      <c r="E7413" t="inlineStr">
        <is>
          <t>LJUSDAL</t>
        </is>
      </c>
      <c r="F7413" t="inlineStr">
        <is>
          <t>Sveaskog</t>
        </is>
      </c>
      <c r="G7413" t="n">
        <v>3</v>
      </c>
      <c r="H7413" t="n">
        <v>0</v>
      </c>
      <c r="I7413" t="n">
        <v>0</v>
      </c>
      <c r="J7413" t="n">
        <v>0</v>
      </c>
      <c r="K7413" t="n">
        <v>0</v>
      </c>
      <c r="L7413" t="n">
        <v>0</v>
      </c>
      <c r="M7413" t="n">
        <v>0</v>
      </c>
      <c r="N7413" t="n">
        <v>0</v>
      </c>
      <c r="O7413" t="n">
        <v>0</v>
      </c>
      <c r="P7413" t="n">
        <v>0</v>
      </c>
      <c r="Q7413" t="n">
        <v>0</v>
      </c>
      <c r="R7413" s="2" t="inlineStr"/>
    </row>
    <row r="7414" ht="15" customHeight="1">
      <c r="A7414" t="inlineStr">
        <is>
          <t>A 37088-2024</t>
        </is>
      </c>
      <c r="B7414" s="1" t="n">
        <v>45539.49841435185</v>
      </c>
      <c r="C7414" s="1" t="n">
        <v>45883</v>
      </c>
      <c r="D7414" t="inlineStr">
        <is>
          <t>GÄVLEBORGS LÄN</t>
        </is>
      </c>
      <c r="E7414" t="inlineStr">
        <is>
          <t>LJUSDAL</t>
        </is>
      </c>
      <c r="F7414" t="inlineStr">
        <is>
          <t>Sveaskog</t>
        </is>
      </c>
      <c r="G7414" t="n">
        <v>9.699999999999999</v>
      </c>
      <c r="H7414" t="n">
        <v>0</v>
      </c>
      <c r="I7414" t="n">
        <v>0</v>
      </c>
      <c r="J7414" t="n">
        <v>0</v>
      </c>
      <c r="K7414" t="n">
        <v>0</v>
      </c>
      <c r="L7414" t="n">
        <v>0</v>
      </c>
      <c r="M7414" t="n">
        <v>0</v>
      </c>
      <c r="N7414" t="n">
        <v>0</v>
      </c>
      <c r="O7414" t="n">
        <v>0</v>
      </c>
      <c r="P7414" t="n">
        <v>0</v>
      </c>
      <c r="Q7414" t="n">
        <v>0</v>
      </c>
      <c r="R7414" s="2" t="inlineStr"/>
    </row>
    <row r="7415" ht="15" customHeight="1">
      <c r="A7415" t="inlineStr">
        <is>
          <t>A 38187-2025</t>
        </is>
      </c>
      <c r="B7415" s="1" t="n">
        <v>45882.6533449074</v>
      </c>
      <c r="C7415" s="1" t="n">
        <v>45883</v>
      </c>
      <c r="D7415" t="inlineStr">
        <is>
          <t>GÄVLEBORGS LÄN</t>
        </is>
      </c>
      <c r="E7415" t="inlineStr">
        <is>
          <t>LJUSDAL</t>
        </is>
      </c>
      <c r="G7415" t="n">
        <v>9.300000000000001</v>
      </c>
      <c r="H7415" t="n">
        <v>0</v>
      </c>
      <c r="I7415" t="n">
        <v>0</v>
      </c>
      <c r="J7415" t="n">
        <v>0</v>
      </c>
      <c r="K7415" t="n">
        <v>0</v>
      </c>
      <c r="L7415" t="n">
        <v>0</v>
      </c>
      <c r="M7415" t="n">
        <v>0</v>
      </c>
      <c r="N7415" t="n">
        <v>0</v>
      </c>
      <c r="O7415" t="n">
        <v>0</v>
      </c>
      <c r="P7415" t="n">
        <v>0</v>
      </c>
      <c r="Q7415" t="n">
        <v>0</v>
      </c>
      <c r="R7415" s="2" t="inlineStr"/>
    </row>
    <row r="7416" ht="15" customHeight="1">
      <c r="A7416" t="inlineStr">
        <is>
          <t>A 7060-2022</t>
        </is>
      </c>
      <c r="B7416" s="1" t="n">
        <v>44603.53943287037</v>
      </c>
      <c r="C7416" s="1" t="n">
        <v>45883</v>
      </c>
      <c r="D7416" t="inlineStr">
        <is>
          <t>GÄVLEBORGS LÄN</t>
        </is>
      </c>
      <c r="E7416" t="inlineStr">
        <is>
          <t>GÄVLE</t>
        </is>
      </c>
      <c r="G7416" t="n">
        <v>10</v>
      </c>
      <c r="H7416" t="n">
        <v>0</v>
      </c>
      <c r="I7416" t="n">
        <v>0</v>
      </c>
      <c r="J7416" t="n">
        <v>0</v>
      </c>
      <c r="K7416" t="n">
        <v>0</v>
      </c>
      <c r="L7416" t="n">
        <v>0</v>
      </c>
      <c r="M7416" t="n">
        <v>0</v>
      </c>
      <c r="N7416" t="n">
        <v>0</v>
      </c>
      <c r="O7416" t="n">
        <v>0</v>
      </c>
      <c r="P7416" t="n">
        <v>0</v>
      </c>
      <c r="Q7416" t="n">
        <v>0</v>
      </c>
      <c r="R7416" s="2" t="inlineStr"/>
    </row>
    <row r="7417" ht="15" customHeight="1">
      <c r="A7417" t="inlineStr">
        <is>
          <t>A 53268-2024</t>
        </is>
      </c>
      <c r="B7417" s="1" t="n">
        <v>45614</v>
      </c>
      <c r="C7417" s="1" t="n">
        <v>45883</v>
      </c>
      <c r="D7417" t="inlineStr">
        <is>
          <t>GÄVLEBORGS LÄN</t>
        </is>
      </c>
      <c r="E7417" t="inlineStr">
        <is>
          <t>GÄVLE</t>
        </is>
      </c>
      <c r="F7417" t="inlineStr">
        <is>
          <t>Bergvik skog öst AB</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20708-2021</t>
        </is>
      </c>
      <c r="B7418" s="1" t="n">
        <v>44316</v>
      </c>
      <c r="C7418" s="1" t="n">
        <v>45883</v>
      </c>
      <c r="D7418" t="inlineStr">
        <is>
          <t>GÄVLEBORGS LÄN</t>
        </is>
      </c>
      <c r="E7418" t="inlineStr">
        <is>
          <t>HUDIKSVALL</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58530-2022</t>
        </is>
      </c>
      <c r="B7419" s="1" t="n">
        <v>44902.43958333333</v>
      </c>
      <c r="C7419" s="1" t="n">
        <v>45883</v>
      </c>
      <c r="D7419" t="inlineStr">
        <is>
          <t>GÄVLEBORGS LÄN</t>
        </is>
      </c>
      <c r="E7419" t="inlineStr">
        <is>
          <t>LJUSDAL</t>
        </is>
      </c>
      <c r="G7419" t="n">
        <v>4.8</v>
      </c>
      <c r="H7419" t="n">
        <v>0</v>
      </c>
      <c r="I7419" t="n">
        <v>0</v>
      </c>
      <c r="J7419" t="n">
        <v>0</v>
      </c>
      <c r="K7419" t="n">
        <v>0</v>
      </c>
      <c r="L7419" t="n">
        <v>0</v>
      </c>
      <c r="M7419" t="n">
        <v>0</v>
      </c>
      <c r="N7419" t="n">
        <v>0</v>
      </c>
      <c r="O7419" t="n">
        <v>0</v>
      </c>
      <c r="P7419" t="n">
        <v>0</v>
      </c>
      <c r="Q7419" t="n">
        <v>0</v>
      </c>
      <c r="R7419" s="2" t="inlineStr"/>
    </row>
    <row r="7420" ht="15" customHeight="1">
      <c r="A7420" t="inlineStr">
        <is>
          <t>A 32886-2025</t>
        </is>
      </c>
      <c r="B7420" s="1" t="n">
        <v>45839.59930555556</v>
      </c>
      <c r="C7420" s="1" t="n">
        <v>45883</v>
      </c>
      <c r="D7420" t="inlineStr">
        <is>
          <t>GÄVLEBORGS LÄN</t>
        </is>
      </c>
      <c r="E7420" t="inlineStr">
        <is>
          <t>OVANÅKER</t>
        </is>
      </c>
      <c r="F7420" t="inlineStr">
        <is>
          <t>Bergvik skog öst AB</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59901-2022</t>
        </is>
      </c>
      <c r="B7421" s="1" t="n">
        <v>44908.89185185185</v>
      </c>
      <c r="C7421" s="1" t="n">
        <v>45883</v>
      </c>
      <c r="D7421" t="inlineStr">
        <is>
          <t>GÄVLEBORGS LÄN</t>
        </is>
      </c>
      <c r="E7421" t="inlineStr">
        <is>
          <t>LJUSDAL</t>
        </is>
      </c>
      <c r="G7421" t="n">
        <v>10.3</v>
      </c>
      <c r="H7421" t="n">
        <v>0</v>
      </c>
      <c r="I7421" t="n">
        <v>0</v>
      </c>
      <c r="J7421" t="n">
        <v>0</v>
      </c>
      <c r="K7421" t="n">
        <v>0</v>
      </c>
      <c r="L7421" t="n">
        <v>0</v>
      </c>
      <c r="M7421" t="n">
        <v>0</v>
      </c>
      <c r="N7421" t="n">
        <v>0</v>
      </c>
      <c r="O7421" t="n">
        <v>0</v>
      </c>
      <c r="P7421" t="n">
        <v>0</v>
      </c>
      <c r="Q7421" t="n">
        <v>0</v>
      </c>
      <c r="R7421" s="2" t="inlineStr"/>
    </row>
    <row r="7422" ht="15" customHeight="1">
      <c r="A7422" t="inlineStr">
        <is>
          <t>A 7998-2023</t>
        </is>
      </c>
      <c r="B7422" s="1" t="n">
        <v>44973</v>
      </c>
      <c r="C7422" s="1" t="n">
        <v>45883</v>
      </c>
      <c r="D7422" t="inlineStr">
        <is>
          <t>GÄVLEBORGS LÄN</t>
        </is>
      </c>
      <c r="E7422" t="inlineStr">
        <is>
          <t>GÄVLE</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38185-2025</t>
        </is>
      </c>
      <c r="B7423" s="1" t="n">
        <v>45882.6513425926</v>
      </c>
      <c r="C7423" s="1" t="n">
        <v>45883</v>
      </c>
      <c r="D7423" t="inlineStr">
        <is>
          <t>GÄVLEBORGS LÄN</t>
        </is>
      </c>
      <c r="E7423" t="inlineStr">
        <is>
          <t>NORDANSTIG</t>
        </is>
      </c>
      <c r="G7423" t="n">
        <v>5</v>
      </c>
      <c r="H7423" t="n">
        <v>0</v>
      </c>
      <c r="I7423" t="n">
        <v>0</v>
      </c>
      <c r="J7423" t="n">
        <v>0</v>
      </c>
      <c r="K7423" t="n">
        <v>0</v>
      </c>
      <c r="L7423" t="n">
        <v>0</v>
      </c>
      <c r="M7423" t="n">
        <v>0</v>
      </c>
      <c r="N7423" t="n">
        <v>0</v>
      </c>
      <c r="O7423" t="n">
        <v>0</v>
      </c>
      <c r="P7423" t="n">
        <v>0</v>
      </c>
      <c r="Q7423" t="n">
        <v>0</v>
      </c>
      <c r="R7423" s="2" t="inlineStr"/>
    </row>
    <row r="7424" ht="15" customHeight="1">
      <c r="A7424" t="inlineStr">
        <is>
          <t>A 38196-2025</t>
        </is>
      </c>
      <c r="B7424" s="1" t="n">
        <v>45882.66326388889</v>
      </c>
      <c r="C7424" s="1" t="n">
        <v>45883</v>
      </c>
      <c r="D7424" t="inlineStr">
        <is>
          <t>GÄVLEBORGS LÄN</t>
        </is>
      </c>
      <c r="E7424" t="inlineStr">
        <is>
          <t>LJUSDAL</t>
        </is>
      </c>
      <c r="F7424" t="inlineStr">
        <is>
          <t>Sveaskog</t>
        </is>
      </c>
      <c r="G7424" t="n">
        <v>19.3</v>
      </c>
      <c r="H7424" t="n">
        <v>0</v>
      </c>
      <c r="I7424" t="n">
        <v>0</v>
      </c>
      <c r="J7424" t="n">
        <v>0</v>
      </c>
      <c r="K7424" t="n">
        <v>0</v>
      </c>
      <c r="L7424" t="n">
        <v>0</v>
      </c>
      <c r="M7424" t="n">
        <v>0</v>
      </c>
      <c r="N7424" t="n">
        <v>0</v>
      </c>
      <c r="O7424" t="n">
        <v>0</v>
      </c>
      <c r="P7424" t="n">
        <v>0</v>
      </c>
      <c r="Q7424" t="n">
        <v>0</v>
      </c>
      <c r="R7424" s="2" t="inlineStr"/>
    </row>
    <row r="7425" ht="15" customHeight="1">
      <c r="A7425" t="inlineStr">
        <is>
          <t>A 34666-2025</t>
        </is>
      </c>
      <c r="B7425" s="1" t="n">
        <v>45848</v>
      </c>
      <c r="C7425" s="1" t="n">
        <v>45883</v>
      </c>
      <c r="D7425" t="inlineStr">
        <is>
          <t>GÄVLEBORGS LÄN</t>
        </is>
      </c>
      <c r="E7425" t="inlineStr">
        <is>
          <t>GÄVLE</t>
        </is>
      </c>
      <c r="G7425" t="n">
        <v>4.9</v>
      </c>
      <c r="H7425" t="n">
        <v>0</v>
      </c>
      <c r="I7425" t="n">
        <v>0</v>
      </c>
      <c r="J7425" t="n">
        <v>0</v>
      </c>
      <c r="K7425" t="n">
        <v>0</v>
      </c>
      <c r="L7425" t="n">
        <v>0</v>
      </c>
      <c r="M7425" t="n">
        <v>0</v>
      </c>
      <c r="N7425" t="n">
        <v>0</v>
      </c>
      <c r="O7425" t="n">
        <v>0</v>
      </c>
      <c r="P7425" t="n">
        <v>0</v>
      </c>
      <c r="Q7425" t="n">
        <v>0</v>
      </c>
      <c r="R7425" s="2" t="inlineStr"/>
    </row>
    <row r="7426" ht="15" customHeight="1">
      <c r="A7426" t="inlineStr">
        <is>
          <t>A 32930-2025</t>
        </is>
      </c>
      <c r="B7426" s="1" t="n">
        <v>45839.66732638889</v>
      </c>
      <c r="C7426" s="1" t="n">
        <v>45883</v>
      </c>
      <c r="D7426" t="inlineStr">
        <is>
          <t>GÄVLEBORGS LÄN</t>
        </is>
      </c>
      <c r="E7426" t="inlineStr">
        <is>
          <t>OVANÅKER</t>
        </is>
      </c>
      <c r="F7426" t="inlineStr">
        <is>
          <t>Bergvik skog öst AB</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32932-2025</t>
        </is>
      </c>
      <c r="B7427" s="1" t="n">
        <v>45839.67134259259</v>
      </c>
      <c r="C7427" s="1" t="n">
        <v>45883</v>
      </c>
      <c r="D7427" t="inlineStr">
        <is>
          <t>GÄVLEBORGS LÄN</t>
        </is>
      </c>
      <c r="E7427" t="inlineStr">
        <is>
          <t>OVANÅKER</t>
        </is>
      </c>
      <c r="F7427" t="inlineStr">
        <is>
          <t>Bergvik skog öst AB</t>
        </is>
      </c>
      <c r="G7427" t="n">
        <v>9.6</v>
      </c>
      <c r="H7427" t="n">
        <v>0</v>
      </c>
      <c r="I7427" t="n">
        <v>0</v>
      </c>
      <c r="J7427" t="n">
        <v>0</v>
      </c>
      <c r="K7427" t="n">
        <v>0</v>
      </c>
      <c r="L7427" t="n">
        <v>0</v>
      </c>
      <c r="M7427" t="n">
        <v>0</v>
      </c>
      <c r="N7427" t="n">
        <v>0</v>
      </c>
      <c r="O7427" t="n">
        <v>0</v>
      </c>
      <c r="P7427" t="n">
        <v>0</v>
      </c>
      <c r="Q7427" t="n">
        <v>0</v>
      </c>
      <c r="R7427" s="2" t="inlineStr"/>
    </row>
    <row r="7428" ht="15" customHeight="1">
      <c r="A7428" t="inlineStr">
        <is>
          <t>A 11438-2023</t>
        </is>
      </c>
      <c r="B7428" s="1" t="n">
        <v>44988</v>
      </c>
      <c r="C7428" s="1" t="n">
        <v>45883</v>
      </c>
      <c r="D7428" t="inlineStr">
        <is>
          <t>GÄVLEBORGS LÄN</t>
        </is>
      </c>
      <c r="E7428" t="inlineStr">
        <is>
          <t>SANDVIKEN</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11447-2023</t>
        </is>
      </c>
      <c r="B7429" s="1" t="n">
        <v>44988</v>
      </c>
      <c r="C7429" s="1" t="n">
        <v>45883</v>
      </c>
      <c r="D7429" t="inlineStr">
        <is>
          <t>GÄVLEBORGS LÄN</t>
        </is>
      </c>
      <c r="E7429" t="inlineStr">
        <is>
          <t>SANDVIKEN</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59729-2022</t>
        </is>
      </c>
      <c r="B7430" s="1" t="n">
        <v>44908</v>
      </c>
      <c r="C7430" s="1" t="n">
        <v>45883</v>
      </c>
      <c r="D7430" t="inlineStr">
        <is>
          <t>GÄVLEBORGS LÄN</t>
        </is>
      </c>
      <c r="E7430" t="inlineStr">
        <is>
          <t>BOLLNÄS</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73925-2021</t>
        </is>
      </c>
      <c r="B7431" s="1" t="n">
        <v>44553</v>
      </c>
      <c r="C7431" s="1" t="n">
        <v>45883</v>
      </c>
      <c r="D7431" t="inlineStr">
        <is>
          <t>GÄVLEBORGS LÄN</t>
        </is>
      </c>
      <c r="E7431" t="inlineStr">
        <is>
          <t>SANDVIKEN</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55262-2020</t>
        </is>
      </c>
      <c r="B7432" s="1" t="n">
        <v>44130</v>
      </c>
      <c r="C7432" s="1" t="n">
        <v>45883</v>
      </c>
      <c r="D7432" t="inlineStr">
        <is>
          <t>GÄVLEBORGS LÄN</t>
        </is>
      </c>
      <c r="E7432" t="inlineStr">
        <is>
          <t>SÖDERHAMN</t>
        </is>
      </c>
      <c r="G7432" t="n">
        <v>3.4</v>
      </c>
      <c r="H7432" t="n">
        <v>0</v>
      </c>
      <c r="I7432" t="n">
        <v>0</v>
      </c>
      <c r="J7432" t="n">
        <v>0</v>
      </c>
      <c r="K7432" t="n">
        <v>0</v>
      </c>
      <c r="L7432" t="n">
        <v>0</v>
      </c>
      <c r="M7432" t="n">
        <v>0</v>
      </c>
      <c r="N7432" t="n">
        <v>0</v>
      </c>
      <c r="O7432" t="n">
        <v>0</v>
      </c>
      <c r="P7432" t="n">
        <v>0</v>
      </c>
      <c r="Q7432" t="n">
        <v>0</v>
      </c>
      <c r="R7432" s="2" t="inlineStr"/>
    </row>
    <row r="7433" ht="15" customHeight="1">
      <c r="A7433" t="inlineStr">
        <is>
          <t>A 5135-2022</t>
        </is>
      </c>
      <c r="B7433" s="1" t="n">
        <v>44594.32063657408</v>
      </c>
      <c r="C7433" s="1" t="n">
        <v>45883</v>
      </c>
      <c r="D7433" t="inlineStr">
        <is>
          <t>GÄVLEBORGS LÄN</t>
        </is>
      </c>
      <c r="E7433" t="inlineStr">
        <is>
          <t>BOLLNÄS</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39062-2024</t>
        </is>
      </c>
      <c r="B7434" s="1" t="n">
        <v>45548.50462962963</v>
      </c>
      <c r="C7434" s="1" t="n">
        <v>45883</v>
      </c>
      <c r="D7434" t="inlineStr">
        <is>
          <t>GÄVLEBORGS LÄN</t>
        </is>
      </c>
      <c r="E7434" t="inlineStr">
        <is>
          <t>OCKELBO</t>
        </is>
      </c>
      <c r="F7434" t="inlineStr">
        <is>
          <t>Bergvik skog väst AB</t>
        </is>
      </c>
      <c r="G7434" t="n">
        <v>10.1</v>
      </c>
      <c r="H7434" t="n">
        <v>0</v>
      </c>
      <c r="I7434" t="n">
        <v>0</v>
      </c>
      <c r="J7434" t="n">
        <v>0</v>
      </c>
      <c r="K7434" t="n">
        <v>0</v>
      </c>
      <c r="L7434" t="n">
        <v>0</v>
      </c>
      <c r="M7434" t="n">
        <v>0</v>
      </c>
      <c r="N7434" t="n">
        <v>0</v>
      </c>
      <c r="O7434" t="n">
        <v>0</v>
      </c>
      <c r="P7434" t="n">
        <v>0</v>
      </c>
      <c r="Q7434" t="n">
        <v>0</v>
      </c>
      <c r="R7434" s="2" t="inlineStr"/>
    </row>
    <row r="7435" ht="15" customHeight="1">
      <c r="A7435" t="inlineStr">
        <is>
          <t>A 39091-2024</t>
        </is>
      </c>
      <c r="B7435" s="1" t="n">
        <v>45548.55346064815</v>
      </c>
      <c r="C7435" s="1" t="n">
        <v>45883</v>
      </c>
      <c r="D7435" t="inlineStr">
        <is>
          <t>GÄVLEBORGS LÄN</t>
        </is>
      </c>
      <c r="E7435" t="inlineStr">
        <is>
          <t>BOLLNÄS</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28879-2021</t>
        </is>
      </c>
      <c r="B7436" s="1" t="n">
        <v>44357</v>
      </c>
      <c r="C7436" s="1" t="n">
        <v>45883</v>
      </c>
      <c r="D7436" t="inlineStr">
        <is>
          <t>GÄVLEBORGS LÄN</t>
        </is>
      </c>
      <c r="E7436" t="inlineStr">
        <is>
          <t>NORDANSTIG</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10430-2025</t>
        </is>
      </c>
      <c r="B7437" s="1" t="n">
        <v>45720.65740740741</v>
      </c>
      <c r="C7437" s="1" t="n">
        <v>45883</v>
      </c>
      <c r="D7437" t="inlineStr">
        <is>
          <t>GÄVLEBORGS LÄN</t>
        </is>
      </c>
      <c r="E7437" t="inlineStr">
        <is>
          <t>GÄVLE</t>
        </is>
      </c>
      <c r="G7437" t="n">
        <v>3.4</v>
      </c>
      <c r="H7437" t="n">
        <v>0</v>
      </c>
      <c r="I7437" t="n">
        <v>0</v>
      </c>
      <c r="J7437" t="n">
        <v>0</v>
      </c>
      <c r="K7437" t="n">
        <v>0</v>
      </c>
      <c r="L7437" t="n">
        <v>0</v>
      </c>
      <c r="M7437" t="n">
        <v>0</v>
      </c>
      <c r="N7437" t="n">
        <v>0</v>
      </c>
      <c r="O7437" t="n">
        <v>0</v>
      </c>
      <c r="P7437" t="n">
        <v>0</v>
      </c>
      <c r="Q7437" t="n">
        <v>0</v>
      </c>
      <c r="R7437" s="2" t="inlineStr"/>
    </row>
    <row r="7438" ht="15" customHeight="1">
      <c r="A7438" t="inlineStr">
        <is>
          <t>A 9506-2021</t>
        </is>
      </c>
      <c r="B7438" s="1" t="n">
        <v>44251.54241898148</v>
      </c>
      <c r="C7438" s="1" t="n">
        <v>45883</v>
      </c>
      <c r="D7438" t="inlineStr">
        <is>
          <t>GÄVLEBORGS LÄN</t>
        </is>
      </c>
      <c r="E7438" t="inlineStr">
        <is>
          <t>OVANÅKER</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33259-2025</t>
        </is>
      </c>
      <c r="B7439" s="1" t="n">
        <v>45840.67278935185</v>
      </c>
      <c r="C7439" s="1" t="n">
        <v>45883</v>
      </c>
      <c r="D7439" t="inlineStr">
        <is>
          <t>GÄVLEBORGS LÄN</t>
        </is>
      </c>
      <c r="E7439" t="inlineStr">
        <is>
          <t>BOLLNÄS</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32043-2025</t>
        </is>
      </c>
      <c r="B7440" s="1" t="n">
        <v>45835</v>
      </c>
      <c r="C7440" s="1" t="n">
        <v>45883</v>
      </c>
      <c r="D7440" t="inlineStr">
        <is>
          <t>GÄVLEBORGS LÄN</t>
        </is>
      </c>
      <c r="E7440" t="inlineStr">
        <is>
          <t>OCKELBO</t>
        </is>
      </c>
      <c r="F7440" t="inlineStr">
        <is>
          <t>Bergvik skog väst AB</t>
        </is>
      </c>
      <c r="G7440" t="n">
        <v>4.8</v>
      </c>
      <c r="H7440" t="n">
        <v>0</v>
      </c>
      <c r="I7440" t="n">
        <v>0</v>
      </c>
      <c r="J7440" t="n">
        <v>0</v>
      </c>
      <c r="K7440" t="n">
        <v>0</v>
      </c>
      <c r="L7440" t="n">
        <v>0</v>
      </c>
      <c r="M7440" t="n">
        <v>0</v>
      </c>
      <c r="N7440" t="n">
        <v>0</v>
      </c>
      <c r="O7440" t="n">
        <v>0</v>
      </c>
      <c r="P7440" t="n">
        <v>0</v>
      </c>
      <c r="Q7440" t="n">
        <v>0</v>
      </c>
      <c r="R7440" s="2" t="inlineStr"/>
    </row>
    <row r="7441" ht="15" customHeight="1">
      <c r="A7441" t="inlineStr">
        <is>
          <t>A 26978-2022</t>
        </is>
      </c>
      <c r="B7441" s="1" t="n">
        <v>44740.703125</v>
      </c>
      <c r="C7441" s="1" t="n">
        <v>45883</v>
      </c>
      <c r="D7441" t="inlineStr">
        <is>
          <t>GÄVLEBORGS LÄN</t>
        </is>
      </c>
      <c r="E7441" t="inlineStr">
        <is>
          <t>SÖDERHAMN</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37892-2025</t>
        </is>
      </c>
      <c r="B7442" s="1" t="n">
        <v>45881</v>
      </c>
      <c r="C7442" s="1" t="n">
        <v>45883</v>
      </c>
      <c r="D7442" t="inlineStr">
        <is>
          <t>GÄVLEBORGS LÄN</t>
        </is>
      </c>
      <c r="E7442" t="inlineStr">
        <is>
          <t>GÄVLE</t>
        </is>
      </c>
      <c r="F7442" t="inlineStr">
        <is>
          <t>Bergvik skog väst AB</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33239-2025</t>
        </is>
      </c>
      <c r="B7443" s="1" t="n">
        <v>45840.64883101852</v>
      </c>
      <c r="C7443" s="1" t="n">
        <v>45883</v>
      </c>
      <c r="D7443" t="inlineStr">
        <is>
          <t>GÄVLEBORGS LÄN</t>
        </is>
      </c>
      <c r="E7443" t="inlineStr">
        <is>
          <t>HUDIKSVALL</t>
        </is>
      </c>
      <c r="F7443" t="inlineStr">
        <is>
          <t>Holmen skog AB</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33254-2025</t>
        </is>
      </c>
      <c r="B7444" s="1" t="n">
        <v>45840.66467592592</v>
      </c>
      <c r="C7444" s="1" t="n">
        <v>45883</v>
      </c>
      <c r="D7444" t="inlineStr">
        <is>
          <t>GÄVLEBORGS LÄN</t>
        </is>
      </c>
      <c r="E7444" t="inlineStr">
        <is>
          <t>HUDIKSVALL</t>
        </is>
      </c>
      <c r="F7444" t="inlineStr">
        <is>
          <t>Holmen skog AB</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37903-2025</t>
        </is>
      </c>
      <c r="B7445" s="1" t="n">
        <v>45881.56465277778</v>
      </c>
      <c r="C7445" s="1" t="n">
        <v>45883</v>
      </c>
      <c r="D7445" t="inlineStr">
        <is>
          <t>GÄVLEBORGS LÄN</t>
        </is>
      </c>
      <c r="E7445" t="inlineStr">
        <is>
          <t>LJUSDAL</t>
        </is>
      </c>
      <c r="F7445" t="inlineStr">
        <is>
          <t>Bergvik skog väst AB</t>
        </is>
      </c>
      <c r="G7445" t="n">
        <v>3.9</v>
      </c>
      <c r="H7445" t="n">
        <v>0</v>
      </c>
      <c r="I7445" t="n">
        <v>0</v>
      </c>
      <c r="J7445" t="n">
        <v>0</v>
      </c>
      <c r="K7445" t="n">
        <v>0</v>
      </c>
      <c r="L7445" t="n">
        <v>0</v>
      </c>
      <c r="M7445" t="n">
        <v>0</v>
      </c>
      <c r="N7445" t="n">
        <v>0</v>
      </c>
      <c r="O7445" t="n">
        <v>0</v>
      </c>
      <c r="P7445" t="n">
        <v>0</v>
      </c>
      <c r="Q7445" t="n">
        <v>0</v>
      </c>
      <c r="R7445" s="2" t="inlineStr"/>
    </row>
    <row r="7446" ht="15" customHeight="1">
      <c r="A7446" t="inlineStr">
        <is>
          <t>A 33260-2025</t>
        </is>
      </c>
      <c r="B7446" s="1" t="n">
        <v>45840.67354166666</v>
      </c>
      <c r="C7446" s="1" t="n">
        <v>45883</v>
      </c>
      <c r="D7446" t="inlineStr">
        <is>
          <t>GÄVLEBORGS LÄN</t>
        </is>
      </c>
      <c r="E7446" t="inlineStr">
        <is>
          <t>HUDIKSVALL</t>
        </is>
      </c>
      <c r="F7446" t="inlineStr">
        <is>
          <t>Holmen skog AB</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33166-2025</t>
        </is>
      </c>
      <c r="B7447" s="1" t="n">
        <v>45840.57563657407</v>
      </c>
      <c r="C7447" s="1" t="n">
        <v>45883</v>
      </c>
      <c r="D7447" t="inlineStr">
        <is>
          <t>GÄVLEBORGS LÄN</t>
        </is>
      </c>
      <c r="E7447" t="inlineStr">
        <is>
          <t>HUDIKSVALL</t>
        </is>
      </c>
      <c r="F7447" t="inlineStr">
        <is>
          <t>Holmen skog AB</t>
        </is>
      </c>
      <c r="G7447" t="n">
        <v>6.2</v>
      </c>
      <c r="H7447" t="n">
        <v>0</v>
      </c>
      <c r="I7447" t="n">
        <v>0</v>
      </c>
      <c r="J7447" t="n">
        <v>0</v>
      </c>
      <c r="K7447" t="n">
        <v>0</v>
      </c>
      <c r="L7447" t="n">
        <v>0</v>
      </c>
      <c r="M7447" t="n">
        <v>0</v>
      </c>
      <c r="N7447" t="n">
        <v>0</v>
      </c>
      <c r="O7447" t="n">
        <v>0</v>
      </c>
      <c r="P7447" t="n">
        <v>0</v>
      </c>
      <c r="Q7447" t="n">
        <v>0</v>
      </c>
      <c r="R7447" s="2" t="inlineStr"/>
    </row>
    <row r="7448" ht="15" customHeight="1">
      <c r="A7448" t="inlineStr">
        <is>
          <t>A 30264-2025</t>
        </is>
      </c>
      <c r="B7448" s="1" t="n">
        <v>45827</v>
      </c>
      <c r="C7448" s="1" t="n">
        <v>45883</v>
      </c>
      <c r="D7448" t="inlineStr">
        <is>
          <t>GÄVLEBORGS LÄN</t>
        </is>
      </c>
      <c r="E7448" t="inlineStr">
        <is>
          <t>OCKELBO</t>
        </is>
      </c>
      <c r="F7448" t="inlineStr">
        <is>
          <t>Bergvik skog väst AB</t>
        </is>
      </c>
      <c r="G7448" t="n">
        <v>8.6</v>
      </c>
      <c r="H7448" t="n">
        <v>0</v>
      </c>
      <c r="I7448" t="n">
        <v>0</v>
      </c>
      <c r="J7448" t="n">
        <v>0</v>
      </c>
      <c r="K7448" t="n">
        <v>0</v>
      </c>
      <c r="L7448" t="n">
        <v>0</v>
      </c>
      <c r="M7448" t="n">
        <v>0</v>
      </c>
      <c r="N7448" t="n">
        <v>0</v>
      </c>
      <c r="O7448" t="n">
        <v>0</v>
      </c>
      <c r="P7448" t="n">
        <v>0</v>
      </c>
      <c r="Q7448" t="n">
        <v>0</v>
      </c>
      <c r="R7448" s="2" t="inlineStr"/>
    </row>
    <row r="7449" ht="15" customHeight="1">
      <c r="A7449" t="inlineStr">
        <is>
          <t>A 33015-2025</t>
        </is>
      </c>
      <c r="B7449" s="1" t="n">
        <v>45840.36614583333</v>
      </c>
      <c r="C7449" s="1" t="n">
        <v>45883</v>
      </c>
      <c r="D7449" t="inlineStr">
        <is>
          <t>GÄVLEBORGS LÄN</t>
        </is>
      </c>
      <c r="E7449" t="inlineStr">
        <is>
          <t>SANDVIKEN</t>
        </is>
      </c>
      <c r="F7449" t="inlineStr">
        <is>
          <t>Bergvik skog öst AB</t>
        </is>
      </c>
      <c r="G7449" t="n">
        <v>27.3</v>
      </c>
      <c r="H7449" t="n">
        <v>0</v>
      </c>
      <c r="I7449" t="n">
        <v>0</v>
      </c>
      <c r="J7449" t="n">
        <v>0</v>
      </c>
      <c r="K7449" t="n">
        <v>0</v>
      </c>
      <c r="L7449" t="n">
        <v>0</v>
      </c>
      <c r="M7449" t="n">
        <v>0</v>
      </c>
      <c r="N7449" t="n">
        <v>0</v>
      </c>
      <c r="O7449" t="n">
        <v>0</v>
      </c>
      <c r="P7449" t="n">
        <v>0</v>
      </c>
      <c r="Q7449" t="n">
        <v>0</v>
      </c>
      <c r="R7449" s="2" t="inlineStr"/>
    </row>
    <row r="7450" ht="15" customHeight="1">
      <c r="A7450" t="inlineStr">
        <is>
          <t>A 33016-2025</t>
        </is>
      </c>
      <c r="B7450" s="1" t="n">
        <v>45840.36652777778</v>
      </c>
      <c r="C7450" s="1" t="n">
        <v>45883</v>
      </c>
      <c r="D7450" t="inlineStr">
        <is>
          <t>GÄVLEBORGS LÄN</t>
        </is>
      </c>
      <c r="E7450" t="inlineStr">
        <is>
          <t>OVANÅKER</t>
        </is>
      </c>
      <c r="F7450" t="inlineStr">
        <is>
          <t>Bergvik skog väst AB</t>
        </is>
      </c>
      <c r="G7450" t="n">
        <v>8.800000000000001</v>
      </c>
      <c r="H7450" t="n">
        <v>0</v>
      </c>
      <c r="I7450" t="n">
        <v>0</v>
      </c>
      <c r="J7450" t="n">
        <v>0</v>
      </c>
      <c r="K7450" t="n">
        <v>0</v>
      </c>
      <c r="L7450" t="n">
        <v>0</v>
      </c>
      <c r="M7450" t="n">
        <v>0</v>
      </c>
      <c r="N7450" t="n">
        <v>0</v>
      </c>
      <c r="O7450" t="n">
        <v>0</v>
      </c>
      <c r="P7450" t="n">
        <v>0</v>
      </c>
      <c r="Q7450" t="n">
        <v>0</v>
      </c>
      <c r="R7450" s="2" t="inlineStr"/>
    </row>
    <row r="7451" ht="15" customHeight="1">
      <c r="A7451" t="inlineStr">
        <is>
          <t>A 33115-2025</t>
        </is>
      </c>
      <c r="B7451" s="1" t="n">
        <v>45840.49201388889</v>
      </c>
      <c r="C7451" s="1" t="n">
        <v>45883</v>
      </c>
      <c r="D7451" t="inlineStr">
        <is>
          <t>GÄVLEBORGS LÄN</t>
        </is>
      </c>
      <c r="E7451" t="inlineStr">
        <is>
          <t>OCKELBO</t>
        </is>
      </c>
      <c r="G7451" t="n">
        <v>4.4</v>
      </c>
      <c r="H7451" t="n">
        <v>0</v>
      </c>
      <c r="I7451" t="n">
        <v>0</v>
      </c>
      <c r="J7451" t="n">
        <v>0</v>
      </c>
      <c r="K7451" t="n">
        <v>0</v>
      </c>
      <c r="L7451" t="n">
        <v>0</v>
      </c>
      <c r="M7451" t="n">
        <v>0</v>
      </c>
      <c r="N7451" t="n">
        <v>0</v>
      </c>
      <c r="O7451" t="n">
        <v>0</v>
      </c>
      <c r="P7451" t="n">
        <v>0</v>
      </c>
      <c r="Q7451" t="n">
        <v>0</v>
      </c>
      <c r="R7451" s="2" t="inlineStr"/>
    </row>
    <row r="7452" ht="15" customHeight="1">
      <c r="A7452" t="inlineStr">
        <is>
          <t>A 37991-2025</t>
        </is>
      </c>
      <c r="B7452" s="1" t="n">
        <v>45881.7143287037</v>
      </c>
      <c r="C7452" s="1" t="n">
        <v>45883</v>
      </c>
      <c r="D7452" t="inlineStr">
        <is>
          <t>GÄVLEBORGS LÄN</t>
        </is>
      </c>
      <c r="E7452" t="inlineStr">
        <is>
          <t>LJUSDAL</t>
        </is>
      </c>
      <c r="G7452" t="n">
        <v>2.6</v>
      </c>
      <c r="H7452" t="n">
        <v>0</v>
      </c>
      <c r="I7452" t="n">
        <v>0</v>
      </c>
      <c r="J7452" t="n">
        <v>0</v>
      </c>
      <c r="K7452" t="n">
        <v>0</v>
      </c>
      <c r="L7452" t="n">
        <v>0</v>
      </c>
      <c r="M7452" t="n">
        <v>0</v>
      </c>
      <c r="N7452" t="n">
        <v>0</v>
      </c>
      <c r="O7452" t="n">
        <v>0</v>
      </c>
      <c r="P7452" t="n">
        <v>0</v>
      </c>
      <c r="Q7452" t="n">
        <v>0</v>
      </c>
      <c r="R7452" s="2" t="inlineStr"/>
    </row>
    <row r="7453" ht="15" customHeight="1">
      <c r="A7453" t="inlineStr">
        <is>
          <t>A 38084-2025</t>
        </is>
      </c>
      <c r="B7453" s="1" t="n">
        <v>45882</v>
      </c>
      <c r="C7453" s="1" t="n">
        <v>45883</v>
      </c>
      <c r="D7453" t="inlineStr">
        <is>
          <t>GÄVLEBORGS LÄN</t>
        </is>
      </c>
      <c r="E7453" t="inlineStr">
        <is>
          <t>LJUSDAL</t>
        </is>
      </c>
      <c r="F7453" t="inlineStr">
        <is>
          <t>Sveaskog</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32405-2025</t>
        </is>
      </c>
      <c r="B7454" s="1" t="n">
        <v>45838.31546296296</v>
      </c>
      <c r="C7454" s="1" t="n">
        <v>45883</v>
      </c>
      <c r="D7454" t="inlineStr">
        <is>
          <t>GÄVLEBORGS LÄN</t>
        </is>
      </c>
      <c r="E7454" t="inlineStr">
        <is>
          <t>BOLLNÄS</t>
        </is>
      </c>
      <c r="F7454" t="inlineStr">
        <is>
          <t>Bergvik skog väst AB</t>
        </is>
      </c>
      <c r="G7454" t="n">
        <v>3.6</v>
      </c>
      <c r="H7454" t="n">
        <v>0</v>
      </c>
      <c r="I7454" t="n">
        <v>0</v>
      </c>
      <c r="J7454" t="n">
        <v>0</v>
      </c>
      <c r="K7454" t="n">
        <v>0</v>
      </c>
      <c r="L7454" t="n">
        <v>0</v>
      </c>
      <c r="M7454" t="n">
        <v>0</v>
      </c>
      <c r="N7454" t="n">
        <v>0</v>
      </c>
      <c r="O7454" t="n">
        <v>0</v>
      </c>
      <c r="P7454" t="n">
        <v>0</v>
      </c>
      <c r="Q7454" t="n">
        <v>0</v>
      </c>
      <c r="R7454" s="2" t="inlineStr"/>
    </row>
    <row r="7455" ht="15" customHeight="1">
      <c r="A7455" t="inlineStr">
        <is>
          <t>A 32505-2025</t>
        </is>
      </c>
      <c r="B7455" s="1" t="n">
        <v>45838.46716435185</v>
      </c>
      <c r="C7455" s="1" t="n">
        <v>45883</v>
      </c>
      <c r="D7455" t="inlineStr">
        <is>
          <t>GÄVLEBORGS LÄN</t>
        </is>
      </c>
      <c r="E7455" t="inlineStr">
        <is>
          <t>NORDANSTIG</t>
        </is>
      </c>
      <c r="G7455" t="n">
        <v>5.8</v>
      </c>
      <c r="H7455" t="n">
        <v>0</v>
      </c>
      <c r="I7455" t="n">
        <v>0</v>
      </c>
      <c r="J7455" t="n">
        <v>0</v>
      </c>
      <c r="K7455" t="n">
        <v>0</v>
      </c>
      <c r="L7455" t="n">
        <v>0</v>
      </c>
      <c r="M7455" t="n">
        <v>0</v>
      </c>
      <c r="N7455" t="n">
        <v>0</v>
      </c>
      <c r="O7455" t="n">
        <v>0</v>
      </c>
      <c r="P7455" t="n">
        <v>0</v>
      </c>
      <c r="Q7455" t="n">
        <v>0</v>
      </c>
      <c r="R7455" s="2" t="inlineStr"/>
    </row>
    <row r="7456" ht="15" customHeight="1">
      <c r="A7456" t="inlineStr">
        <is>
          <t>A 30561-2024</t>
        </is>
      </c>
      <c r="B7456" s="1" t="n">
        <v>45492.92834490741</v>
      </c>
      <c r="C7456" s="1" t="n">
        <v>45883</v>
      </c>
      <c r="D7456" t="inlineStr">
        <is>
          <t>GÄVLEBORGS LÄN</t>
        </is>
      </c>
      <c r="E7456" t="inlineStr">
        <is>
          <t>BOLLNÄS</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37786-2025</t>
        </is>
      </c>
      <c r="B7457" s="1" t="n">
        <v>45881.29412037037</v>
      </c>
      <c r="C7457" s="1" t="n">
        <v>45883</v>
      </c>
      <c r="D7457" t="inlineStr">
        <is>
          <t>GÄVLEBORGS LÄN</t>
        </is>
      </c>
      <c r="E7457" t="inlineStr">
        <is>
          <t>LJUSDAL</t>
        </is>
      </c>
      <c r="F7457" t="inlineStr">
        <is>
          <t>Bergvik skog väst AB</t>
        </is>
      </c>
      <c r="G7457" t="n">
        <v>7.9</v>
      </c>
      <c r="H7457" t="n">
        <v>0</v>
      </c>
      <c r="I7457" t="n">
        <v>0</v>
      </c>
      <c r="J7457" t="n">
        <v>0</v>
      </c>
      <c r="K7457" t="n">
        <v>0</v>
      </c>
      <c r="L7457" t="n">
        <v>0</v>
      </c>
      <c r="M7457" t="n">
        <v>0</v>
      </c>
      <c r="N7457" t="n">
        <v>0</v>
      </c>
      <c r="O7457" t="n">
        <v>0</v>
      </c>
      <c r="P7457" t="n">
        <v>0</v>
      </c>
      <c r="Q7457" t="n">
        <v>0</v>
      </c>
      <c r="R7457" s="2" t="inlineStr"/>
    </row>
    <row r="7458" ht="15" customHeight="1">
      <c r="A7458" t="inlineStr">
        <is>
          <t>A 38104-2025</t>
        </is>
      </c>
      <c r="B7458" s="1" t="n">
        <v>45882.49252314815</v>
      </c>
      <c r="C7458" s="1" t="n">
        <v>45883</v>
      </c>
      <c r="D7458" t="inlineStr">
        <is>
          <t>GÄVLEBORGS LÄN</t>
        </is>
      </c>
      <c r="E7458" t="inlineStr">
        <is>
          <t>NORDANSTIG</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33386-2024</t>
        </is>
      </c>
      <c r="B7459" s="1" t="n">
        <v>45519.47221064815</v>
      </c>
      <c r="C7459" s="1" t="n">
        <v>45883</v>
      </c>
      <c r="D7459" t="inlineStr">
        <is>
          <t>GÄVLEBORGS LÄN</t>
        </is>
      </c>
      <c r="E7459" t="inlineStr">
        <is>
          <t>LJUSDAL</t>
        </is>
      </c>
      <c r="F7459" t="inlineStr">
        <is>
          <t>Sveaskog</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48581-2021</t>
        </is>
      </c>
      <c r="B7460" s="1" t="n">
        <v>44452.47513888889</v>
      </c>
      <c r="C7460" s="1" t="n">
        <v>45883</v>
      </c>
      <c r="D7460" t="inlineStr">
        <is>
          <t>GÄVLEBORGS LÄN</t>
        </is>
      </c>
      <c r="E7460" t="inlineStr">
        <is>
          <t>LJUSDAL</t>
        </is>
      </c>
      <c r="G7460" t="n">
        <v>0.4</v>
      </c>
      <c r="H7460" t="n">
        <v>0</v>
      </c>
      <c r="I7460" t="n">
        <v>0</v>
      </c>
      <c r="J7460" t="n">
        <v>0</v>
      </c>
      <c r="K7460" t="n">
        <v>0</v>
      </c>
      <c r="L7460" t="n">
        <v>0</v>
      </c>
      <c r="M7460" t="n">
        <v>0</v>
      </c>
      <c r="N7460" t="n">
        <v>0</v>
      </c>
      <c r="O7460" t="n">
        <v>0</v>
      </c>
      <c r="P7460" t="n">
        <v>0</v>
      </c>
      <c r="Q7460" t="n">
        <v>0</v>
      </c>
      <c r="R7460" s="2" t="inlineStr"/>
    </row>
    <row r="7461" ht="15" customHeight="1">
      <c r="A7461" t="inlineStr">
        <is>
          <t>A 37983-2025</t>
        </is>
      </c>
      <c r="B7461" s="1" t="n">
        <v>45881.69613425926</v>
      </c>
      <c r="C7461" s="1" t="n">
        <v>45883</v>
      </c>
      <c r="D7461" t="inlineStr">
        <is>
          <t>GÄVLEBORGS LÄN</t>
        </is>
      </c>
      <c r="E7461" t="inlineStr">
        <is>
          <t>BOLLNÄS</t>
        </is>
      </c>
      <c r="G7461" t="n">
        <v>7.5</v>
      </c>
      <c r="H7461" t="n">
        <v>0</v>
      </c>
      <c r="I7461" t="n">
        <v>0</v>
      </c>
      <c r="J7461" t="n">
        <v>0</v>
      </c>
      <c r="K7461" t="n">
        <v>0</v>
      </c>
      <c r="L7461" t="n">
        <v>0</v>
      </c>
      <c r="M7461" t="n">
        <v>0</v>
      </c>
      <c r="N7461" t="n">
        <v>0</v>
      </c>
      <c r="O7461" t="n">
        <v>0</v>
      </c>
      <c r="P7461" t="n">
        <v>0</v>
      </c>
      <c r="Q7461" t="n">
        <v>0</v>
      </c>
      <c r="R7461" s="2" t="inlineStr"/>
    </row>
    <row r="7462" ht="15" customHeight="1">
      <c r="A7462" t="inlineStr">
        <is>
          <t>A 37987-2025</t>
        </is>
      </c>
      <c r="B7462" s="1" t="n">
        <v>45881.7040162037</v>
      </c>
      <c r="C7462" s="1" t="n">
        <v>45883</v>
      </c>
      <c r="D7462" t="inlineStr">
        <is>
          <t>GÄVLEBORGS LÄN</t>
        </is>
      </c>
      <c r="E7462" t="inlineStr">
        <is>
          <t>BOLLNÄS</t>
        </is>
      </c>
      <c r="G7462" t="n">
        <v>5.6</v>
      </c>
      <c r="H7462" t="n">
        <v>0</v>
      </c>
      <c r="I7462" t="n">
        <v>0</v>
      </c>
      <c r="J7462" t="n">
        <v>0</v>
      </c>
      <c r="K7462" t="n">
        <v>0</v>
      </c>
      <c r="L7462" t="n">
        <v>0</v>
      </c>
      <c r="M7462" t="n">
        <v>0</v>
      </c>
      <c r="N7462" t="n">
        <v>0</v>
      </c>
      <c r="O7462" t="n">
        <v>0</v>
      </c>
      <c r="P7462" t="n">
        <v>0</v>
      </c>
      <c r="Q7462" t="n">
        <v>0</v>
      </c>
      <c r="R7462" s="2" t="inlineStr"/>
    </row>
    <row r="7463" ht="15" customHeight="1">
      <c r="A7463" t="inlineStr">
        <is>
          <t>A 38009-2025</t>
        </is>
      </c>
      <c r="B7463" s="1" t="n">
        <v>45882.29594907408</v>
      </c>
      <c r="C7463" s="1" t="n">
        <v>45883</v>
      </c>
      <c r="D7463" t="inlineStr">
        <is>
          <t>GÄVLEBORGS LÄN</t>
        </is>
      </c>
      <c r="E7463" t="inlineStr">
        <is>
          <t>LJUSDAL</t>
        </is>
      </c>
      <c r="F7463" t="inlineStr">
        <is>
          <t>Naturvårdsverket</t>
        </is>
      </c>
      <c r="G7463" t="n">
        <v>6.7</v>
      </c>
      <c r="H7463" t="n">
        <v>0</v>
      </c>
      <c r="I7463" t="n">
        <v>0</v>
      </c>
      <c r="J7463" t="n">
        <v>0</v>
      </c>
      <c r="K7463" t="n">
        <v>0</v>
      </c>
      <c r="L7463" t="n">
        <v>0</v>
      </c>
      <c r="M7463" t="n">
        <v>0</v>
      </c>
      <c r="N7463" t="n">
        <v>0</v>
      </c>
      <c r="O7463" t="n">
        <v>0</v>
      </c>
      <c r="P7463" t="n">
        <v>0</v>
      </c>
      <c r="Q7463" t="n">
        <v>0</v>
      </c>
      <c r="R7463" s="2" t="inlineStr"/>
    </row>
    <row r="7464" ht="15" customHeight="1">
      <c r="A7464" t="inlineStr">
        <is>
          <t>A 33083-2025</t>
        </is>
      </c>
      <c r="B7464" s="1" t="n">
        <v>45840.46547453704</v>
      </c>
      <c r="C7464" s="1" t="n">
        <v>45883</v>
      </c>
      <c r="D7464" t="inlineStr">
        <is>
          <t>GÄVLEBORGS LÄN</t>
        </is>
      </c>
      <c r="E7464" t="inlineStr">
        <is>
          <t>OCKELBO</t>
        </is>
      </c>
      <c r="F7464" t="inlineStr">
        <is>
          <t>Bergvik skog väst AB</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15877-2025</t>
        </is>
      </c>
      <c r="B7465" s="1" t="n">
        <v>45749.38613425926</v>
      </c>
      <c r="C7465" s="1" t="n">
        <v>45883</v>
      </c>
      <c r="D7465" t="inlineStr">
        <is>
          <t>GÄVLEBORGS LÄN</t>
        </is>
      </c>
      <c r="E7465" t="inlineStr">
        <is>
          <t>SÖDERHAMN</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49624-2022</t>
        </is>
      </c>
      <c r="B7466" s="1" t="n">
        <v>44862</v>
      </c>
      <c r="C7466" s="1" t="n">
        <v>45883</v>
      </c>
      <c r="D7466" t="inlineStr">
        <is>
          <t>GÄVLEBORGS LÄN</t>
        </is>
      </c>
      <c r="E7466" t="inlineStr">
        <is>
          <t>BOLLNÄS</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34641-2025</t>
        </is>
      </c>
      <c r="B7467" s="1" t="n">
        <v>45848</v>
      </c>
      <c r="C7467" s="1" t="n">
        <v>45883</v>
      </c>
      <c r="D7467" t="inlineStr">
        <is>
          <t>GÄVLEBORGS LÄN</t>
        </is>
      </c>
      <c r="E7467" t="inlineStr">
        <is>
          <t>LJUSDAL</t>
        </is>
      </c>
      <c r="F7467" t="inlineStr">
        <is>
          <t>Bergvik skog väst AB</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48336-2023</t>
        </is>
      </c>
      <c r="B7468" s="1" t="n">
        <v>45205</v>
      </c>
      <c r="C7468" s="1" t="n">
        <v>45883</v>
      </c>
      <c r="D7468" t="inlineStr">
        <is>
          <t>GÄVLEBORGS LÄN</t>
        </is>
      </c>
      <c r="E7468" t="inlineStr">
        <is>
          <t>BOLLNÄS</t>
        </is>
      </c>
      <c r="G7468" t="n">
        <v>6.1</v>
      </c>
      <c r="H7468" t="n">
        <v>0</v>
      </c>
      <c r="I7468" t="n">
        <v>0</v>
      </c>
      <c r="J7468" t="n">
        <v>0</v>
      </c>
      <c r="K7468" t="n">
        <v>0</v>
      </c>
      <c r="L7468" t="n">
        <v>0</v>
      </c>
      <c r="M7468" t="n">
        <v>0</v>
      </c>
      <c r="N7468" t="n">
        <v>0</v>
      </c>
      <c r="O7468" t="n">
        <v>0</v>
      </c>
      <c r="P7468" t="n">
        <v>0</v>
      </c>
      <c r="Q7468" t="n">
        <v>0</v>
      </c>
      <c r="R7468" s="2" t="inlineStr"/>
    </row>
    <row r="7469" ht="15" customHeight="1">
      <c r="A7469" t="inlineStr">
        <is>
          <t>A 65403-2021</t>
        </is>
      </c>
      <c r="B7469" s="1" t="n">
        <v>44515</v>
      </c>
      <c r="C7469" s="1" t="n">
        <v>45883</v>
      </c>
      <c r="D7469" t="inlineStr">
        <is>
          <t>GÄVLEBORGS LÄN</t>
        </is>
      </c>
      <c r="E7469" t="inlineStr">
        <is>
          <t>BOLLNÄS</t>
        </is>
      </c>
      <c r="F7469" t="inlineStr">
        <is>
          <t>Bergvik skog väst AB</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39591-2024</t>
        </is>
      </c>
      <c r="B7470" s="1" t="n">
        <v>45552.37234953704</v>
      </c>
      <c r="C7470" s="1" t="n">
        <v>45883</v>
      </c>
      <c r="D7470" t="inlineStr">
        <is>
          <t>GÄVLEBORGS LÄN</t>
        </is>
      </c>
      <c r="E7470" t="inlineStr">
        <is>
          <t>SANDVIKEN</t>
        </is>
      </c>
      <c r="G7470" t="n">
        <v>3.8</v>
      </c>
      <c r="H7470" t="n">
        <v>0</v>
      </c>
      <c r="I7470" t="n">
        <v>0</v>
      </c>
      <c r="J7470" t="n">
        <v>0</v>
      </c>
      <c r="K7470" t="n">
        <v>0</v>
      </c>
      <c r="L7470" t="n">
        <v>0</v>
      </c>
      <c r="M7470" t="n">
        <v>0</v>
      </c>
      <c r="N7470" t="n">
        <v>0</v>
      </c>
      <c r="O7470" t="n">
        <v>0</v>
      </c>
      <c r="P7470" t="n">
        <v>0</v>
      </c>
      <c r="Q7470" t="n">
        <v>0</v>
      </c>
      <c r="R7470" s="2" t="inlineStr"/>
    </row>
    <row r="7471" ht="15" customHeight="1">
      <c r="A7471" t="inlineStr">
        <is>
          <t>A 36203-2025</t>
        </is>
      </c>
      <c r="B7471" s="1" t="n">
        <v>45867</v>
      </c>
      <c r="C7471" s="1" t="n">
        <v>45883</v>
      </c>
      <c r="D7471" t="inlineStr">
        <is>
          <t>GÄVLEBORGS LÄN</t>
        </is>
      </c>
      <c r="E7471" t="inlineStr">
        <is>
          <t>SANDVIKEN</t>
        </is>
      </c>
      <c r="G7471" t="n">
        <v>4.5</v>
      </c>
      <c r="H7471" t="n">
        <v>0</v>
      </c>
      <c r="I7471" t="n">
        <v>0</v>
      </c>
      <c r="J7471" t="n">
        <v>0</v>
      </c>
      <c r="K7471" t="n">
        <v>0</v>
      </c>
      <c r="L7471" t="n">
        <v>0</v>
      </c>
      <c r="M7471" t="n">
        <v>0</v>
      </c>
      <c r="N7471" t="n">
        <v>0</v>
      </c>
      <c r="O7471" t="n">
        <v>0</v>
      </c>
      <c r="P7471" t="n">
        <v>0</v>
      </c>
      <c r="Q7471" t="n">
        <v>0</v>
      </c>
      <c r="R7471" s="2" t="inlineStr"/>
    </row>
    <row r="7472" ht="15" customHeight="1">
      <c r="A7472" t="inlineStr">
        <is>
          <t>A 40104-2024</t>
        </is>
      </c>
      <c r="B7472" s="1" t="n">
        <v>45554</v>
      </c>
      <c r="C7472" s="1" t="n">
        <v>45883</v>
      </c>
      <c r="D7472" t="inlineStr">
        <is>
          <t>GÄVLEBORGS LÄN</t>
        </is>
      </c>
      <c r="E7472" t="inlineStr">
        <is>
          <t>NORDANSTIG</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38074-2025</t>
        </is>
      </c>
      <c r="B7473" s="1" t="n">
        <v>45882</v>
      </c>
      <c r="C7473" s="1" t="n">
        <v>45883</v>
      </c>
      <c r="D7473" t="inlineStr">
        <is>
          <t>GÄVLEBORGS LÄN</t>
        </is>
      </c>
      <c r="E7473" t="inlineStr">
        <is>
          <t>BOLLNÄS</t>
        </is>
      </c>
      <c r="G7473" t="n">
        <v>2.6</v>
      </c>
      <c r="H7473" t="n">
        <v>0</v>
      </c>
      <c r="I7473" t="n">
        <v>0</v>
      </c>
      <c r="J7473" t="n">
        <v>0</v>
      </c>
      <c r="K7473" t="n">
        <v>0</v>
      </c>
      <c r="L7473" t="n">
        <v>0</v>
      </c>
      <c r="M7473" t="n">
        <v>0</v>
      </c>
      <c r="N7473" t="n">
        <v>0</v>
      </c>
      <c r="O7473" t="n">
        <v>0</v>
      </c>
      <c r="P7473" t="n">
        <v>0</v>
      </c>
      <c r="Q7473" t="n">
        <v>0</v>
      </c>
      <c r="R7473" s="2" t="inlineStr"/>
    </row>
    <row r="7474" ht="15" customHeight="1">
      <c r="A7474" t="inlineStr">
        <is>
          <t>A 38091-2025</t>
        </is>
      </c>
      <c r="B7474" s="1" t="n">
        <v>45882.48813657407</v>
      </c>
      <c r="C7474" s="1" t="n">
        <v>45883</v>
      </c>
      <c r="D7474" t="inlineStr">
        <is>
          <t>GÄVLEBORGS LÄN</t>
        </is>
      </c>
      <c r="E7474" t="inlineStr">
        <is>
          <t>NORDANSTIG</t>
        </is>
      </c>
      <c r="F7474" t="inlineStr">
        <is>
          <t>Holmen skog AB</t>
        </is>
      </c>
      <c r="G7474" t="n">
        <v>20.2</v>
      </c>
      <c r="H7474" t="n">
        <v>0</v>
      </c>
      <c r="I7474" t="n">
        <v>0</v>
      </c>
      <c r="J7474" t="n">
        <v>0</v>
      </c>
      <c r="K7474" t="n">
        <v>0</v>
      </c>
      <c r="L7474" t="n">
        <v>0</v>
      </c>
      <c r="M7474" t="n">
        <v>0</v>
      </c>
      <c r="N7474" t="n">
        <v>0</v>
      </c>
      <c r="O7474" t="n">
        <v>0</v>
      </c>
      <c r="P7474" t="n">
        <v>0</v>
      </c>
      <c r="Q7474" t="n">
        <v>0</v>
      </c>
      <c r="R7474" s="2" t="inlineStr"/>
    </row>
    <row r="7475" ht="15" customHeight="1">
      <c r="A7475" t="inlineStr">
        <is>
          <t>A 53566-2022</t>
        </is>
      </c>
      <c r="B7475" s="1" t="n">
        <v>44879</v>
      </c>
      <c r="C7475" s="1" t="n">
        <v>45883</v>
      </c>
      <c r="D7475" t="inlineStr">
        <is>
          <t>GÄVLEBORGS LÄN</t>
        </is>
      </c>
      <c r="E7475" t="inlineStr">
        <is>
          <t>BOLLNÄS</t>
        </is>
      </c>
      <c r="F7475" t="inlineStr">
        <is>
          <t>Holmen skog AB</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730-2021</t>
        </is>
      </c>
      <c r="B7476" s="1" t="n">
        <v>44204</v>
      </c>
      <c r="C7476" s="1" t="n">
        <v>45883</v>
      </c>
      <c r="D7476" t="inlineStr">
        <is>
          <t>GÄVLEBORGS LÄN</t>
        </is>
      </c>
      <c r="E7476" t="inlineStr">
        <is>
          <t>BOLLNÄS</t>
        </is>
      </c>
      <c r="F7476" t="inlineStr">
        <is>
          <t>Bergvik skog väst AB</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33985-2024</t>
        </is>
      </c>
      <c r="B7477" s="1" t="n">
        <v>45523.52623842593</v>
      </c>
      <c r="C7477" s="1" t="n">
        <v>45883</v>
      </c>
      <c r="D7477" t="inlineStr">
        <is>
          <t>GÄVLEBORGS LÄN</t>
        </is>
      </c>
      <c r="E7477" t="inlineStr">
        <is>
          <t>HOFORS</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54826-2021</t>
        </is>
      </c>
      <c r="B7478" s="1" t="n">
        <v>44473</v>
      </c>
      <c r="C7478" s="1" t="n">
        <v>45883</v>
      </c>
      <c r="D7478" t="inlineStr">
        <is>
          <t>GÄVLEBORGS LÄN</t>
        </is>
      </c>
      <c r="E7478" t="inlineStr">
        <is>
          <t>HOFORS</t>
        </is>
      </c>
      <c r="F7478" t="inlineStr">
        <is>
          <t>Bergvik skog väst AB</t>
        </is>
      </c>
      <c r="G7478" t="n">
        <v>6</v>
      </c>
      <c r="H7478" t="n">
        <v>0</v>
      </c>
      <c r="I7478" t="n">
        <v>0</v>
      </c>
      <c r="J7478" t="n">
        <v>0</v>
      </c>
      <c r="K7478" t="n">
        <v>0</v>
      </c>
      <c r="L7478" t="n">
        <v>0</v>
      </c>
      <c r="M7478" t="n">
        <v>0</v>
      </c>
      <c r="N7478" t="n">
        <v>0</v>
      </c>
      <c r="O7478" t="n">
        <v>0</v>
      </c>
      <c r="P7478" t="n">
        <v>0</v>
      </c>
      <c r="Q7478" t="n">
        <v>0</v>
      </c>
      <c r="R7478" s="2" t="inlineStr"/>
    </row>
    <row r="7479" ht="15" customHeight="1">
      <c r="A7479" t="inlineStr">
        <is>
          <t>A 37796-2025</t>
        </is>
      </c>
      <c r="B7479" s="1" t="n">
        <v>45881.33971064815</v>
      </c>
      <c r="C7479" s="1" t="n">
        <v>45883</v>
      </c>
      <c r="D7479" t="inlineStr">
        <is>
          <t>GÄVLEBORGS LÄN</t>
        </is>
      </c>
      <c r="E7479" t="inlineStr">
        <is>
          <t>HUDIKSVALL</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37804-2025</t>
        </is>
      </c>
      <c r="B7480" s="1" t="n">
        <v>45881.34737268519</v>
      </c>
      <c r="C7480" s="1" t="n">
        <v>45883</v>
      </c>
      <c r="D7480" t="inlineStr">
        <is>
          <t>GÄVLEBORGS LÄN</t>
        </is>
      </c>
      <c r="E7480" t="inlineStr">
        <is>
          <t>HUDIKSVALL</t>
        </is>
      </c>
      <c r="F7480" t="inlineStr">
        <is>
          <t>Holmen skog AB</t>
        </is>
      </c>
      <c r="G7480" t="n">
        <v>25.3</v>
      </c>
      <c r="H7480" t="n">
        <v>0</v>
      </c>
      <c r="I7480" t="n">
        <v>0</v>
      </c>
      <c r="J7480" t="n">
        <v>0</v>
      </c>
      <c r="K7480" t="n">
        <v>0</v>
      </c>
      <c r="L7480" t="n">
        <v>0</v>
      </c>
      <c r="M7480" t="n">
        <v>0</v>
      </c>
      <c r="N7480" t="n">
        <v>0</v>
      </c>
      <c r="O7480" t="n">
        <v>0</v>
      </c>
      <c r="P7480" t="n">
        <v>0</v>
      </c>
      <c r="Q7480" t="n">
        <v>0</v>
      </c>
      <c r="R7480" s="2" t="inlineStr"/>
    </row>
    <row r="7481" ht="15" customHeight="1">
      <c r="A7481" t="inlineStr">
        <is>
          <t>A 32736-2025</t>
        </is>
      </c>
      <c r="B7481" s="1" t="n">
        <v>45839</v>
      </c>
      <c r="C7481" s="1" t="n">
        <v>45883</v>
      </c>
      <c r="D7481" t="inlineStr">
        <is>
          <t>GÄVLEBORGS LÄN</t>
        </is>
      </c>
      <c r="E7481" t="inlineStr">
        <is>
          <t>NORDANSTIG</t>
        </is>
      </c>
      <c r="F7481" t="inlineStr">
        <is>
          <t>Holmen skog AB</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33008-2025</t>
        </is>
      </c>
      <c r="B7482" s="1" t="n">
        <v>45840.35980324074</v>
      </c>
      <c r="C7482" s="1" t="n">
        <v>45883</v>
      </c>
      <c r="D7482" t="inlineStr">
        <is>
          <t>GÄVLEBORGS LÄN</t>
        </is>
      </c>
      <c r="E7482" t="inlineStr">
        <is>
          <t>OVANÅKER</t>
        </is>
      </c>
      <c r="F7482" t="inlineStr">
        <is>
          <t>Bergvik skog väst AB</t>
        </is>
      </c>
      <c r="G7482" t="n">
        <v>6.1</v>
      </c>
      <c r="H7482" t="n">
        <v>0</v>
      </c>
      <c r="I7482" t="n">
        <v>0</v>
      </c>
      <c r="J7482" t="n">
        <v>0</v>
      </c>
      <c r="K7482" t="n">
        <v>0</v>
      </c>
      <c r="L7482" t="n">
        <v>0</v>
      </c>
      <c r="M7482" t="n">
        <v>0</v>
      </c>
      <c r="N7482" t="n">
        <v>0</v>
      </c>
      <c r="O7482" t="n">
        <v>0</v>
      </c>
      <c r="P7482" t="n">
        <v>0</v>
      </c>
      <c r="Q7482" t="n">
        <v>0</v>
      </c>
      <c r="R7482" s="2" t="inlineStr"/>
    </row>
    <row r="7483" ht="15" customHeight="1">
      <c r="A7483" t="inlineStr">
        <is>
          <t>A 47268-2021</t>
        </is>
      </c>
      <c r="B7483" s="1" t="n">
        <v>44447</v>
      </c>
      <c r="C7483" s="1" t="n">
        <v>45883</v>
      </c>
      <c r="D7483" t="inlineStr">
        <is>
          <t>GÄVLEBORGS LÄN</t>
        </is>
      </c>
      <c r="E7483" t="inlineStr">
        <is>
          <t>LJUSDAL</t>
        </is>
      </c>
      <c r="F7483" t="inlineStr">
        <is>
          <t>Bergvik skog väst AB</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37576-2025</t>
        </is>
      </c>
      <c r="B7484" s="1" t="n">
        <v>45880</v>
      </c>
      <c r="C7484" s="1" t="n">
        <v>45883</v>
      </c>
      <c r="D7484" t="inlineStr">
        <is>
          <t>GÄVLEBORGS LÄN</t>
        </is>
      </c>
      <c r="E7484" t="inlineStr">
        <is>
          <t>HUDIKSVALL</t>
        </is>
      </c>
      <c r="G7484" t="n">
        <v>8</v>
      </c>
      <c r="H7484" t="n">
        <v>0</v>
      </c>
      <c r="I7484" t="n">
        <v>0</v>
      </c>
      <c r="J7484" t="n">
        <v>0</v>
      </c>
      <c r="K7484" t="n">
        <v>0</v>
      </c>
      <c r="L7484" t="n">
        <v>0</v>
      </c>
      <c r="M7484" t="n">
        <v>0</v>
      </c>
      <c r="N7484" t="n">
        <v>0</v>
      </c>
      <c r="O7484" t="n">
        <v>0</v>
      </c>
      <c r="P7484" t="n">
        <v>0</v>
      </c>
      <c r="Q7484" t="n">
        <v>0</v>
      </c>
      <c r="R7484" s="2" t="inlineStr"/>
    </row>
    <row r="7485" ht="15" customHeight="1">
      <c r="A7485" t="inlineStr">
        <is>
          <t>A 37978-2025</t>
        </is>
      </c>
      <c r="B7485" s="1" t="n">
        <v>45881.67885416667</v>
      </c>
      <c r="C7485" s="1" t="n">
        <v>45883</v>
      </c>
      <c r="D7485" t="inlineStr">
        <is>
          <t>GÄVLEBORGS LÄN</t>
        </is>
      </c>
      <c r="E7485" t="inlineStr">
        <is>
          <t>LJUSDAL</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37989-2025</t>
        </is>
      </c>
      <c r="B7486" s="1" t="n">
        <v>45881.70878472222</v>
      </c>
      <c r="C7486" s="1" t="n">
        <v>45883</v>
      </c>
      <c r="D7486" t="inlineStr">
        <is>
          <t>GÄVLEBORGS LÄN</t>
        </is>
      </c>
      <c r="E7486" t="inlineStr">
        <is>
          <t>BOLLNÄS</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33176-2025</t>
        </is>
      </c>
      <c r="B7487" s="1" t="n">
        <v>45840.58721064815</v>
      </c>
      <c r="C7487" s="1" t="n">
        <v>45883</v>
      </c>
      <c r="D7487" t="inlineStr">
        <is>
          <t>GÄVLEBORGS LÄN</t>
        </is>
      </c>
      <c r="E7487" t="inlineStr">
        <is>
          <t>HUDIKSVALL</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37984-2025</t>
        </is>
      </c>
      <c r="B7488" s="1" t="n">
        <v>45881.6999074074</v>
      </c>
      <c r="C7488" s="1" t="n">
        <v>45883</v>
      </c>
      <c r="D7488" t="inlineStr">
        <is>
          <t>GÄVLEBORGS LÄN</t>
        </is>
      </c>
      <c r="E7488" t="inlineStr">
        <is>
          <t>BOLLNÄS</t>
        </is>
      </c>
      <c r="G7488" t="n">
        <v>3.7</v>
      </c>
      <c r="H7488" t="n">
        <v>0</v>
      </c>
      <c r="I7488" t="n">
        <v>0</v>
      </c>
      <c r="J7488" t="n">
        <v>0</v>
      </c>
      <c r="K7488" t="n">
        <v>0</v>
      </c>
      <c r="L7488" t="n">
        <v>0</v>
      </c>
      <c r="M7488" t="n">
        <v>0</v>
      </c>
      <c r="N7488" t="n">
        <v>0</v>
      </c>
      <c r="O7488" t="n">
        <v>0</v>
      </c>
      <c r="P7488" t="n">
        <v>0</v>
      </c>
      <c r="Q7488" t="n">
        <v>0</v>
      </c>
      <c r="R7488" s="2" t="inlineStr"/>
    </row>
    <row r="7489" ht="15" customHeight="1">
      <c r="A7489" t="inlineStr">
        <is>
          <t>A 37988-2025</t>
        </is>
      </c>
      <c r="B7489" s="1" t="n">
        <v>45881.70454861111</v>
      </c>
      <c r="C7489" s="1" t="n">
        <v>45883</v>
      </c>
      <c r="D7489" t="inlineStr">
        <is>
          <t>GÄVLEBORGS LÄN</t>
        </is>
      </c>
      <c r="E7489" t="inlineStr">
        <is>
          <t>HOFORS</t>
        </is>
      </c>
      <c r="F7489" t="inlineStr">
        <is>
          <t>Sveaskog</t>
        </is>
      </c>
      <c r="G7489" t="n">
        <v>5.7</v>
      </c>
      <c r="H7489" t="n">
        <v>0</v>
      </c>
      <c r="I7489" t="n">
        <v>0</v>
      </c>
      <c r="J7489" t="n">
        <v>0</v>
      </c>
      <c r="K7489" t="n">
        <v>0</v>
      </c>
      <c r="L7489" t="n">
        <v>0</v>
      </c>
      <c r="M7489" t="n">
        <v>0</v>
      </c>
      <c r="N7489" t="n">
        <v>0</v>
      </c>
      <c r="O7489" t="n">
        <v>0</v>
      </c>
      <c r="P7489" t="n">
        <v>0</v>
      </c>
      <c r="Q7489" t="n">
        <v>0</v>
      </c>
      <c r="R7489" s="2" t="inlineStr"/>
    </row>
    <row r="7490" ht="15" customHeight="1">
      <c r="A7490" t="inlineStr">
        <is>
          <t>A 40453-2024</t>
        </is>
      </c>
      <c r="B7490" s="1" t="n">
        <v>45555.49383101852</v>
      </c>
      <c r="C7490" s="1" t="n">
        <v>45883</v>
      </c>
      <c r="D7490" t="inlineStr">
        <is>
          <t>GÄVLEBORGS LÄN</t>
        </is>
      </c>
      <c r="E7490" t="inlineStr">
        <is>
          <t>BOLLNÄS</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50331-2021</t>
        </is>
      </c>
      <c r="B7491" s="1" t="n">
        <v>44459.41059027778</v>
      </c>
      <c r="C7491" s="1" t="n">
        <v>45883</v>
      </c>
      <c r="D7491" t="inlineStr">
        <is>
          <t>GÄVLEBORGS LÄN</t>
        </is>
      </c>
      <c r="E7491" t="inlineStr">
        <is>
          <t>LJUSDAL</t>
        </is>
      </c>
      <c r="F7491" t="inlineStr">
        <is>
          <t>Bergvik skog väst AB</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45626-2022</t>
        </is>
      </c>
      <c r="B7492" s="1" t="n">
        <v>44845</v>
      </c>
      <c r="C7492" s="1" t="n">
        <v>45883</v>
      </c>
      <c r="D7492" t="inlineStr">
        <is>
          <t>GÄVLEBORGS LÄN</t>
        </is>
      </c>
      <c r="E7492" t="inlineStr">
        <is>
          <t>GÄVLE</t>
        </is>
      </c>
      <c r="G7492" t="n">
        <v>3.1</v>
      </c>
      <c r="H7492" t="n">
        <v>0</v>
      </c>
      <c r="I7492" t="n">
        <v>0</v>
      </c>
      <c r="J7492" t="n">
        <v>0</v>
      </c>
      <c r="K7492" t="n">
        <v>0</v>
      </c>
      <c r="L7492" t="n">
        <v>0</v>
      </c>
      <c r="M7492" t="n">
        <v>0</v>
      </c>
      <c r="N7492" t="n">
        <v>0</v>
      </c>
      <c r="O7492" t="n">
        <v>0</v>
      </c>
      <c r="P7492" t="n">
        <v>0</v>
      </c>
      <c r="Q7492" t="n">
        <v>0</v>
      </c>
      <c r="R7492" s="2" t="inlineStr"/>
    </row>
    <row r="7493" ht="15" customHeight="1">
      <c r="A7493" t="inlineStr">
        <is>
          <t>A 44048-2022</t>
        </is>
      </c>
      <c r="B7493" s="1" t="n">
        <v>44838.94913194444</v>
      </c>
      <c r="C7493" s="1" t="n">
        <v>45883</v>
      </c>
      <c r="D7493" t="inlineStr">
        <is>
          <t>GÄVLEBORGS LÄN</t>
        </is>
      </c>
      <c r="E7493" t="inlineStr">
        <is>
          <t>LJUSDAL</t>
        </is>
      </c>
      <c r="F7493" t="inlineStr">
        <is>
          <t>SCA</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15242-2023</t>
        </is>
      </c>
      <c r="B7494" s="1" t="n">
        <v>45019</v>
      </c>
      <c r="C7494" s="1" t="n">
        <v>45883</v>
      </c>
      <c r="D7494" t="inlineStr">
        <is>
          <t>GÄVLEBORGS LÄN</t>
        </is>
      </c>
      <c r="E7494" t="inlineStr">
        <is>
          <t>HUDIKSVALL</t>
        </is>
      </c>
      <c r="G7494" t="n">
        <v>2.7</v>
      </c>
      <c r="H7494" t="n">
        <v>0</v>
      </c>
      <c r="I7494" t="n">
        <v>0</v>
      </c>
      <c r="J7494" t="n">
        <v>0</v>
      </c>
      <c r="K7494" t="n">
        <v>0</v>
      </c>
      <c r="L7494" t="n">
        <v>0</v>
      </c>
      <c r="M7494" t="n">
        <v>0</v>
      </c>
      <c r="N7494" t="n">
        <v>0</v>
      </c>
      <c r="O7494" t="n">
        <v>0</v>
      </c>
      <c r="P7494" t="n">
        <v>0</v>
      </c>
      <c r="Q7494" t="n">
        <v>0</v>
      </c>
      <c r="R7494" s="2" t="inlineStr"/>
    </row>
    <row r="7495" ht="15" customHeight="1">
      <c r="A7495" t="inlineStr">
        <is>
          <t>A 32959-2024</t>
        </is>
      </c>
      <c r="B7495" s="1" t="n">
        <v>45517</v>
      </c>
      <c r="C7495" s="1" t="n">
        <v>45883</v>
      </c>
      <c r="D7495" t="inlineStr">
        <is>
          <t>GÄVLEBORGS LÄN</t>
        </is>
      </c>
      <c r="E7495" t="inlineStr">
        <is>
          <t>HUDIKSVALL</t>
        </is>
      </c>
      <c r="F7495" t="inlineStr">
        <is>
          <t>Holmen skog AB</t>
        </is>
      </c>
      <c r="G7495" t="n">
        <v>2.9</v>
      </c>
      <c r="H7495" t="n">
        <v>0</v>
      </c>
      <c r="I7495" t="n">
        <v>0</v>
      </c>
      <c r="J7495" t="n">
        <v>0</v>
      </c>
      <c r="K7495" t="n">
        <v>0</v>
      </c>
      <c r="L7495" t="n">
        <v>0</v>
      </c>
      <c r="M7495" t="n">
        <v>0</v>
      </c>
      <c r="N7495" t="n">
        <v>0</v>
      </c>
      <c r="O7495" t="n">
        <v>0</v>
      </c>
      <c r="P7495" t="n">
        <v>0</v>
      </c>
      <c r="Q7495" t="n">
        <v>0</v>
      </c>
      <c r="R7495" s="2" t="inlineStr"/>
    </row>
    <row r="7496" ht="15" customHeight="1">
      <c r="A7496" t="inlineStr">
        <is>
          <t>A 14050-2023</t>
        </is>
      </c>
      <c r="B7496" s="1" t="n">
        <v>45008</v>
      </c>
      <c r="C7496" s="1" t="n">
        <v>45883</v>
      </c>
      <c r="D7496" t="inlineStr">
        <is>
          <t>GÄVLEBORGS LÄN</t>
        </is>
      </c>
      <c r="E7496" t="inlineStr">
        <is>
          <t>BOLLNÄS</t>
        </is>
      </c>
      <c r="G7496" t="n">
        <v>0.4</v>
      </c>
      <c r="H7496" t="n">
        <v>0</v>
      </c>
      <c r="I7496" t="n">
        <v>0</v>
      </c>
      <c r="J7496" t="n">
        <v>0</v>
      </c>
      <c r="K7496" t="n">
        <v>0</v>
      </c>
      <c r="L7496" t="n">
        <v>0</v>
      </c>
      <c r="M7496" t="n">
        <v>0</v>
      </c>
      <c r="N7496" t="n">
        <v>0</v>
      </c>
      <c r="O7496" t="n">
        <v>0</v>
      </c>
      <c r="P7496" t="n">
        <v>0</v>
      </c>
      <c r="Q7496" t="n">
        <v>0</v>
      </c>
      <c r="R7496" s="2" t="inlineStr"/>
    </row>
    <row r="7497" ht="15" customHeight="1">
      <c r="A7497" t="inlineStr">
        <is>
          <t>A 55477-2022</t>
        </is>
      </c>
      <c r="B7497" s="1" t="n">
        <v>44887</v>
      </c>
      <c r="C7497" s="1" t="n">
        <v>45883</v>
      </c>
      <c r="D7497" t="inlineStr">
        <is>
          <t>GÄVLEBORGS LÄN</t>
        </is>
      </c>
      <c r="E7497" t="inlineStr">
        <is>
          <t>OVANÅKER</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16258-2023</t>
        </is>
      </c>
      <c r="B7498" s="1" t="n">
        <v>45022</v>
      </c>
      <c r="C7498" s="1" t="n">
        <v>45883</v>
      </c>
      <c r="D7498" t="inlineStr">
        <is>
          <t>GÄVLEBORGS LÄN</t>
        </is>
      </c>
      <c r="E7498" t="inlineStr">
        <is>
          <t>SANDVIKEN</t>
        </is>
      </c>
      <c r="F7498" t="inlineStr">
        <is>
          <t>Bergvik skog väst AB</t>
        </is>
      </c>
      <c r="G7498" t="n">
        <v>5.2</v>
      </c>
      <c r="H7498" t="n">
        <v>0</v>
      </c>
      <c r="I7498" t="n">
        <v>0</v>
      </c>
      <c r="J7498" t="n">
        <v>0</v>
      </c>
      <c r="K7498" t="n">
        <v>0</v>
      </c>
      <c r="L7498" t="n">
        <v>0</v>
      </c>
      <c r="M7498" t="n">
        <v>0</v>
      </c>
      <c r="N7498" t="n">
        <v>0</v>
      </c>
      <c r="O7498" t="n">
        <v>0</v>
      </c>
      <c r="P7498" t="n">
        <v>0</v>
      </c>
      <c r="Q7498" t="n">
        <v>0</v>
      </c>
      <c r="R7498" s="2" t="inlineStr"/>
    </row>
    <row r="7499" ht="15" customHeight="1">
      <c r="A7499" t="inlineStr">
        <is>
          <t>A 30130-2024</t>
        </is>
      </c>
      <c r="B7499" s="1" t="n">
        <v>45489</v>
      </c>
      <c r="C7499" s="1" t="n">
        <v>45883</v>
      </c>
      <c r="D7499" t="inlineStr">
        <is>
          <t>GÄVLEBORGS LÄN</t>
        </is>
      </c>
      <c r="E7499" t="inlineStr">
        <is>
          <t>NORDANSTIG</t>
        </is>
      </c>
      <c r="F7499" t="inlineStr">
        <is>
          <t>Holmen skog AB</t>
        </is>
      </c>
      <c r="G7499" t="n">
        <v>3.9</v>
      </c>
      <c r="H7499" t="n">
        <v>0</v>
      </c>
      <c r="I7499" t="n">
        <v>0</v>
      </c>
      <c r="J7499" t="n">
        <v>0</v>
      </c>
      <c r="K7499" t="n">
        <v>0</v>
      </c>
      <c r="L7499" t="n">
        <v>0</v>
      </c>
      <c r="M7499" t="n">
        <v>0</v>
      </c>
      <c r="N7499" t="n">
        <v>0</v>
      </c>
      <c r="O7499" t="n">
        <v>0</v>
      </c>
      <c r="P7499" t="n">
        <v>0</v>
      </c>
      <c r="Q7499" t="n">
        <v>0</v>
      </c>
      <c r="R7499" s="2" t="inlineStr"/>
    </row>
    <row r="7500" ht="15" customHeight="1">
      <c r="A7500" t="inlineStr">
        <is>
          <t>A 55407-2022</t>
        </is>
      </c>
      <c r="B7500" s="1" t="n">
        <v>44887</v>
      </c>
      <c r="C7500" s="1" t="n">
        <v>45883</v>
      </c>
      <c r="D7500" t="inlineStr">
        <is>
          <t>GÄVLEBORGS LÄN</t>
        </is>
      </c>
      <c r="E7500" t="inlineStr">
        <is>
          <t>SANDVIKEN</t>
        </is>
      </c>
      <c r="G7500" t="n">
        <v>8.9</v>
      </c>
      <c r="H7500" t="n">
        <v>0</v>
      </c>
      <c r="I7500" t="n">
        <v>0</v>
      </c>
      <c r="J7500" t="n">
        <v>0</v>
      </c>
      <c r="K7500" t="n">
        <v>0</v>
      </c>
      <c r="L7500" t="n">
        <v>0</v>
      </c>
      <c r="M7500" t="n">
        <v>0</v>
      </c>
      <c r="N7500" t="n">
        <v>0</v>
      </c>
      <c r="O7500" t="n">
        <v>0</v>
      </c>
      <c r="P7500" t="n">
        <v>0</v>
      </c>
      <c r="Q7500" t="n">
        <v>0</v>
      </c>
      <c r="R7500" s="2" t="inlineStr"/>
    </row>
    <row r="7501" ht="15" customHeight="1">
      <c r="A7501" t="inlineStr">
        <is>
          <t>A 55434-2022</t>
        </is>
      </c>
      <c r="B7501" s="1" t="n">
        <v>44887</v>
      </c>
      <c r="C7501" s="1" t="n">
        <v>45883</v>
      </c>
      <c r="D7501" t="inlineStr">
        <is>
          <t>GÄVLEBORGS LÄN</t>
        </is>
      </c>
      <c r="E7501" t="inlineStr">
        <is>
          <t>HUDIKSVALL</t>
        </is>
      </c>
      <c r="F7501" t="inlineStr">
        <is>
          <t>Holmen skog AB</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28314-2023</t>
        </is>
      </c>
      <c r="B7502" s="1" t="n">
        <v>45099.66478009259</v>
      </c>
      <c r="C7502" s="1" t="n">
        <v>45883</v>
      </c>
      <c r="D7502" t="inlineStr">
        <is>
          <t>GÄVLEBORGS LÄN</t>
        </is>
      </c>
      <c r="E7502" t="inlineStr">
        <is>
          <t>BOLLNÄS</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5408-2023</t>
        </is>
      </c>
      <c r="B7503" s="1" t="n">
        <v>44959.71658564815</v>
      </c>
      <c r="C7503" s="1" t="n">
        <v>45883</v>
      </c>
      <c r="D7503" t="inlineStr">
        <is>
          <t>GÄVLEBORGS LÄN</t>
        </is>
      </c>
      <c r="E7503" t="inlineStr">
        <is>
          <t>GÄVLE</t>
        </is>
      </c>
      <c r="G7503" t="n">
        <v>0.3</v>
      </c>
      <c r="H7503" t="n">
        <v>0</v>
      </c>
      <c r="I7503" t="n">
        <v>0</v>
      </c>
      <c r="J7503" t="n">
        <v>0</v>
      </c>
      <c r="K7503" t="n">
        <v>0</v>
      </c>
      <c r="L7503" t="n">
        <v>0</v>
      </c>
      <c r="M7503" t="n">
        <v>0</v>
      </c>
      <c r="N7503" t="n">
        <v>0</v>
      </c>
      <c r="O7503" t="n">
        <v>0</v>
      </c>
      <c r="P7503" t="n">
        <v>0</v>
      </c>
      <c r="Q7503" t="n">
        <v>0</v>
      </c>
      <c r="R7503" s="2" t="inlineStr"/>
    </row>
    <row r="7504" ht="15" customHeight="1">
      <c r="A7504" t="inlineStr">
        <is>
          <t>A 7464-2021</t>
        </is>
      </c>
      <c r="B7504" s="1" t="n">
        <v>44239</v>
      </c>
      <c r="C7504" s="1" t="n">
        <v>45883</v>
      </c>
      <c r="D7504" t="inlineStr">
        <is>
          <t>GÄVLEBORGS LÄN</t>
        </is>
      </c>
      <c r="E7504" t="inlineStr">
        <is>
          <t>BOLLNÄS</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3663-2021</t>
        </is>
      </c>
      <c r="B7505" s="1" t="n">
        <v>44221</v>
      </c>
      <c r="C7505" s="1" t="n">
        <v>45883</v>
      </c>
      <c r="D7505" t="inlineStr">
        <is>
          <t>GÄVLEBORGS LÄN</t>
        </is>
      </c>
      <c r="E7505" t="inlineStr">
        <is>
          <t>LJUSDAL</t>
        </is>
      </c>
      <c r="G7505" t="n">
        <v>6.8</v>
      </c>
      <c r="H7505" t="n">
        <v>0</v>
      </c>
      <c r="I7505" t="n">
        <v>0</v>
      </c>
      <c r="J7505" t="n">
        <v>0</v>
      </c>
      <c r="K7505" t="n">
        <v>0</v>
      </c>
      <c r="L7505" t="n">
        <v>0</v>
      </c>
      <c r="M7505" t="n">
        <v>0</v>
      </c>
      <c r="N7505" t="n">
        <v>0</v>
      </c>
      <c r="O7505" t="n">
        <v>0</v>
      </c>
      <c r="P7505" t="n">
        <v>0</v>
      </c>
      <c r="Q7505" t="n">
        <v>0</v>
      </c>
      <c r="R7505" s="2" t="inlineStr"/>
    </row>
    <row r="7506" ht="15" customHeight="1">
      <c r="A7506" t="inlineStr">
        <is>
          <t>A 36877-2022</t>
        </is>
      </c>
      <c r="B7506" s="1" t="n">
        <v>44805</v>
      </c>
      <c r="C7506" s="1" t="n">
        <v>45883</v>
      </c>
      <c r="D7506" t="inlineStr">
        <is>
          <t>GÄVLEBORGS LÄN</t>
        </is>
      </c>
      <c r="E7506" t="inlineStr">
        <is>
          <t>BOLLNÄS</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60442-2022</t>
        </is>
      </c>
      <c r="B7507" s="1" t="n">
        <v>44911.36083333333</v>
      </c>
      <c r="C7507" s="1" t="n">
        <v>45883</v>
      </c>
      <c r="D7507" t="inlineStr">
        <is>
          <t>GÄVLEBORGS LÄN</t>
        </is>
      </c>
      <c r="E7507" t="inlineStr">
        <is>
          <t>GÄVLE</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40798-2022</t>
        </is>
      </c>
      <c r="B7508" s="1" t="n">
        <v>44824.65527777778</v>
      </c>
      <c r="C7508" s="1" t="n">
        <v>45883</v>
      </c>
      <c r="D7508" t="inlineStr">
        <is>
          <t>GÄVLEBORGS LÄN</t>
        </is>
      </c>
      <c r="E7508" t="inlineStr">
        <is>
          <t>NORDANSTIG</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40876-2022</t>
        </is>
      </c>
      <c r="B7509" s="1" t="n">
        <v>44825.34003472222</v>
      </c>
      <c r="C7509" s="1" t="n">
        <v>45883</v>
      </c>
      <c r="D7509" t="inlineStr">
        <is>
          <t>GÄVLEBORGS LÄN</t>
        </is>
      </c>
      <c r="E7509" t="inlineStr">
        <is>
          <t>HUDIKSVALL</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26334-2022</t>
        </is>
      </c>
      <c r="B7510" s="1" t="n">
        <v>44735.61462962963</v>
      </c>
      <c r="C7510" s="1" t="n">
        <v>45883</v>
      </c>
      <c r="D7510" t="inlineStr">
        <is>
          <t>GÄVLEBORGS LÄN</t>
        </is>
      </c>
      <c r="E7510" t="inlineStr">
        <is>
          <t>GÄVLE</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11778-2024</t>
        </is>
      </c>
      <c r="B7511" s="1" t="n">
        <v>45374.42484953703</v>
      </c>
      <c r="C7511" s="1" t="n">
        <v>45883</v>
      </c>
      <c r="D7511" t="inlineStr">
        <is>
          <t>GÄVLEBORGS LÄN</t>
        </is>
      </c>
      <c r="E7511" t="inlineStr">
        <is>
          <t>SANDVIKEN</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37005-2022</t>
        </is>
      </c>
      <c r="B7512" s="1" t="n">
        <v>44806</v>
      </c>
      <c r="C7512" s="1" t="n">
        <v>45883</v>
      </c>
      <c r="D7512" t="inlineStr">
        <is>
          <t>GÄVLEBORGS LÄN</t>
        </is>
      </c>
      <c r="E7512" t="inlineStr">
        <is>
          <t>NORDANSTIG</t>
        </is>
      </c>
      <c r="G7512" t="n">
        <v>3.4</v>
      </c>
      <c r="H7512" t="n">
        <v>0</v>
      </c>
      <c r="I7512" t="n">
        <v>0</v>
      </c>
      <c r="J7512" t="n">
        <v>0</v>
      </c>
      <c r="K7512" t="n">
        <v>0</v>
      </c>
      <c r="L7512" t="n">
        <v>0</v>
      </c>
      <c r="M7512" t="n">
        <v>0</v>
      </c>
      <c r="N7512" t="n">
        <v>0</v>
      </c>
      <c r="O7512" t="n">
        <v>0</v>
      </c>
      <c r="P7512" t="n">
        <v>0</v>
      </c>
      <c r="Q7512" t="n">
        <v>0</v>
      </c>
      <c r="R7512" s="2" t="inlineStr"/>
    </row>
    <row r="7513" ht="15" customHeight="1">
      <c r="A7513" t="inlineStr">
        <is>
          <t>A 11897-2024</t>
        </is>
      </c>
      <c r="B7513" s="1" t="n">
        <v>45376.54525462963</v>
      </c>
      <c r="C7513" s="1" t="n">
        <v>45883</v>
      </c>
      <c r="D7513" t="inlineStr">
        <is>
          <t>GÄVLEBORGS LÄN</t>
        </is>
      </c>
      <c r="E7513" t="inlineStr">
        <is>
          <t>SANDVIKEN</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41740-2023</t>
        </is>
      </c>
      <c r="B7514" s="1" t="n">
        <v>45176.41961805556</v>
      </c>
      <c r="C7514" s="1" t="n">
        <v>45883</v>
      </c>
      <c r="D7514" t="inlineStr">
        <is>
          <t>GÄVLEBORGS LÄN</t>
        </is>
      </c>
      <c r="E7514" t="inlineStr">
        <is>
          <t>BOLLNÄS</t>
        </is>
      </c>
      <c r="G7514" t="n">
        <v>0.4</v>
      </c>
      <c r="H7514" t="n">
        <v>0</v>
      </c>
      <c r="I7514" t="n">
        <v>0</v>
      </c>
      <c r="J7514" t="n">
        <v>0</v>
      </c>
      <c r="K7514" t="n">
        <v>0</v>
      </c>
      <c r="L7514" t="n">
        <v>0</v>
      </c>
      <c r="M7514" t="n">
        <v>0</v>
      </c>
      <c r="N7514" t="n">
        <v>0</v>
      </c>
      <c r="O7514" t="n">
        <v>0</v>
      </c>
      <c r="P7514" t="n">
        <v>0</v>
      </c>
      <c r="Q7514" t="n">
        <v>0</v>
      </c>
      <c r="R7514" s="2" t="inlineStr"/>
    </row>
    <row r="7515" ht="15" customHeight="1">
      <c r="A7515" t="inlineStr">
        <is>
          <t>A 14415-2022</t>
        </is>
      </c>
      <c r="B7515" s="1" t="n">
        <v>44652</v>
      </c>
      <c r="C7515" s="1" t="n">
        <v>45883</v>
      </c>
      <c r="D7515" t="inlineStr">
        <is>
          <t>GÄVLEBORGS LÄN</t>
        </is>
      </c>
      <c r="E7515" t="inlineStr">
        <is>
          <t>NORDANSTIG</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43259-2023</t>
        </is>
      </c>
      <c r="B7516" s="1" t="n">
        <v>45183</v>
      </c>
      <c r="C7516" s="1" t="n">
        <v>45883</v>
      </c>
      <c r="D7516" t="inlineStr">
        <is>
          <t>GÄVLEBORGS LÄN</t>
        </is>
      </c>
      <c r="E7516" t="inlineStr">
        <is>
          <t>OVANÅKER</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43893-2023</t>
        </is>
      </c>
      <c r="B7517" s="1" t="n">
        <v>45187.66037037037</v>
      </c>
      <c r="C7517" s="1" t="n">
        <v>45883</v>
      </c>
      <c r="D7517" t="inlineStr">
        <is>
          <t>GÄVLEBORGS LÄN</t>
        </is>
      </c>
      <c r="E7517" t="inlineStr">
        <is>
          <t>NORDANSTIG</t>
        </is>
      </c>
      <c r="G7517" t="n">
        <v>3.2</v>
      </c>
      <c r="H7517" t="n">
        <v>0</v>
      </c>
      <c r="I7517" t="n">
        <v>0</v>
      </c>
      <c r="J7517" t="n">
        <v>0</v>
      </c>
      <c r="K7517" t="n">
        <v>0</v>
      </c>
      <c r="L7517" t="n">
        <v>0</v>
      </c>
      <c r="M7517" t="n">
        <v>0</v>
      </c>
      <c r="N7517" t="n">
        <v>0</v>
      </c>
      <c r="O7517" t="n">
        <v>0</v>
      </c>
      <c r="P7517" t="n">
        <v>0</v>
      </c>
      <c r="Q7517" t="n">
        <v>0</v>
      </c>
      <c r="R7517" s="2" t="inlineStr"/>
    </row>
    <row r="7518" ht="15" customHeight="1">
      <c r="A7518" t="inlineStr">
        <is>
          <t>A 5999-2024</t>
        </is>
      </c>
      <c r="B7518" s="1" t="n">
        <v>45336.59125</v>
      </c>
      <c r="C7518" s="1" t="n">
        <v>45883</v>
      </c>
      <c r="D7518" t="inlineStr">
        <is>
          <t>GÄVLEBORGS LÄN</t>
        </is>
      </c>
      <c r="E7518" t="inlineStr">
        <is>
          <t>NORDANSTIG</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5462-2023</t>
        </is>
      </c>
      <c r="B7519" s="1" t="n">
        <v>44960.32700231481</v>
      </c>
      <c r="C7519" s="1" t="n">
        <v>45883</v>
      </c>
      <c r="D7519" t="inlineStr">
        <is>
          <t>GÄVLEBORGS LÄN</t>
        </is>
      </c>
      <c r="E7519" t="inlineStr">
        <is>
          <t>GÄVLE</t>
        </is>
      </c>
      <c r="F7519" t="inlineStr">
        <is>
          <t>Bergvik skog öst AB</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61592-2022</t>
        </is>
      </c>
      <c r="B7520" s="1" t="n">
        <v>44916</v>
      </c>
      <c r="C7520" s="1" t="n">
        <v>45883</v>
      </c>
      <c r="D7520" t="inlineStr">
        <is>
          <t>GÄVLEBORGS LÄN</t>
        </is>
      </c>
      <c r="E7520" t="inlineStr">
        <is>
          <t>BOLLNÄS</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6879-2023</t>
        </is>
      </c>
      <c r="B7521" s="1" t="n">
        <v>44967.4797337963</v>
      </c>
      <c r="C7521" s="1" t="n">
        <v>45883</v>
      </c>
      <c r="D7521" t="inlineStr">
        <is>
          <t>GÄVLEBORGS LÄN</t>
        </is>
      </c>
      <c r="E7521" t="inlineStr">
        <is>
          <t>BOLLNÄS</t>
        </is>
      </c>
      <c r="G7521" t="n">
        <v>6.3</v>
      </c>
      <c r="H7521" t="n">
        <v>0</v>
      </c>
      <c r="I7521" t="n">
        <v>0</v>
      </c>
      <c r="J7521" t="n">
        <v>0</v>
      </c>
      <c r="K7521" t="n">
        <v>0</v>
      </c>
      <c r="L7521" t="n">
        <v>0</v>
      </c>
      <c r="M7521" t="n">
        <v>0</v>
      </c>
      <c r="N7521" t="n">
        <v>0</v>
      </c>
      <c r="O7521" t="n">
        <v>0</v>
      </c>
      <c r="P7521" t="n">
        <v>0</v>
      </c>
      <c r="Q7521" t="n">
        <v>0</v>
      </c>
      <c r="R7521" s="2" t="inlineStr"/>
    </row>
    <row r="7522" ht="15" customHeight="1">
      <c r="A7522" t="inlineStr">
        <is>
          <t>A 15306-2023</t>
        </is>
      </c>
      <c r="B7522" s="1" t="n">
        <v>45019</v>
      </c>
      <c r="C7522" s="1" t="n">
        <v>45883</v>
      </c>
      <c r="D7522" t="inlineStr">
        <is>
          <t>GÄVLEBORGS LÄN</t>
        </is>
      </c>
      <c r="E7522" t="inlineStr">
        <is>
          <t>HUDIKSVALL</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58307-2022</t>
        </is>
      </c>
      <c r="B7523" s="1" t="n">
        <v>44901.53635416667</v>
      </c>
      <c r="C7523" s="1" t="n">
        <v>45883</v>
      </c>
      <c r="D7523" t="inlineStr">
        <is>
          <t>GÄVLEBORGS LÄN</t>
        </is>
      </c>
      <c r="E7523" t="inlineStr">
        <is>
          <t>OVANÅKER</t>
        </is>
      </c>
      <c r="G7523" t="n">
        <v>3.2</v>
      </c>
      <c r="H7523" t="n">
        <v>0</v>
      </c>
      <c r="I7523" t="n">
        <v>0</v>
      </c>
      <c r="J7523" t="n">
        <v>0</v>
      </c>
      <c r="K7523" t="n">
        <v>0</v>
      </c>
      <c r="L7523" t="n">
        <v>0</v>
      </c>
      <c r="M7523" t="n">
        <v>0</v>
      </c>
      <c r="N7523" t="n">
        <v>0</v>
      </c>
      <c r="O7523" t="n">
        <v>0</v>
      </c>
      <c r="P7523" t="n">
        <v>0</v>
      </c>
      <c r="Q7523" t="n">
        <v>0</v>
      </c>
      <c r="R7523" s="2" t="inlineStr"/>
    </row>
    <row r="7524" ht="15" customHeight="1">
      <c r="A7524" t="inlineStr">
        <is>
          <t>A 40476-2024</t>
        </is>
      </c>
      <c r="B7524" s="1" t="n">
        <v>45555.54435185185</v>
      </c>
      <c r="C7524" s="1" t="n">
        <v>45883</v>
      </c>
      <c r="D7524" t="inlineStr">
        <is>
          <t>GÄVLEBORGS LÄN</t>
        </is>
      </c>
      <c r="E7524" t="inlineStr">
        <is>
          <t>OVANÅKER</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36197-2024</t>
        </is>
      </c>
      <c r="B7525" s="1" t="n">
        <v>45534.43164351852</v>
      </c>
      <c r="C7525" s="1" t="n">
        <v>45883</v>
      </c>
      <c r="D7525" t="inlineStr">
        <is>
          <t>GÄVLEBORGS LÄN</t>
        </is>
      </c>
      <c r="E7525" t="inlineStr">
        <is>
          <t>GÄVLE</t>
        </is>
      </c>
      <c r="F7525" t="inlineStr">
        <is>
          <t>Kyrkan</t>
        </is>
      </c>
      <c r="G7525" t="n">
        <v>14.9</v>
      </c>
      <c r="H7525" t="n">
        <v>0</v>
      </c>
      <c r="I7525" t="n">
        <v>0</v>
      </c>
      <c r="J7525" t="n">
        <v>0</v>
      </c>
      <c r="K7525" t="n">
        <v>0</v>
      </c>
      <c r="L7525" t="n">
        <v>0</v>
      </c>
      <c r="M7525" t="n">
        <v>0</v>
      </c>
      <c r="N7525" t="n">
        <v>0</v>
      </c>
      <c r="O7525" t="n">
        <v>0</v>
      </c>
      <c r="P7525" t="n">
        <v>0</v>
      </c>
      <c r="Q7525" t="n">
        <v>0</v>
      </c>
      <c r="R7525" s="2" t="inlineStr"/>
    </row>
    <row r="7526" ht="15" customHeight="1">
      <c r="A7526" t="inlineStr">
        <is>
          <t>A 36204-2024</t>
        </is>
      </c>
      <c r="B7526" s="1" t="n">
        <v>45534.43899305556</v>
      </c>
      <c r="C7526" s="1" t="n">
        <v>45883</v>
      </c>
      <c r="D7526" t="inlineStr">
        <is>
          <t>GÄVLEBORGS LÄN</t>
        </is>
      </c>
      <c r="E7526" t="inlineStr">
        <is>
          <t>SÖDERHAMN</t>
        </is>
      </c>
      <c r="F7526" t="inlineStr">
        <is>
          <t>Bergvik skog väst AB</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42035-2024</t>
        </is>
      </c>
      <c r="B7527" s="1" t="n">
        <v>45561</v>
      </c>
      <c r="C7527" s="1" t="n">
        <v>45883</v>
      </c>
      <c r="D7527" t="inlineStr">
        <is>
          <t>GÄVLEBORGS LÄN</t>
        </is>
      </c>
      <c r="E7527" t="inlineStr">
        <is>
          <t>SÖDERHAMN</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42069-2024</t>
        </is>
      </c>
      <c r="B7528" s="1" t="n">
        <v>45562.27895833334</v>
      </c>
      <c r="C7528" s="1" t="n">
        <v>45883</v>
      </c>
      <c r="D7528" t="inlineStr">
        <is>
          <t>GÄVLEBORGS LÄN</t>
        </is>
      </c>
      <c r="E7528" t="inlineStr">
        <is>
          <t>SANDVIKEN</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40554-2022</t>
        </is>
      </c>
      <c r="B7529" s="1" t="n">
        <v>44823.66243055555</v>
      </c>
      <c r="C7529" s="1" t="n">
        <v>45883</v>
      </c>
      <c r="D7529" t="inlineStr">
        <is>
          <t>GÄVLEBORGS LÄN</t>
        </is>
      </c>
      <c r="E7529" t="inlineStr">
        <is>
          <t>LJUSDAL</t>
        </is>
      </c>
      <c r="F7529" t="inlineStr">
        <is>
          <t>Bergvik skog väst AB</t>
        </is>
      </c>
      <c r="G7529" t="n">
        <v>4</v>
      </c>
      <c r="H7529" t="n">
        <v>0</v>
      </c>
      <c r="I7529" t="n">
        <v>0</v>
      </c>
      <c r="J7529" t="n">
        <v>0</v>
      </c>
      <c r="K7529" t="n">
        <v>0</v>
      </c>
      <c r="L7529" t="n">
        <v>0</v>
      </c>
      <c r="M7529" t="n">
        <v>0</v>
      </c>
      <c r="N7529" t="n">
        <v>0</v>
      </c>
      <c r="O7529" t="n">
        <v>0</v>
      </c>
      <c r="P7529" t="n">
        <v>0</v>
      </c>
      <c r="Q7529" t="n">
        <v>0</v>
      </c>
      <c r="R7529" s="2" t="inlineStr"/>
    </row>
    <row r="7530" ht="15" customHeight="1">
      <c r="A7530" t="inlineStr">
        <is>
          <t>A 42865-2024</t>
        </is>
      </c>
      <c r="B7530" s="1" t="n">
        <v>45566</v>
      </c>
      <c r="C7530" s="1" t="n">
        <v>45883</v>
      </c>
      <c r="D7530" t="inlineStr">
        <is>
          <t>GÄVLEBORGS LÄN</t>
        </is>
      </c>
      <c r="E7530" t="inlineStr">
        <is>
          <t>SANDVIKEN</t>
        </is>
      </c>
      <c r="F7530" t="inlineStr">
        <is>
          <t>Sveaskog</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62639-2023</t>
        </is>
      </c>
      <c r="B7531" s="1" t="n">
        <v>45271.41833333333</v>
      </c>
      <c r="C7531" s="1" t="n">
        <v>45883</v>
      </c>
      <c r="D7531" t="inlineStr">
        <is>
          <t>GÄVLEBORGS LÄN</t>
        </is>
      </c>
      <c r="E7531" t="inlineStr">
        <is>
          <t>HUDIKSVALL</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62642-2023</t>
        </is>
      </c>
      <c r="B7532" s="1" t="n">
        <v>45271.42324074074</v>
      </c>
      <c r="C7532" s="1" t="n">
        <v>45883</v>
      </c>
      <c r="D7532" t="inlineStr">
        <is>
          <t>GÄVLEBORGS LÄN</t>
        </is>
      </c>
      <c r="E7532" t="inlineStr">
        <is>
          <t>SANDVIKEN</t>
        </is>
      </c>
      <c r="F7532" t="inlineStr">
        <is>
          <t>Bergvik skog öst AB</t>
        </is>
      </c>
      <c r="G7532" t="n">
        <v>2.9</v>
      </c>
      <c r="H7532" t="n">
        <v>0</v>
      </c>
      <c r="I7532" t="n">
        <v>0</v>
      </c>
      <c r="J7532" t="n">
        <v>0</v>
      </c>
      <c r="K7532" t="n">
        <v>0</v>
      </c>
      <c r="L7532" t="n">
        <v>0</v>
      </c>
      <c r="M7532" t="n">
        <v>0</v>
      </c>
      <c r="N7532" t="n">
        <v>0</v>
      </c>
      <c r="O7532" t="n">
        <v>0</v>
      </c>
      <c r="P7532" t="n">
        <v>0</v>
      </c>
      <c r="Q7532" t="n">
        <v>0</v>
      </c>
      <c r="R7532" s="2" t="inlineStr"/>
    </row>
    <row r="7533" ht="15" customHeight="1">
      <c r="A7533" t="inlineStr">
        <is>
          <t>A 11206-2023</t>
        </is>
      </c>
      <c r="B7533" s="1" t="n">
        <v>44992.60256944445</v>
      </c>
      <c r="C7533" s="1" t="n">
        <v>45883</v>
      </c>
      <c r="D7533" t="inlineStr">
        <is>
          <t>GÄVLEBORGS LÄN</t>
        </is>
      </c>
      <c r="E7533" t="inlineStr">
        <is>
          <t>SÖDERHAMN</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22155-2022</t>
        </is>
      </c>
      <c r="B7534" s="1" t="n">
        <v>44712</v>
      </c>
      <c r="C7534" s="1" t="n">
        <v>45883</v>
      </c>
      <c r="D7534" t="inlineStr">
        <is>
          <t>GÄVLEBORGS LÄN</t>
        </is>
      </c>
      <c r="E7534" t="inlineStr">
        <is>
          <t>LJUSDAL</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41750-2024</t>
        </is>
      </c>
      <c r="B7535" s="1" t="n">
        <v>45561</v>
      </c>
      <c r="C7535" s="1" t="n">
        <v>45883</v>
      </c>
      <c r="D7535" t="inlineStr">
        <is>
          <t>GÄVLEBORGS LÄN</t>
        </is>
      </c>
      <c r="E7535" t="inlineStr">
        <is>
          <t>HUDIKSVALL</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2232-2022</t>
        </is>
      </c>
      <c r="B7536" s="1" t="n">
        <v>44578</v>
      </c>
      <c r="C7536" s="1" t="n">
        <v>45883</v>
      </c>
      <c r="D7536" t="inlineStr">
        <is>
          <t>GÄVLEBORGS LÄN</t>
        </is>
      </c>
      <c r="E7536" t="inlineStr">
        <is>
          <t>HUDIKSVALL</t>
        </is>
      </c>
      <c r="F7536" t="inlineStr">
        <is>
          <t>Holmen skog AB</t>
        </is>
      </c>
      <c r="G7536" t="n">
        <v>8.699999999999999</v>
      </c>
      <c r="H7536" t="n">
        <v>0</v>
      </c>
      <c r="I7536" t="n">
        <v>0</v>
      </c>
      <c r="J7536" t="n">
        <v>0</v>
      </c>
      <c r="K7536" t="n">
        <v>0</v>
      </c>
      <c r="L7536" t="n">
        <v>0</v>
      </c>
      <c r="M7536" t="n">
        <v>0</v>
      </c>
      <c r="N7536" t="n">
        <v>0</v>
      </c>
      <c r="O7536" t="n">
        <v>0</v>
      </c>
      <c r="P7536" t="n">
        <v>0</v>
      </c>
      <c r="Q7536" t="n">
        <v>0</v>
      </c>
      <c r="R7536" s="2" t="inlineStr"/>
    </row>
    <row r="7537" ht="15" customHeight="1">
      <c r="A7537" t="inlineStr">
        <is>
          <t>A 19200-2022</t>
        </is>
      </c>
      <c r="B7537" s="1" t="n">
        <v>44691</v>
      </c>
      <c r="C7537" s="1" t="n">
        <v>45883</v>
      </c>
      <c r="D7537" t="inlineStr">
        <is>
          <t>GÄVLEBORGS LÄN</t>
        </is>
      </c>
      <c r="E7537" t="inlineStr">
        <is>
          <t>LJUSDAL</t>
        </is>
      </c>
      <c r="F7537" t="inlineStr">
        <is>
          <t>Bergvik skog väst AB</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41648-2024</t>
        </is>
      </c>
      <c r="B7538" s="1" t="n">
        <v>45560.63701388889</v>
      </c>
      <c r="C7538" s="1" t="n">
        <v>45883</v>
      </c>
      <c r="D7538" t="inlineStr">
        <is>
          <t>GÄVLEBORGS LÄN</t>
        </is>
      </c>
      <c r="E7538" t="inlineStr">
        <is>
          <t>SÖDERHAMN</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19797-2024</t>
        </is>
      </c>
      <c r="B7539" s="1" t="n">
        <v>45432.92788194444</v>
      </c>
      <c r="C7539" s="1" t="n">
        <v>45883</v>
      </c>
      <c r="D7539" t="inlineStr">
        <is>
          <t>GÄVLEBORGS LÄN</t>
        </is>
      </c>
      <c r="E7539" t="inlineStr">
        <is>
          <t>LJUSDAL</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19843-2024</t>
        </is>
      </c>
      <c r="B7540" s="1" t="n">
        <v>45433.38668981481</v>
      </c>
      <c r="C7540" s="1" t="n">
        <v>45883</v>
      </c>
      <c r="D7540" t="inlineStr">
        <is>
          <t>GÄVLEBORGS LÄN</t>
        </is>
      </c>
      <c r="E7540" t="inlineStr">
        <is>
          <t>SÖDERHAMN</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777-2021</t>
        </is>
      </c>
      <c r="B7541" s="1" t="n">
        <v>44203</v>
      </c>
      <c r="C7541" s="1" t="n">
        <v>45883</v>
      </c>
      <c r="D7541" t="inlineStr">
        <is>
          <t>GÄVLEBORGS LÄN</t>
        </is>
      </c>
      <c r="E7541" t="inlineStr">
        <is>
          <t>HUDIKSVALL</t>
        </is>
      </c>
      <c r="G7541" t="n">
        <v>0.2</v>
      </c>
      <c r="H7541" t="n">
        <v>0</v>
      </c>
      <c r="I7541" t="n">
        <v>0</v>
      </c>
      <c r="J7541" t="n">
        <v>0</v>
      </c>
      <c r="K7541" t="n">
        <v>0</v>
      </c>
      <c r="L7541" t="n">
        <v>0</v>
      </c>
      <c r="M7541" t="n">
        <v>0</v>
      </c>
      <c r="N7541" t="n">
        <v>0</v>
      </c>
      <c r="O7541" t="n">
        <v>0</v>
      </c>
      <c r="P7541" t="n">
        <v>0</v>
      </c>
      <c r="Q7541" t="n">
        <v>0</v>
      </c>
      <c r="R7541" s="2" t="inlineStr"/>
    </row>
    <row r="7542" ht="15" customHeight="1">
      <c r="A7542" t="inlineStr">
        <is>
          <t>A 63619-2023</t>
        </is>
      </c>
      <c r="B7542" s="1" t="n">
        <v>45275.54577546296</v>
      </c>
      <c r="C7542" s="1" t="n">
        <v>45883</v>
      </c>
      <c r="D7542" t="inlineStr">
        <is>
          <t>GÄVLEBORGS LÄN</t>
        </is>
      </c>
      <c r="E7542" t="inlineStr">
        <is>
          <t>HUDIKSVALL</t>
        </is>
      </c>
      <c r="G7542" t="n">
        <v>6.4</v>
      </c>
      <c r="H7542" t="n">
        <v>0</v>
      </c>
      <c r="I7542" t="n">
        <v>0</v>
      </c>
      <c r="J7542" t="n">
        <v>0</v>
      </c>
      <c r="K7542" t="n">
        <v>0</v>
      </c>
      <c r="L7542" t="n">
        <v>0</v>
      </c>
      <c r="M7542" t="n">
        <v>0</v>
      </c>
      <c r="N7542" t="n">
        <v>0</v>
      </c>
      <c r="O7542" t="n">
        <v>0</v>
      </c>
      <c r="P7542" t="n">
        <v>0</v>
      </c>
      <c r="Q7542" t="n">
        <v>0</v>
      </c>
      <c r="R7542" s="2" t="inlineStr"/>
    </row>
    <row r="7543" ht="15" customHeight="1">
      <c r="A7543" t="inlineStr">
        <is>
          <t>A 59718-2021</t>
        </is>
      </c>
      <c r="B7543" s="1" t="n">
        <v>44494</v>
      </c>
      <c r="C7543" s="1" t="n">
        <v>45883</v>
      </c>
      <c r="D7543" t="inlineStr">
        <is>
          <t>GÄVLEBORGS LÄN</t>
        </is>
      </c>
      <c r="E7543" t="inlineStr">
        <is>
          <t>OVANÅKER</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62423-2020</t>
        </is>
      </c>
      <c r="B7544" s="1" t="n">
        <v>44160</v>
      </c>
      <c r="C7544" s="1" t="n">
        <v>45883</v>
      </c>
      <c r="D7544" t="inlineStr">
        <is>
          <t>GÄVLEBORGS LÄN</t>
        </is>
      </c>
      <c r="E7544" t="inlineStr">
        <is>
          <t>BOLLNÄS</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61092-2023</t>
        </is>
      </c>
      <c r="B7545" s="1" t="n">
        <v>45261.64163194445</v>
      </c>
      <c r="C7545" s="1" t="n">
        <v>45883</v>
      </c>
      <c r="D7545" t="inlineStr">
        <is>
          <t>GÄVLEBORGS LÄN</t>
        </is>
      </c>
      <c r="E7545" t="inlineStr">
        <is>
          <t>LJUSDAL</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61053-2023</t>
        </is>
      </c>
      <c r="B7546" s="1" t="n">
        <v>45261.60179398148</v>
      </c>
      <c r="C7546" s="1" t="n">
        <v>45883</v>
      </c>
      <c r="D7546" t="inlineStr">
        <is>
          <t>GÄVLEBORGS LÄN</t>
        </is>
      </c>
      <c r="E7546" t="inlineStr">
        <is>
          <t>LJUSDAL</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54237-2021</t>
        </is>
      </c>
      <c r="B7547" s="1" t="n">
        <v>44470.63472222222</v>
      </c>
      <c r="C7547" s="1" t="n">
        <v>45883</v>
      </c>
      <c r="D7547" t="inlineStr">
        <is>
          <t>GÄVLEBORGS LÄN</t>
        </is>
      </c>
      <c r="E7547" t="inlineStr">
        <is>
          <t>LJUSDAL</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18108-2021</t>
        </is>
      </c>
      <c r="B7548" s="1" t="n">
        <v>44302.49407407407</v>
      </c>
      <c r="C7548" s="1" t="n">
        <v>45883</v>
      </c>
      <c r="D7548" t="inlineStr">
        <is>
          <t>GÄVLEBORGS LÄN</t>
        </is>
      </c>
      <c r="E7548" t="inlineStr">
        <is>
          <t>LJUSDAL</t>
        </is>
      </c>
      <c r="G7548" t="n">
        <v>3.9</v>
      </c>
      <c r="H7548" t="n">
        <v>0</v>
      </c>
      <c r="I7548" t="n">
        <v>0</v>
      </c>
      <c r="J7548" t="n">
        <v>0</v>
      </c>
      <c r="K7548" t="n">
        <v>0</v>
      </c>
      <c r="L7548" t="n">
        <v>0</v>
      </c>
      <c r="M7548" t="n">
        <v>0</v>
      </c>
      <c r="N7548" t="n">
        <v>0</v>
      </c>
      <c r="O7548" t="n">
        <v>0</v>
      </c>
      <c r="P7548" t="n">
        <v>0</v>
      </c>
      <c r="Q7548" t="n">
        <v>0</v>
      </c>
      <c r="R7548" s="2" t="inlineStr"/>
    </row>
    <row r="7549" ht="15" customHeight="1">
      <c r="A7549" t="inlineStr">
        <is>
          <t>A 55046-2022</t>
        </is>
      </c>
      <c r="B7549" s="1" t="n">
        <v>44886</v>
      </c>
      <c r="C7549" s="1" t="n">
        <v>45883</v>
      </c>
      <c r="D7549" t="inlineStr">
        <is>
          <t>GÄVLEBORGS LÄN</t>
        </is>
      </c>
      <c r="E7549" t="inlineStr">
        <is>
          <t>LJUSDAL</t>
        </is>
      </c>
      <c r="F7549" t="inlineStr">
        <is>
          <t>Bergvik skog väst AB</t>
        </is>
      </c>
      <c r="G7549" t="n">
        <v>43.8</v>
      </c>
      <c r="H7549" t="n">
        <v>0</v>
      </c>
      <c r="I7549" t="n">
        <v>0</v>
      </c>
      <c r="J7549" t="n">
        <v>0</v>
      </c>
      <c r="K7549" t="n">
        <v>0</v>
      </c>
      <c r="L7549" t="n">
        <v>0</v>
      </c>
      <c r="M7549" t="n">
        <v>0</v>
      </c>
      <c r="N7549" t="n">
        <v>0</v>
      </c>
      <c r="O7549" t="n">
        <v>0</v>
      </c>
      <c r="P7549" t="n">
        <v>0</v>
      </c>
      <c r="Q7549" t="n">
        <v>0</v>
      </c>
      <c r="R7549" s="2" t="inlineStr"/>
    </row>
    <row r="7550" ht="15" customHeight="1">
      <c r="A7550" t="inlineStr">
        <is>
          <t>A 61366-2022</t>
        </is>
      </c>
      <c r="B7550" s="1" t="n">
        <v>44915</v>
      </c>
      <c r="C7550" s="1" t="n">
        <v>45883</v>
      </c>
      <c r="D7550" t="inlineStr">
        <is>
          <t>GÄVLEBORGS LÄN</t>
        </is>
      </c>
      <c r="E7550" t="inlineStr">
        <is>
          <t>NORDANSTIG</t>
        </is>
      </c>
      <c r="G7550" t="n">
        <v>2.5</v>
      </c>
      <c r="H7550" t="n">
        <v>0</v>
      </c>
      <c r="I7550" t="n">
        <v>0</v>
      </c>
      <c r="J7550" t="n">
        <v>0</v>
      </c>
      <c r="K7550" t="n">
        <v>0</v>
      </c>
      <c r="L7550" t="n">
        <v>0</v>
      </c>
      <c r="M7550" t="n">
        <v>0</v>
      </c>
      <c r="N7550" t="n">
        <v>0</v>
      </c>
      <c r="O7550" t="n">
        <v>0</v>
      </c>
      <c r="P7550" t="n">
        <v>0</v>
      </c>
      <c r="Q7550" t="n">
        <v>0</v>
      </c>
      <c r="R7550" s="2" t="inlineStr"/>
    </row>
    <row r="7551" ht="15" customHeight="1">
      <c r="A7551" t="inlineStr">
        <is>
          <t>A 47954-2024</t>
        </is>
      </c>
      <c r="B7551" s="1" t="n">
        <v>45589.36817129629</v>
      </c>
      <c r="C7551" s="1" t="n">
        <v>45883</v>
      </c>
      <c r="D7551" t="inlineStr">
        <is>
          <t>GÄVLEBORGS LÄN</t>
        </is>
      </c>
      <c r="E7551" t="inlineStr">
        <is>
          <t>LJUSDAL</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7182-2023</t>
        </is>
      </c>
      <c r="B7552" s="1" t="n">
        <v>44970</v>
      </c>
      <c r="C7552" s="1" t="n">
        <v>45883</v>
      </c>
      <c r="D7552" t="inlineStr">
        <is>
          <t>GÄVLEBORGS LÄN</t>
        </is>
      </c>
      <c r="E7552" t="inlineStr">
        <is>
          <t>LJUSDAL</t>
        </is>
      </c>
      <c r="G7552" t="n">
        <v>7</v>
      </c>
      <c r="H7552" t="n">
        <v>0</v>
      </c>
      <c r="I7552" t="n">
        <v>0</v>
      </c>
      <c r="J7552" t="n">
        <v>0</v>
      </c>
      <c r="K7552" t="n">
        <v>0</v>
      </c>
      <c r="L7552" t="n">
        <v>0</v>
      </c>
      <c r="M7552" t="n">
        <v>0</v>
      </c>
      <c r="N7552" t="n">
        <v>0</v>
      </c>
      <c r="O7552" t="n">
        <v>0</v>
      </c>
      <c r="P7552" t="n">
        <v>0</v>
      </c>
      <c r="Q7552" t="n">
        <v>0</v>
      </c>
      <c r="R7552" s="2" t="inlineStr"/>
    </row>
    <row r="7553" ht="15" customHeight="1">
      <c r="A7553" t="inlineStr">
        <is>
          <t>A 69253-2020</t>
        </is>
      </c>
      <c r="B7553" s="1" t="n">
        <v>44192</v>
      </c>
      <c r="C7553" s="1" t="n">
        <v>45883</v>
      </c>
      <c r="D7553" t="inlineStr">
        <is>
          <t>GÄVLEBORGS LÄN</t>
        </is>
      </c>
      <c r="E7553" t="inlineStr">
        <is>
          <t>GÄVLE</t>
        </is>
      </c>
      <c r="F7553" t="inlineStr">
        <is>
          <t>Kommuner</t>
        </is>
      </c>
      <c r="G7553" t="n">
        <v>2.3</v>
      </c>
      <c r="H7553" t="n">
        <v>0</v>
      </c>
      <c r="I7553" t="n">
        <v>0</v>
      </c>
      <c r="J7553" t="n">
        <v>0</v>
      </c>
      <c r="K7553" t="n">
        <v>0</v>
      </c>
      <c r="L7553" t="n">
        <v>0</v>
      </c>
      <c r="M7553" t="n">
        <v>0</v>
      </c>
      <c r="N7553" t="n">
        <v>0</v>
      </c>
      <c r="O7553" t="n">
        <v>0</v>
      </c>
      <c r="P7553" t="n">
        <v>0</v>
      </c>
      <c r="Q7553" t="n">
        <v>0</v>
      </c>
      <c r="R7553" s="2" t="inlineStr"/>
    </row>
    <row r="7554" ht="15" customHeight="1">
      <c r="A7554" t="inlineStr">
        <is>
          <t>A 11215-2023</t>
        </is>
      </c>
      <c r="B7554" s="1" t="n">
        <v>44992.61489583334</v>
      </c>
      <c r="C7554" s="1" t="n">
        <v>45883</v>
      </c>
      <c r="D7554" t="inlineStr">
        <is>
          <t>GÄVLEBORGS LÄN</t>
        </is>
      </c>
      <c r="E7554" t="inlineStr">
        <is>
          <t>SÖDERHAMN</t>
        </is>
      </c>
      <c r="G7554" t="n">
        <v>0.4</v>
      </c>
      <c r="H7554" t="n">
        <v>0</v>
      </c>
      <c r="I7554" t="n">
        <v>0</v>
      </c>
      <c r="J7554" t="n">
        <v>0</v>
      </c>
      <c r="K7554" t="n">
        <v>0</v>
      </c>
      <c r="L7554" t="n">
        <v>0</v>
      </c>
      <c r="M7554" t="n">
        <v>0</v>
      </c>
      <c r="N7554" t="n">
        <v>0</v>
      </c>
      <c r="O7554" t="n">
        <v>0</v>
      </c>
      <c r="P7554" t="n">
        <v>0</v>
      </c>
      <c r="Q7554" t="n">
        <v>0</v>
      </c>
      <c r="R7554" s="2" t="inlineStr"/>
    </row>
    <row r="7555" ht="15" customHeight="1">
      <c r="A7555" t="inlineStr">
        <is>
          <t>A 22975-2024</t>
        </is>
      </c>
      <c r="B7555" s="1" t="n">
        <v>45449.82996527778</v>
      </c>
      <c r="C7555" s="1" t="n">
        <v>45883</v>
      </c>
      <c r="D7555" t="inlineStr">
        <is>
          <t>GÄVLEBORGS LÄN</t>
        </is>
      </c>
      <c r="E7555" t="inlineStr">
        <is>
          <t>HUDIKSVALL</t>
        </is>
      </c>
      <c r="F7555" t="inlineStr">
        <is>
          <t>Holmen skog AB</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21805-2024</t>
        </is>
      </c>
      <c r="B7556" s="1" t="n">
        <v>45442</v>
      </c>
      <c r="C7556" s="1" t="n">
        <v>45883</v>
      </c>
      <c r="D7556" t="inlineStr">
        <is>
          <t>GÄVLEBORGS LÄN</t>
        </is>
      </c>
      <c r="E7556" t="inlineStr">
        <is>
          <t>HUDIKSVALL</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22238-2023</t>
        </is>
      </c>
      <c r="B7557" s="1" t="n">
        <v>45070.28346064815</v>
      </c>
      <c r="C7557" s="1" t="n">
        <v>45883</v>
      </c>
      <c r="D7557" t="inlineStr">
        <is>
          <t>GÄVLEBORGS LÄN</t>
        </is>
      </c>
      <c r="E7557" t="inlineStr">
        <is>
          <t>SANDVIKEN</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43465-2024</t>
        </is>
      </c>
      <c r="B7558" s="1" t="n">
        <v>45568.71283564815</v>
      </c>
      <c r="C7558" s="1" t="n">
        <v>45883</v>
      </c>
      <c r="D7558" t="inlineStr">
        <is>
          <t>GÄVLEBORGS LÄN</t>
        </is>
      </c>
      <c r="E7558" t="inlineStr">
        <is>
          <t>NORDANSTIG</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23006-2023</t>
        </is>
      </c>
      <c r="B7559" s="1" t="n">
        <v>45073</v>
      </c>
      <c r="C7559" s="1" t="n">
        <v>45883</v>
      </c>
      <c r="D7559" t="inlineStr">
        <is>
          <t>GÄVLEBORGS LÄN</t>
        </is>
      </c>
      <c r="E7559" t="inlineStr">
        <is>
          <t>OCKELBO</t>
        </is>
      </c>
      <c r="G7559" t="n">
        <v>3.7</v>
      </c>
      <c r="H7559" t="n">
        <v>0</v>
      </c>
      <c r="I7559" t="n">
        <v>0</v>
      </c>
      <c r="J7559" t="n">
        <v>0</v>
      </c>
      <c r="K7559" t="n">
        <v>0</v>
      </c>
      <c r="L7559" t="n">
        <v>0</v>
      </c>
      <c r="M7559" t="n">
        <v>0</v>
      </c>
      <c r="N7559" t="n">
        <v>0</v>
      </c>
      <c r="O7559" t="n">
        <v>0</v>
      </c>
      <c r="P7559" t="n">
        <v>0</v>
      </c>
      <c r="Q7559" t="n">
        <v>0</v>
      </c>
      <c r="R7559" s="2" t="inlineStr"/>
    </row>
    <row r="7560" ht="15" customHeight="1">
      <c r="A7560" t="inlineStr">
        <is>
          <t>A 23085-2023</t>
        </is>
      </c>
      <c r="B7560" s="1" t="n">
        <v>45075</v>
      </c>
      <c r="C7560" s="1" t="n">
        <v>45883</v>
      </c>
      <c r="D7560" t="inlineStr">
        <is>
          <t>GÄVLEBORGS LÄN</t>
        </is>
      </c>
      <c r="E7560" t="inlineStr">
        <is>
          <t>SANDVIKEN</t>
        </is>
      </c>
      <c r="G7560" t="n">
        <v>8.300000000000001</v>
      </c>
      <c r="H7560" t="n">
        <v>0</v>
      </c>
      <c r="I7560" t="n">
        <v>0</v>
      </c>
      <c r="J7560" t="n">
        <v>0</v>
      </c>
      <c r="K7560" t="n">
        <v>0</v>
      </c>
      <c r="L7560" t="n">
        <v>0</v>
      </c>
      <c r="M7560" t="n">
        <v>0</v>
      </c>
      <c r="N7560" t="n">
        <v>0</v>
      </c>
      <c r="O7560" t="n">
        <v>0</v>
      </c>
      <c r="P7560" t="n">
        <v>0</v>
      </c>
      <c r="Q7560" t="n">
        <v>0</v>
      </c>
      <c r="R7560" s="2" t="inlineStr"/>
    </row>
    <row r="7561" ht="15" customHeight="1">
      <c r="A7561" t="inlineStr">
        <is>
          <t>A 24210-2023</t>
        </is>
      </c>
      <c r="B7561" s="1" t="n">
        <v>45079.57248842593</v>
      </c>
      <c r="C7561" s="1" t="n">
        <v>45883</v>
      </c>
      <c r="D7561" t="inlineStr">
        <is>
          <t>GÄVLEBORGS LÄN</t>
        </is>
      </c>
      <c r="E7561" t="inlineStr">
        <is>
          <t>HUDIKSVALL</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4226-2023</t>
        </is>
      </c>
      <c r="B7562" s="1" t="n">
        <v>44953</v>
      </c>
      <c r="C7562" s="1" t="n">
        <v>45883</v>
      </c>
      <c r="D7562" t="inlineStr">
        <is>
          <t>GÄVLEBORGS LÄN</t>
        </is>
      </c>
      <c r="E7562" t="inlineStr">
        <is>
          <t>OCKELBO</t>
        </is>
      </c>
      <c r="F7562" t="inlineStr">
        <is>
          <t>Bergvik skog väst AB</t>
        </is>
      </c>
      <c r="G7562" t="n">
        <v>2.4</v>
      </c>
      <c r="H7562" t="n">
        <v>0</v>
      </c>
      <c r="I7562" t="n">
        <v>0</v>
      </c>
      <c r="J7562" t="n">
        <v>0</v>
      </c>
      <c r="K7562" t="n">
        <v>0</v>
      </c>
      <c r="L7562" t="n">
        <v>0</v>
      </c>
      <c r="M7562" t="n">
        <v>0</v>
      </c>
      <c r="N7562" t="n">
        <v>0</v>
      </c>
      <c r="O7562" t="n">
        <v>0</v>
      </c>
      <c r="P7562" t="n">
        <v>0</v>
      </c>
      <c r="Q7562" t="n">
        <v>0</v>
      </c>
      <c r="R7562" s="2" t="inlineStr"/>
    </row>
    <row r="7563" ht="15" customHeight="1">
      <c r="A7563" t="inlineStr">
        <is>
          <t>A 46958-2024</t>
        </is>
      </c>
      <c r="B7563" s="1" t="n">
        <v>45586.29105324074</v>
      </c>
      <c r="C7563" s="1" t="n">
        <v>45883</v>
      </c>
      <c r="D7563" t="inlineStr">
        <is>
          <t>GÄVLEBORGS LÄN</t>
        </is>
      </c>
      <c r="E7563" t="inlineStr">
        <is>
          <t>BOLLNÄS</t>
        </is>
      </c>
      <c r="F7563" t="inlineStr">
        <is>
          <t>Bergvik skog väst AB</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28606-2023</t>
        </is>
      </c>
      <c r="B7564" s="1" t="n">
        <v>45103</v>
      </c>
      <c r="C7564" s="1" t="n">
        <v>45883</v>
      </c>
      <c r="D7564" t="inlineStr">
        <is>
          <t>GÄVLEBORGS LÄN</t>
        </is>
      </c>
      <c r="E7564" t="inlineStr">
        <is>
          <t>OVANÅKER</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40260-2023</t>
        </is>
      </c>
      <c r="B7565" s="1" t="n">
        <v>45169.51258101852</v>
      </c>
      <c r="C7565" s="1" t="n">
        <v>45883</v>
      </c>
      <c r="D7565" t="inlineStr">
        <is>
          <t>GÄVLEBORGS LÄN</t>
        </is>
      </c>
      <c r="E7565" t="inlineStr">
        <is>
          <t>LJUSDAL</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15097-2022</t>
        </is>
      </c>
      <c r="B7566" s="1" t="n">
        <v>44658.29910879629</v>
      </c>
      <c r="C7566" s="1" t="n">
        <v>45883</v>
      </c>
      <c r="D7566" t="inlineStr">
        <is>
          <t>GÄVLEBORGS LÄN</t>
        </is>
      </c>
      <c r="E7566" t="inlineStr">
        <is>
          <t>HUDIKSVALL</t>
        </is>
      </c>
      <c r="G7566" t="n">
        <v>4.5</v>
      </c>
      <c r="H7566" t="n">
        <v>0</v>
      </c>
      <c r="I7566" t="n">
        <v>0</v>
      </c>
      <c r="J7566" t="n">
        <v>0</v>
      </c>
      <c r="K7566" t="n">
        <v>0</v>
      </c>
      <c r="L7566" t="n">
        <v>0</v>
      </c>
      <c r="M7566" t="n">
        <v>0</v>
      </c>
      <c r="N7566" t="n">
        <v>0</v>
      </c>
      <c r="O7566" t="n">
        <v>0</v>
      </c>
      <c r="P7566" t="n">
        <v>0</v>
      </c>
      <c r="Q7566" t="n">
        <v>0</v>
      </c>
      <c r="R7566" s="2" t="inlineStr"/>
    </row>
    <row r="7567" ht="15" customHeight="1">
      <c r="A7567" t="inlineStr">
        <is>
          <t>A 19424-2022</t>
        </is>
      </c>
      <c r="B7567" s="1" t="n">
        <v>44693</v>
      </c>
      <c r="C7567" s="1" t="n">
        <v>45883</v>
      </c>
      <c r="D7567" t="inlineStr">
        <is>
          <t>GÄVLEBORGS LÄN</t>
        </is>
      </c>
      <c r="E7567" t="inlineStr">
        <is>
          <t>GÄVLE</t>
        </is>
      </c>
      <c r="F7567" t="inlineStr">
        <is>
          <t>Bergvik skog väst AB</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26448-2024</t>
        </is>
      </c>
      <c r="B7568" s="1" t="n">
        <v>45469.50715277778</v>
      </c>
      <c r="C7568" s="1" t="n">
        <v>45883</v>
      </c>
      <c r="D7568" t="inlineStr">
        <is>
          <t>GÄVLEBORGS LÄN</t>
        </is>
      </c>
      <c r="E7568" t="inlineStr">
        <is>
          <t>OCKELBO</t>
        </is>
      </c>
      <c r="F7568" t="inlineStr">
        <is>
          <t>Bergvik skog väst AB</t>
        </is>
      </c>
      <c r="G7568" t="n">
        <v>4.5</v>
      </c>
      <c r="H7568" t="n">
        <v>0</v>
      </c>
      <c r="I7568" t="n">
        <v>0</v>
      </c>
      <c r="J7568" t="n">
        <v>0</v>
      </c>
      <c r="K7568" t="n">
        <v>0</v>
      </c>
      <c r="L7568" t="n">
        <v>0</v>
      </c>
      <c r="M7568" t="n">
        <v>0</v>
      </c>
      <c r="N7568" t="n">
        <v>0</v>
      </c>
      <c r="O7568" t="n">
        <v>0</v>
      </c>
      <c r="P7568" t="n">
        <v>0</v>
      </c>
      <c r="Q7568" t="n">
        <v>0</v>
      </c>
      <c r="R7568" s="2" t="inlineStr"/>
    </row>
    <row r="7569" ht="15" customHeight="1">
      <c r="A7569" t="inlineStr">
        <is>
          <t>A 62362-2022</t>
        </is>
      </c>
      <c r="B7569" s="1" t="n">
        <v>44923</v>
      </c>
      <c r="C7569" s="1" t="n">
        <v>45883</v>
      </c>
      <c r="D7569" t="inlineStr">
        <is>
          <t>GÄVLEBORGS LÄN</t>
        </is>
      </c>
      <c r="E7569" t="inlineStr">
        <is>
          <t>OVANÅKER</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1149-2024</t>
        </is>
      </c>
      <c r="B7570" s="1" t="n">
        <v>45302.49834490741</v>
      </c>
      <c r="C7570" s="1" t="n">
        <v>45883</v>
      </c>
      <c r="D7570" t="inlineStr">
        <is>
          <t>GÄVLEBORGS LÄN</t>
        </is>
      </c>
      <c r="E7570" t="inlineStr">
        <is>
          <t>HOFORS</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1198-2024</t>
        </is>
      </c>
      <c r="B7571" s="1" t="n">
        <v>45302.6066087963</v>
      </c>
      <c r="C7571" s="1" t="n">
        <v>45883</v>
      </c>
      <c r="D7571" t="inlineStr">
        <is>
          <t>GÄVLEBORGS LÄN</t>
        </is>
      </c>
      <c r="E7571" t="inlineStr">
        <is>
          <t>OVANÅKER</t>
        </is>
      </c>
      <c r="F7571" t="inlineStr">
        <is>
          <t>Bergvik skog väst AB</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44356-2023</t>
        </is>
      </c>
      <c r="B7572" s="1" t="n">
        <v>45188.81979166667</v>
      </c>
      <c r="C7572" s="1" t="n">
        <v>45883</v>
      </c>
      <c r="D7572" t="inlineStr">
        <is>
          <t>GÄVLEBORGS LÄN</t>
        </is>
      </c>
      <c r="E7572" t="inlineStr">
        <is>
          <t>HOFORS</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20200-2023</t>
        </is>
      </c>
      <c r="B7573" s="1" t="n">
        <v>45055</v>
      </c>
      <c r="C7573" s="1" t="n">
        <v>45883</v>
      </c>
      <c r="D7573" t="inlineStr">
        <is>
          <t>GÄVLEBORGS LÄN</t>
        </is>
      </c>
      <c r="E7573" t="inlineStr">
        <is>
          <t>HUDIKSVALL</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27161-2021</t>
        </is>
      </c>
      <c r="B7574" s="1" t="n">
        <v>44350.61917824074</v>
      </c>
      <c r="C7574" s="1" t="n">
        <v>45883</v>
      </c>
      <c r="D7574" t="inlineStr">
        <is>
          <t>GÄVLEBORGS LÄN</t>
        </is>
      </c>
      <c r="E7574" t="inlineStr">
        <is>
          <t>NORDANSTIG</t>
        </is>
      </c>
      <c r="G7574" t="n">
        <v>11.5</v>
      </c>
      <c r="H7574" t="n">
        <v>0</v>
      </c>
      <c r="I7574" t="n">
        <v>0</v>
      </c>
      <c r="J7574" t="n">
        <v>0</v>
      </c>
      <c r="K7574" t="n">
        <v>0</v>
      </c>
      <c r="L7574" t="n">
        <v>0</v>
      </c>
      <c r="M7574" t="n">
        <v>0</v>
      </c>
      <c r="N7574" t="n">
        <v>0</v>
      </c>
      <c r="O7574" t="n">
        <v>0</v>
      </c>
      <c r="P7574" t="n">
        <v>0</v>
      </c>
      <c r="Q7574" t="n">
        <v>0</v>
      </c>
      <c r="R7574" s="2" t="inlineStr"/>
    </row>
    <row r="7575" ht="15" customHeight="1">
      <c r="A7575" t="inlineStr">
        <is>
          <t>A 33617-2023</t>
        </is>
      </c>
      <c r="B7575" s="1" t="n">
        <v>45132.37506944445</v>
      </c>
      <c r="C7575" s="1" t="n">
        <v>45883</v>
      </c>
      <c r="D7575" t="inlineStr">
        <is>
          <t>GÄVLEBORGS LÄN</t>
        </is>
      </c>
      <c r="E7575" t="inlineStr">
        <is>
          <t>OCKELBO</t>
        </is>
      </c>
      <c r="F7575" t="inlineStr">
        <is>
          <t>Bergvik skog väst AB</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45700-2024</t>
        </is>
      </c>
      <c r="B7576" s="1" t="n">
        <v>45579.56584490741</v>
      </c>
      <c r="C7576" s="1" t="n">
        <v>45883</v>
      </c>
      <c r="D7576" t="inlineStr">
        <is>
          <t>GÄVLEBORGS LÄN</t>
        </is>
      </c>
      <c r="E7576" t="inlineStr">
        <is>
          <t>HUDIKSVALL</t>
        </is>
      </c>
      <c r="F7576" t="inlineStr">
        <is>
          <t>Holmen skog AB</t>
        </is>
      </c>
      <c r="G7576" t="n">
        <v>4.1</v>
      </c>
      <c r="H7576" t="n">
        <v>0</v>
      </c>
      <c r="I7576" t="n">
        <v>0</v>
      </c>
      <c r="J7576" t="n">
        <v>0</v>
      </c>
      <c r="K7576" t="n">
        <v>0</v>
      </c>
      <c r="L7576" t="n">
        <v>0</v>
      </c>
      <c r="M7576" t="n">
        <v>0</v>
      </c>
      <c r="N7576" t="n">
        <v>0</v>
      </c>
      <c r="O7576" t="n">
        <v>0</v>
      </c>
      <c r="P7576" t="n">
        <v>0</v>
      </c>
      <c r="Q7576" t="n">
        <v>0</v>
      </c>
      <c r="R7576" s="2" t="inlineStr"/>
    </row>
    <row r="7577" ht="15" customHeight="1">
      <c r="A7577" t="inlineStr">
        <is>
          <t>A 45778-2022</t>
        </is>
      </c>
      <c r="B7577" s="1" t="n">
        <v>44846.42177083333</v>
      </c>
      <c r="C7577" s="1" t="n">
        <v>45883</v>
      </c>
      <c r="D7577" t="inlineStr">
        <is>
          <t>GÄVLEBORGS LÄN</t>
        </is>
      </c>
      <c r="E7577" t="inlineStr">
        <is>
          <t>OVANÅKER</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33225-2023</t>
        </is>
      </c>
      <c r="B7578" s="1" t="n">
        <v>45127.47550925926</v>
      </c>
      <c r="C7578" s="1" t="n">
        <v>45883</v>
      </c>
      <c r="D7578" t="inlineStr">
        <is>
          <t>GÄVLEBORGS LÄN</t>
        </is>
      </c>
      <c r="E7578" t="inlineStr">
        <is>
          <t>OVANÅKER</t>
        </is>
      </c>
      <c r="F7578" t="inlineStr">
        <is>
          <t>Bergvik skog öst AB</t>
        </is>
      </c>
      <c r="G7578" t="n">
        <v>19.8</v>
      </c>
      <c r="H7578" t="n">
        <v>0</v>
      </c>
      <c r="I7578" t="n">
        <v>0</v>
      </c>
      <c r="J7578" t="n">
        <v>0</v>
      </c>
      <c r="K7578" t="n">
        <v>0</v>
      </c>
      <c r="L7578" t="n">
        <v>0</v>
      </c>
      <c r="M7578" t="n">
        <v>0</v>
      </c>
      <c r="N7578" t="n">
        <v>0</v>
      </c>
      <c r="O7578" t="n">
        <v>0</v>
      </c>
      <c r="P7578" t="n">
        <v>0</v>
      </c>
      <c r="Q7578" t="n">
        <v>0</v>
      </c>
      <c r="R7578" s="2" t="inlineStr"/>
    </row>
    <row r="7579" ht="15" customHeight="1">
      <c r="A7579" t="inlineStr">
        <is>
          <t>A 29290-2021</t>
        </is>
      </c>
      <c r="B7579" s="1" t="n">
        <v>44361.38045138889</v>
      </c>
      <c r="C7579" s="1" t="n">
        <v>45883</v>
      </c>
      <c r="D7579" t="inlineStr">
        <is>
          <t>GÄVLEBORGS LÄN</t>
        </is>
      </c>
      <c r="E7579" t="inlineStr">
        <is>
          <t>LJUSDAL</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57463-2023</t>
        </is>
      </c>
      <c r="B7580" s="1" t="n">
        <v>45246.36513888889</v>
      </c>
      <c r="C7580" s="1" t="n">
        <v>45883</v>
      </c>
      <c r="D7580" t="inlineStr">
        <is>
          <t>GÄVLEBORGS LÄN</t>
        </is>
      </c>
      <c r="E7580" t="inlineStr">
        <is>
          <t>NORDANSTIG</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59118-2022</t>
        </is>
      </c>
      <c r="B7581" s="1" t="n">
        <v>44904.43150462963</v>
      </c>
      <c r="C7581" s="1" t="n">
        <v>45883</v>
      </c>
      <c r="D7581" t="inlineStr">
        <is>
          <t>GÄVLEBORGS LÄN</t>
        </is>
      </c>
      <c r="E7581" t="inlineStr">
        <is>
          <t>HUDIKSVALL</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17137-2024</t>
        </is>
      </c>
      <c r="B7582" s="1" t="n">
        <v>45412.62738425926</v>
      </c>
      <c r="C7582" s="1" t="n">
        <v>45883</v>
      </c>
      <c r="D7582" t="inlineStr">
        <is>
          <t>GÄVLEBORGS LÄN</t>
        </is>
      </c>
      <c r="E7582" t="inlineStr">
        <is>
          <t>OVANÅKER</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4843-2023</t>
        </is>
      </c>
      <c r="B7583" s="1" t="n">
        <v>44957</v>
      </c>
      <c r="C7583" s="1" t="n">
        <v>45883</v>
      </c>
      <c r="D7583" t="inlineStr">
        <is>
          <t>GÄVLEBORGS LÄN</t>
        </is>
      </c>
      <c r="E7583" t="inlineStr">
        <is>
          <t>SÖDERHAMN</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60931-2023</t>
        </is>
      </c>
      <c r="B7584" s="1" t="n">
        <v>45261.42261574074</v>
      </c>
      <c r="C7584" s="1" t="n">
        <v>45883</v>
      </c>
      <c r="D7584" t="inlineStr">
        <is>
          <t>GÄVLEBORGS LÄN</t>
        </is>
      </c>
      <c r="E7584" t="inlineStr">
        <is>
          <t>HUDIKSVALL</t>
        </is>
      </c>
      <c r="F7584" t="inlineStr">
        <is>
          <t>Holmen skog AB</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4042-2021</t>
        </is>
      </c>
      <c r="B7585" s="1" t="n">
        <v>44218</v>
      </c>
      <c r="C7585" s="1" t="n">
        <v>45883</v>
      </c>
      <c r="D7585" t="inlineStr">
        <is>
          <t>GÄVLEBORGS LÄN</t>
        </is>
      </c>
      <c r="E7585" t="inlineStr">
        <is>
          <t>SÖDERHAMN</t>
        </is>
      </c>
      <c r="G7585" t="n">
        <v>2.7</v>
      </c>
      <c r="H7585" t="n">
        <v>0</v>
      </c>
      <c r="I7585" t="n">
        <v>0</v>
      </c>
      <c r="J7585" t="n">
        <v>0</v>
      </c>
      <c r="K7585" t="n">
        <v>0</v>
      </c>
      <c r="L7585" t="n">
        <v>0</v>
      </c>
      <c r="M7585" t="n">
        <v>0</v>
      </c>
      <c r="N7585" t="n">
        <v>0</v>
      </c>
      <c r="O7585" t="n">
        <v>0</v>
      </c>
      <c r="P7585" t="n">
        <v>0</v>
      </c>
      <c r="Q7585" t="n">
        <v>0</v>
      </c>
      <c r="R7585" s="2" t="inlineStr"/>
    </row>
    <row r="7586" ht="15" customHeight="1">
      <c r="A7586" t="inlineStr">
        <is>
          <t>A 40364-2024</t>
        </is>
      </c>
      <c r="B7586" s="1" t="n">
        <v>45555.38417824074</v>
      </c>
      <c r="C7586" s="1" t="n">
        <v>45883</v>
      </c>
      <c r="D7586" t="inlineStr">
        <is>
          <t>GÄVLEBORGS LÄN</t>
        </is>
      </c>
      <c r="E7586" t="inlineStr">
        <is>
          <t>HUDIKSVALL</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40402-2024</t>
        </is>
      </c>
      <c r="B7587" s="1" t="n">
        <v>45555</v>
      </c>
      <c r="C7587" s="1" t="n">
        <v>45883</v>
      </c>
      <c r="D7587" t="inlineStr">
        <is>
          <t>GÄVLEBORGS LÄN</t>
        </is>
      </c>
      <c r="E7587" t="inlineStr">
        <is>
          <t>GÄVLE</t>
        </is>
      </c>
      <c r="F7587" t="inlineStr">
        <is>
          <t>Kyrkan</t>
        </is>
      </c>
      <c r="G7587" t="n">
        <v>5.3</v>
      </c>
      <c r="H7587" t="n">
        <v>0</v>
      </c>
      <c r="I7587" t="n">
        <v>0</v>
      </c>
      <c r="J7587" t="n">
        <v>0</v>
      </c>
      <c r="K7587" t="n">
        <v>0</v>
      </c>
      <c r="L7587" t="n">
        <v>0</v>
      </c>
      <c r="M7587" t="n">
        <v>0</v>
      </c>
      <c r="N7587" t="n">
        <v>0</v>
      </c>
      <c r="O7587" t="n">
        <v>0</v>
      </c>
      <c r="P7587" t="n">
        <v>0</v>
      </c>
      <c r="Q7587" t="n">
        <v>0</v>
      </c>
      <c r="R7587" s="2" t="inlineStr"/>
    </row>
    <row r="7588" ht="15" customHeight="1">
      <c r="A7588" t="inlineStr">
        <is>
          <t>A 47495-2024</t>
        </is>
      </c>
      <c r="B7588" s="1" t="n">
        <v>45587.59559027778</v>
      </c>
      <c r="C7588" s="1" t="n">
        <v>45883</v>
      </c>
      <c r="D7588" t="inlineStr">
        <is>
          <t>GÄVLEBORGS LÄN</t>
        </is>
      </c>
      <c r="E7588" t="inlineStr">
        <is>
          <t>HOFORS</t>
        </is>
      </c>
      <c r="F7588" t="inlineStr">
        <is>
          <t>Sveaskog</t>
        </is>
      </c>
      <c r="G7588" t="n">
        <v>5.2</v>
      </c>
      <c r="H7588" t="n">
        <v>0</v>
      </c>
      <c r="I7588" t="n">
        <v>0</v>
      </c>
      <c r="J7588" t="n">
        <v>0</v>
      </c>
      <c r="K7588" t="n">
        <v>0</v>
      </c>
      <c r="L7588" t="n">
        <v>0</v>
      </c>
      <c r="M7588" t="n">
        <v>0</v>
      </c>
      <c r="N7588" t="n">
        <v>0</v>
      </c>
      <c r="O7588" t="n">
        <v>0</v>
      </c>
      <c r="P7588" t="n">
        <v>0</v>
      </c>
      <c r="Q7588" t="n">
        <v>0</v>
      </c>
      <c r="R7588" s="2" t="inlineStr"/>
    </row>
    <row r="7589" ht="15" customHeight="1">
      <c r="A7589" t="inlineStr">
        <is>
          <t>A 4805-2023</t>
        </is>
      </c>
      <c r="B7589" s="1" t="n">
        <v>44957.62293981481</v>
      </c>
      <c r="C7589" s="1" t="n">
        <v>45883</v>
      </c>
      <c r="D7589" t="inlineStr">
        <is>
          <t>GÄVLEBORGS LÄN</t>
        </is>
      </c>
      <c r="E7589" t="inlineStr">
        <is>
          <t>LJUSDAL</t>
        </is>
      </c>
      <c r="F7589" t="inlineStr">
        <is>
          <t>Holmen skog AB</t>
        </is>
      </c>
      <c r="G7589" t="n">
        <v>6.9</v>
      </c>
      <c r="H7589" t="n">
        <v>0</v>
      </c>
      <c r="I7589" t="n">
        <v>0</v>
      </c>
      <c r="J7589" t="n">
        <v>0</v>
      </c>
      <c r="K7589" t="n">
        <v>0</v>
      </c>
      <c r="L7589" t="n">
        <v>0</v>
      </c>
      <c r="M7589" t="n">
        <v>0</v>
      </c>
      <c r="N7589" t="n">
        <v>0</v>
      </c>
      <c r="O7589" t="n">
        <v>0</v>
      </c>
      <c r="P7589" t="n">
        <v>0</v>
      </c>
      <c r="Q7589" t="n">
        <v>0</v>
      </c>
      <c r="R7589" s="2" t="inlineStr"/>
    </row>
    <row r="7590" ht="15" customHeight="1">
      <c r="A7590" t="inlineStr">
        <is>
          <t>A 17667-2023</t>
        </is>
      </c>
      <c r="B7590" s="1" t="n">
        <v>45036.94440972222</v>
      </c>
      <c r="C7590" s="1" t="n">
        <v>45883</v>
      </c>
      <c r="D7590" t="inlineStr">
        <is>
          <t>GÄVLEBORGS LÄN</t>
        </is>
      </c>
      <c r="E7590" t="inlineStr">
        <is>
          <t>LJUSDAL</t>
        </is>
      </c>
      <c r="F7590" t="inlineStr">
        <is>
          <t>SCA</t>
        </is>
      </c>
      <c r="G7590" t="n">
        <v>5.4</v>
      </c>
      <c r="H7590" t="n">
        <v>0</v>
      </c>
      <c r="I7590" t="n">
        <v>0</v>
      </c>
      <c r="J7590" t="n">
        <v>0</v>
      </c>
      <c r="K7590" t="n">
        <v>0</v>
      </c>
      <c r="L7590" t="n">
        <v>0</v>
      </c>
      <c r="M7590" t="n">
        <v>0</v>
      </c>
      <c r="N7590" t="n">
        <v>0</v>
      </c>
      <c r="O7590" t="n">
        <v>0</v>
      </c>
      <c r="P7590" t="n">
        <v>0</v>
      </c>
      <c r="Q7590" t="n">
        <v>0</v>
      </c>
      <c r="R7590" s="2" t="inlineStr"/>
    </row>
    <row r="7591" ht="15" customHeight="1">
      <c r="A7591" t="inlineStr">
        <is>
          <t>A 27558-2023</t>
        </is>
      </c>
      <c r="B7591" s="1" t="n">
        <v>45097</v>
      </c>
      <c r="C7591" s="1" t="n">
        <v>45883</v>
      </c>
      <c r="D7591" t="inlineStr">
        <is>
          <t>GÄVLEBORGS LÄN</t>
        </is>
      </c>
      <c r="E7591" t="inlineStr">
        <is>
          <t>BOLLNÄS</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22863-2023</t>
        </is>
      </c>
      <c r="B7592" s="1" t="n">
        <v>45072</v>
      </c>
      <c r="C7592" s="1" t="n">
        <v>45883</v>
      </c>
      <c r="D7592" t="inlineStr">
        <is>
          <t>GÄVLEBORGS LÄN</t>
        </is>
      </c>
      <c r="E7592" t="inlineStr">
        <is>
          <t>NORDANSTIG</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34444-2023</t>
        </is>
      </c>
      <c r="B7593" s="1" t="n">
        <v>45139.6669212963</v>
      </c>
      <c r="C7593" s="1" t="n">
        <v>45883</v>
      </c>
      <c r="D7593" t="inlineStr">
        <is>
          <t>GÄVLEBORGS LÄN</t>
        </is>
      </c>
      <c r="E7593" t="inlineStr">
        <is>
          <t>OCKELBO</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43657-2023</t>
        </is>
      </c>
      <c r="B7594" s="1" t="n">
        <v>45187.344375</v>
      </c>
      <c r="C7594" s="1" t="n">
        <v>45883</v>
      </c>
      <c r="D7594" t="inlineStr">
        <is>
          <t>GÄVLEBORGS LÄN</t>
        </is>
      </c>
      <c r="E7594" t="inlineStr">
        <is>
          <t>NORDANSTIG</t>
        </is>
      </c>
      <c r="F7594" t="inlineStr">
        <is>
          <t>Holmen skog AB</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15859-2023</t>
        </is>
      </c>
      <c r="B7595" s="1" t="n">
        <v>45022.37446759259</v>
      </c>
      <c r="C7595" s="1" t="n">
        <v>45883</v>
      </c>
      <c r="D7595" t="inlineStr">
        <is>
          <t>GÄVLEBORGS LÄN</t>
        </is>
      </c>
      <c r="E7595" t="inlineStr">
        <is>
          <t>HUDIKSVALL</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37217-2024</t>
        </is>
      </c>
      <c r="B7596" s="1" t="n">
        <v>45539</v>
      </c>
      <c r="C7596" s="1" t="n">
        <v>45883</v>
      </c>
      <c r="D7596" t="inlineStr">
        <is>
          <t>GÄVLEBORGS LÄN</t>
        </is>
      </c>
      <c r="E7596" t="inlineStr">
        <is>
          <t>NORDANSTIG</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10375-2023</t>
        </is>
      </c>
      <c r="B7597" s="1" t="n">
        <v>44987</v>
      </c>
      <c r="C7597" s="1" t="n">
        <v>45883</v>
      </c>
      <c r="D7597" t="inlineStr">
        <is>
          <t>GÄVLEBORGS LÄN</t>
        </is>
      </c>
      <c r="E7597" t="inlineStr">
        <is>
          <t>HUDIKSVALL</t>
        </is>
      </c>
      <c r="G7597" t="n">
        <v>6</v>
      </c>
      <c r="H7597" t="n">
        <v>0</v>
      </c>
      <c r="I7597" t="n">
        <v>0</v>
      </c>
      <c r="J7597" t="n">
        <v>0</v>
      </c>
      <c r="K7597" t="n">
        <v>0</v>
      </c>
      <c r="L7597" t="n">
        <v>0</v>
      </c>
      <c r="M7597" t="n">
        <v>0</v>
      </c>
      <c r="N7597" t="n">
        <v>0</v>
      </c>
      <c r="O7597" t="n">
        <v>0</v>
      </c>
      <c r="P7597" t="n">
        <v>0</v>
      </c>
      <c r="Q7597" t="n">
        <v>0</v>
      </c>
      <c r="R7597" s="2" t="inlineStr"/>
    </row>
    <row r="7598" ht="15" customHeight="1">
      <c r="A7598" t="inlineStr">
        <is>
          <t>A 53503-2023</t>
        </is>
      </c>
      <c r="B7598" s="1" t="n">
        <v>45230</v>
      </c>
      <c r="C7598" s="1" t="n">
        <v>45883</v>
      </c>
      <c r="D7598" t="inlineStr">
        <is>
          <t>GÄVLEBORGS LÄN</t>
        </is>
      </c>
      <c r="E7598" t="inlineStr">
        <is>
          <t>SÖDERHAMN</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36833-2022</t>
        </is>
      </c>
      <c r="B7599" s="1" t="n">
        <v>44805.569375</v>
      </c>
      <c r="C7599" s="1" t="n">
        <v>45883</v>
      </c>
      <c r="D7599" t="inlineStr">
        <is>
          <t>GÄVLEBORGS LÄN</t>
        </is>
      </c>
      <c r="E7599" t="inlineStr">
        <is>
          <t>SANDVIKEN</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39340-2024</t>
        </is>
      </c>
      <c r="B7600" s="1" t="n">
        <v>45551.44383101852</v>
      </c>
      <c r="C7600" s="1" t="n">
        <v>45883</v>
      </c>
      <c r="D7600" t="inlineStr">
        <is>
          <t>GÄVLEBORGS LÄN</t>
        </is>
      </c>
      <c r="E7600" t="inlineStr">
        <is>
          <t>SANDVIKEN</t>
        </is>
      </c>
      <c r="F7600" t="inlineStr">
        <is>
          <t>Sveaskog</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50637-2022</t>
        </is>
      </c>
      <c r="B7601" s="1" t="n">
        <v>44866.9324537037</v>
      </c>
      <c r="C7601" s="1" t="n">
        <v>45883</v>
      </c>
      <c r="D7601" t="inlineStr">
        <is>
          <t>GÄVLEBORGS LÄN</t>
        </is>
      </c>
      <c r="E7601" t="inlineStr">
        <is>
          <t>OVANÅKER</t>
        </is>
      </c>
      <c r="G7601" t="n">
        <v>3.3</v>
      </c>
      <c r="H7601" t="n">
        <v>0</v>
      </c>
      <c r="I7601" t="n">
        <v>0</v>
      </c>
      <c r="J7601" t="n">
        <v>0</v>
      </c>
      <c r="K7601" t="n">
        <v>0</v>
      </c>
      <c r="L7601" t="n">
        <v>0</v>
      </c>
      <c r="M7601" t="n">
        <v>0</v>
      </c>
      <c r="N7601" t="n">
        <v>0</v>
      </c>
      <c r="O7601" t="n">
        <v>0</v>
      </c>
      <c r="P7601" t="n">
        <v>0</v>
      </c>
      <c r="Q7601" t="n">
        <v>0</v>
      </c>
      <c r="R7601" s="2" t="inlineStr"/>
    </row>
    <row r="7602" ht="15" customHeight="1">
      <c r="A7602" t="inlineStr">
        <is>
          <t>A 60822-2022</t>
        </is>
      </c>
      <c r="B7602" s="1" t="n">
        <v>44904</v>
      </c>
      <c r="C7602" s="1" t="n">
        <v>45883</v>
      </c>
      <c r="D7602" t="inlineStr">
        <is>
          <t>GÄVLEBORGS LÄN</t>
        </is>
      </c>
      <c r="E7602" t="inlineStr">
        <is>
          <t>LJUSDAL</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3626-2023</t>
        </is>
      </c>
      <c r="B7603" s="1" t="n">
        <v>44950</v>
      </c>
      <c r="C7603" s="1" t="n">
        <v>45883</v>
      </c>
      <c r="D7603" t="inlineStr">
        <is>
          <t>GÄVLEBORGS LÄN</t>
        </is>
      </c>
      <c r="E7603" t="inlineStr">
        <is>
          <t>OCKELBO</t>
        </is>
      </c>
      <c r="G7603" t="n">
        <v>3.1</v>
      </c>
      <c r="H7603" t="n">
        <v>0</v>
      </c>
      <c r="I7603" t="n">
        <v>0</v>
      </c>
      <c r="J7603" t="n">
        <v>0</v>
      </c>
      <c r="K7603" t="n">
        <v>0</v>
      </c>
      <c r="L7603" t="n">
        <v>0</v>
      </c>
      <c r="M7603" t="n">
        <v>0</v>
      </c>
      <c r="N7603" t="n">
        <v>0</v>
      </c>
      <c r="O7603" t="n">
        <v>0</v>
      </c>
      <c r="P7603" t="n">
        <v>0</v>
      </c>
      <c r="Q7603" t="n">
        <v>0</v>
      </c>
      <c r="R7603" s="2" t="inlineStr"/>
    </row>
    <row r="7604" ht="15" customHeight="1">
      <c r="A7604" t="inlineStr">
        <is>
          <t>A 51988-2024</t>
        </is>
      </c>
      <c r="B7604" s="1" t="n">
        <v>45607.68701388889</v>
      </c>
      <c r="C7604" s="1" t="n">
        <v>45883</v>
      </c>
      <c r="D7604" t="inlineStr">
        <is>
          <t>GÄVLEBORGS LÄN</t>
        </is>
      </c>
      <c r="E7604" t="inlineStr">
        <is>
          <t>NORDANSTIG</t>
        </is>
      </c>
      <c r="G7604" t="n">
        <v>4.8</v>
      </c>
      <c r="H7604" t="n">
        <v>0</v>
      </c>
      <c r="I7604" t="n">
        <v>0</v>
      </c>
      <c r="J7604" t="n">
        <v>0</v>
      </c>
      <c r="K7604" t="n">
        <v>0</v>
      </c>
      <c r="L7604" t="n">
        <v>0</v>
      </c>
      <c r="M7604" t="n">
        <v>0</v>
      </c>
      <c r="N7604" t="n">
        <v>0</v>
      </c>
      <c r="O7604" t="n">
        <v>0</v>
      </c>
      <c r="P7604" t="n">
        <v>0</v>
      </c>
      <c r="Q7604" t="n">
        <v>0</v>
      </c>
      <c r="R7604" s="2" t="inlineStr"/>
    </row>
    <row r="7605" ht="15" customHeight="1">
      <c r="A7605" t="inlineStr">
        <is>
          <t>A 52002-2024</t>
        </is>
      </c>
      <c r="B7605" s="1" t="n">
        <v>45607.75846064815</v>
      </c>
      <c r="C7605" s="1" t="n">
        <v>45883</v>
      </c>
      <c r="D7605" t="inlineStr">
        <is>
          <t>GÄVLEBORGS LÄN</t>
        </is>
      </c>
      <c r="E7605" t="inlineStr">
        <is>
          <t>NORDANSTIG</t>
        </is>
      </c>
      <c r="G7605" t="n">
        <v>5</v>
      </c>
      <c r="H7605" t="n">
        <v>0</v>
      </c>
      <c r="I7605" t="n">
        <v>0</v>
      </c>
      <c r="J7605" t="n">
        <v>0</v>
      </c>
      <c r="K7605" t="n">
        <v>0</v>
      </c>
      <c r="L7605" t="n">
        <v>0</v>
      </c>
      <c r="M7605" t="n">
        <v>0</v>
      </c>
      <c r="N7605" t="n">
        <v>0</v>
      </c>
      <c r="O7605" t="n">
        <v>0</v>
      </c>
      <c r="P7605" t="n">
        <v>0</v>
      </c>
      <c r="Q7605" t="n">
        <v>0</v>
      </c>
      <c r="R7605" s="2" t="inlineStr"/>
    </row>
    <row r="7606" ht="15" customHeight="1">
      <c r="A7606" t="inlineStr">
        <is>
          <t>A 37534-2023</t>
        </is>
      </c>
      <c r="B7606" s="1" t="n">
        <v>45158.91878472222</v>
      </c>
      <c r="C7606" s="1" t="n">
        <v>45883</v>
      </c>
      <c r="D7606" t="inlineStr">
        <is>
          <t>GÄVLEBORGS LÄN</t>
        </is>
      </c>
      <c r="E7606" t="inlineStr">
        <is>
          <t>GÄVLE</t>
        </is>
      </c>
      <c r="G7606" t="n">
        <v>3.6</v>
      </c>
      <c r="H7606" t="n">
        <v>0</v>
      </c>
      <c r="I7606" t="n">
        <v>0</v>
      </c>
      <c r="J7606" t="n">
        <v>0</v>
      </c>
      <c r="K7606" t="n">
        <v>0</v>
      </c>
      <c r="L7606" t="n">
        <v>0</v>
      </c>
      <c r="M7606" t="n">
        <v>0</v>
      </c>
      <c r="N7606" t="n">
        <v>0</v>
      </c>
      <c r="O7606" t="n">
        <v>0</v>
      </c>
      <c r="P7606" t="n">
        <v>0</v>
      </c>
      <c r="Q7606" t="n">
        <v>0</v>
      </c>
      <c r="R7606" s="2" t="inlineStr"/>
    </row>
    <row r="7607" ht="15" customHeight="1">
      <c r="A7607" t="inlineStr">
        <is>
          <t>A 37538-2023</t>
        </is>
      </c>
      <c r="B7607" s="1" t="n">
        <v>45158.94141203703</v>
      </c>
      <c r="C7607" s="1" t="n">
        <v>45883</v>
      </c>
      <c r="D7607" t="inlineStr">
        <is>
          <t>GÄVLEBORGS LÄN</t>
        </is>
      </c>
      <c r="E7607" t="inlineStr">
        <is>
          <t>GÄVLE</t>
        </is>
      </c>
      <c r="G7607" t="n">
        <v>2.9</v>
      </c>
      <c r="H7607" t="n">
        <v>0</v>
      </c>
      <c r="I7607" t="n">
        <v>0</v>
      </c>
      <c r="J7607" t="n">
        <v>0</v>
      </c>
      <c r="K7607" t="n">
        <v>0</v>
      </c>
      <c r="L7607" t="n">
        <v>0</v>
      </c>
      <c r="M7607" t="n">
        <v>0</v>
      </c>
      <c r="N7607" t="n">
        <v>0</v>
      </c>
      <c r="O7607" t="n">
        <v>0</v>
      </c>
      <c r="P7607" t="n">
        <v>0</v>
      </c>
      <c r="Q7607" t="n">
        <v>0</v>
      </c>
      <c r="R7607" s="2" t="inlineStr"/>
    </row>
    <row r="7608" ht="15" customHeight="1">
      <c r="A7608" t="inlineStr">
        <is>
          <t>A 48301-2023</t>
        </is>
      </c>
      <c r="B7608" s="1" t="n">
        <v>45205</v>
      </c>
      <c r="C7608" s="1" t="n">
        <v>45883</v>
      </c>
      <c r="D7608" t="inlineStr">
        <is>
          <t>GÄVLEBORGS LÄN</t>
        </is>
      </c>
      <c r="E7608" t="inlineStr">
        <is>
          <t>BOLLNÄS</t>
        </is>
      </c>
      <c r="G7608" t="n">
        <v>5.1</v>
      </c>
      <c r="H7608" t="n">
        <v>0</v>
      </c>
      <c r="I7608" t="n">
        <v>0</v>
      </c>
      <c r="J7608" t="n">
        <v>0</v>
      </c>
      <c r="K7608" t="n">
        <v>0</v>
      </c>
      <c r="L7608" t="n">
        <v>0</v>
      </c>
      <c r="M7608" t="n">
        <v>0</v>
      </c>
      <c r="N7608" t="n">
        <v>0</v>
      </c>
      <c r="O7608" t="n">
        <v>0</v>
      </c>
      <c r="P7608" t="n">
        <v>0</v>
      </c>
      <c r="Q7608" t="n">
        <v>0</v>
      </c>
      <c r="R7608" s="2" t="inlineStr"/>
    </row>
    <row r="7609" ht="15" customHeight="1">
      <c r="A7609" t="inlineStr">
        <is>
          <t>A 15464-2022</t>
        </is>
      </c>
      <c r="B7609" s="1" t="n">
        <v>44662</v>
      </c>
      <c r="C7609" s="1" t="n">
        <v>45883</v>
      </c>
      <c r="D7609" t="inlineStr">
        <is>
          <t>GÄVLEBORGS LÄN</t>
        </is>
      </c>
      <c r="E7609" t="inlineStr">
        <is>
          <t>BOLLNÄS</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25665-2023</t>
        </is>
      </c>
      <c r="B7610" s="1" t="n">
        <v>45089</v>
      </c>
      <c r="C7610" s="1" t="n">
        <v>45883</v>
      </c>
      <c r="D7610" t="inlineStr">
        <is>
          <t>GÄVLEBORGS LÄN</t>
        </is>
      </c>
      <c r="E7610" t="inlineStr">
        <is>
          <t>NORDANSTIG</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37194-2023</t>
        </is>
      </c>
      <c r="B7611" s="1" t="n">
        <v>45155.66672453703</v>
      </c>
      <c r="C7611" s="1" t="n">
        <v>45883</v>
      </c>
      <c r="D7611" t="inlineStr">
        <is>
          <t>GÄVLEBORGS LÄN</t>
        </is>
      </c>
      <c r="E7611" t="inlineStr">
        <is>
          <t>BOLLNÄS</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43018-2023</t>
        </is>
      </c>
      <c r="B7612" s="1" t="n">
        <v>45182.64844907408</v>
      </c>
      <c r="C7612" s="1" t="n">
        <v>45883</v>
      </c>
      <c r="D7612" t="inlineStr">
        <is>
          <t>GÄVLEBORGS LÄN</t>
        </is>
      </c>
      <c r="E7612" t="inlineStr">
        <is>
          <t>LJUSDAL</t>
        </is>
      </c>
      <c r="G7612" t="n">
        <v>8.199999999999999</v>
      </c>
      <c r="H7612" t="n">
        <v>0</v>
      </c>
      <c r="I7612" t="n">
        <v>0</v>
      </c>
      <c r="J7612" t="n">
        <v>0</v>
      </c>
      <c r="K7612" t="n">
        <v>0</v>
      </c>
      <c r="L7612" t="n">
        <v>0</v>
      </c>
      <c r="M7612" t="n">
        <v>0</v>
      </c>
      <c r="N7612" t="n">
        <v>0</v>
      </c>
      <c r="O7612" t="n">
        <v>0</v>
      </c>
      <c r="P7612" t="n">
        <v>0</v>
      </c>
      <c r="Q7612" t="n">
        <v>0</v>
      </c>
      <c r="R7612" s="2" t="inlineStr"/>
    </row>
    <row r="7613" ht="15" customHeight="1">
      <c r="A7613" t="inlineStr">
        <is>
          <t>A 50197-2024</t>
        </is>
      </c>
      <c r="B7613" s="1" t="n">
        <v>45600.48857638889</v>
      </c>
      <c r="C7613" s="1" t="n">
        <v>45883</v>
      </c>
      <c r="D7613" t="inlineStr">
        <is>
          <t>GÄVLEBORGS LÄN</t>
        </is>
      </c>
      <c r="E7613" t="inlineStr">
        <is>
          <t>OCKELBO</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14750-2022</t>
        </is>
      </c>
      <c r="B7614" s="1" t="n">
        <v>44656</v>
      </c>
      <c r="C7614" s="1" t="n">
        <v>45883</v>
      </c>
      <c r="D7614" t="inlineStr">
        <is>
          <t>GÄVLEBORGS LÄN</t>
        </is>
      </c>
      <c r="E7614" t="inlineStr">
        <is>
          <t>GÄVLE</t>
        </is>
      </c>
      <c r="G7614" t="n">
        <v>0.1</v>
      </c>
      <c r="H7614" t="n">
        <v>0</v>
      </c>
      <c r="I7614" t="n">
        <v>0</v>
      </c>
      <c r="J7614" t="n">
        <v>0</v>
      </c>
      <c r="K7614" t="n">
        <v>0</v>
      </c>
      <c r="L7614" t="n">
        <v>0</v>
      </c>
      <c r="M7614" t="n">
        <v>0</v>
      </c>
      <c r="N7614" t="n">
        <v>0</v>
      </c>
      <c r="O7614" t="n">
        <v>0</v>
      </c>
      <c r="P7614" t="n">
        <v>0</v>
      </c>
      <c r="Q7614" t="n">
        <v>0</v>
      </c>
      <c r="R7614" s="2" t="inlineStr"/>
    </row>
    <row r="7615" ht="15" customHeight="1">
      <c r="A7615" t="inlineStr">
        <is>
          <t>A 14840-2022</t>
        </is>
      </c>
      <c r="B7615" s="1" t="n">
        <v>44656.57594907407</v>
      </c>
      <c r="C7615" s="1" t="n">
        <v>45883</v>
      </c>
      <c r="D7615" t="inlineStr">
        <is>
          <t>GÄVLEBORGS LÄN</t>
        </is>
      </c>
      <c r="E7615" t="inlineStr">
        <is>
          <t>SANDVIKEN</t>
        </is>
      </c>
      <c r="G7615" t="n">
        <v>0.4</v>
      </c>
      <c r="H7615" t="n">
        <v>0</v>
      </c>
      <c r="I7615" t="n">
        <v>0</v>
      </c>
      <c r="J7615" t="n">
        <v>0</v>
      </c>
      <c r="K7615" t="n">
        <v>0</v>
      </c>
      <c r="L7615" t="n">
        <v>0</v>
      </c>
      <c r="M7615" t="n">
        <v>0</v>
      </c>
      <c r="N7615" t="n">
        <v>0</v>
      </c>
      <c r="O7615" t="n">
        <v>0</v>
      </c>
      <c r="P7615" t="n">
        <v>0</v>
      </c>
      <c r="Q7615" t="n">
        <v>0</v>
      </c>
      <c r="R7615" s="2" t="inlineStr"/>
    </row>
    <row r="7616" ht="15" customHeight="1">
      <c r="A7616" t="inlineStr">
        <is>
          <t>A 47651-2023</t>
        </is>
      </c>
      <c r="B7616" s="1" t="n">
        <v>45203</v>
      </c>
      <c r="C7616" s="1" t="n">
        <v>45883</v>
      </c>
      <c r="D7616" t="inlineStr">
        <is>
          <t>GÄVLEBORGS LÄN</t>
        </is>
      </c>
      <c r="E7616" t="inlineStr">
        <is>
          <t>SANDVIKEN</t>
        </is>
      </c>
      <c r="F7616" t="inlineStr">
        <is>
          <t>Kommuner</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16995-2024</t>
        </is>
      </c>
      <c r="B7617" s="1" t="n">
        <v>45412.33939814815</v>
      </c>
      <c r="C7617" s="1" t="n">
        <v>45883</v>
      </c>
      <c r="D7617" t="inlineStr">
        <is>
          <t>GÄVLEBORGS LÄN</t>
        </is>
      </c>
      <c r="E7617" t="inlineStr">
        <is>
          <t>HUDIKSVALL</t>
        </is>
      </c>
      <c r="F7617" t="inlineStr">
        <is>
          <t>Holmen skog AB</t>
        </is>
      </c>
      <c r="G7617" t="n">
        <v>28.6</v>
      </c>
      <c r="H7617" t="n">
        <v>0</v>
      </c>
      <c r="I7617" t="n">
        <v>0</v>
      </c>
      <c r="J7617" t="n">
        <v>0</v>
      </c>
      <c r="K7617" t="n">
        <v>0</v>
      </c>
      <c r="L7617" t="n">
        <v>0</v>
      </c>
      <c r="M7617" t="n">
        <v>0</v>
      </c>
      <c r="N7617" t="n">
        <v>0</v>
      </c>
      <c r="O7617" t="n">
        <v>0</v>
      </c>
      <c r="P7617" t="n">
        <v>0</v>
      </c>
      <c r="Q7617" t="n">
        <v>0</v>
      </c>
      <c r="R7617" s="2" t="inlineStr"/>
    </row>
    <row r="7618" ht="15" customHeight="1">
      <c r="A7618" t="inlineStr">
        <is>
          <t>A 926-2022</t>
        </is>
      </c>
      <c r="B7618" s="1" t="n">
        <v>44571</v>
      </c>
      <c r="C7618" s="1" t="n">
        <v>45883</v>
      </c>
      <c r="D7618" t="inlineStr">
        <is>
          <t>GÄVLEBORGS LÄN</t>
        </is>
      </c>
      <c r="E7618" t="inlineStr">
        <is>
          <t>OVANÅKER</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12764-2025</t>
        </is>
      </c>
      <c r="B7619" s="1" t="n">
        <v>45733.57371527778</v>
      </c>
      <c r="C7619" s="1" t="n">
        <v>45883</v>
      </c>
      <c r="D7619" t="inlineStr">
        <is>
          <t>GÄVLEBORGS LÄN</t>
        </is>
      </c>
      <c r="E7619" t="inlineStr">
        <is>
          <t>NORDANSTIG</t>
        </is>
      </c>
      <c r="F7619" t="inlineStr">
        <is>
          <t>Holmen skog AB</t>
        </is>
      </c>
      <c r="G7619" t="n">
        <v>4.4</v>
      </c>
      <c r="H7619" t="n">
        <v>0</v>
      </c>
      <c r="I7619" t="n">
        <v>0</v>
      </c>
      <c r="J7619" t="n">
        <v>0</v>
      </c>
      <c r="K7619" t="n">
        <v>0</v>
      </c>
      <c r="L7619" t="n">
        <v>0</v>
      </c>
      <c r="M7619" t="n">
        <v>0</v>
      </c>
      <c r="N7619" t="n">
        <v>0</v>
      </c>
      <c r="O7619" t="n">
        <v>0</v>
      </c>
      <c r="P7619" t="n">
        <v>0</v>
      </c>
      <c r="Q7619" t="n">
        <v>0</v>
      </c>
      <c r="R7619" s="2" t="inlineStr"/>
    </row>
    <row r="7620" ht="15" customHeight="1">
      <c r="A7620" t="inlineStr">
        <is>
          <t>A 71657-2021</t>
        </is>
      </c>
      <c r="B7620" s="1" t="n">
        <v>44543.37199074074</v>
      </c>
      <c r="C7620" s="1" t="n">
        <v>45883</v>
      </c>
      <c r="D7620" t="inlineStr">
        <is>
          <t>GÄVLEBORGS LÄN</t>
        </is>
      </c>
      <c r="E7620" t="inlineStr">
        <is>
          <t>BOLLNÄS</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45536-2023</t>
        </is>
      </c>
      <c r="B7621" s="1" t="n">
        <v>45194.5497800926</v>
      </c>
      <c r="C7621" s="1" t="n">
        <v>45883</v>
      </c>
      <c r="D7621" t="inlineStr">
        <is>
          <t>GÄVLEBORGS LÄN</t>
        </is>
      </c>
      <c r="E7621" t="inlineStr">
        <is>
          <t>LJUSDAL</t>
        </is>
      </c>
      <c r="G7621" t="n">
        <v>10.7</v>
      </c>
      <c r="H7621" t="n">
        <v>0</v>
      </c>
      <c r="I7621" t="n">
        <v>0</v>
      </c>
      <c r="J7621" t="n">
        <v>0</v>
      </c>
      <c r="K7621" t="n">
        <v>0</v>
      </c>
      <c r="L7621" t="n">
        <v>0</v>
      </c>
      <c r="M7621" t="n">
        <v>0</v>
      </c>
      <c r="N7621" t="n">
        <v>0</v>
      </c>
      <c r="O7621" t="n">
        <v>0</v>
      </c>
      <c r="P7621" t="n">
        <v>0</v>
      </c>
      <c r="Q7621" t="n">
        <v>0</v>
      </c>
      <c r="R7621" s="2" t="inlineStr"/>
    </row>
    <row r="7622" ht="15" customHeight="1">
      <c r="A7622" t="inlineStr">
        <is>
          <t>A 18151-2024</t>
        </is>
      </c>
      <c r="B7622" s="1" t="n">
        <v>45420.60313657407</v>
      </c>
      <c r="C7622" s="1" t="n">
        <v>45883</v>
      </c>
      <c r="D7622" t="inlineStr">
        <is>
          <t>GÄVLEBORGS LÄN</t>
        </is>
      </c>
      <c r="E7622" t="inlineStr">
        <is>
          <t>BOLLNÄS</t>
        </is>
      </c>
      <c r="G7622" t="n">
        <v>7.2</v>
      </c>
      <c r="H7622" t="n">
        <v>0</v>
      </c>
      <c r="I7622" t="n">
        <v>0</v>
      </c>
      <c r="J7622" t="n">
        <v>0</v>
      </c>
      <c r="K7622" t="n">
        <v>0</v>
      </c>
      <c r="L7622" t="n">
        <v>0</v>
      </c>
      <c r="M7622" t="n">
        <v>0</v>
      </c>
      <c r="N7622" t="n">
        <v>0</v>
      </c>
      <c r="O7622" t="n">
        <v>0</v>
      </c>
      <c r="P7622" t="n">
        <v>0</v>
      </c>
      <c r="Q7622" t="n">
        <v>0</v>
      </c>
      <c r="R7622" s="2" t="inlineStr"/>
    </row>
    <row r="7623" ht="15" customHeight="1">
      <c r="A7623" t="inlineStr">
        <is>
          <t>A 55993-2020</t>
        </is>
      </c>
      <c r="B7623" s="1" t="n">
        <v>44133</v>
      </c>
      <c r="C7623" s="1" t="n">
        <v>45883</v>
      </c>
      <c r="D7623" t="inlineStr">
        <is>
          <t>GÄVLEBORGS LÄN</t>
        </is>
      </c>
      <c r="E7623" t="inlineStr">
        <is>
          <t>HUDIKSVALL</t>
        </is>
      </c>
      <c r="F7623" t="inlineStr">
        <is>
          <t>Sveaskog</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55048-2022</t>
        </is>
      </c>
      <c r="B7624" s="1" t="n">
        <v>44886</v>
      </c>
      <c r="C7624" s="1" t="n">
        <v>45883</v>
      </c>
      <c r="D7624" t="inlineStr">
        <is>
          <t>GÄVLEBORGS LÄN</t>
        </is>
      </c>
      <c r="E7624" t="inlineStr">
        <is>
          <t>BOLLNÄS</t>
        </is>
      </c>
      <c r="F7624" t="inlineStr">
        <is>
          <t>Sveaskog</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3453-2023</t>
        </is>
      </c>
      <c r="B7625" s="1" t="n">
        <v>44949.62175925926</v>
      </c>
      <c r="C7625" s="1" t="n">
        <v>45883</v>
      </c>
      <c r="D7625" t="inlineStr">
        <is>
          <t>GÄVLEBORGS LÄN</t>
        </is>
      </c>
      <c r="E7625" t="inlineStr">
        <is>
          <t>OVANÅKER</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6308-2022</t>
        </is>
      </c>
      <c r="B7626" s="1" t="n">
        <v>44600.53630787037</v>
      </c>
      <c r="C7626" s="1" t="n">
        <v>45883</v>
      </c>
      <c r="D7626" t="inlineStr">
        <is>
          <t>GÄVLEBORGS LÄN</t>
        </is>
      </c>
      <c r="E7626" t="inlineStr">
        <is>
          <t>LJUSDAL</t>
        </is>
      </c>
      <c r="G7626" t="n">
        <v>5</v>
      </c>
      <c r="H7626" t="n">
        <v>0</v>
      </c>
      <c r="I7626" t="n">
        <v>0</v>
      </c>
      <c r="J7626" t="n">
        <v>0</v>
      </c>
      <c r="K7626" t="n">
        <v>0</v>
      </c>
      <c r="L7626" t="n">
        <v>0</v>
      </c>
      <c r="M7626" t="n">
        <v>0</v>
      </c>
      <c r="N7626" t="n">
        <v>0</v>
      </c>
      <c r="O7626" t="n">
        <v>0</v>
      </c>
      <c r="P7626" t="n">
        <v>0</v>
      </c>
      <c r="Q7626" t="n">
        <v>0</v>
      </c>
      <c r="R7626" s="2" t="inlineStr"/>
    </row>
    <row r="7627" ht="15" customHeight="1">
      <c r="A7627" t="inlineStr">
        <is>
          <t>A 53432-2021</t>
        </is>
      </c>
      <c r="B7627" s="1" t="n">
        <v>44468.65246527778</v>
      </c>
      <c r="C7627" s="1" t="n">
        <v>45883</v>
      </c>
      <c r="D7627" t="inlineStr">
        <is>
          <t>GÄVLEBORGS LÄN</t>
        </is>
      </c>
      <c r="E7627" t="inlineStr">
        <is>
          <t>GÄVLE</t>
        </is>
      </c>
      <c r="F7627" t="inlineStr">
        <is>
          <t>Bergvik skog öst AB</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32832-2022</t>
        </is>
      </c>
      <c r="B7628" s="1" t="n">
        <v>44784.42042824074</v>
      </c>
      <c r="C7628" s="1" t="n">
        <v>45883</v>
      </c>
      <c r="D7628" t="inlineStr">
        <is>
          <t>GÄVLEBORGS LÄN</t>
        </is>
      </c>
      <c r="E7628" t="inlineStr">
        <is>
          <t>LJUSDAL</t>
        </is>
      </c>
      <c r="F7628" t="inlineStr">
        <is>
          <t>Bergvik skog väst AB</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52330-2024</t>
        </is>
      </c>
      <c r="B7629" s="1" t="n">
        <v>45609.31627314815</v>
      </c>
      <c r="C7629" s="1" t="n">
        <v>45883</v>
      </c>
      <c r="D7629" t="inlineStr">
        <is>
          <t>GÄVLEBORGS LÄN</t>
        </is>
      </c>
      <c r="E7629" t="inlineStr">
        <is>
          <t>OCKELBO</t>
        </is>
      </c>
      <c r="F7629" t="inlineStr">
        <is>
          <t>Bergvik skog väst AB</t>
        </is>
      </c>
      <c r="G7629" t="n">
        <v>5.6</v>
      </c>
      <c r="H7629" t="n">
        <v>0</v>
      </c>
      <c r="I7629" t="n">
        <v>0</v>
      </c>
      <c r="J7629" t="n">
        <v>0</v>
      </c>
      <c r="K7629" t="n">
        <v>0</v>
      </c>
      <c r="L7629" t="n">
        <v>0</v>
      </c>
      <c r="M7629" t="n">
        <v>0</v>
      </c>
      <c r="N7629" t="n">
        <v>0</v>
      </c>
      <c r="O7629" t="n">
        <v>0</v>
      </c>
      <c r="P7629" t="n">
        <v>0</v>
      </c>
      <c r="Q7629" t="n">
        <v>0</v>
      </c>
      <c r="R7629" s="2" t="inlineStr"/>
    </row>
    <row r="7630" ht="15" customHeight="1">
      <c r="A7630" t="inlineStr">
        <is>
          <t>A 14212-2021</t>
        </is>
      </c>
      <c r="B7630" s="1" t="n">
        <v>44278.52945601852</v>
      </c>
      <c r="C7630" s="1" t="n">
        <v>45883</v>
      </c>
      <c r="D7630" t="inlineStr">
        <is>
          <t>GÄVLEBORGS LÄN</t>
        </is>
      </c>
      <c r="E7630" t="inlineStr">
        <is>
          <t>GÄVLE</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14735-2024</t>
        </is>
      </c>
      <c r="B7631" s="1" t="n">
        <v>45397</v>
      </c>
      <c r="C7631" s="1" t="n">
        <v>45883</v>
      </c>
      <c r="D7631" t="inlineStr">
        <is>
          <t>GÄVLEBORGS LÄN</t>
        </is>
      </c>
      <c r="E7631" t="inlineStr">
        <is>
          <t>GÄVLE</t>
        </is>
      </c>
      <c r="F7631" t="inlineStr">
        <is>
          <t>Bergvik skog öst AB</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51259-2023</t>
        </is>
      </c>
      <c r="B7632" s="1" t="n">
        <v>45219</v>
      </c>
      <c r="C7632" s="1" t="n">
        <v>45883</v>
      </c>
      <c r="D7632" t="inlineStr">
        <is>
          <t>GÄVLEBORGS LÄN</t>
        </is>
      </c>
      <c r="E7632" t="inlineStr">
        <is>
          <t>BOLLNÄS</t>
        </is>
      </c>
      <c r="G7632" t="n">
        <v>0.4</v>
      </c>
      <c r="H7632" t="n">
        <v>0</v>
      </c>
      <c r="I7632" t="n">
        <v>0</v>
      </c>
      <c r="J7632" t="n">
        <v>0</v>
      </c>
      <c r="K7632" t="n">
        <v>0</v>
      </c>
      <c r="L7632" t="n">
        <v>0</v>
      </c>
      <c r="M7632" t="n">
        <v>0</v>
      </c>
      <c r="N7632" t="n">
        <v>0</v>
      </c>
      <c r="O7632" t="n">
        <v>0</v>
      </c>
      <c r="P7632" t="n">
        <v>0</v>
      </c>
      <c r="Q7632" t="n">
        <v>0</v>
      </c>
      <c r="R7632" s="2" t="inlineStr"/>
    </row>
    <row r="7633" ht="15" customHeight="1">
      <c r="A7633" t="inlineStr">
        <is>
          <t>A 59998-2022</t>
        </is>
      </c>
      <c r="B7633" s="1" t="n">
        <v>44909</v>
      </c>
      <c r="C7633" s="1" t="n">
        <v>45883</v>
      </c>
      <c r="D7633" t="inlineStr">
        <is>
          <t>GÄVLEBORGS LÄN</t>
        </is>
      </c>
      <c r="E7633" t="inlineStr">
        <is>
          <t>OVANÅKER</t>
        </is>
      </c>
      <c r="F7633" t="inlineStr">
        <is>
          <t>Bergvik skog väst AB</t>
        </is>
      </c>
      <c r="G7633" t="n">
        <v>4.5</v>
      </c>
      <c r="H7633" t="n">
        <v>0</v>
      </c>
      <c r="I7633" t="n">
        <v>0</v>
      </c>
      <c r="J7633" t="n">
        <v>0</v>
      </c>
      <c r="K7633" t="n">
        <v>0</v>
      </c>
      <c r="L7633" t="n">
        <v>0</v>
      </c>
      <c r="M7633" t="n">
        <v>0</v>
      </c>
      <c r="N7633" t="n">
        <v>0</v>
      </c>
      <c r="O7633" t="n">
        <v>0</v>
      </c>
      <c r="P7633" t="n">
        <v>0</v>
      </c>
      <c r="Q7633" t="n">
        <v>0</v>
      </c>
      <c r="R7633" s="2" t="inlineStr"/>
    </row>
    <row r="7634" ht="15" customHeight="1">
      <c r="A7634" t="inlineStr">
        <is>
          <t>A 24088-2021</t>
        </is>
      </c>
      <c r="B7634" s="1" t="n">
        <v>44336</v>
      </c>
      <c r="C7634" s="1" t="n">
        <v>45883</v>
      </c>
      <c r="D7634" t="inlineStr">
        <is>
          <t>GÄVLEBORGS LÄN</t>
        </is>
      </c>
      <c r="E7634" t="inlineStr">
        <is>
          <t>SANDVIKEN</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2755-2022</t>
        </is>
      </c>
      <c r="B7635" s="1" t="n">
        <v>44580.92254629629</v>
      </c>
      <c r="C7635" s="1" t="n">
        <v>45883</v>
      </c>
      <c r="D7635" t="inlineStr">
        <is>
          <t>GÄVLEBORGS LÄN</t>
        </is>
      </c>
      <c r="E7635" t="inlineStr">
        <is>
          <t>SÖDERHAMN</t>
        </is>
      </c>
      <c r="G7635" t="n">
        <v>5.8</v>
      </c>
      <c r="H7635" t="n">
        <v>0</v>
      </c>
      <c r="I7635" t="n">
        <v>0</v>
      </c>
      <c r="J7635" t="n">
        <v>0</v>
      </c>
      <c r="K7635" t="n">
        <v>0</v>
      </c>
      <c r="L7635" t="n">
        <v>0</v>
      </c>
      <c r="M7635" t="n">
        <v>0</v>
      </c>
      <c r="N7635" t="n">
        <v>0</v>
      </c>
      <c r="O7635" t="n">
        <v>0</v>
      </c>
      <c r="P7635" t="n">
        <v>0</v>
      </c>
      <c r="Q7635" t="n">
        <v>0</v>
      </c>
      <c r="R7635" s="2" t="inlineStr"/>
    </row>
    <row r="7636" ht="15" customHeight="1">
      <c r="A7636" t="inlineStr">
        <is>
          <t>A 11799-2025</t>
        </is>
      </c>
      <c r="B7636" s="1" t="n">
        <v>45727.8137037037</v>
      </c>
      <c r="C7636" s="1" t="n">
        <v>45883</v>
      </c>
      <c r="D7636" t="inlineStr">
        <is>
          <t>GÄVLEBORGS LÄN</t>
        </is>
      </c>
      <c r="E7636" t="inlineStr">
        <is>
          <t>BOLLNÄS</t>
        </is>
      </c>
      <c r="G7636" t="n">
        <v>9.5</v>
      </c>
      <c r="H7636" t="n">
        <v>0</v>
      </c>
      <c r="I7636" t="n">
        <v>0</v>
      </c>
      <c r="J7636" t="n">
        <v>0</v>
      </c>
      <c r="K7636" t="n">
        <v>0</v>
      </c>
      <c r="L7636" t="n">
        <v>0</v>
      </c>
      <c r="M7636" t="n">
        <v>0</v>
      </c>
      <c r="N7636" t="n">
        <v>0</v>
      </c>
      <c r="O7636" t="n">
        <v>0</v>
      </c>
      <c r="P7636" t="n">
        <v>0</v>
      </c>
      <c r="Q7636" t="n">
        <v>0</v>
      </c>
      <c r="R7636" s="2" t="inlineStr"/>
    </row>
    <row r="7637" ht="15" customHeight="1">
      <c r="A7637" t="inlineStr">
        <is>
          <t>A 13047-2023</t>
        </is>
      </c>
      <c r="B7637" s="1" t="n">
        <v>45002</v>
      </c>
      <c r="C7637" s="1" t="n">
        <v>45883</v>
      </c>
      <c r="D7637" t="inlineStr">
        <is>
          <t>GÄVLEBORGS LÄN</t>
        </is>
      </c>
      <c r="E7637" t="inlineStr">
        <is>
          <t>OVANÅKER</t>
        </is>
      </c>
      <c r="G7637" t="n">
        <v>0.2</v>
      </c>
      <c r="H7637" t="n">
        <v>0</v>
      </c>
      <c r="I7637" t="n">
        <v>0</v>
      </c>
      <c r="J7637" t="n">
        <v>0</v>
      </c>
      <c r="K7637" t="n">
        <v>0</v>
      </c>
      <c r="L7637" t="n">
        <v>0</v>
      </c>
      <c r="M7637" t="n">
        <v>0</v>
      </c>
      <c r="N7637" t="n">
        <v>0</v>
      </c>
      <c r="O7637" t="n">
        <v>0</v>
      </c>
      <c r="P7637" t="n">
        <v>0</v>
      </c>
      <c r="Q7637" t="n">
        <v>0</v>
      </c>
      <c r="R7637" s="2" t="inlineStr"/>
    </row>
    <row r="7638" ht="15" customHeight="1">
      <c r="A7638" t="inlineStr">
        <is>
          <t>A 19712-2022</t>
        </is>
      </c>
      <c r="B7638" s="1" t="n">
        <v>44694</v>
      </c>
      <c r="C7638" s="1" t="n">
        <v>45883</v>
      </c>
      <c r="D7638" t="inlineStr">
        <is>
          <t>GÄVLEBORGS LÄN</t>
        </is>
      </c>
      <c r="E7638" t="inlineStr">
        <is>
          <t>GÄVLE</t>
        </is>
      </c>
      <c r="F7638" t="inlineStr">
        <is>
          <t>Bergvik skog väst AB</t>
        </is>
      </c>
      <c r="G7638" t="n">
        <v>4</v>
      </c>
      <c r="H7638" t="n">
        <v>0</v>
      </c>
      <c r="I7638" t="n">
        <v>0</v>
      </c>
      <c r="J7638" t="n">
        <v>0</v>
      </c>
      <c r="K7638" t="n">
        <v>0</v>
      </c>
      <c r="L7638" t="n">
        <v>0</v>
      </c>
      <c r="M7638" t="n">
        <v>0</v>
      </c>
      <c r="N7638" t="n">
        <v>0</v>
      </c>
      <c r="O7638" t="n">
        <v>0</v>
      </c>
      <c r="P7638" t="n">
        <v>0</v>
      </c>
      <c r="Q7638" t="n">
        <v>0</v>
      </c>
      <c r="R7638" s="2" t="inlineStr"/>
    </row>
    <row r="7639" ht="15" customHeight="1">
      <c r="A7639" t="inlineStr">
        <is>
          <t>A 44387-2021</t>
        </is>
      </c>
      <c r="B7639" s="1" t="n">
        <v>44435</v>
      </c>
      <c r="C7639" s="1" t="n">
        <v>45883</v>
      </c>
      <c r="D7639" t="inlineStr">
        <is>
          <t>GÄVLEBORGS LÄN</t>
        </is>
      </c>
      <c r="E7639" t="inlineStr">
        <is>
          <t>LJUSDAL</t>
        </is>
      </c>
      <c r="F7639" t="inlineStr">
        <is>
          <t>Sveaskog</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24092-2023</t>
        </is>
      </c>
      <c r="B7640" s="1" t="n">
        <v>45079.42591435185</v>
      </c>
      <c r="C7640" s="1" t="n">
        <v>45883</v>
      </c>
      <c r="D7640" t="inlineStr">
        <is>
          <t>GÄVLEBORGS LÄN</t>
        </is>
      </c>
      <c r="E7640" t="inlineStr">
        <is>
          <t>HUDIKSVALL</t>
        </is>
      </c>
      <c r="F7640" t="inlineStr">
        <is>
          <t>Holmen skog AB</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16137-2022</t>
        </is>
      </c>
      <c r="B7641" s="1" t="n">
        <v>44665</v>
      </c>
      <c r="C7641" s="1" t="n">
        <v>45883</v>
      </c>
      <c r="D7641" t="inlineStr">
        <is>
          <t>GÄVLEBORGS LÄN</t>
        </is>
      </c>
      <c r="E7641" t="inlineStr">
        <is>
          <t>SÖDERHAMN</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17164-2023</t>
        </is>
      </c>
      <c r="B7642" s="1" t="n">
        <v>45034</v>
      </c>
      <c r="C7642" s="1" t="n">
        <v>45883</v>
      </c>
      <c r="D7642" t="inlineStr">
        <is>
          <t>GÄVLEBORGS LÄN</t>
        </is>
      </c>
      <c r="E7642" t="inlineStr">
        <is>
          <t>HUDIKSVALL</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37974-2024</t>
        </is>
      </c>
      <c r="B7643" s="1" t="n">
        <v>45544.57392361111</v>
      </c>
      <c r="C7643" s="1" t="n">
        <v>45883</v>
      </c>
      <c r="D7643" t="inlineStr">
        <is>
          <t>GÄVLEBORGS LÄN</t>
        </is>
      </c>
      <c r="E7643" t="inlineStr">
        <is>
          <t>NORDANSTIG</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28080-2024</t>
        </is>
      </c>
      <c r="B7644" s="1" t="n">
        <v>45476.58725694445</v>
      </c>
      <c r="C7644" s="1" t="n">
        <v>45883</v>
      </c>
      <c r="D7644" t="inlineStr">
        <is>
          <t>GÄVLEBORGS LÄN</t>
        </is>
      </c>
      <c r="E7644" t="inlineStr">
        <is>
          <t>BOLLNÄS</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26827-2021</t>
        </is>
      </c>
      <c r="B7645" s="1" t="n">
        <v>44349</v>
      </c>
      <c r="C7645" s="1" t="n">
        <v>45883</v>
      </c>
      <c r="D7645" t="inlineStr">
        <is>
          <t>GÄVLEBORGS LÄN</t>
        </is>
      </c>
      <c r="E7645" t="inlineStr">
        <is>
          <t>NORDANSTIG</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28918-2021</t>
        </is>
      </c>
      <c r="B7646" s="1" t="n">
        <v>44358</v>
      </c>
      <c r="C7646" s="1" t="n">
        <v>45883</v>
      </c>
      <c r="D7646" t="inlineStr">
        <is>
          <t>GÄVLEBORGS LÄN</t>
        </is>
      </c>
      <c r="E7646" t="inlineStr">
        <is>
          <t>OCKELBO</t>
        </is>
      </c>
      <c r="F7646" t="inlineStr">
        <is>
          <t>Bergvik skog väst AB</t>
        </is>
      </c>
      <c r="G7646" t="n">
        <v>4.2</v>
      </c>
      <c r="H7646" t="n">
        <v>0</v>
      </c>
      <c r="I7646" t="n">
        <v>0</v>
      </c>
      <c r="J7646" t="n">
        <v>0</v>
      </c>
      <c r="K7646" t="n">
        <v>0</v>
      </c>
      <c r="L7646" t="n">
        <v>0</v>
      </c>
      <c r="M7646" t="n">
        <v>0</v>
      </c>
      <c r="N7646" t="n">
        <v>0</v>
      </c>
      <c r="O7646" t="n">
        <v>0</v>
      </c>
      <c r="P7646" t="n">
        <v>0</v>
      </c>
      <c r="Q7646" t="n">
        <v>0</v>
      </c>
      <c r="R7646" s="2" t="inlineStr"/>
    </row>
    <row r="7647" ht="15" customHeight="1">
      <c r="A7647" t="inlineStr">
        <is>
          <t>A 50299-2024</t>
        </is>
      </c>
      <c r="B7647" s="1" t="n">
        <v>45600.62952546297</v>
      </c>
      <c r="C7647" s="1" t="n">
        <v>45883</v>
      </c>
      <c r="D7647" t="inlineStr">
        <is>
          <t>GÄVLEBORGS LÄN</t>
        </is>
      </c>
      <c r="E7647" t="inlineStr">
        <is>
          <t>SANDVIKEN</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69215-2020</t>
        </is>
      </c>
      <c r="B7648" s="1" t="n">
        <v>44192</v>
      </c>
      <c r="C7648" s="1" t="n">
        <v>45883</v>
      </c>
      <c r="D7648" t="inlineStr">
        <is>
          <t>GÄVLEBORGS LÄN</t>
        </is>
      </c>
      <c r="E7648" t="inlineStr">
        <is>
          <t>GÄVLE</t>
        </is>
      </c>
      <c r="F7648" t="inlineStr">
        <is>
          <t>Kommuner</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60099-2022</t>
        </is>
      </c>
      <c r="B7649" s="1" t="n">
        <v>44909.62553240741</v>
      </c>
      <c r="C7649" s="1" t="n">
        <v>45883</v>
      </c>
      <c r="D7649" t="inlineStr">
        <is>
          <t>GÄVLEBORGS LÄN</t>
        </is>
      </c>
      <c r="E7649" t="inlineStr">
        <is>
          <t>LJUSDAL</t>
        </is>
      </c>
      <c r="F7649" t="inlineStr">
        <is>
          <t>Bergvik skog väst AB</t>
        </is>
      </c>
      <c r="G7649" t="n">
        <v>2.7</v>
      </c>
      <c r="H7649" t="n">
        <v>0</v>
      </c>
      <c r="I7649" t="n">
        <v>0</v>
      </c>
      <c r="J7649" t="n">
        <v>0</v>
      </c>
      <c r="K7649" t="n">
        <v>0</v>
      </c>
      <c r="L7649" t="n">
        <v>0</v>
      </c>
      <c r="M7649" t="n">
        <v>0</v>
      </c>
      <c r="N7649" t="n">
        <v>0</v>
      </c>
      <c r="O7649" t="n">
        <v>0</v>
      </c>
      <c r="P7649" t="n">
        <v>0</v>
      </c>
      <c r="Q7649" t="n">
        <v>0</v>
      </c>
      <c r="R7649" s="2" t="inlineStr"/>
    </row>
    <row r="7650" ht="15" customHeight="1">
      <c r="A7650" t="inlineStr">
        <is>
          <t>A 48856-2023</t>
        </is>
      </c>
      <c r="B7650" s="1" t="n">
        <v>45209.43892361111</v>
      </c>
      <c r="C7650" s="1" t="n">
        <v>45883</v>
      </c>
      <c r="D7650" t="inlineStr">
        <is>
          <t>GÄVLEBORGS LÄN</t>
        </is>
      </c>
      <c r="E7650" t="inlineStr">
        <is>
          <t>LJUSDAL</t>
        </is>
      </c>
      <c r="F7650" t="inlineStr">
        <is>
          <t>Bergvik skog väst AB</t>
        </is>
      </c>
      <c r="G7650" t="n">
        <v>2.4</v>
      </c>
      <c r="H7650" t="n">
        <v>0</v>
      </c>
      <c r="I7650" t="n">
        <v>0</v>
      </c>
      <c r="J7650" t="n">
        <v>0</v>
      </c>
      <c r="K7650" t="n">
        <v>0</v>
      </c>
      <c r="L7650" t="n">
        <v>0</v>
      </c>
      <c r="M7650" t="n">
        <v>0</v>
      </c>
      <c r="N7650" t="n">
        <v>0</v>
      </c>
      <c r="O7650" t="n">
        <v>0</v>
      </c>
      <c r="P7650" t="n">
        <v>0</v>
      </c>
      <c r="Q7650" t="n">
        <v>0</v>
      </c>
      <c r="R7650" s="2" t="inlineStr"/>
    </row>
    <row r="7651" ht="15" customHeight="1">
      <c r="A7651" t="inlineStr">
        <is>
          <t>A 13531-2021</t>
        </is>
      </c>
      <c r="B7651" s="1" t="n">
        <v>44273.695625</v>
      </c>
      <c r="C7651" s="1" t="n">
        <v>45883</v>
      </c>
      <c r="D7651" t="inlineStr">
        <is>
          <t>GÄVLEBORGS LÄN</t>
        </is>
      </c>
      <c r="E7651" t="inlineStr">
        <is>
          <t>SANDVIKEN</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9363-2024</t>
        </is>
      </c>
      <c r="B7652" s="1" t="n">
        <v>45359.33664351852</v>
      </c>
      <c r="C7652" s="1" t="n">
        <v>45883</v>
      </c>
      <c r="D7652" t="inlineStr">
        <is>
          <t>GÄVLEBORGS LÄN</t>
        </is>
      </c>
      <c r="E7652" t="inlineStr">
        <is>
          <t>LJUSDAL</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15674-2024</t>
        </is>
      </c>
      <c r="B7653" s="1" t="n">
        <v>45404.40354166667</v>
      </c>
      <c r="C7653" s="1" t="n">
        <v>45883</v>
      </c>
      <c r="D7653" t="inlineStr">
        <is>
          <t>GÄVLEBORGS LÄN</t>
        </is>
      </c>
      <c r="E7653" t="inlineStr">
        <is>
          <t>SANDVIKEN</t>
        </is>
      </c>
      <c r="F7653" t="inlineStr">
        <is>
          <t>Bergvik skog öst AB</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18488-2024</t>
        </is>
      </c>
      <c r="B7654" s="1" t="n">
        <v>45425.54863425926</v>
      </c>
      <c r="C7654" s="1" t="n">
        <v>45883</v>
      </c>
      <c r="D7654" t="inlineStr">
        <is>
          <t>GÄVLEBORGS LÄN</t>
        </is>
      </c>
      <c r="E7654" t="inlineStr">
        <is>
          <t>LJUSDAL</t>
        </is>
      </c>
      <c r="G7654" t="n">
        <v>2.7</v>
      </c>
      <c r="H7654" t="n">
        <v>0</v>
      </c>
      <c r="I7654" t="n">
        <v>0</v>
      </c>
      <c r="J7654" t="n">
        <v>0</v>
      </c>
      <c r="K7654" t="n">
        <v>0</v>
      </c>
      <c r="L7654" t="n">
        <v>0</v>
      </c>
      <c r="M7654" t="n">
        <v>0</v>
      </c>
      <c r="N7654" t="n">
        <v>0</v>
      </c>
      <c r="O7654" t="n">
        <v>0</v>
      </c>
      <c r="P7654" t="n">
        <v>0</v>
      </c>
      <c r="Q7654" t="n">
        <v>0</v>
      </c>
      <c r="R7654" s="2" t="inlineStr"/>
    </row>
    <row r="7655" ht="15" customHeight="1">
      <c r="A7655" t="inlineStr">
        <is>
          <t>A 14128-2022</t>
        </is>
      </c>
      <c r="B7655" s="1" t="n">
        <v>44651.41497685185</v>
      </c>
      <c r="C7655" s="1" t="n">
        <v>45883</v>
      </c>
      <c r="D7655" t="inlineStr">
        <is>
          <t>GÄVLEBORGS LÄN</t>
        </is>
      </c>
      <c r="E7655" t="inlineStr">
        <is>
          <t>SÖDERHAMN</t>
        </is>
      </c>
      <c r="F7655" t="inlineStr">
        <is>
          <t>Bergvik skog väst AB</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14173-2022</t>
        </is>
      </c>
      <c r="B7656" s="1" t="n">
        <v>44651</v>
      </c>
      <c r="C7656" s="1" t="n">
        <v>45883</v>
      </c>
      <c r="D7656" t="inlineStr">
        <is>
          <t>GÄVLEBORGS LÄN</t>
        </is>
      </c>
      <c r="E7656" t="inlineStr">
        <is>
          <t>GÄVLE</t>
        </is>
      </c>
      <c r="F7656" t="inlineStr">
        <is>
          <t>Bergvik skog väst AB</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59301-2024</t>
        </is>
      </c>
      <c r="B7657" s="1" t="n">
        <v>45637</v>
      </c>
      <c r="C7657" s="1" t="n">
        <v>45883</v>
      </c>
      <c r="D7657" t="inlineStr">
        <is>
          <t>GÄVLEBORGS LÄN</t>
        </is>
      </c>
      <c r="E7657" t="inlineStr">
        <is>
          <t>SÖDERHAMN</t>
        </is>
      </c>
      <c r="G7657" t="n">
        <v>3.9</v>
      </c>
      <c r="H7657" t="n">
        <v>0</v>
      </c>
      <c r="I7657" t="n">
        <v>0</v>
      </c>
      <c r="J7657" t="n">
        <v>0</v>
      </c>
      <c r="K7657" t="n">
        <v>0</v>
      </c>
      <c r="L7657" t="n">
        <v>0</v>
      </c>
      <c r="M7657" t="n">
        <v>0</v>
      </c>
      <c r="N7657" t="n">
        <v>0</v>
      </c>
      <c r="O7657" t="n">
        <v>0</v>
      </c>
      <c r="P7657" t="n">
        <v>0</v>
      </c>
      <c r="Q7657" t="n">
        <v>0</v>
      </c>
      <c r="R7657" s="2" t="inlineStr"/>
    </row>
    <row r="7658" ht="15" customHeight="1">
      <c r="A7658" t="inlineStr">
        <is>
          <t>A 51983-2024</t>
        </is>
      </c>
      <c r="B7658" s="1" t="n">
        <v>45607.67049768518</v>
      </c>
      <c r="C7658" s="1" t="n">
        <v>45883</v>
      </c>
      <c r="D7658" t="inlineStr">
        <is>
          <t>GÄVLEBORGS LÄN</t>
        </is>
      </c>
      <c r="E7658" t="inlineStr">
        <is>
          <t>BOLLNÄS</t>
        </is>
      </c>
      <c r="G7658" t="n">
        <v>0.4</v>
      </c>
      <c r="H7658" t="n">
        <v>0</v>
      </c>
      <c r="I7658" t="n">
        <v>0</v>
      </c>
      <c r="J7658" t="n">
        <v>0</v>
      </c>
      <c r="K7658" t="n">
        <v>0</v>
      </c>
      <c r="L7658" t="n">
        <v>0</v>
      </c>
      <c r="M7658" t="n">
        <v>0</v>
      </c>
      <c r="N7658" t="n">
        <v>0</v>
      </c>
      <c r="O7658" t="n">
        <v>0</v>
      </c>
      <c r="P7658" t="n">
        <v>0</v>
      </c>
      <c r="Q7658" t="n">
        <v>0</v>
      </c>
      <c r="R7658" s="2" t="inlineStr"/>
    </row>
    <row r="7659" ht="15" customHeight="1">
      <c r="A7659" t="inlineStr">
        <is>
          <t>A 52006-2024</t>
        </is>
      </c>
      <c r="B7659" s="1" t="n">
        <v>45607.76726851852</v>
      </c>
      <c r="C7659" s="1" t="n">
        <v>45883</v>
      </c>
      <c r="D7659" t="inlineStr">
        <is>
          <t>GÄVLEBORGS LÄN</t>
        </is>
      </c>
      <c r="E7659" t="inlineStr">
        <is>
          <t>NORDANSTIG</t>
        </is>
      </c>
      <c r="G7659" t="n">
        <v>6</v>
      </c>
      <c r="H7659" t="n">
        <v>0</v>
      </c>
      <c r="I7659" t="n">
        <v>0</v>
      </c>
      <c r="J7659" t="n">
        <v>0</v>
      </c>
      <c r="K7659" t="n">
        <v>0</v>
      </c>
      <c r="L7659" t="n">
        <v>0</v>
      </c>
      <c r="M7659" t="n">
        <v>0</v>
      </c>
      <c r="N7659" t="n">
        <v>0</v>
      </c>
      <c r="O7659" t="n">
        <v>0</v>
      </c>
      <c r="P7659" t="n">
        <v>0</v>
      </c>
      <c r="Q7659" t="n">
        <v>0</v>
      </c>
      <c r="R7659" s="2" t="inlineStr"/>
    </row>
    <row r="7660" ht="15" customHeight="1">
      <c r="A7660" t="inlineStr">
        <is>
          <t>A 51790-2020</t>
        </is>
      </c>
      <c r="B7660" s="1" t="n">
        <v>44116</v>
      </c>
      <c r="C7660" s="1" t="n">
        <v>45883</v>
      </c>
      <c r="D7660" t="inlineStr">
        <is>
          <t>GÄVLEBORGS LÄN</t>
        </is>
      </c>
      <c r="E7660" t="inlineStr">
        <is>
          <t>LJUSDAL</t>
        </is>
      </c>
      <c r="F7660" t="inlineStr">
        <is>
          <t>Holmen skog AB</t>
        </is>
      </c>
      <c r="G7660" t="n">
        <v>5.9</v>
      </c>
      <c r="H7660" t="n">
        <v>0</v>
      </c>
      <c r="I7660" t="n">
        <v>0</v>
      </c>
      <c r="J7660" t="n">
        <v>0</v>
      </c>
      <c r="K7660" t="n">
        <v>0</v>
      </c>
      <c r="L7660" t="n">
        <v>0</v>
      </c>
      <c r="M7660" t="n">
        <v>0</v>
      </c>
      <c r="N7660" t="n">
        <v>0</v>
      </c>
      <c r="O7660" t="n">
        <v>0</v>
      </c>
      <c r="P7660" t="n">
        <v>0</v>
      </c>
      <c r="Q7660" t="n">
        <v>0</v>
      </c>
      <c r="R7660" s="2" t="inlineStr"/>
    </row>
    <row r="7661" ht="15" customHeight="1">
      <c r="A7661" t="inlineStr">
        <is>
          <t>A 18988-2022</t>
        </is>
      </c>
      <c r="B7661" s="1" t="n">
        <v>44690</v>
      </c>
      <c r="C7661" s="1" t="n">
        <v>45883</v>
      </c>
      <c r="D7661" t="inlineStr">
        <is>
          <t>GÄVLEBORGS LÄN</t>
        </is>
      </c>
      <c r="E7661" t="inlineStr">
        <is>
          <t>NORDANSTIG</t>
        </is>
      </c>
      <c r="G7661" t="n">
        <v>9.300000000000001</v>
      </c>
      <c r="H7661" t="n">
        <v>0</v>
      </c>
      <c r="I7661" t="n">
        <v>0</v>
      </c>
      <c r="J7661" t="n">
        <v>0</v>
      </c>
      <c r="K7661" t="n">
        <v>0</v>
      </c>
      <c r="L7661" t="n">
        <v>0</v>
      </c>
      <c r="M7661" t="n">
        <v>0</v>
      </c>
      <c r="N7661" t="n">
        <v>0</v>
      </c>
      <c r="O7661" t="n">
        <v>0</v>
      </c>
      <c r="P7661" t="n">
        <v>0</v>
      </c>
      <c r="Q7661" t="n">
        <v>0</v>
      </c>
      <c r="R7661" s="2" t="inlineStr"/>
    </row>
    <row r="7662" ht="15" customHeight="1">
      <c r="A7662" t="inlineStr">
        <is>
          <t>A 12607-2024</t>
        </is>
      </c>
      <c r="B7662" s="1" t="n">
        <v>45382.54315972222</v>
      </c>
      <c r="C7662" s="1" t="n">
        <v>45883</v>
      </c>
      <c r="D7662" t="inlineStr">
        <is>
          <t>GÄVLEBORGS LÄN</t>
        </is>
      </c>
      <c r="E7662" t="inlineStr">
        <is>
          <t>NORDANSTIG</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15146-2023</t>
        </is>
      </c>
      <c r="B7663" s="1" t="n">
        <v>45016</v>
      </c>
      <c r="C7663" s="1" t="n">
        <v>45883</v>
      </c>
      <c r="D7663" t="inlineStr">
        <is>
          <t>GÄVLEBORGS LÄN</t>
        </is>
      </c>
      <c r="E7663" t="inlineStr">
        <is>
          <t>BOLLNÄS</t>
        </is>
      </c>
      <c r="G7663" t="n">
        <v>0.4</v>
      </c>
      <c r="H7663" t="n">
        <v>0</v>
      </c>
      <c r="I7663" t="n">
        <v>0</v>
      </c>
      <c r="J7663" t="n">
        <v>0</v>
      </c>
      <c r="K7663" t="n">
        <v>0</v>
      </c>
      <c r="L7663" t="n">
        <v>0</v>
      </c>
      <c r="M7663" t="n">
        <v>0</v>
      </c>
      <c r="N7663" t="n">
        <v>0</v>
      </c>
      <c r="O7663" t="n">
        <v>0</v>
      </c>
      <c r="P7663" t="n">
        <v>0</v>
      </c>
      <c r="Q7663" t="n">
        <v>0</v>
      </c>
      <c r="R7663" s="2" t="inlineStr"/>
    </row>
    <row r="7664" ht="15" customHeight="1">
      <c r="A7664" t="inlineStr">
        <is>
          <t>A 55681-2023</t>
        </is>
      </c>
      <c r="B7664" s="1" t="n">
        <v>45239.34327546296</v>
      </c>
      <c r="C7664" s="1" t="n">
        <v>45883</v>
      </c>
      <c r="D7664" t="inlineStr">
        <is>
          <t>GÄVLEBORGS LÄN</t>
        </is>
      </c>
      <c r="E7664" t="inlineStr">
        <is>
          <t>LJUSDAL</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10602-2022</t>
        </is>
      </c>
      <c r="B7665" s="1" t="n">
        <v>44624</v>
      </c>
      <c r="C7665" s="1" t="n">
        <v>45883</v>
      </c>
      <c r="D7665" t="inlineStr">
        <is>
          <t>GÄVLEBORGS LÄN</t>
        </is>
      </c>
      <c r="E7665" t="inlineStr">
        <is>
          <t>HOFORS</t>
        </is>
      </c>
      <c r="G7665" t="n">
        <v>7</v>
      </c>
      <c r="H7665" t="n">
        <v>0</v>
      </c>
      <c r="I7665" t="n">
        <v>0</v>
      </c>
      <c r="J7665" t="n">
        <v>0</v>
      </c>
      <c r="K7665" t="n">
        <v>0</v>
      </c>
      <c r="L7665" t="n">
        <v>0</v>
      </c>
      <c r="M7665" t="n">
        <v>0</v>
      </c>
      <c r="N7665" t="n">
        <v>0</v>
      </c>
      <c r="O7665" t="n">
        <v>0</v>
      </c>
      <c r="P7665" t="n">
        <v>0</v>
      </c>
      <c r="Q7665" t="n">
        <v>0</v>
      </c>
      <c r="R7665" s="2" t="inlineStr"/>
    </row>
    <row r="7666" ht="15" customHeight="1">
      <c r="A7666" t="inlineStr">
        <is>
          <t>A 9307-2022</t>
        </is>
      </c>
      <c r="B7666" s="1" t="n">
        <v>44616.49033564814</v>
      </c>
      <c r="C7666" s="1" t="n">
        <v>45883</v>
      </c>
      <c r="D7666" t="inlineStr">
        <is>
          <t>GÄVLEBORGS LÄN</t>
        </is>
      </c>
      <c r="E7666" t="inlineStr">
        <is>
          <t>GÄVLE</t>
        </is>
      </c>
      <c r="G7666" t="n">
        <v>4.8</v>
      </c>
      <c r="H7666" t="n">
        <v>0</v>
      </c>
      <c r="I7666" t="n">
        <v>0</v>
      </c>
      <c r="J7666" t="n">
        <v>0</v>
      </c>
      <c r="K7666" t="n">
        <v>0</v>
      </c>
      <c r="L7666" t="n">
        <v>0</v>
      </c>
      <c r="M7666" t="n">
        <v>0</v>
      </c>
      <c r="N7666" t="n">
        <v>0</v>
      </c>
      <c r="O7666" t="n">
        <v>0</v>
      </c>
      <c r="P7666" t="n">
        <v>0</v>
      </c>
      <c r="Q7666" t="n">
        <v>0</v>
      </c>
      <c r="R7666" s="2" t="inlineStr"/>
    </row>
    <row r="7667" ht="15" customHeight="1">
      <c r="A7667" t="inlineStr">
        <is>
          <t>A 23217-2023</t>
        </is>
      </c>
      <c r="B7667" s="1" t="n">
        <v>45075</v>
      </c>
      <c r="C7667" s="1" t="n">
        <v>45883</v>
      </c>
      <c r="D7667" t="inlineStr">
        <is>
          <t>GÄVLEBORGS LÄN</t>
        </is>
      </c>
      <c r="E7667" t="inlineStr">
        <is>
          <t>SANDVIKEN</t>
        </is>
      </c>
      <c r="F7667" t="inlineStr">
        <is>
          <t>Sveaskog</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56150-2023</t>
        </is>
      </c>
      <c r="B7668" s="1" t="n">
        <v>45240.604375</v>
      </c>
      <c r="C7668" s="1" t="n">
        <v>45883</v>
      </c>
      <c r="D7668" t="inlineStr">
        <is>
          <t>GÄVLEBORGS LÄN</t>
        </is>
      </c>
      <c r="E7668" t="inlineStr">
        <is>
          <t>SANDVIKEN</t>
        </is>
      </c>
      <c r="F7668" t="inlineStr">
        <is>
          <t>Sveaskog</t>
        </is>
      </c>
      <c r="G7668" t="n">
        <v>2.8</v>
      </c>
      <c r="H7668" t="n">
        <v>0</v>
      </c>
      <c r="I7668" t="n">
        <v>0</v>
      </c>
      <c r="J7668" t="n">
        <v>0</v>
      </c>
      <c r="K7668" t="n">
        <v>0</v>
      </c>
      <c r="L7668" t="n">
        <v>0</v>
      </c>
      <c r="M7668" t="n">
        <v>0</v>
      </c>
      <c r="N7668" t="n">
        <v>0</v>
      </c>
      <c r="O7668" t="n">
        <v>0</v>
      </c>
      <c r="P7668" t="n">
        <v>0</v>
      </c>
      <c r="Q7668" t="n">
        <v>0</v>
      </c>
      <c r="R7668" s="2" t="inlineStr"/>
    </row>
    <row r="7669" ht="15" customHeight="1">
      <c r="A7669" t="inlineStr">
        <is>
          <t>A 20364-2025</t>
        </is>
      </c>
      <c r="B7669" s="1" t="n">
        <v>45775.40340277777</v>
      </c>
      <c r="C7669" s="1" t="n">
        <v>45883</v>
      </c>
      <c r="D7669" t="inlineStr">
        <is>
          <t>GÄVLEBORGS LÄN</t>
        </is>
      </c>
      <c r="E7669" t="inlineStr">
        <is>
          <t>GÄVLE</t>
        </is>
      </c>
      <c r="G7669" t="n">
        <v>3.4</v>
      </c>
      <c r="H7669" t="n">
        <v>0</v>
      </c>
      <c r="I7669" t="n">
        <v>0</v>
      </c>
      <c r="J7669" t="n">
        <v>0</v>
      </c>
      <c r="K7669" t="n">
        <v>0</v>
      </c>
      <c r="L7669" t="n">
        <v>0</v>
      </c>
      <c r="M7669" t="n">
        <v>0</v>
      </c>
      <c r="N7669" t="n">
        <v>0</v>
      </c>
      <c r="O7669" t="n">
        <v>0</v>
      </c>
      <c r="P7669" t="n">
        <v>0</v>
      </c>
      <c r="Q7669" t="n">
        <v>0</v>
      </c>
      <c r="R7669" s="2" t="inlineStr"/>
    </row>
    <row r="7670" ht="15" customHeight="1">
      <c r="A7670" t="inlineStr">
        <is>
          <t>A 18332-2024</t>
        </is>
      </c>
      <c r="B7670" s="1" t="n">
        <v>45422.56459490741</v>
      </c>
      <c r="C7670" s="1" t="n">
        <v>45883</v>
      </c>
      <c r="D7670" t="inlineStr">
        <is>
          <t>GÄVLEBORGS LÄN</t>
        </is>
      </c>
      <c r="E7670" t="inlineStr">
        <is>
          <t>NORDANSTIG</t>
        </is>
      </c>
      <c r="F7670" t="inlineStr">
        <is>
          <t>Holmen skog AB</t>
        </is>
      </c>
      <c r="G7670" t="n">
        <v>3.5</v>
      </c>
      <c r="H7670" t="n">
        <v>0</v>
      </c>
      <c r="I7670" t="n">
        <v>0</v>
      </c>
      <c r="J7670" t="n">
        <v>0</v>
      </c>
      <c r="K7670" t="n">
        <v>0</v>
      </c>
      <c r="L7670" t="n">
        <v>0</v>
      </c>
      <c r="M7670" t="n">
        <v>0</v>
      </c>
      <c r="N7670" t="n">
        <v>0</v>
      </c>
      <c r="O7670" t="n">
        <v>0</v>
      </c>
      <c r="P7670" t="n">
        <v>0</v>
      </c>
      <c r="Q7670" t="n">
        <v>0</v>
      </c>
      <c r="R7670" s="2" t="inlineStr"/>
    </row>
    <row r="7671" ht="15" customHeight="1">
      <c r="A7671" t="inlineStr">
        <is>
          <t>A 18334-2024</t>
        </is>
      </c>
      <c r="B7671" s="1" t="n">
        <v>45422.56760416667</v>
      </c>
      <c r="C7671" s="1" t="n">
        <v>45883</v>
      </c>
      <c r="D7671" t="inlineStr">
        <is>
          <t>GÄVLEBORGS LÄN</t>
        </is>
      </c>
      <c r="E7671" t="inlineStr">
        <is>
          <t>BOLLNÄS</t>
        </is>
      </c>
      <c r="G7671" t="n">
        <v>2</v>
      </c>
      <c r="H7671" t="n">
        <v>0</v>
      </c>
      <c r="I7671" t="n">
        <v>0</v>
      </c>
      <c r="J7671" t="n">
        <v>0</v>
      </c>
      <c r="K7671" t="n">
        <v>0</v>
      </c>
      <c r="L7671" t="n">
        <v>0</v>
      </c>
      <c r="M7671" t="n">
        <v>0</v>
      </c>
      <c r="N7671" t="n">
        <v>0</v>
      </c>
      <c r="O7671" t="n">
        <v>0</v>
      </c>
      <c r="P7671" t="n">
        <v>0</v>
      </c>
      <c r="Q7671" t="n">
        <v>0</v>
      </c>
      <c r="R7671" s="2" t="inlineStr"/>
    </row>
    <row r="7672" ht="15" customHeight="1">
      <c r="A7672" t="inlineStr">
        <is>
          <t>A 51387-2024</t>
        </is>
      </c>
      <c r="B7672" s="1" t="n">
        <v>45604.39825231482</v>
      </c>
      <c r="C7672" s="1" t="n">
        <v>45883</v>
      </c>
      <c r="D7672" t="inlineStr">
        <is>
          <t>GÄVLEBORGS LÄN</t>
        </is>
      </c>
      <c r="E7672" t="inlineStr">
        <is>
          <t>NORDANSTIG</t>
        </is>
      </c>
      <c r="F7672" t="inlineStr">
        <is>
          <t>Holmen skog AB</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38581-2024</t>
        </is>
      </c>
      <c r="B7673" s="1" t="n">
        <v>45546.64888888889</v>
      </c>
      <c r="C7673" s="1" t="n">
        <v>45883</v>
      </c>
      <c r="D7673" t="inlineStr">
        <is>
          <t>GÄVLEBORGS LÄN</t>
        </is>
      </c>
      <c r="E7673" t="inlineStr">
        <is>
          <t>NORDANSTIG</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38589-2024</t>
        </is>
      </c>
      <c r="B7674" s="1" t="n">
        <v>45546.65302083334</v>
      </c>
      <c r="C7674" s="1" t="n">
        <v>45883</v>
      </c>
      <c r="D7674" t="inlineStr">
        <is>
          <t>GÄVLEBORGS LÄN</t>
        </is>
      </c>
      <c r="E7674" t="inlineStr">
        <is>
          <t>NORDANSTIG</t>
        </is>
      </c>
      <c r="G7674" t="n">
        <v>0.4</v>
      </c>
      <c r="H7674" t="n">
        <v>0</v>
      </c>
      <c r="I7674" t="n">
        <v>0</v>
      </c>
      <c r="J7674" t="n">
        <v>0</v>
      </c>
      <c r="K7674" t="n">
        <v>0</v>
      </c>
      <c r="L7674" t="n">
        <v>0</v>
      </c>
      <c r="M7674" t="n">
        <v>0</v>
      </c>
      <c r="N7674" t="n">
        <v>0</v>
      </c>
      <c r="O7674" t="n">
        <v>0</v>
      </c>
      <c r="P7674" t="n">
        <v>0</v>
      </c>
      <c r="Q7674" t="n">
        <v>0</v>
      </c>
      <c r="R7674" s="2" t="inlineStr"/>
    </row>
    <row r="7675" ht="15" customHeight="1">
      <c r="A7675" t="inlineStr">
        <is>
          <t>A 29982-2023</t>
        </is>
      </c>
      <c r="B7675" s="1" t="n">
        <v>45108.92460648148</v>
      </c>
      <c r="C7675" s="1" t="n">
        <v>45883</v>
      </c>
      <c r="D7675" t="inlineStr">
        <is>
          <t>GÄVLEBORGS LÄN</t>
        </is>
      </c>
      <c r="E7675" t="inlineStr">
        <is>
          <t>SÖDERHAMN</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10683-2021</t>
        </is>
      </c>
      <c r="B7676" s="1" t="n">
        <v>44258.63650462963</v>
      </c>
      <c r="C7676" s="1" t="n">
        <v>45883</v>
      </c>
      <c r="D7676" t="inlineStr">
        <is>
          <t>GÄVLEBORGS LÄN</t>
        </is>
      </c>
      <c r="E7676" t="inlineStr">
        <is>
          <t>HUDIKSVALL</t>
        </is>
      </c>
      <c r="F7676" t="inlineStr">
        <is>
          <t>Holmen skog AB</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57199-2022</t>
        </is>
      </c>
      <c r="B7677" s="1" t="n">
        <v>44895</v>
      </c>
      <c r="C7677" s="1" t="n">
        <v>45883</v>
      </c>
      <c r="D7677" t="inlineStr">
        <is>
          <t>GÄVLEBORGS LÄN</t>
        </is>
      </c>
      <c r="E7677" t="inlineStr">
        <is>
          <t>HUDIKSVALL</t>
        </is>
      </c>
      <c r="G7677" t="n">
        <v>7.2</v>
      </c>
      <c r="H7677" t="n">
        <v>0</v>
      </c>
      <c r="I7677" t="n">
        <v>0</v>
      </c>
      <c r="J7677" t="n">
        <v>0</v>
      </c>
      <c r="K7677" t="n">
        <v>0</v>
      </c>
      <c r="L7677" t="n">
        <v>0</v>
      </c>
      <c r="M7677" t="n">
        <v>0</v>
      </c>
      <c r="N7677" t="n">
        <v>0</v>
      </c>
      <c r="O7677" t="n">
        <v>0</v>
      </c>
      <c r="P7677" t="n">
        <v>0</v>
      </c>
      <c r="Q7677" t="n">
        <v>0</v>
      </c>
      <c r="R7677" s="2" t="inlineStr"/>
    </row>
    <row r="7678" ht="15" customHeight="1">
      <c r="A7678" t="inlineStr">
        <is>
          <t>A 60148-2023</t>
        </is>
      </c>
      <c r="B7678" s="1" t="n">
        <v>45258.52659722222</v>
      </c>
      <c r="C7678" s="1" t="n">
        <v>45883</v>
      </c>
      <c r="D7678" t="inlineStr">
        <is>
          <t>GÄVLEBORGS LÄN</t>
        </is>
      </c>
      <c r="E7678" t="inlineStr">
        <is>
          <t>OCKELBO</t>
        </is>
      </c>
      <c r="G7678" t="n">
        <v>2.7</v>
      </c>
      <c r="H7678" t="n">
        <v>0</v>
      </c>
      <c r="I7678" t="n">
        <v>0</v>
      </c>
      <c r="J7678" t="n">
        <v>0</v>
      </c>
      <c r="K7678" t="n">
        <v>0</v>
      </c>
      <c r="L7678" t="n">
        <v>0</v>
      </c>
      <c r="M7678" t="n">
        <v>0</v>
      </c>
      <c r="N7678" t="n">
        <v>0</v>
      </c>
      <c r="O7678" t="n">
        <v>0</v>
      </c>
      <c r="P7678" t="n">
        <v>0</v>
      </c>
      <c r="Q7678" t="n">
        <v>0</v>
      </c>
      <c r="R7678" s="2" t="inlineStr"/>
    </row>
    <row r="7679" ht="15" customHeight="1">
      <c r="A7679" t="inlineStr">
        <is>
          <t>A 5191-2025</t>
        </is>
      </c>
      <c r="B7679" s="1" t="n">
        <v>45691.6490625</v>
      </c>
      <c r="C7679" s="1" t="n">
        <v>45883</v>
      </c>
      <c r="D7679" t="inlineStr">
        <is>
          <t>GÄVLEBORGS LÄN</t>
        </is>
      </c>
      <c r="E7679" t="inlineStr">
        <is>
          <t>HUDIKSVALL</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11759-2022</t>
        </is>
      </c>
      <c r="B7680" s="1" t="n">
        <v>44634.57420138889</v>
      </c>
      <c r="C7680" s="1" t="n">
        <v>45883</v>
      </c>
      <c r="D7680" t="inlineStr">
        <is>
          <t>GÄVLEBORGS LÄN</t>
        </is>
      </c>
      <c r="E7680" t="inlineStr">
        <is>
          <t>HUDIKSVALL</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53298-2023</t>
        </is>
      </c>
      <c r="B7681" s="1" t="n">
        <v>45229</v>
      </c>
      <c r="C7681" s="1" t="n">
        <v>45883</v>
      </c>
      <c r="D7681" t="inlineStr">
        <is>
          <t>GÄVLEBORGS LÄN</t>
        </is>
      </c>
      <c r="E7681" t="inlineStr">
        <is>
          <t>BOLLNÄS</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53384-2023</t>
        </is>
      </c>
      <c r="B7682" s="1" t="n">
        <v>45223</v>
      </c>
      <c r="C7682" s="1" t="n">
        <v>45883</v>
      </c>
      <c r="D7682" t="inlineStr">
        <is>
          <t>GÄVLEBORGS LÄN</t>
        </is>
      </c>
      <c r="E7682" t="inlineStr">
        <is>
          <t>BOLLNÄS</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5728-2023</t>
        </is>
      </c>
      <c r="B7683" s="1" t="n">
        <v>44962.43650462963</v>
      </c>
      <c r="C7683" s="1" t="n">
        <v>45883</v>
      </c>
      <c r="D7683" t="inlineStr">
        <is>
          <t>GÄVLEBORGS LÄN</t>
        </is>
      </c>
      <c r="E7683" t="inlineStr">
        <is>
          <t>GÄVLE</t>
        </is>
      </c>
      <c r="G7683" t="n">
        <v>2.8</v>
      </c>
      <c r="H7683" t="n">
        <v>0</v>
      </c>
      <c r="I7683" t="n">
        <v>0</v>
      </c>
      <c r="J7683" t="n">
        <v>0</v>
      </c>
      <c r="K7683" t="n">
        <v>0</v>
      </c>
      <c r="L7683" t="n">
        <v>0</v>
      </c>
      <c r="M7683" t="n">
        <v>0</v>
      </c>
      <c r="N7683" t="n">
        <v>0</v>
      </c>
      <c r="O7683" t="n">
        <v>0</v>
      </c>
      <c r="P7683" t="n">
        <v>0</v>
      </c>
      <c r="Q7683" t="n">
        <v>0</v>
      </c>
      <c r="R7683" s="2" t="inlineStr"/>
    </row>
    <row r="7684">
      <c r="A7684" t="inlineStr">
        <is>
          <t>A 38292-2021</t>
        </is>
      </c>
      <c r="B7684" s="1" t="n">
        <v>44406.33724537037</v>
      </c>
      <c r="C7684" s="1" t="n">
        <v>45883</v>
      </c>
      <c r="D7684" t="inlineStr">
        <is>
          <t>GÄVLEBORGS LÄN</t>
        </is>
      </c>
      <c r="E7684" t="inlineStr">
        <is>
          <t>OCKELBO</t>
        </is>
      </c>
      <c r="G7684" t="n">
        <v>1.8</v>
      </c>
      <c r="H7684" t="n">
        <v>0</v>
      </c>
      <c r="I7684" t="n">
        <v>0</v>
      </c>
      <c r="J7684" t="n">
        <v>0</v>
      </c>
      <c r="K7684" t="n">
        <v>0</v>
      </c>
      <c r="L7684" t="n">
        <v>0</v>
      </c>
      <c r="M7684" t="n">
        <v>0</v>
      </c>
      <c r="N7684" t="n">
        <v>0</v>
      </c>
      <c r="O7684" t="n">
        <v>0</v>
      </c>
      <c r="P7684" t="n">
        <v>0</v>
      </c>
      <c r="Q7684" t="n">
        <v>0</v>
      </c>
      <c r="R76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2025-08-14T08:24:50Z</dcterms:created>
  <dcterms:modified xmlns:dcterms="http://purl.org/dc/terms/" xmlns:xsi="http://www.w3.org/2001/XMLSchema-instance" xsi:type="dcterms:W3CDTF">2025-08-14T08:24:56Z</dcterms:modified>
</cp:coreProperties>
</file>